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7AD23EC9-BBE9-5642-A274-32F0A7C0B702}" xr6:coauthVersionLast="47" xr6:coauthVersionMax="47" xr10:uidLastSave="{00000000-0000-0000-0000-000000000000}"/>
  <bookViews>
    <workbookView xWindow="0" yWindow="660" windowWidth="34560" windowHeight="21680" firstSheet="199" activeTab="204"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_dup_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_dup_Visit PCP RP Income" sheetId="244" r:id="rId244"/>
    <sheet name="Reasons not Visit PCP" sheetId="245" r:id="rId245"/>
    <sheet name="Reasons not Visit PCP Income" sheetId="246" r:id="rId246"/>
    <sheet name="Dentist Visitation 12M Income" sheetId="247" r:id="rId247"/>
    <sheet name="_dup_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278" r:id="rId278"/>
    <sheet name="Avg Day Healthy Diet" sheetId="279" r:id="rId279"/>
    <sheet name="Avg Day Exercise" sheetId="280" r:id="rId280"/>
    <sheet name="Avg 7-9H Sleep" sheetId="281" r:id="rId281"/>
    <sheet name="Lvl Stress Avg Day 18-24" sheetId="282" r:id="rId282"/>
    <sheet name="Unable to Get Utilities Income" sheetId="283" r:id="rId283"/>
    <sheet name="Unable to Get Internet" sheetId="284" r:id="rId284"/>
    <sheet name="Unable to Get Transportation" sheetId="285" r:id="rId285"/>
    <sheet name="Routine Physical Income" sheetId="286" r:id="rId286"/>
    <sheet name="Reasons for Not Visiting Dentis" sheetId="287" r:id="rId287"/>
    <sheet name="BLANK" sheetId="288" r:id="rId288"/>
    <sheet name="Template2" sheetId="289" r:id="rId289"/>
    <sheet name="Information or Help" sheetId="290" r:id="rId290"/>
    <sheet name="Feeling Everything Effort" sheetId="291" r:id="rId291"/>
    <sheet name="Feeling Depressed" sheetId="292" r:id="rId292"/>
    <sheet name="Feeling Restless or Fidgety" sheetId="293" r:id="rId293"/>
    <sheet name="Feeling Hopeless" sheetId="294" r:id="rId294"/>
    <sheet name="Feelings Nervous" sheetId="295" r:id="rId295"/>
    <sheet name="Vaccunated Flu 60+" sheetId="296" r:id="rId296"/>
    <sheet name="Vaccinated Flu" sheetId="297" r:id="rId297"/>
    <sheet name="Updated COVID Vaccine" sheetId="298" r:id="rId298"/>
    <sheet name="Vaccinated COVID" sheetId="299" r:id="rId299"/>
    <sheet name="Had Long COVID" sheetId="300" r:id="rId300"/>
    <sheet name="Had COVID" sheetId="301" r:id="rId301"/>
    <sheet name="MH Visit 12M" sheetId="302" r:id="rId302"/>
    <sheet name="Emerg Room Visit Non Med Issues" sheetId="303" r:id="rId303"/>
    <sheet name="Dentist Visitation 12m" sheetId="304" r:id="rId304"/>
    <sheet name="Visit PCP RP" sheetId="305" r:id="rId305"/>
    <sheet name="_dup_Unable Access Internet" sheetId="306" r:id="rId306"/>
    <sheet name="Unable Childcare" sheetId="307" r:id="rId307"/>
    <sheet name="Unable Housing" sheetId="308" r:id="rId308"/>
    <sheet name="_dup_Unable Transport" sheetId="309" r:id="rId309"/>
    <sheet name="Unable to Get Phone Services" sheetId="310" r:id="rId310"/>
    <sheet name="Unable Dental Vision" sheetId="311" r:id="rId311"/>
    <sheet name="Unable Utilities" sheetId="312" r:id="rId312"/>
    <sheet name="Unable to Get Food" sheetId="313" r:id="rId313"/>
    <sheet name="Consume Cannabis" sheetId="314" r:id="rId314"/>
    <sheet name="Freq Drug Use Non Med" sheetId="315" r:id="rId315"/>
    <sheet name="Alcohol Consumption Past Year" sheetId="316" r:id="rId316"/>
    <sheet name="Feelings Quality Encounters" sheetId="317" r:id="rId317"/>
    <sheet name="_dup_Lvl Stress Avg Day" sheetId="318" r:id="rId318"/>
    <sheet name="_dup_Avg Days 7-9H Sleep" sheetId="319" r:id="rId319"/>
    <sheet name="_dup_Avg Days Excercise" sheetId="320" r:id="rId320"/>
    <sheet name="_dup_Average Days Healthy Diet" sheetId="321" r:id="rId321"/>
    <sheet name="_dup_Perception of MH" sheetId="322" r:id="rId322"/>
    <sheet name="Rating Com Income" sheetId="32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8"/>
  <c r="B3" i="308"/>
  <c r="B4" i="307"/>
  <c r="B3" i="307"/>
  <c r="B4" i="306"/>
  <c r="B3" i="306"/>
  <c r="B4" i="305"/>
  <c r="B3" i="305"/>
  <c r="B4" i="304"/>
  <c r="B3" i="304"/>
  <c r="B4" i="303"/>
  <c r="B3" i="303"/>
  <c r="B4" i="302"/>
  <c r="B3" i="302"/>
  <c r="B4" i="301"/>
  <c r="B3" i="301"/>
  <c r="B4" i="300"/>
  <c r="B3" i="300"/>
  <c r="B4" i="299"/>
  <c r="B3" i="299"/>
  <c r="B4" i="298"/>
  <c r="B3" i="298"/>
  <c r="B4" i="297"/>
  <c r="B3" i="297"/>
  <c r="B4" i="296"/>
  <c r="B3" i="296"/>
  <c r="B4" i="295"/>
  <c r="B3" i="295"/>
  <c r="B4" i="294"/>
  <c r="B3" i="294"/>
  <c r="B4" i="293"/>
  <c r="B3" i="293"/>
  <c r="B4" i="292"/>
  <c r="B3" i="292"/>
  <c r="B4" i="291"/>
  <c r="B3" i="291"/>
  <c r="B4" i="290"/>
  <c r="B3" i="290"/>
  <c r="B4" i="289"/>
  <c r="B3" i="289"/>
  <c r="B4" i="287"/>
  <c r="B3" i="287"/>
  <c r="B4" i="286"/>
  <c r="B3" i="286"/>
  <c r="B4" i="285"/>
  <c r="B3" i="285"/>
  <c r="B4" i="284"/>
  <c r="B3" i="284"/>
  <c r="B4" i="283"/>
  <c r="B3" i="283"/>
  <c r="B4" i="282"/>
  <c r="B3" i="282"/>
  <c r="B4" i="281"/>
  <c r="B3" i="281"/>
  <c r="B4" i="280"/>
  <c r="B3" i="280"/>
  <c r="B4" i="279"/>
  <c r="B3" i="279"/>
  <c r="B4" i="278"/>
  <c r="B3" i="278"/>
  <c r="B4" i="277"/>
  <c r="B3" i="277"/>
  <c r="B4" i="276"/>
  <c r="B3" i="276"/>
  <c r="B4" i="275"/>
  <c r="B3" i="275"/>
  <c r="B4" i="274"/>
  <c r="B3" i="274"/>
  <c r="B4" i="273"/>
  <c r="B3" i="273"/>
  <c r="B4" i="272"/>
  <c r="B3" i="272"/>
  <c r="B4" i="271"/>
  <c r="B3" i="271"/>
  <c r="B4" i="270"/>
  <c r="B3" i="270"/>
  <c r="B4" i="269"/>
  <c r="B3" i="269"/>
  <c r="B4" i="268"/>
  <c r="B3" i="268"/>
  <c r="B4" i="267"/>
  <c r="B3" i="267"/>
  <c r="B4" i="266"/>
  <c r="B3" i="266"/>
  <c r="B4" i="265"/>
  <c r="B3" i="265"/>
  <c r="B4" i="264"/>
  <c r="B3" i="264"/>
  <c r="B4" i="263"/>
  <c r="B3" i="263"/>
  <c r="B4" i="261"/>
  <c r="B3" i="261"/>
  <c r="B4" i="260"/>
  <c r="B3" i="260"/>
  <c r="B4" i="259"/>
  <c r="B3" i="259"/>
  <c r="B4" i="258"/>
  <c r="B3" i="258"/>
  <c r="B4" i="257"/>
  <c r="B3" i="257"/>
  <c r="B4" i="256"/>
  <c r="B3" i="256"/>
  <c r="B4" i="255"/>
  <c r="B3" i="255"/>
  <c r="B4" i="254"/>
  <c r="B3" i="254"/>
  <c r="B4" i="253"/>
  <c r="B3" i="253"/>
  <c r="B4" i="252"/>
  <c r="B3" i="252"/>
  <c r="B4" i="251"/>
  <c r="B3" i="251"/>
  <c r="B4" i="250"/>
  <c r="B3" i="250"/>
  <c r="B4" i="249"/>
  <c r="B3" i="249"/>
  <c r="B4" i="248"/>
  <c r="B3" i="248"/>
  <c r="B4" i="247"/>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4"/>
  <c r="B3" i="234"/>
  <c r="B4" i="233"/>
  <c r="B3" i="233"/>
  <c r="B4" i="232"/>
  <c r="B3" i="232"/>
  <c r="B4" i="231"/>
  <c r="B3" i="231"/>
  <c r="B4" i="230"/>
  <c r="B3" i="230"/>
  <c r="B4" i="229"/>
  <c r="B3" i="229"/>
  <c r="B4" i="228"/>
  <c r="B3" i="228"/>
  <c r="B4" i="227"/>
  <c r="B3" i="227"/>
  <c r="B4" i="226"/>
  <c r="B3" i="226"/>
  <c r="B4" i="225"/>
  <c r="B3" i="225"/>
  <c r="B4" i="224"/>
  <c r="B3" i="224"/>
  <c r="B4" i="223"/>
  <c r="B3" i="223"/>
  <c r="B4" i="222"/>
  <c r="B3" i="222"/>
  <c r="B4" i="221"/>
  <c r="B3" i="221"/>
  <c r="B4" i="220"/>
  <c r="B3" i="220"/>
  <c r="B4" i="219"/>
  <c r="B3" i="219"/>
  <c r="B4" i="218"/>
  <c r="B3" i="218"/>
  <c r="B4" i="217"/>
  <c r="B3" i="217"/>
  <c r="B4" i="216"/>
  <c r="B3" i="216"/>
  <c r="B4" i="215"/>
  <c r="B3" i="215"/>
  <c r="B4" i="214"/>
  <c r="B3" i="214"/>
  <c r="B4" i="213"/>
  <c r="B3" i="213"/>
  <c r="B4" i="212"/>
  <c r="B3" i="212"/>
  <c r="B4" i="211"/>
  <c r="B3" i="211"/>
  <c r="B4" i="210"/>
  <c r="B3" i="210"/>
  <c r="B4" i="209"/>
  <c r="B3" i="209"/>
  <c r="B4" i="208"/>
  <c r="B3" i="208"/>
  <c r="B4" i="207"/>
  <c r="B3" i="207"/>
  <c r="B4" i="206"/>
  <c r="B3" i="206"/>
  <c r="B4" i="205"/>
  <c r="B3" i="205"/>
  <c r="B4" i="204"/>
  <c r="B3" i="204"/>
  <c r="B4" i="203"/>
  <c r="B3" i="203"/>
  <c r="B4" i="202"/>
  <c r="B3" i="202"/>
  <c r="B4" i="201"/>
  <c r="B3" i="201"/>
  <c r="B4" i="200"/>
  <c r="B3" i="200"/>
  <c r="B4" i="199"/>
  <c r="B3" i="199"/>
  <c r="B4" i="198"/>
  <c r="B3" i="198"/>
  <c r="B4" i="197"/>
  <c r="B3" i="197"/>
  <c r="B4" i="196"/>
  <c r="B3" i="196"/>
  <c r="B4" i="195"/>
  <c r="B3" i="195"/>
  <c r="B4" i="194"/>
  <c r="B3" i="194"/>
  <c r="B4" i="193"/>
  <c r="B3" i="193"/>
  <c r="B4" i="192"/>
  <c r="B3" i="192"/>
  <c r="B4" i="191"/>
  <c r="B3" i="191"/>
  <c r="B4" i="190"/>
  <c r="B3" i="190"/>
  <c r="B4" i="189"/>
  <c r="B3" i="189"/>
  <c r="B4" i="188"/>
  <c r="B3" i="188"/>
  <c r="B4" i="187"/>
  <c r="B3" i="187"/>
  <c r="B4" i="186"/>
  <c r="B3" i="186"/>
  <c r="B4" i="185"/>
  <c r="B3" i="185"/>
  <c r="B4" i="184"/>
  <c r="B3" i="184"/>
  <c r="B4" i="183"/>
  <c r="B3" i="183"/>
  <c r="B4" i="182"/>
  <c r="B3" i="182"/>
  <c r="B4" i="181"/>
  <c r="B3" i="181"/>
  <c r="B4" i="180"/>
  <c r="B3" i="180"/>
  <c r="B4" i="179"/>
  <c r="B3" i="179"/>
  <c r="B4" i="178"/>
  <c r="B3" i="178"/>
  <c r="B4" i="177"/>
  <c r="B3" i="177"/>
  <c r="B4" i="176"/>
  <c r="B3" i="176"/>
  <c r="B4" i="175"/>
  <c r="B3" i="175"/>
  <c r="B4" i="174"/>
  <c r="B3" i="174"/>
  <c r="B4" i="173"/>
  <c r="B3" i="173"/>
  <c r="B4" i="172"/>
  <c r="B3" i="172"/>
  <c r="B4" i="171"/>
  <c r="B3" i="171"/>
  <c r="B4" i="170"/>
  <c r="B3" i="170"/>
  <c r="B4" i="169"/>
  <c r="B3" i="169"/>
  <c r="B4" i="168"/>
  <c r="B3" i="168"/>
  <c r="B4" i="167"/>
  <c r="B3" i="167"/>
  <c r="B4" i="166"/>
  <c r="B3" i="166"/>
  <c r="B4" i="165"/>
  <c r="B3" i="165"/>
  <c r="B4" i="164"/>
  <c r="B3" i="164"/>
  <c r="B4" i="163"/>
  <c r="B3" i="163"/>
  <c r="B4" i="162"/>
  <c r="B3" i="162"/>
  <c r="B4" i="161"/>
  <c r="B3" i="161"/>
  <c r="B4" i="160"/>
  <c r="B3" i="160"/>
  <c r="B4" i="159"/>
  <c r="B3" i="159"/>
  <c r="B4" i="158"/>
  <c r="B3" i="158"/>
  <c r="B4" i="157"/>
  <c r="B3" i="157"/>
  <c r="B4" i="156"/>
  <c r="B3" i="156"/>
  <c r="B4" i="155"/>
  <c r="B3" i="155"/>
  <c r="B4" i="154"/>
  <c r="B3" i="154"/>
  <c r="B4" i="153"/>
  <c r="B3" i="153"/>
  <c r="B4" i="152"/>
  <c r="B3" i="152"/>
  <c r="B4" i="151"/>
  <c r="B3" i="151"/>
  <c r="B4" i="150"/>
  <c r="B3" i="150"/>
  <c r="B4" i="149"/>
  <c r="B3" i="149"/>
  <c r="B4" i="148"/>
  <c r="B3" i="148"/>
  <c r="B4" i="147"/>
  <c r="B3" i="147"/>
  <c r="B4" i="146"/>
  <c r="B3" i="146"/>
  <c r="B4" i="145"/>
  <c r="B3" i="145"/>
  <c r="B4" i="144"/>
  <c r="B3" i="144"/>
  <c r="B4" i="143"/>
  <c r="B3" i="143"/>
  <c r="B4" i="142"/>
  <c r="B3" i="142"/>
  <c r="B4" i="141"/>
  <c r="B3" i="141"/>
  <c r="B4" i="140"/>
  <c r="B3" i="140"/>
  <c r="B4" i="139"/>
  <c r="B3" i="139"/>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13" i="105"/>
  <c r="B4" i="105"/>
  <c r="B3" i="105"/>
  <c r="B13" i="104"/>
  <c r="B4" i="104"/>
  <c r="B3" i="104"/>
  <c r="B13" i="103"/>
  <c r="B4" i="103"/>
  <c r="B3" i="103"/>
  <c r="B13" i="102"/>
  <c r="B4" i="102"/>
  <c r="B3" i="102"/>
  <c r="B4" i="101"/>
  <c r="B3" i="101"/>
  <c r="B13" i="100"/>
  <c r="B4" i="100"/>
  <c r="B3" i="100"/>
  <c r="B4" i="99"/>
  <c r="B3" i="99"/>
  <c r="B4" i="98"/>
  <c r="B3" i="98"/>
  <c r="B4" i="97"/>
  <c r="B3" i="97"/>
  <c r="B13" i="96"/>
  <c r="B4" i="96"/>
  <c r="B3" i="96"/>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80"/>
  <c r="B3" i="80"/>
  <c r="B4" i="79"/>
  <c r="B3" i="79"/>
  <c r="B4" i="78"/>
  <c r="B3" i="78"/>
  <c r="B4" i="77"/>
  <c r="B3" i="77"/>
  <c r="B4" i="76"/>
  <c r="B3" i="76"/>
  <c r="B4" i="75"/>
  <c r="B3" i="75"/>
  <c r="B4" i="74"/>
  <c r="B3" i="74"/>
  <c r="B4" i="73"/>
  <c r="B3" i="73"/>
  <c r="B4" i="72"/>
  <c r="B3" i="72"/>
  <c r="B4" i="71"/>
  <c r="B3" i="71"/>
  <c r="B4" i="70"/>
  <c r="B3" i="70"/>
  <c r="B4" i="69"/>
  <c r="B3" i="69"/>
  <c r="B4" i="68"/>
  <c r="B3" i="68"/>
  <c r="B4" i="67"/>
  <c r="B3" i="67"/>
  <c r="B4" i="66"/>
  <c r="B3" i="66"/>
  <c r="B4" i="65"/>
  <c r="B3" i="65"/>
  <c r="B4" i="64"/>
  <c r="B3" i="64"/>
  <c r="B4" i="63"/>
  <c r="B3" i="63"/>
  <c r="B4" i="62"/>
  <c r="B3" i="62"/>
  <c r="B4" i="61"/>
  <c r="B3" i="61"/>
  <c r="B4" i="60"/>
  <c r="B3" i="60"/>
  <c r="B4" i="59"/>
  <c r="B3" i="59"/>
  <c r="B4" i="58"/>
  <c r="B3" i="58"/>
  <c r="B4" i="57"/>
  <c r="B3" i="57"/>
  <c r="B4" i="56"/>
  <c r="B3" i="56"/>
  <c r="B4" i="55"/>
  <c r="B3" i="55"/>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0"/>
  <c r="B3" i="20"/>
  <c r="B4" i="19"/>
  <c r="B3" i="19"/>
  <c r="B4" i="18"/>
  <c r="B3" i="18"/>
  <c r="B4" i="17"/>
  <c r="B3" i="17"/>
  <c r="B4" i="16"/>
  <c r="B3" i="16"/>
  <c r="B4" i="15"/>
  <c r="B3" i="15"/>
  <c r="B4" i="14"/>
  <c r="B3" i="14"/>
  <c r="B4" i="13"/>
  <c r="B3" i="13"/>
  <c r="B4" i="12"/>
  <c r="B3" i="12"/>
  <c r="B4" i="11"/>
  <c r="B3" i="11"/>
  <c r="B4" i="10"/>
  <c r="B3" i="10"/>
  <c r="B4" i="9"/>
  <c r="B3" i="9"/>
  <c r="B4" i="8"/>
  <c r="B3" i="8"/>
  <c r="B4" i="7"/>
  <c r="B3" i="7"/>
  <c r="B4" i="6"/>
  <c r="B3" i="6"/>
  <c r="B4" i="5"/>
  <c r="B3" i="5"/>
  <c r="B4" i="4"/>
  <c r="B3" i="4"/>
  <c r="B4" i="3"/>
  <c r="B3" i="3"/>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B4" i="54" s="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<sst xmlns="http://schemas.openxmlformats.org/spreadsheetml/2006/main" count="17091" uniqueCount="2360">
  <si>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</si>
  <si>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</si>
  <si>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</si>
  <si>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</si>
  <si>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</si>
  <si>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</si>
  <si>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</si>
  <si>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</si>
  <si>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</si>
  <si>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</si>
  <si>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</si>
  <si>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</si>
  <si>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</si>
  <si>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</si>
  <si>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</si>
  <si>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</si>
  <si>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</si>
  <si>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</si>
  <si>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</si>
  <si>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</si>
  <si>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</si>
  <si>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</si>
  <si>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</si>
  <si>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</si>
  <si>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</si>
  <si>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</si>
  <si>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</si>
  <si>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</si>
  <si>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</si>
  <si>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</si>
  <si>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</si>
  <si>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</si>
  <si>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</si>
  <si>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</si>
  <si>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</si>
  <si>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</si>
  <si>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</si>
  <si>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</si>
  <si>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</si>
  <si>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</si>
  <si>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</si>
  <si>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</si>
  <si>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</si>
  <si>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</si>
  <si>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</si>
  <si>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</si>
  <si>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</si>
  <si>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</si>
  <si>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</si>
  <si>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</si>
  <si>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</si>
  <si>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</si>
  <si>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</si>
  <si>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</si>
  <si>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</si>
  <si>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</si>
  <si>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</si>
  <si>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</si>
  <si>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</si>
  <si>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</si>
  <si>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</si>
  <si>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</si>
  <si>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</si>
  <si>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</si>
  <si>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</si>
  <si>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</si>
  <si>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</si>
  <si>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</si>
  <si>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</si>
  <si>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</si>
  <si>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</si>
  <si>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</si>
  <si>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</si>
  <si>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</si>
  <si>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</si>
  <si>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</si>
  <si>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</si>
  <si>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</si>
  <si>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</si>
  <si>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</si>
  <si>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</si>
  <si>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</si>
  <si>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</si>
  <si>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</si>
  <si>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</si>
  <si>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</si>
  <si>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</si>
  <si>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</si>
  <si>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</si>
  <si>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</si>
  <si>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</si>
  <si>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</si>
  <si>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</si>
  <si>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</si>
  <si>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</si>
  <si>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</si>
  <si>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</si>
  <si>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</si>
  <si>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</si>
  <si>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</si>
  <si>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</si>
  <si>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</si>
  <si>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</si>
  <si>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</si>
  <si>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</si>
  <si>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</si>
  <si>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</si>
  <si>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</si>
  <si>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</si>
  <si>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</si>
  <si>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</si>
  <si>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tbl-uninsured-rande</t>
  </si>
  <si>
    <t>T20</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</si>
  <si>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</si>
  <si>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</si>
  <si>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</si>
  <si>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</si>
  <si>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</si>
  <si>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</si>
  <si>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</si>
  <si>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</si>
  <si>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</si>
  <si>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</si>
  <si>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</si>
  <si>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</si>
  <si>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</si>
  <si>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</si>
  <si>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</si>
  <si>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</si>
  <si>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</si>
  <si>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</si>
  <si>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</si>
  <si>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</si>
  <si>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</si>
  <si>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</si>
  <si>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</si>
  <si>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</si>
  <si>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</si>
  <si>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</si>
  <si>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</si>
  <si>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</si>
  <si>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</si>
  <si>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</si>
  <si>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</si>
  <si>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</si>
  <si>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</si>
  <si>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</si>
  <si>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</si>
  <si>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</si>
  <si>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</si>
  <si>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</si>
  <si>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</si>
  <si>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</si>
  <si>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</si>
  <si>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</si>
  <si>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</si>
  <si>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</si>
  <si>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</si>
  <si>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</si>
  <si>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</si>
  <si>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</si>
  <si>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</si>
  <si>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</si>
  <si>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</si>
  <si>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</si>
  <si>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</si>
  <si>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</si>
  <si>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</si>
  <si>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</si>
  <si>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</si>
  <si>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</si>
  <si>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</si>
  <si>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</si>
  <si>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</si>
  <si>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</si>
  <si>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</si>
  <si>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</si>
  <si>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</si>
  <si>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</si>
  <si>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</si>
  <si>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</si>
  <si>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</si>
  <si>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</si>
  <si>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</si>
  <si>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</si>
  <si>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</si>
  <si>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</si>
  <si>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</si>
  <si>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</si>
  <si>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</si>
  <si>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</si>
  <si>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</si>
  <si>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</si>
  <si>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</si>
  <si>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</si>
  <si>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</si>
  <si>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</si>
  <si>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</si>
  <si>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</si>
  <si>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</si>
  <si>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</si>
  <si>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</si>
  <si>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</si>
  <si>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</si>
  <si>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</si>
  <si>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</si>
  <si>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</si>
  <si>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</si>
  <si>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</si>
  <si>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</si>
  <si>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</si>
  <si>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</si>
  <si>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</si>
  <si>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</si>
  <si>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</si>
  <si>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</si>
  <si>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</si>
  <si>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</si>
  <si>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</si>
  <si>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</si>
  <si>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</si>
  <si>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</si>
  <si>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</si>
  <si>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</si>
  <si>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</si>
  <si>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</si>
  <si>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</si>
  <si>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</si>
  <si>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</si>
  <si>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</si>
  <si>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</si>
  <si>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</si>
  <si>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</si>
  <si>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</si>
  <si>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</si>
  <si>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</si>
  <si>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</si>
  <si>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</si>
  <si>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</si>
  <si>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</si>
  <si>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</si>
  <si>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</si>
  <si>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</si>
  <si>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</si>
  <si>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</si>
  <si>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</si>
  <si>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</si>
  <si>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</si>
  <si>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</si>
  <si>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</si>
  <si>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</si>
  <si>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</si>
  <si>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</si>
  <si>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</si>
  <si>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</si>
  <si>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</si>
  <si>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</si>
  <si>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</si>
  <si>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</si>
  <si>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</si>
  <si>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</si>
  <si>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</si>
  <si>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</si>
  <si>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</si>
  <si>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</si>
  <si>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</si>
  <si>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</si>
  <si>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</si>
  <si>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</si>
  <si>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</si>
  <si>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</si>
  <si>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</si>
  <si>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</si>
  <si>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</si>
  <si>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</si>
  <si>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</si>
  <si>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</si>
  <si>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</si>
  <si>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</si>
  <si>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</si>
  <si>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</si>
  <si>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</si>
  <si>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</si>
  <si>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</si>
  <si>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</si>
  <si>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</si>
  <si>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</si>
  <si>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</si>
  <si>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</si>
  <si>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</si>
  <si>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</si>
  <si>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</si>
  <si>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</si>
  <si>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</si>
  <si>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</si>
  <si>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</si>
  <si>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</si>
  <si>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</si>
  <si>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</si>
  <si>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</si>
  <si>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</si>
  <si>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</si>
  <si>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</si>
  <si>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</si>
  <si>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</si>
  <si>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</si>
  <si>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</si>
  <si>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</si>
  <si>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</si>
  <si>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</si>
  <si>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</si>
  <si>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</si>
  <si>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</si>
  <si>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</si>
  <si>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</si>
  <si>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</si>
  <si>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</si>
  <si>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</si>
  <si>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</si>
  <si>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</si>
  <si>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</si>
  <si>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</si>
  <si>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</si>
  <si>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</si>
  <si>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</si>
  <si>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</si>
  <si>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</si>
  <si>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</si>
  <si>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</si>
  <si>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</si>
  <si>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</si>
  <si>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</si>
  <si>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</si>
  <si>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</si>
  <si>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</si>
  <si>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</si>
  <si>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</si>
  <si>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</si>
  <si>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</si>
  <si>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</si>
  <si>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</si>
  <si>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</si>
  <si>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</si>
  <si>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</si>
  <si>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</si>
  <si>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</si>
  <si>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</si>
  <si>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</si>
  <si>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</si>
  <si>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</si>
  <si>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</si>
  <si>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</si>
  <si>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</si>
  <si>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</si>
  <si>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</si>
  <si>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</si>
  <si>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</si>
  <si>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</si>
  <si>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</si>
  <si>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</si>
  <si>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</si>
  <si>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</si>
  <si>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</si>
  <si>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</si>
  <si>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</si>
  <si>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</si>
  <si>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</si>
  <si>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</si>
  <si>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</si>
  <si>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</si>
  <si>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</si>
  <si>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</si>
  <si>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</si>
  <si>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</si>
  <si>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</si>
  <si>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</si>
  <si>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</si>
  <si>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</si>
  <si>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</si>
  <si>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</si>
  <si>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</si>
  <si>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</si>
  <si>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</si>
  <si>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</si>
  <si>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</si>
  <si>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</si>
  <si>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</si>
  <si>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</si>
  <si>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</si>
  <si>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</si>
  <si>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</si>
  <si>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</si>
  <si>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</si>
  <si>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</si>
  <si>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</si>
  <si>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</si>
  <si>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</si>
  <si>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</si>
  <si>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</si>
  <si>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</si>
  <si>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</si>
  <si>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</si>
  <si>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</si>
  <si>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</si>
  <si>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</si>
  <si>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</si>
  <si>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</si>
  <si>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</si>
  <si>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</si>
  <si>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</si>
  <si>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</si>
  <si>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</si>
  <si>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</si>
  <si>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</si>
  <si>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</si>
  <si>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</si>
  <si>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</si>
  <si>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</si>
  <si>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</si>
  <si>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</si>
  <si>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</si>
  <si>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</si>
  <si>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</si>
  <si>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</si>
  <si>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</si>
  <si>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</si>
  <si>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</si>
  <si>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</si>
  <si>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</si>
  <si>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</si>
  <si>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</si>
  <si>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</si>
  <si>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</si>
  <si>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</si>
  <si>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</si>
  <si>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</si>
  <si>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</si>
  <si>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</si>
  <si>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</si>
  <si>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</si>
  <si>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</si>
  <si>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</si>
  <si>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</si>
  <si>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</si>
  <si>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</si>
  <si>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</si>
  <si>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</si>
  <si>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</si>
  <si>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</si>
  <si>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</si>
  <si>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</si>
  <si>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</si>
  <si>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</si>
  <si>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</si>
  <si>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</si>
  <si>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</si>
  <si>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</si>
  <si>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</si>
  <si>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</si>
  <si>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</si>
  <si>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</si>
  <si>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</si>
  <si>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</si>
  <si>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</si>
  <si>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</si>
  <si>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</si>
  <si>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</si>
  <si>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</si>
  <si>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</si>
  <si>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</si>
  <si>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</si>
  <si>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</si>
  <si>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</si>
  <si>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</si>
  <si>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</si>
  <si>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</si>
  <si>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</si>
  <si>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</si>
  <si>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</si>
  <si>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</si>
  <si>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</si>
  <si>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</si>
  <si>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</si>
  <si>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</si>
  <si>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</si>
  <si>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</si>
  <si>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</si>
  <si>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</si>
  <si>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</si>
  <si>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</si>
  <si>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</si>
  <si>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</si>
  <si>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</si>
  <si>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</si>
  <si>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</si>
  <si>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</si>
  <si>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</si>
  <si>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</si>
  <si>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</si>
  <si>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</si>
  <si>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</si>
  <si>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</si>
  <si>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</si>
  <si>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</si>
  <si>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</si>
  <si>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</si>
  <si>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</si>
  <si>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</si>
  <si>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</si>
  <si>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</si>
  <si>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</si>
  <si>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</si>
  <si>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</si>
  <si>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</si>
  <si>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</si>
  <si>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</si>
  <si>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</si>
  <si>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</si>
  <si>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</si>
  <si>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</si>
  <si>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</si>
  <si>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</si>
  <si>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</si>
  <si>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</si>
  <si>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</si>
  <si>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</si>
  <si>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</si>
  <si>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</si>
  <si>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</si>
  <si>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</si>
  <si>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</si>
  <si>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</si>
  <si>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</si>
  <si>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</si>
  <si>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</si>
  <si>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</si>
  <si>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</si>
  <si>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</si>
  <si>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</si>
  <si>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</si>
  <si>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</si>
  <si>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</si>
  <si>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</si>
  <si>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</si>
  <si>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</si>
  <si>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</si>
  <si>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</si>
  <si>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</si>
  <si>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</si>
  <si>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</si>
  <si>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</si>
  <si>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</si>
  <si>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</si>
  <si>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</si>
  <si>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</si>
  <si>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</si>
  <si>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</si>
  <si>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</si>
  <si>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</si>
  <si>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</si>
  <si>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</si>
  <si>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</si>
  <si>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</si>
  <si>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</si>
  <si>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</si>
  <si>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</si>
  <si>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</si>
  <si>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</si>
  <si>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</si>
  <si>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</si>
  <si>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</si>
  <si>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</si>
  <si>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</si>
  <si>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</si>
  <si>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</si>
  <si>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</si>
  <si>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</si>
  <si>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</si>
  <si>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</si>
  <si>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</si>
  <si>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</si>
  <si>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</si>
  <si>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</si>
  <si>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</si>
  <si>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</si>
  <si>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</si>
  <si>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</si>
  <si>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</si>
  <si>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</si>
  <si>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</si>
  <si>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</si>
  <si>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</si>
  <si>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</si>
  <si>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</si>
  <si>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</si>
  <si>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</si>
  <si>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</si>
  <si>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</si>
  <si>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</si>
  <si>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</si>
  <si>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</si>
  <si>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</si>
  <si>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</si>
  <si>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</si>
  <si>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</si>
  <si>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</si>
  <si>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</si>
  <si>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</si>
  <si>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</si>
  <si>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</si>
  <si>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</si>
  <si>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</si>
  <si>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</si>
  <si>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</si>
  <si>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</si>
  <si>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</si>
  <si>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</si>
  <si>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</si>
  <si>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</si>
  <si>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</si>
  <si>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</si>
  <si>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</si>
  <si>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</si>
  <si>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</si>
  <si>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</si>
  <si>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</si>
  <si>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</si>
  <si>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</si>
  <si>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</si>
  <si>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</si>
  <si>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</si>
  <si>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</si>
  <si>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</si>
  <si>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</si>
  <si>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</si>
  <si>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</si>
  <si>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</si>
  <si>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</si>
  <si>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</si>
  <si>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</si>
  <si>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</si>
  <si>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</si>
  <si>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</si>
  <si>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</si>
  <si>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</si>
  <si>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</si>
  <si>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</si>
  <si>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</si>
  <si>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</si>
  <si>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</si>
  <si>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</si>
  <si>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</si>
  <si>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</si>
  <si>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</si>
  <si>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</si>
  <si>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</si>
  <si>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</si>
  <si>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</si>
  <si>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</si>
  <si>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</si>
  <si>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</si>
  <si>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</si>
  <si>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</si>
  <si>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</si>
  <si>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</si>
  <si>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</si>
  <si>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</si>
  <si>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</si>
  <si>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</si>
  <si>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</si>
  <si>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</si>
  <si>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</si>
  <si>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</si>
  <si>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</si>
  <si>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</si>
  <si>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</si>
  <si>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</si>
  <si>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</si>
  <si>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</si>
  <si>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</si>
  <si>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</si>
  <si>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</si>
  <si>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</si>
  <si>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</si>
  <si>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</si>
  <si>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</si>
  <si>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</si>
  <si>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</si>
  <si>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</si>
  <si>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</si>
  <si>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</si>
  <si>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</si>
  <si>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</si>
  <si>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</si>
  <si>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</si>
  <si>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</si>
  <si>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</si>
  <si>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</si>
  <si>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</si>
  <si>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</si>
  <si>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</si>
  <si>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</si>
  <si>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</si>
  <si>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</si>
  <si>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</si>
  <si>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</si>
  <si>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</si>
  <si>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</si>
  <si>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</si>
  <si>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</si>
  <si>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</si>
  <si>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</si>
  <si>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</si>
  <si>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</si>
  <si>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</si>
  <si>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</si>
  <si>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</si>
  <si>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</si>
  <si>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</si>
  <si>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</si>
  <si>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</si>
  <si>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</si>
  <si>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</si>
  <si>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</si>
  <si>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</si>
  <si>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</si>
  <si>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</si>
  <si>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</si>
  <si>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</si>
  <si>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</si>
  <si>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</si>
  <si>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</si>
  <si>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</si>
  <si>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</si>
  <si>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</si>
  <si>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</si>
  <si>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</si>
  <si>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</si>
  <si>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</si>
  <si>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</si>
  <si>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</si>
  <si>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</si>
  <si>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</si>
  <si>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</si>
  <si>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</si>
  <si>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</si>
  <si>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</si>
  <si>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</si>
  <si>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</si>
  <si>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</si>
  <si>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</si>
  <si>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</si>
  <si>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</si>
  <si>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</si>
  <si>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</si>
  <si>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</si>
  <si>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</si>
  <si>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</si>
  <si>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</si>
  <si>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</si>
  <si>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</si>
  <si>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</si>
  <si>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</si>
  <si>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</si>
  <si>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</si>
  <si>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</si>
  <si>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</si>
  <si>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</si>
  <si>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</si>
  <si>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</si>
  <si>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</si>
  <si>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</si>
  <si>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</si>
  <si>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</si>
  <si>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</si>
  <si>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</si>
  <si>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</si>
  <si>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</si>
  <si>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</si>
  <si>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</si>
  <si>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</si>
  <si>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</si>
  <si>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</si>
  <si>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</si>
  <si>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</si>
  <si>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</si>
  <si>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</si>
  <si>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</si>
  <si>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</si>
  <si>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</si>
  <si>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</si>
  <si>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</si>
  <si>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</si>
  <si>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</si>
  <si>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</si>
  <si>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</si>
  <si>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</si>
  <si>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</si>
  <si>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</si>
  <si>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</si>
  <si>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</si>
  <si>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</si>
  <si>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</si>
  <si>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</si>
  <si>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</si>
  <si>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</si>
  <si>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</si>
  <si>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</si>
  <si>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</si>
  <si>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</si>
  <si>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</si>
  <si>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</si>
  <si>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tbl-siena-routine-physical</t>
  </si>
  <si>
    <t>F210</t>
  </si>
  <si>
    <t>Visit to Primary Care Physician for Routine  by Income, 2024</t>
  </si>
  <si>
    <t>tbl-siena-routine-physical-income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</si>
  <si>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</si>
  <si>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</si>
  <si>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</si>
  <si>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</si>
  <si>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</si>
  <si>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</si>
  <si>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</si>
  <si>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</si>
  <si>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</si>
  <si>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</si>
  <si>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</si>
  <si>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</si>
  <si>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</si>
  <si>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</si>
  <si>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</si>
  <si>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</si>
  <si>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</si>
  <si>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</si>
  <si>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</si>
  <si>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</si>
  <si>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</si>
  <si>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</si>
  <si>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</si>
  <si>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</si>
  <si>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</si>
  <si>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</si>
  <si>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</si>
  <si>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</si>
  <si>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</si>
  <si>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</si>
  <si>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</si>
  <si>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</si>
  <si>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</si>
  <si>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</si>
  <si>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</si>
  <si>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</si>
  <si>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</si>
  <si>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</si>
  <si>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</si>
  <si>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</si>
  <si>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</si>
  <si>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</si>
  <si>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</si>
  <si>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</si>
  <si>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</si>
  <si>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</si>
  <si>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</si>
  <si>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</si>
  <si>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</si>
  <si>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</si>
  <si>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</si>
  <si>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</si>
  <si>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</si>
  <si>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</si>
  <si>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</si>
  <si>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</si>
  <si>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</si>
  <si>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</si>
  <si>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</si>
  <si>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</si>
  <si>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</si>
  <si>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</si>
  <si>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</si>
  <si>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</si>
  <si>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</si>
  <si>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</si>
  <si>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</si>
  <si>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</si>
  <si>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</si>
  <si>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</si>
  <si>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</si>
  <si>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</si>
  <si>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</si>
  <si>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</si>
  <si>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</si>
  <si>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</si>
  <si>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</si>
  <si>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</si>
  <si>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</si>
  <si>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</si>
  <si>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</si>
  <si>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</si>
  <si>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</si>
  <si>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</si>
  <si>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</si>
  <si>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</si>
  <si>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</si>
  <si>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</si>
  <si>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</si>
  <si>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</si>
  <si>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</si>
  <si>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</si>
  <si>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</si>
  <si>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</si>
  <si>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</si>
  <si>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</si>
  <si>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</si>
  <si>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</si>
  <si>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</si>
  <si>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</si>
  <si>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</si>
  <si>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</si>
  <si>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</si>
  <si>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</si>
  <si>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</si>
  <si>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</si>
  <si>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</si>
  <si>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</si>
  <si>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</si>
  <si>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</si>
  <si>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</si>
  <si>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</si>
  <si>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</si>
  <si>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</si>
  <si>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</si>
  <si>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</si>
  <si>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</si>
  <si>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</si>
  <si>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</si>
  <si>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</si>
  <si>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</si>
  <si>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</si>
  <si>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</si>
  <si>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</si>
  <si>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</si>
  <si>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</si>
  <si>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</si>
  <si>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</si>
  <si>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</si>
  <si>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</si>
  <si>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</si>
  <si>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</si>
  <si>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</si>
  <si>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</si>
  <si>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</si>
  <si>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</si>
  <si>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</si>
  <si>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</si>
  <si>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</si>
  <si>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</si>
  <si>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</si>
  <si>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</si>
  <si>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</si>
  <si>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</si>
  <si>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</si>
  <si>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</si>
  <si>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</si>
  <si>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</si>
  <si>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</si>
  <si>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</si>
  <si>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</si>
  <si>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</si>
  <si>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</si>
  <si>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</si>
  <si>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</si>
  <si>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</si>
  <si>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</si>
  <si>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</si>
  <si>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</si>
  <si>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</si>
  <si>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</si>
  <si>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</si>
  <si>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</si>
  <si>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</si>
  <si>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</si>
  <si>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</si>
  <si>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</si>
  <si>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</si>
  <si>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</si>
  <si>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</si>
  <si>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</si>
  <si>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</si>
  <si>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</si>
  <si>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</si>
  <si>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</si>
  <si>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</si>
  <si>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</si>
  <si>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</si>
  <si>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</si>
  <si>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</si>
  <si>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</si>
  <si>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</si>
  <si>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</si>
  <si>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</si>
  <si>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</si>
  <si>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</si>
  <si>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</si>
  <si>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</si>
  <si>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</si>
  <si>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</si>
  <si>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</si>
  <si>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</si>
  <si>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</si>
  <si>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</si>
  <si>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</si>
  <si>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</si>
  <si>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</si>
  <si>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</si>
  <si>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</si>
  <si>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</si>
  <si>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</si>
  <si>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</si>
  <si>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</si>
  <si>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</si>
  <si>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</si>
  <si>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</si>
  <si>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</si>
  <si>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</si>
  <si>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</si>
  <si>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</si>
  <si>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</si>
  <si>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</si>
  <si>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</si>
  <si>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</si>
  <si>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</si>
  <si>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</si>
  <si>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</si>
  <si>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</si>
  <si>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</si>
  <si>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</si>
  <si>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</si>
  <si>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</si>
  <si>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</si>
  <si>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</si>
  <si>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</si>
  <si>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</si>
  <si>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</si>
  <si>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</si>
  <si>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</si>
  <si>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</si>
  <si>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</si>
  <si>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</si>
  <si>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</si>
  <si>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</si>
  <si>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</si>
  <si>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</si>
  <si>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</si>
  <si>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</si>
  <si>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</si>
  <si>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</si>
  <si>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</si>
  <si>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</si>
  <si>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</si>
  <si>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</si>
  <si>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</si>
  <si>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</si>
  <si>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</si>
  <si>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</si>
  <si>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</si>
  <si>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</si>
  <si>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</si>
  <si>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</si>
  <si>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</si>
  <si>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</si>
  <si>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</si>
  <si>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</si>
  <si>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</si>
  <si>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</si>
  <si>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</si>
  <si>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</si>
  <si>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</si>
  <si>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</si>
  <si>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</si>
  <si>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</si>
  <si>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</si>
  <si>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</si>
  <si>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</si>
  <si>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</si>
  <si>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</si>
  <si>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</si>
  <si>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</si>
  <si>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</si>
  <si>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</si>
  <si>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</si>
  <si>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 xml:space="preserve"> 0-17 year</t>
  </si>
  <si>
    <t>18-24 years</t>
  </si>
  <si>
    <t>25-64 years</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</si>
  <si>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</si>
  <si>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</si>
  <si>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</si>
  <si>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</si>
  <si>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</si>
  <si>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</si>
  <si>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</si>
  <si>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</si>
  <si>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</si>
  <si>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</si>
  <si>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</si>
  <si>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</si>
  <si>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</si>
  <si>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</si>
  <si>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</si>
  <si>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</si>
  <si>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</si>
  <si>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</si>
  <si>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</si>
  <si>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</si>
  <si>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</si>
  <si>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</si>
  <si>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</si>
  <si>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</si>
  <si>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</si>
  <si>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</si>
  <si>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</si>
  <si>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</si>
  <si>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</si>
  <si>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</si>
  <si>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</si>
  <si>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</si>
  <si>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</si>
  <si>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</si>
  <si>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</si>
  <si>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</si>
  <si>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</si>
  <si>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</si>
  <si>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</si>
  <si>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</si>
  <si>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</si>
  <si>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</si>
  <si>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</si>
  <si>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</si>
  <si>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</si>
  <si>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</si>
  <si>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</si>
  <si>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</si>
  <si>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</si>
  <si>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</si>
  <si>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</si>
  <si>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</si>
  <si>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</si>
  <si>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</si>
  <si>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</si>
  <si>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</si>
  <si>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</si>
  <si>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</si>
  <si>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</si>
  <si>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</si>
  <si>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</si>
  <si>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</si>
  <si>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</si>
  <si>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</si>
  <si>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</si>
  <si>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</si>
  <si>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</si>
  <si>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</si>
  <si>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</si>
  <si>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</si>
  <si>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</si>
  <si>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</si>
  <si>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</si>
  <si>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</si>
  <si>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</si>
  <si>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</si>
  <si>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</si>
  <si>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</si>
  <si>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</si>
  <si>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</si>
  <si>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</si>
  <si>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</si>
  <si>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</si>
  <si>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</si>
  <si>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</si>
  <si>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</si>
  <si>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</si>
  <si>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</si>
  <si>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</si>
  <si>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</si>
  <si>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</si>
  <si>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</si>
  <si>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</si>
  <si>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</si>
  <si>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</si>
  <si>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</si>
  <si>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</si>
  <si>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</si>
  <si>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</si>
  <si>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</si>
  <si>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</si>
  <si>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</si>
  <si>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</si>
  <si>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</si>
  <si>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</si>
  <si>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</si>
  <si>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</si>
  <si>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</si>
  <si>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</si>
  <si>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</si>
  <si>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</si>
  <si>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</si>
  <si>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</si>
  <si>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</si>
  <si>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</si>
  <si>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</si>
  <si>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</si>
  <si>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</si>
  <si>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</si>
  <si>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</si>
  <si>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</si>
  <si>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</si>
  <si>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</si>
  <si>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</si>
  <si>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</si>
  <si>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</si>
  <si>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</si>
  <si>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</si>
  <si>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</si>
  <si>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</si>
  <si>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</si>
  <si>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</si>
  <si>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</si>
  <si>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</si>
  <si>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</si>
  <si>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</si>
  <si>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</si>
  <si>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</si>
  <si>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</si>
  <si>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</si>
  <si>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</si>
  <si>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</si>
  <si>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</si>
  <si>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</si>
  <si>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</si>
  <si>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</si>
  <si>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</si>
  <si>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</si>
  <si>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</si>
  <si>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</si>
  <si>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</si>
  <si>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</si>
  <si>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</si>
  <si>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</si>
  <si>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</si>
  <si>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</si>
  <si>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</si>
  <si>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</si>
  <si>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</si>
  <si>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</si>
  <si>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</si>
  <si>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</si>
  <si>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</si>
  <si>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</si>
  <si>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</si>
  <si>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</si>
  <si>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</si>
  <si>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</si>
  <si>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</si>
  <si>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</si>
  <si>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</si>
  <si>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</si>
  <si>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</si>
  <si>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</si>
  <si>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</si>
  <si>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</si>
  <si>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</si>
  <si>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</si>
  <si>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</si>
  <si>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</si>
  <si>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</si>
  <si>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</si>
  <si>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</si>
  <si>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</si>
  <si>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</si>
  <si>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</si>
  <si>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</si>
  <si>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</si>
  <si>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</si>
  <si>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</si>
  <si>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</si>
  <si>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</si>
  <si>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</si>
  <si>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</si>
  <si>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</si>
  <si>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</si>
  <si>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</si>
  <si>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</si>
  <si>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</si>
  <si>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</si>
  <si>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</si>
  <si>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</si>
  <si>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</si>
  <si>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</si>
  <si>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</si>
  <si>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</si>
  <si>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</si>
  <si>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</si>
  <si>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</si>
  <si>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</si>
  <si>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</si>
  <si>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</si>
  <si>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</si>
  <si>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</si>
  <si>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</si>
  <si>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</si>
  <si>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</si>
  <si>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</si>
  <si>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</si>
  <si>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</si>
  <si>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</si>
  <si>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</si>
  <si>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</si>
  <si>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</si>
  <si>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</si>
  <si>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</si>
  <si>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</si>
  <si>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</si>
  <si>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</si>
  <si>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</si>
  <si>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</si>
  <si>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</si>
  <si>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</si>
  <si>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</si>
  <si>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</si>
  <si>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</si>
  <si>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</si>
  <si>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</si>
  <si>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</si>
  <si>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</si>
  <si>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</si>
  <si>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</si>
  <si>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</si>
  <si>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</si>
  <si>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</si>
  <si>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</si>
  <si>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</si>
  <si>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</si>
  <si>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</si>
  <si>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</si>
  <si>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</si>
  <si>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</si>
  <si>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</si>
  <si>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</si>
  <si>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</si>
  <si>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</si>
  <si>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</si>
  <si>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</si>
  <si>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</si>
  <si>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</si>
  <si>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</si>
  <si>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</si>
  <si>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</si>
  <si>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</si>
  <si>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</si>
  <si>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</si>
  <si>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</si>
  <si>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</si>
  <si>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</si>
  <si>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</si>
  <si>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</si>
  <si>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</si>
  <si>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</si>
  <si>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</si>
  <si>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</si>
  <si>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</si>
  <si>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</si>
  <si>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</si>
  <si>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</si>
  <si>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</si>
  <si>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</si>
  <si>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</si>
  <si>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</si>
  <si>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</si>
  <si>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</si>
  <si>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</si>
  <si>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</si>
  <si>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</si>
  <si>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</si>
  <si>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</si>
  <si>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</si>
  <si>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</si>
  <si>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</si>
  <si>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</si>
  <si>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</si>
  <si>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</si>
  <si>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</si>
  <si>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</si>
  <si>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</si>
  <si>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</si>
  <si>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</si>
  <si>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</si>
  <si>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</si>
  <si>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</si>
  <si>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</si>
  <si>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</si>
  <si>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</si>
  <si>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</si>
  <si>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</si>
  <si>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</si>
  <si>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</si>
  <si>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</si>
  <si>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</si>
  <si>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</si>
  <si>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</si>
  <si>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</si>
  <si>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</si>
  <si>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</si>
  <si>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</si>
  <si>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</si>
  <si>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</si>
  <si>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</si>
  <si>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</si>
  <si>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</si>
  <si>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</si>
  <si>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</si>
  <si>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</si>
  <si>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</si>
  <si>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</si>
  <si>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</si>
  <si>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</si>
  <si>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</si>
  <si>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</si>
  <si>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</si>
  <si>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</si>
  <si>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</si>
  <si>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</si>
  <si>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</si>
  <si>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</si>
  <si>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</si>
  <si>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</si>
  <si>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</si>
  <si>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</si>
  <si>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</si>
  <si>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</si>
  <si>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</si>
  <si>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</si>
  <si>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</si>
  <si>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</si>
  <si>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</si>
  <si>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</si>
  <si>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</si>
  <si>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</si>
  <si>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</si>
  <si>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</si>
  <si>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</si>
  <si>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</si>
  <si>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</si>
  <si>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</si>
  <si>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</si>
  <si>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</si>
  <si>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</si>
  <si>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</si>
  <si>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</si>
  <si>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</si>
  <si>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</si>
  <si>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</si>
  <si>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</si>
  <si>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</si>
  <si>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</si>
  <si>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</si>
  <si>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</si>
  <si>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</si>
  <si>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</si>
  <si>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</si>
  <si>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</si>
  <si>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</si>
  <si>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</si>
  <si>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</si>
  <si>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</si>
  <si>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</si>
  <si>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</si>
  <si>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</si>
  <si>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</si>
  <si>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</si>
  <si>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</si>
  <si>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</si>
  <si>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</si>
  <si>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</si>
  <si>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</si>
  <si>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</si>
  <si>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</si>
  <si>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</si>
  <si>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</si>
  <si>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</si>
  <si>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</si>
  <si>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</si>
  <si>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</si>
  <si>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</si>
  <si>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</si>
  <si>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</si>
  <si>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</si>
  <si>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</si>
  <si>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</si>
  <si>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</si>
  <si>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</si>
  <si>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</si>
  <si>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</si>
  <si>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</si>
  <si>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</si>
  <si>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</si>
  <si>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</si>
  <si>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</si>
  <si>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</si>
  <si>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</si>
  <si>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</si>
  <si>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</si>
  <si>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</si>
  <si>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</si>
  <si>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</si>
  <si>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</si>
  <si>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</si>
  <si>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</si>
  <si>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</si>
  <si>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</si>
  <si>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</si>
  <si>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</si>
  <si>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</si>
  <si>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</si>
  <si>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</si>
  <si>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</si>
  <si>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</si>
  <si>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</si>
  <si>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</si>
  <si>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</si>
  <si>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</si>
  <si>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</si>
  <si>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</si>
  <si>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</si>
  <si>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</si>
  <si>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</si>
  <si>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</si>
  <si>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</si>
  <si>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</si>
  <si>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</si>
  <si>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</si>
  <si>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</si>
  <si>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</si>
  <si>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</si>
  <si>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</si>
  <si>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</si>
  <si>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</si>
  <si>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</si>
  <si>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</si>
  <si>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</si>
  <si>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</si>
  <si>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</si>
  <si>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</si>
  <si>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</si>
  <si>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</si>
  <si>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</si>
  <si>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</si>
  <si>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</si>
  <si>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</si>
  <si>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</si>
  <si>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</si>
  <si>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</si>
  <si>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</si>
  <si>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</si>
  <si>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</si>
  <si>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</si>
  <si>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</si>
  <si>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</si>
  <si>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</si>
  <si>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</si>
  <si>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</si>
  <si>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</si>
  <si>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</si>
  <si>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</si>
  <si>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</si>
  <si>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</si>
  <si>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</si>
  <si>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</si>
  <si>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</si>
  <si>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</si>
  <si>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</si>
  <si>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</si>
  <si>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</si>
  <si>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</si>
  <si>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</si>
  <si>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</si>
  <si>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</si>
  <si>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</si>
  <si>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</si>
  <si>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</si>
  <si>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</si>
  <si>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</si>
  <si>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Source: NYS Education Department, November 2025 https://data.nysed.gov/enrollment.php?county=44&amp;year=2024&amp;ethnicity%5B%5D=I&amp;ethnicity%5B%5D=B&amp;ethnicity%5B%5D=H&amp;et hnicity%5B%5D=AP&amp;ethnicity%5B%5D=W&amp;ethnicity%5B%5D=M</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</si>
  <si>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</si>
  <si>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</si>
  <si>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</si>
  <si>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</si>
  <si>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</si>
  <si>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</si>
  <si>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</si>
  <si>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</si>
  <si>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</si>
  <si>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</si>
  <si>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</si>
  <si>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</si>
  <si>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</si>
  <si>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</si>
  <si>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</si>
  <si>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</si>
  <si>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</si>
  <si>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</si>
  <si>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</si>
  <si>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</si>
  <si>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</si>
  <si>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</si>
  <si>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</si>
  <si>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</si>
  <si>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</si>
  <si>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</si>
  <si>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</si>
  <si>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</si>
  <si>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</si>
  <si>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</si>
  <si>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</si>
  <si>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</si>
  <si>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</si>
  <si>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</si>
  <si>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</si>
  <si>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</si>
  <si>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</si>
  <si>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</si>
  <si>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</si>
  <si>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</si>
  <si>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</si>
  <si>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</si>
  <si>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</si>
  <si>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</si>
  <si>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</si>
  <si>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</si>
  <si>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</si>
  <si>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</si>
  <si>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</si>
  <si>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</si>
  <si>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</si>
  <si>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</si>
  <si>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</si>
  <si>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</si>
  <si>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</si>
  <si>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</si>
  <si>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</si>
  <si>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</si>
  <si>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</si>
  <si>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</si>
  <si>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</si>
  <si>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</si>
  <si>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</si>
  <si>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</si>
  <si>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</si>
  <si>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</si>
  <si>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</si>
  <si>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</si>
  <si>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</si>
  <si>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</si>
  <si>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</si>
  <si>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</si>
  <si>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</si>
  <si>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</si>
  <si>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</si>
  <si>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</si>
  <si>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</si>
  <si>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</si>
  <si>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</si>
  <si>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</si>
  <si>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</si>
  <si>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</si>
  <si>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</si>
  <si>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</si>
  <si>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</si>
  <si>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</si>
  <si>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</si>
  <si>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</si>
  <si>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</si>
  <si>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</si>
  <si>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</si>
  <si>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</si>
  <si>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</si>
  <si>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</si>
  <si>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</si>
  <si>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</si>
  <si>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</si>
  <si>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</si>
  <si>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</si>
  <si>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</si>
  <si>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</si>
  <si>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</si>
  <si>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</si>
  <si>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</si>
  <si>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</si>
  <si>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</si>
  <si>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</si>
  <si>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</si>
  <si>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1-9</t>
  </si>
  <si>
    <t>10-19</t>
  </si>
  <si>
    <t>20-24</t>
  </si>
  <si>
    <t>25-34</t>
  </si>
  <si>
    <t>35-44</t>
  </si>
  <si>
    <t>45-54</t>
  </si>
  <si>
    <t>55-64</t>
  </si>
  <si>
    <t>65-74</t>
  </si>
  <si>
    <t>75-84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</si>
  <si>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</si>
  <si>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</si>
  <si>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</si>
  <si>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</si>
  <si>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</si>
  <si>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</si>
  <si>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</si>
  <si>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</si>
  <si>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</si>
  <si>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</si>
  <si>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</si>
  <si>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</si>
  <si>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</si>
  <si>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</si>
  <si>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</si>
  <si>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</si>
  <si>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</si>
  <si>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</si>
  <si>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</si>
  <si>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</si>
  <si>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</si>
  <si>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</si>
  <si>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</si>
  <si>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</si>
  <si>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</si>
  <si>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</si>
  <si>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</si>
  <si>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</si>
  <si>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</si>
  <si>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</si>
  <si>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</si>
  <si>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</si>
  <si>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</si>
  <si>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</si>
  <si>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</si>
  <si>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</si>
  <si>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</si>
  <si>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</si>
  <si>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</si>
  <si>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</si>
  <si>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</si>
  <si>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</si>
  <si>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</si>
  <si>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</si>
  <si>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</si>
  <si>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</si>
  <si>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</si>
  <si>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</si>
  <si>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</si>
  <si>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</si>
  <si>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</si>
  <si>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</si>
  <si>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</si>
  <si>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</si>
  <si>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</si>
  <si>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</si>
  <si>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</si>
  <si>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</si>
  <si>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</si>
  <si>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</si>
  <si>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</si>
  <si>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</si>
  <si>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</si>
  <si>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</si>
  <si>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</si>
  <si>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</si>
  <si>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</si>
  <si>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</si>
  <si>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</si>
  <si>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</si>
  <si>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</si>
  <si>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</si>
  <si>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</si>
  <si>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</si>
  <si>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</si>
  <si>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</si>
  <si>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</si>
  <si>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</si>
  <si>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</si>
  <si>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</si>
  <si>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</si>
  <si>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</si>
  <si>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</si>
  <si>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</si>
  <si>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</si>
  <si>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</si>
  <si>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</si>
  <si>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</si>
  <si>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</si>
  <si>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</si>
  <si>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</si>
  <si>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</si>
  <si>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</si>
  <si>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</si>
  <si>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</si>
  <si>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</si>
  <si>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</si>
  <si>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</si>
  <si>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</si>
  <si>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</si>
  <si>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</si>
  <si>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</si>
  <si>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</si>
  <si>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</si>
  <si>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</si>
  <si>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</si>
  <si>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</si>
  <si>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</si>
  <si>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</si>
  <si>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</si>
  <si>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</si>
  <si>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</si>
  <si>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</si>
  <si>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</si>
  <si>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</si>
  <si>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</si>
  <si>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</si>
  <si>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</si>
  <si>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</si>
  <si>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</si>
  <si>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</si>
  <si>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</si>
  <si>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</si>
  <si>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</si>
  <si>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</si>
  <si>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</si>
  <si>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</si>
  <si>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</si>
  <si>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</si>
  <si>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</si>
  <si>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</si>
  <si>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</si>
  <si>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</si>
  <si>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</si>
  <si>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</si>
  <si>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</si>
  <si>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</si>
  <si>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</si>
  <si>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</si>
  <si>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</si>
  <si>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</si>
  <si>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</si>
  <si>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</si>
  <si>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</si>
  <si>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</si>
  <si>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</si>
  <si>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</si>
  <si>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</si>
  <si>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</si>
  <si>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</si>
  <si>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</si>
  <si>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</si>
  <si>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</si>
  <si>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</si>
  <si>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</si>
  <si>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</si>
  <si>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</si>
  <si>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</si>
  <si>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</si>
  <si>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</si>
  <si>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</si>
  <si>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</si>
  <si>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</si>
  <si>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</si>
  <si>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</si>
  <si>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</si>
  <si>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</si>
  <si>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</si>
  <si>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</si>
  <si>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</si>
  <si>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</si>
  <si>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</si>
  <si>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</si>
  <si>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</si>
  <si>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</si>
  <si>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</si>
  <si>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</si>
  <si>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</si>
  <si>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</si>
  <si>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</si>
  <si>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</si>
  <si>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</si>
  <si>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</si>
  <si>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</si>
  <si>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</si>
  <si>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</si>
  <si>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</si>
  <si>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</si>
  <si>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</si>
  <si>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</si>
  <si>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</si>
  <si>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</si>
  <si>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</si>
  <si>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</si>
  <si>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</si>
  <si>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</si>
  <si>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</si>
  <si>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</si>
  <si>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</si>
  <si>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</si>
  <si>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</si>
  <si>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</si>
  <si>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</si>
  <si>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</si>
  <si>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</si>
  <si>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</si>
  <si>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</si>
  <si>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</si>
  <si>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</si>
  <si>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</si>
  <si>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</si>
  <si>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</si>
  <si>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</si>
  <si>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</si>
  <si>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</si>
  <si>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</si>
  <si>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</si>
  <si>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</si>
  <si>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</si>
  <si>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</si>
  <si>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</si>
  <si>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</si>
  <si>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</si>
  <si>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</si>
  <si>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</si>
  <si>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</si>
  <si>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</si>
  <si>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</si>
  <si>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</si>
  <si>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</si>
  <si>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</si>
  <si>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</si>
  <si>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</si>
  <si>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</si>
  <si>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</si>
  <si>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</si>
  <si>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</si>
  <si>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</si>
  <si>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</si>
  <si>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</si>
  <si>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</si>
  <si>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</si>
  <si>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</si>
  <si>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</si>
  <si>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</si>
  <si>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</si>
  <si>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</si>
  <si>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</si>
  <si>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</si>
  <si>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</si>
  <si>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</si>
  <si>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</si>
  <si>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</si>
  <si>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</si>
  <si>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</si>
  <si>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</si>
  <si>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</si>
  <si>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</si>
  <si>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</si>
  <si>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</si>
  <si>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</si>
  <si>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</si>
  <si>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</si>
  <si>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</si>
  <si>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</si>
  <si>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</si>
  <si>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</si>
  <si>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</si>
  <si>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</si>
  <si>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</si>
  <si>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</si>
  <si>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</si>
  <si>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</si>
  <si>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</si>
  <si>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</si>
  <si>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</si>
  <si>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</si>
  <si>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</si>
  <si>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</si>
  <si>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</si>
  <si>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</si>
  <si>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</si>
  <si>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</si>
  <si>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</si>
  <si>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</si>
  <si>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</si>
  <si>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</si>
  <si>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</si>
  <si>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</si>
  <si>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</si>
  <si>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</si>
  <si>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</si>
  <si>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</si>
  <si>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</si>
  <si>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</si>
  <si>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</si>
  <si>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</si>
  <si>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</si>
  <si>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</si>
  <si>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</si>
  <si>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</si>
  <si>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</si>
  <si>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</si>
  <si>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</si>
  <si>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</si>
  <si>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</si>
  <si>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</si>
  <si>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</si>
  <si>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</si>
  <si>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</si>
  <si>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</si>
  <si>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</si>
  <si>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</si>
  <si>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</si>
  <si>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</si>
  <si>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</si>
  <si>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</si>
  <si>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</si>
  <si>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</si>
  <si>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</si>
  <si>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</si>
  <si>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</si>
  <si>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</si>
  <si>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</si>
  <si>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</si>
  <si>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</si>
  <si>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</si>
  <si>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</si>
  <si>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</si>
  <si>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</si>
  <si>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</si>
  <si>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</si>
  <si>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</si>
  <si>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</si>
  <si>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</si>
  <si>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</si>
  <si>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</si>
  <si>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</si>
  <si>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</si>
  <si>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</si>
  <si>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</si>
  <si>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</si>
  <si>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</si>
  <si>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</si>
  <si>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</si>
  <si>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</si>
  <si>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</si>
  <si>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</si>
  <si>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</si>
  <si>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</si>
  <si>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</si>
  <si>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</si>
  <si>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</si>
  <si>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</si>
  <si>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</si>
  <si>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</si>
  <si>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</si>
  <si>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</si>
  <si>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</si>
  <si>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</si>
  <si>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</si>
  <si>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</si>
  <si>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</si>
  <si>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</si>
  <si>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</si>
  <si>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</si>
  <si>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</si>
  <si>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</si>
  <si>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</si>
  <si>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</si>
  <si>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</si>
  <si>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</si>
  <si>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</si>
  <si>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</si>
  <si>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</si>
  <si>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</si>
  <si>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</si>
  <si>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</si>
  <si>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</si>
  <si>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</si>
  <si>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</si>
  <si>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</si>
  <si>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</si>
  <si>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</si>
  <si>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</si>
  <si>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</si>
  <si>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</si>
  <si>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</si>
  <si>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</si>
  <si>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</si>
  <si>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</si>
  <si>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</si>
  <si>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</si>
  <si>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</si>
  <si>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</si>
  <si>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</si>
  <si>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</si>
  <si>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</si>
  <si>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</si>
  <si>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</si>
  <si>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</si>
  <si>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</si>
  <si>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</si>
  <si>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</si>
  <si>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</si>
  <si>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</si>
  <si>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</si>
  <si>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</si>
  <si>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</si>
  <si>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</si>
  <si>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</si>
  <si>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</si>
  <si>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</si>
  <si>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</si>
  <si>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</si>
  <si>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</si>
  <si>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</si>
  <si>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</si>
  <si>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</si>
  <si>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</si>
  <si>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</si>
  <si>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</si>
  <si>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</si>
  <si>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</si>
  <si>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</si>
  <si>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</si>
  <si>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</si>
  <si>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</si>
  <si>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</si>
  <si>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</si>
  <si>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</si>
  <si>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</si>
  <si>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</si>
  <si>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</si>
  <si>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</si>
  <si>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</si>
  <si>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</si>
  <si>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</si>
  <si>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</si>
  <si>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</si>
  <si>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</si>
  <si>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</si>
  <si>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</si>
  <si>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</si>
  <si>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</si>
  <si>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</si>
  <si>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</si>
  <si>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</si>
  <si>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</si>
  <si>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</si>
  <si>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</si>
  <si>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</si>
  <si>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</si>
  <si>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</si>
  <si>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</si>
  <si>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</si>
  <si>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</si>
  <si>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</si>
  <si>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</si>
  <si>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</si>
  <si>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</si>
  <si>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</si>
  <si>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</si>
  <si>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</si>
  <si>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</si>
  <si>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</si>
  <si>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</si>
  <si>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</si>
  <si>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</si>
  <si>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</si>
  <si>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</si>
  <si>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</si>
  <si>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</si>
  <si>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</si>
  <si>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</si>
  <si>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</si>
  <si>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</si>
  <si>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</si>
  <si>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</si>
  <si>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</si>
  <si>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</si>
  <si>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</si>
  <si>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</si>
  <si>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</si>
  <si>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</si>
  <si>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</si>
  <si>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</si>
  <si>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</si>
  <si>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</si>
  <si>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</si>
  <si>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</si>
  <si>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</si>
  <si>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</si>
  <si>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</si>
  <si>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</si>
  <si>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</si>
  <si>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</si>
  <si>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</si>
  <si>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</si>
  <si>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</si>
  <si>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</si>
  <si>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</si>
  <si>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</si>
  <si>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</si>
  <si>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</si>
  <si>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[DUPLICATE] Visit to Primary Care Physician for Routine Physical, 2018-2024</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</si>
  <si>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</si>
  <si>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</si>
  <si>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</si>
  <si>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</si>
  <si>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</si>
  <si>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</si>
  <si>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</si>
  <si>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</si>
  <si>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[DUPLICATE] Reasons for Not Visiting a Primary Care Provider by Income, 2024</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</si>
  <si>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</si>
  <si>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</si>
  <si>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</si>
  <si>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</si>
  <si>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</si>
  <si>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</si>
  <si>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</si>
  <si>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</si>
  <si>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</si>
  <si>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</si>
  <si>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</si>
  <si>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</si>
  <si>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</si>
  <si>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</si>
  <si>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</si>
  <si>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</si>
  <si>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</si>
  <si>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</si>
  <si>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</si>
  <si>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</si>
  <si>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</si>
  <si>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</si>
  <si>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</si>
  <si>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</si>
  <si>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</si>
  <si>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</si>
  <si>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</si>
  <si>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</si>
  <si>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</si>
  <si>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</si>
  <si>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</si>
  <si>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</si>
  <si>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</si>
  <si>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</si>
  <si>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</si>
  <si>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</si>
  <si>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</si>
  <si>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</si>
  <si>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</si>
  <si>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</si>
  <si>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</si>
  <si>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</si>
  <si>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</si>
  <si>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</si>
  <si>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</si>
  <si>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</si>
  <si>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</si>
  <si>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</si>
  <si>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</si>
  <si>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</si>
  <si>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</si>
  <si>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</si>
  <si>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</si>
  <si>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</si>
  <si>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</si>
  <si>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</si>
  <si>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</si>
  <si>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</si>
  <si>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</si>
  <si>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</si>
  <si>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</si>
  <si>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</si>
  <si>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</si>
  <si>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</si>
  <si>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</si>
  <si>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</si>
  <si>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</si>
  <si>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</si>
  <si>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</si>
  <si>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</si>
  <si>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</si>
  <si>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</si>
  <si>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</si>
  <si>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</si>
  <si>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</si>
  <si>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</si>
  <si>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</si>
  <si>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</si>
  <si>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</si>
  <si>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</si>
  <si>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</si>
  <si>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</si>
  <si>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</si>
  <si>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</si>
  <si>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</si>
  <si>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</si>
  <si>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</si>
  <si>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</si>
  <si>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</si>
  <si>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</si>
  <si>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</si>
  <si>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</si>
  <si>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</si>
  <si>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</si>
  <si>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</si>
  <si>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</si>
  <si>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</si>
  <si>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</si>
  <si>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</si>
  <si>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</si>
  <si>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</si>
  <si>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</si>
  <si>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</si>
  <si>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</si>
  <si>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</si>
  <si>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</si>
  <si>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</si>
  <si>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</si>
  <si>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</si>
  <si>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</si>
  <si>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</si>
  <si>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</si>
  <si>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</si>
  <si>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</si>
  <si>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</si>
  <si>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</si>
  <si>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</si>
  <si>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</si>
  <si>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</si>
  <si>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</si>
  <si>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</si>
  <si>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[DUPLICATE] Average Days a Week: Exercise, 2018-2024</t>
  </si>
  <si>
    <t>Total Students</t>
  </si>
  <si>
    <t xml:space="preserve">English Language Learners </t>
  </si>
  <si>
    <t>Economically Disadvantaged</t>
  </si>
  <si>
    <t>Students with Disabilities</t>
  </si>
  <si>
    <t>Percentage of Uninsured Civilian Noninstitutionalized Population, by Race and Ethnicity, 2023</t>
  </si>
  <si>
    <t>Vehicles Available per Household by Municipality, 2023</t>
  </si>
  <si>
    <t>2010–2019</t>
  </si>
  <si>
    <t>2000–2009</t>
  </si>
  <si>
    <t>1990–1999</t>
  </si>
  <si>
    <t>1980–1989</t>
  </si>
  <si>
    <t>1970–1979</t>
  </si>
  <si>
    <t>1950–1969</t>
  </si>
  <si>
    <t>2020-2023</t>
  </si>
  <si>
    <t>Text</t>
  </si>
  <si>
    <t>2021-2024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</si>
</sst>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8">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1" fontId="0" fillId="0" borderId="0" xfId="0" applyNumberFormat="1" applyAlignment="1">
      <alignment horizontal="center"/>
    </xf>
    <xf numFmtId="1" fontId="0" fillId="0" borderId="0" xfId="0" applyNumberFormat="1" applyAlignment="1">
      <alignment horizontal="center" vertical="center"/>
    </xf>
    <xf numFmtId="0" fontId="1" fillId="3" borderId="0" xfId="0" applyFont="1" applyFill="1" applyAlignment="1">
      <alignment horizontal="left" wrapText="1"/>
    </xf>
    <xf numFmtId="0" fontId="0" fillId="0" borderId="0" xfId="0"/>
    <xf numFmtId="0" fontId="0" fillId="0" borderId="0" xfId="0" applyAlignment="1">
      <alignment horizontal="center" vertical="center"/>
    </xf>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F9DD08-274A-6B40-B81F-C92A7D714C5E}">
  <we:reference id="wa200010725" version="1.0.0.1" store="en-US" storeType="OMEX"/>
  <we:alternateReferences>
    <we:reference id="WA200010725" version="1.0.0.1" store="" storeType="OMEX"/>
  </we:alternateReferences>
  <we:properties>
    <we:property name="claude.fileId" value="&quot;c6c35a69-a119-46ee-bc8f-191836ecfdc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E15" workbookViewId="0">
      <selection activeCell="F60" sqref="F60"/>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6"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6" t="s">
        <v>14</v>
      </c>
      <c r="G3" s="7" t="s">
        <v>15</v>
      </c>
      <c r="H3" s="7" t="str">
        <f>IF(LEFT(Table3[[#This Row],[Object ID]],4)="tbl-","fig-" &amp; MID(Table3[[#This Row],[Object ID]],5,LEN(Table3[[#This Row],[Object ID]])-4),"")</f>
        <v>fig-pop</v>
      </c>
    </row>
    <row r="4" spans="1:8" s="18" customFormat="1" x14ac:dyDescent="0.2">
      <c r="A4" t="s">
        <v>8</v>
      </c>
      <c r="B4">
        <v>3</v>
      </c>
      <c r="C4" t="s">
        <v>16</v>
      </c>
      <c r="E4" t="s">
        <v>17</v>
      </c>
      <c r="F4" s="46" t="s">
        <v>18</v>
      </c>
      <c r="G4" t="s">
        <v>19</v>
      </c>
      <c r="H4" s="7" t="str">
        <f>IF(LEFT(Table3[[#This Row],[Object ID]],4)="tbl-","fig-" &amp; MID(Table3[[#This Row],[Object ID]],5,LEN(Table3[[#This Row],[Object ID]])-4),"")</f>
        <v>fig-total-pop</v>
      </c>
    </row>
    <row r="5" spans="1:8" s="18" customFormat="1" x14ac:dyDescent="0.2">
      <c r="A5" t="s">
        <v>8</v>
      </c>
      <c r="B5">
        <v>4</v>
      </c>
      <c r="C5" t="s">
        <v>9</v>
      </c>
      <c r="E5" t="s">
        <v>20</v>
      </c>
      <c r="F5" s="46" t="s">
        <v>21</v>
      </c>
      <c r="G5" t="s">
        <v>22</v>
      </c>
      <c r="H5" s="7" t="str">
        <f>IF(LEFT(Table3[[#This Row],[Object ID]],4)="tbl-","fig-" &amp; MID(Table3[[#This Row],[Object ID]],5,LEN(Table3[[#This Row],[Object ID]])-4),"")</f>
        <v>fig-pop-growth</v>
      </c>
    </row>
    <row r="6" spans="1:8" s="18" customFormat="1" x14ac:dyDescent="0.2">
      <c r="A6" t="s">
        <v>8</v>
      </c>
      <c r="B6">
        <v>5</v>
      </c>
      <c r="C6" t="s">
        <v>9</v>
      </c>
      <c r="E6" t="s">
        <v>23</v>
      </c>
      <c r="F6" s="46"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6" t="s">
        <v>27</v>
      </c>
      <c r="G7" t="s">
        <v>28</v>
      </c>
      <c r="H7" s="7" t="str">
        <f>IF(LEFT(Table3[[#This Row],[Object ID]],4)="tbl-","fig-" &amp; MID(Table3[[#This Row],[Object ID]],5,LEN(Table3[[#This Row],[Object ID]])-4),"")</f>
        <v>fig-pop-sex-age</v>
      </c>
    </row>
    <row r="8" spans="1:8" s="18" customFormat="1" x14ac:dyDescent="0.2">
      <c r="A8" t="s">
        <v>8</v>
      </c>
      <c r="B8">
        <v>7</v>
      </c>
      <c r="C8" t="s">
        <v>16</v>
      </c>
      <c r="E8" t="s">
        <v>29</v>
      </c>
      <c r="F8" s="46" t="s">
        <v>30</v>
      </c>
      <c r="G8" t="s">
        <v>31</v>
      </c>
      <c r="H8" s="7" t="str">
        <f>IF(LEFT(Table3[[#This Row],[Object ID]],4)="tbl-","fig-" &amp; MID(Table3[[#This Row],[Object ID]],5,LEN(Table3[[#This Row],[Object ID]])-4),"")</f>
        <v>fig-median-age</v>
      </c>
    </row>
    <row r="9" spans="1:8" s="18" customFormat="1" x14ac:dyDescent="0.2">
      <c r="A9" t="s">
        <v>8</v>
      </c>
      <c r="B9">
        <v>8</v>
      </c>
      <c r="C9" t="s">
        <v>9</v>
      </c>
      <c r="E9" t="s">
        <v>32</v>
      </c>
      <c r="F9" s="46"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6"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6"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6"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6"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6"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6"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6"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6"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6"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6"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6"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6"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6"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6"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6"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6"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6"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6"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6"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6"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6"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6"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6"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6"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6"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6" t="s">
        <v>2349</v>
      </c>
      <c r="G35" s="7" t="s">
        <v>111</v>
      </c>
      <c r="H35" s="7" t="str">
        <f>IF(LEFT(Table3[[#This Row],[Object ID]],4)="tbl-","fig-" &amp; MID(Table3[[#This Row],[Object ID]],5,LEN(Table3[[#This Row],[Object ID]])-4),"")</f>
        <v>fig-uninsured-rande</v>
      </c>
    </row>
    <row r="36" spans="1:8" s="18" customFormat="1" x14ac:dyDescent="0.2">
      <c r="A36" t="s">
        <v>8</v>
      </c>
      <c r="B36">
        <v>35</v>
      </c>
      <c r="C36" t="s">
        <v>9</v>
      </c>
      <c r="E36" t="s">
        <v>112</v>
      </c>
      <c r="F36" s="46" t="s">
        <v>2350</v>
      </c>
      <c r="G36" s="7" t="s">
        <v>113</v>
      </c>
      <c r="H36" s="7" t="str">
        <f>IF(LEFT(Table3[[#This Row],[Object ID]],4)="tbl-","fig-" &amp; MID(Table3[[#This Row],[Object ID]],5,LEN(Table3[[#This Row],[Object ID]])-4),"")</f>
        <v>fig-cars-household</v>
      </c>
    </row>
    <row r="37" spans="1:8" s="18" customFormat="1" x14ac:dyDescent="0.2">
      <c r="A37" t="s">
        <v>8</v>
      </c>
      <c r="B37">
        <v>36</v>
      </c>
      <c r="C37" t="s">
        <v>9</v>
      </c>
      <c r="E37" t="s">
        <v>114</v>
      </c>
      <c r="F37" s="46" t="s">
        <v>115</v>
      </c>
      <c r="G37" s="7" t="s">
        <v>116</v>
      </c>
      <c r="H37" s="7" t="str">
        <f>IF(LEFT(Table3[[#This Row],[Object ID]],4)="tbl-","fig-" &amp; MID(Table3[[#This Row],[Object ID]],5,LEN(Table3[[#This Row],[Object ID]])-4),"")</f>
        <v>fig-commute-work</v>
      </c>
    </row>
    <row r="38" spans="1:8" s="18" customFormat="1" x14ac:dyDescent="0.2">
      <c r="A38" t="s">
        <v>8</v>
      </c>
      <c r="B38">
        <v>37</v>
      </c>
      <c r="C38" t="s">
        <v>9</v>
      </c>
      <c r="E38" t="s">
        <v>117</v>
      </c>
      <c r="F38" s="46" t="s">
        <v>118</v>
      </c>
      <c r="G38" s="7" t="s">
        <v>119</v>
      </c>
      <c r="H38" s="7" t="str">
        <f>IF(LEFT(Table3[[#This Row],[Object ID]],4)="tbl-","fig-" &amp; MID(Table3[[#This Row],[Object ID]],5,LEN(Table3[[#This Row],[Object ID]])-4),"")</f>
        <v>fig-house-tenure-vacancy</v>
      </c>
    </row>
    <row r="39" spans="1:8" s="18" customFormat="1" x14ac:dyDescent="0.2">
      <c r="A39" t="s">
        <v>8</v>
      </c>
      <c r="B39">
        <v>38</v>
      </c>
      <c r="C39" t="s">
        <v>9</v>
      </c>
      <c r="E39" t="s">
        <v>120</v>
      </c>
      <c r="F39" s="46" t="s">
        <v>121</v>
      </c>
      <c r="G39" s="7" t="s">
        <v>122</v>
      </c>
      <c r="H39" s="7" t="str">
        <f>IF(LEFT(Table3[[#This Row],[Object ID]],4)="tbl-","fig-" &amp; MID(Table3[[#This Row],[Object ID]],5,LEN(Table3[[#This Row],[Object ID]])-4),"")</f>
        <v>fig-house-unit-age</v>
      </c>
    </row>
    <row r="40" spans="1:8" s="18" customFormat="1" ht="19.5" customHeight="1" x14ac:dyDescent="0.2">
      <c r="A40" t="s">
        <v>8</v>
      </c>
      <c r="B40">
        <v>39</v>
      </c>
      <c r="C40" t="s">
        <v>9</v>
      </c>
      <c r="E40" t="s">
        <v>123</v>
      </c>
      <c r="F40" s="46" t="s">
        <v>124</v>
      </c>
      <c r="G40" s="7" t="s">
        <v>125</v>
      </c>
      <c r="H40" s="7" t="str">
        <f>IF(LEFT(Table3[[#This Row],[Object ID]],4)="tbl-","fig-" &amp; MID(Table3[[#This Row],[Object ID]],5,LEN(Table3[[#This Row],[Object ID]])-4),"")</f>
        <v>fig-house-characteristics-homeowner</v>
      </c>
    </row>
    <row r="41" spans="1:8" s="18" customFormat="1" x14ac:dyDescent="0.2">
      <c r="A41" t="s">
        <v>8</v>
      </c>
      <c r="B41">
        <v>40</v>
      </c>
      <c r="C41" t="s">
        <v>16</v>
      </c>
      <c r="E41" t="s">
        <v>126</v>
      </c>
      <c r="F41" s="46" t="s">
        <v>127</v>
      </c>
      <c r="G41" s="7" t="s">
        <v>128</v>
      </c>
      <c r="H41" s="7" t="str">
        <f>IF(LEFT(Table3[[#This Row],[Object ID]],4)="tbl-","fig-" &amp; MID(Table3[[#This Row],[Object ID]],5,LEN(Table3[[#This Row],[Object ID]])-4),"")</f>
        <v>fig-owner-occupy-of-occupy-housing</v>
      </c>
    </row>
    <row r="42" spans="1:8" s="18" customFormat="1" x14ac:dyDescent="0.2">
      <c r="A42" t="s">
        <v>8</v>
      </c>
      <c r="B42">
        <v>41</v>
      </c>
      <c r="C42" t="s">
        <v>9</v>
      </c>
      <c r="E42" t="s">
        <v>129</v>
      </c>
      <c r="F42" s="46" t="s">
        <v>130</v>
      </c>
      <c r="G42" s="7" t="s">
        <v>131</v>
      </c>
      <c r="H42" s="7" t="str">
        <f>IF(LEFT(Table3[[#This Row],[Object ID]],4)="tbl-","fig-" &amp; MID(Table3[[#This Row],[Object ID]],5,LEN(Table3[[#This Row],[Object ID]])-4),"")</f>
        <v>fig-house-characteristics-renters</v>
      </c>
    </row>
    <row r="43" spans="1:8" s="18" customFormat="1" x14ac:dyDescent="0.2">
      <c r="A43" t="s">
        <v>8</v>
      </c>
      <c r="B43">
        <v>42</v>
      </c>
      <c r="C43" t="s">
        <v>16</v>
      </c>
      <c r="E43" t="s">
        <v>132</v>
      </c>
      <c r="F43" s="46" t="s">
        <v>133</v>
      </c>
      <c r="G43" s="7" t="s">
        <v>134</v>
      </c>
      <c r="H43" s="7" t="str">
        <f>IF(LEFT(Table3[[#This Row],[Object ID]],4)="tbl-","fig-" &amp; MID(Table3[[#This Row],[Object ID]],5,LEN(Table3[[#This Row],[Object ID]])-4),"")</f>
        <v>fig-renter-occupy-of-occupy-housing</v>
      </c>
    </row>
    <row r="44" spans="1:8" s="18" customFormat="1" x14ac:dyDescent="0.2">
      <c r="A44" t="s">
        <v>8</v>
      </c>
      <c r="B44">
        <v>43</v>
      </c>
      <c r="C44" t="s">
        <v>9</v>
      </c>
      <c r="E44" t="s">
        <v>135</v>
      </c>
      <c r="F44" s="46" t="s">
        <v>136</v>
      </c>
      <c r="G44" s="34" t="s">
        <v>137</v>
      </c>
      <c r="H44" s="7" t="str">
        <f>IF(LEFT(Table3[[#This Row],[Object ID]],4)="tbl-","fig-" &amp; MID(Table3[[#This Row],[Object ID]],5,LEN(Table3[[#This Row],[Object ID]])-4),"")</f>
        <v>fig-own-vs-rent-per-room</v>
      </c>
    </row>
    <row r="45" spans="1:8" s="18" customFormat="1" x14ac:dyDescent="0.2">
      <c r="A45" t="s">
        <v>8</v>
      </c>
      <c r="B45">
        <v>44</v>
      </c>
      <c r="C45" t="s">
        <v>16</v>
      </c>
      <c r="E45" t="s">
        <v>138</v>
      </c>
      <c r="F45" s="46" t="s">
        <v>139</v>
      </c>
      <c r="G45" s="7" t="s">
        <v>140</v>
      </c>
      <c r="H45" s="7" t="str">
        <f>IF(LEFT(Table3[[#This Row],[Object ID]],4)="tbl-","fig-" &amp; MID(Table3[[#This Row],[Object ID]],5,LEN(Table3[[#This Row],[Object ID]])-4),"")</f>
        <v>fig-own-vs-rent-more1-room</v>
      </c>
    </row>
    <row r="46" spans="1:8" s="18" customFormat="1" x14ac:dyDescent="0.2">
      <c r="A46" t="s">
        <v>8</v>
      </c>
      <c r="B46">
        <v>45</v>
      </c>
      <c r="C46" t="s">
        <v>16</v>
      </c>
      <c r="E46" t="s">
        <v>141</v>
      </c>
      <c r="F46" s="46" t="s">
        <v>142</v>
      </c>
      <c r="G46" s="7" t="s">
        <v>143</v>
      </c>
      <c r="H46" s="7" t="str">
        <f>IF(LEFT(Table3[[#This Row],[Object ID]],4)="tbl-","fig-" &amp; MID(Table3[[#This Row],[Object ID]],5,LEN(Table3[[#This Row],[Object ID]])-4),"")</f>
        <v>fig-high-bll</v>
      </c>
    </row>
    <row r="47" spans="1:8" s="18" customFormat="1" x14ac:dyDescent="0.2">
      <c r="A47" t="s">
        <v>8</v>
      </c>
      <c r="B47">
        <v>46</v>
      </c>
      <c r="C47" t="s">
        <v>9</v>
      </c>
      <c r="E47" t="s">
        <v>144</v>
      </c>
      <c r="F47" s="46" t="s">
        <v>145</v>
      </c>
      <c r="G47" s="7" t="s">
        <v>146</v>
      </c>
      <c r="H47" s="7" t="str">
        <f>IF(LEFT(Table3[[#This Row],[Object ID]],4)="tbl-","fig-" &amp; MID(Table3[[#This Row],[Object ID]],5,LEN(Table3[[#This Row],[Object ID]])-4),"")</f>
        <v>fig-internet-access</v>
      </c>
    </row>
    <row r="48" spans="1:8" s="18" customFormat="1" x14ac:dyDescent="0.2">
      <c r="A48" t="s">
        <v>8</v>
      </c>
      <c r="B48">
        <v>47</v>
      </c>
      <c r="C48" t="s">
        <v>9</v>
      </c>
      <c r="E48" t="s">
        <v>147</v>
      </c>
      <c r="F48" s="46" t="s">
        <v>148</v>
      </c>
      <c r="G48" s="7" t="s">
        <v>149</v>
      </c>
      <c r="H48" s="7" t="str">
        <f>IF(LEFT(Table3[[#This Row],[Object ID]],4)="tbl-","fig-" &amp; MID(Table3[[#This Row],[Object ID]],5,LEN(Table3[[#This Row],[Object ID]])-4),"")</f>
        <v>fig-pop-served-ocdss</v>
      </c>
    </row>
    <row r="49" spans="1:8" s="18" customFormat="1" x14ac:dyDescent="0.2">
      <c r="A49" t="s">
        <v>8</v>
      </c>
      <c r="B49">
        <v>48</v>
      </c>
      <c r="C49" t="s">
        <v>9</v>
      </c>
      <c r="E49" t="s">
        <v>150</v>
      </c>
      <c r="F49" s="46" t="s">
        <v>151</v>
      </c>
      <c r="G49" s="7" t="s">
        <v>152</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153</v>
      </c>
      <c r="F50" s="46" t="s">
        <v>154</v>
      </c>
      <c r="G50" s="7" t="s">
        <v>155</v>
      </c>
      <c r="H50" s="7" t="str">
        <f>IF(LEFT(Table3[[#This Row],[Object ID]],4)="tbl-","fig-" &amp; MID(Table3[[#This Row],[Object ID]],5,LEN(Table3[[#This Row],[Object ID]])-4),"")</f>
        <v>fig-dzcircsystem-mortal-aar</v>
      </c>
    </row>
    <row r="51" spans="1:8" s="18" customFormat="1" x14ac:dyDescent="0.2">
      <c r="A51" t="s">
        <v>8</v>
      </c>
      <c r="B51">
        <v>50</v>
      </c>
      <c r="C51" t="s">
        <v>16</v>
      </c>
      <c r="E51" t="s">
        <v>156</v>
      </c>
      <c r="F51" s="46" t="s">
        <v>157</v>
      </c>
      <c r="G51" s="7" t="s">
        <v>158</v>
      </c>
      <c r="H51" s="7" t="str">
        <f>IF(LEFT(Table3[[#This Row],[Object ID]],4)="tbl-","fig-" &amp; MID(Table3[[#This Row],[Object ID]],5,LEN(Table3[[#This Row],[Object ID]])-4),"")</f>
        <v>fig-dzcircsystem--mortal-rande</v>
      </c>
    </row>
    <row r="52" spans="1:8" s="18" customFormat="1" x14ac:dyDescent="0.2">
      <c r="A52" t="s">
        <v>8</v>
      </c>
      <c r="B52">
        <v>51</v>
      </c>
      <c r="C52" t="s">
        <v>16</v>
      </c>
      <c r="E52" t="s">
        <v>159</v>
      </c>
      <c r="F52" s="46" t="s">
        <v>160</v>
      </c>
      <c r="G52" s="7" t="s">
        <v>161</v>
      </c>
      <c r="H52" s="7" t="str">
        <f>IF(LEFT(Table3[[#This Row],[Object ID]],4)="tbl-","fig-" &amp; MID(Table3[[#This Row],[Object ID]],5,LEN(Table3[[#This Row],[Object ID]])-4),"")</f>
        <v>fig-dzcircsystem--mortal-zip</v>
      </c>
    </row>
    <row r="53" spans="1:8" s="18" customFormat="1" x14ac:dyDescent="0.2">
      <c r="A53" t="s">
        <v>8</v>
      </c>
      <c r="B53">
        <v>52</v>
      </c>
      <c r="C53" t="s">
        <v>16</v>
      </c>
      <c r="E53" t="s">
        <v>162</v>
      </c>
      <c r="F53" t="s">
        <v>163</v>
      </c>
      <c r="G53" s="7" t="s">
        <v>164</v>
      </c>
      <c r="H53" s="7" t="str">
        <f>IF(LEFT(Table3[[#This Row],[Object ID]],4)="tbl-","fig-" &amp; MID(Table3[[#This Row],[Object ID]],5,LEN(Table3[[#This Row],[Object ID]])-4),"")</f>
        <v>fig-dzcircsystem-mortal-sex-aar</v>
      </c>
    </row>
    <row r="54" spans="1:8" s="18" customFormat="1" x14ac:dyDescent="0.2">
      <c r="A54" t="s">
        <v>8</v>
      </c>
      <c r="B54">
        <v>53</v>
      </c>
      <c r="C54" t="s">
        <v>9</v>
      </c>
      <c r="E54" t="s">
        <v>165</v>
      </c>
      <c r="F54" t="s">
        <v>166</v>
      </c>
      <c r="G54" s="7" t="s">
        <v>167</v>
      </c>
      <c r="H54" s="7" t="str">
        <f>IF(LEFT(Table3[[#This Row],[Object ID]],4)="tbl-","fig-" &amp; MID(Table3[[#This Row],[Object ID]],5,LEN(Table3[[#This Row],[Object ID]])-4),"")</f>
        <v>fig-heartdz-count-rate-age-rande-zip</v>
      </c>
    </row>
    <row r="55" spans="1:8" s="18" customFormat="1" x14ac:dyDescent="0.2">
      <c r="A55" t="s">
        <v>8</v>
      </c>
      <c r="B55">
        <v>54</v>
      </c>
      <c r="C55" t="s">
        <v>16</v>
      </c>
      <c r="E55" t="s">
        <v>168</v>
      </c>
      <c r="F55" t="s">
        <v>169</v>
      </c>
      <c r="G55" s="7" t="s">
        <v>170</v>
      </c>
      <c r="H55" s="7" t="str">
        <f>IF(LEFT(Table3[[#This Row],[Object ID]],4)="tbl-","fig-" &amp; MID(Table3[[#This Row],[Object ID]],5,LEN(Table3[[#This Row],[Object ID]])-4),"")</f>
        <v>fig-heartdz-mortal-aar</v>
      </c>
    </row>
    <row r="56" spans="1:8" s="18" customFormat="1" x14ac:dyDescent="0.2">
      <c r="A56" t="s">
        <v>8</v>
      </c>
      <c r="B56">
        <v>55</v>
      </c>
      <c r="C56" t="s">
        <v>16</v>
      </c>
      <c r="E56" t="s">
        <v>171</v>
      </c>
      <c r="F56" t="s">
        <v>172</v>
      </c>
      <c r="G56" s="7" t="s">
        <v>173</v>
      </c>
      <c r="H56" s="7" t="str">
        <f>IF(LEFT(Table3[[#This Row],[Object ID]],4)="tbl-","fig-" &amp; MID(Table3[[#This Row],[Object ID]],5,LEN(Table3[[#This Row],[Object ID]])-4),"")</f>
        <v>fig-heartdz-mortal-rande</v>
      </c>
    </row>
    <row r="57" spans="1:8" s="18" customFormat="1" x14ac:dyDescent="0.2">
      <c r="A57" t="s">
        <v>8</v>
      </c>
      <c r="B57">
        <v>56</v>
      </c>
      <c r="C57" t="s">
        <v>16</v>
      </c>
      <c r="E57" t="s">
        <v>174</v>
      </c>
      <c r="F57" t="s">
        <v>175</v>
      </c>
      <c r="G57" s="7" t="s">
        <v>176</v>
      </c>
      <c r="H57" s="7" t="str">
        <f>IF(LEFT(Table3[[#This Row],[Object ID]],4)="tbl-","fig-" &amp; MID(Table3[[#This Row],[Object ID]],5,LEN(Table3[[#This Row],[Object ID]])-4),"")</f>
        <v>fig-heartdz-mortal-zip</v>
      </c>
    </row>
    <row r="58" spans="1:8" s="18" customFormat="1" x14ac:dyDescent="0.2">
      <c r="A58" t="s">
        <v>8</v>
      </c>
      <c r="B58">
        <v>57</v>
      </c>
      <c r="C58" t="s">
        <v>16</v>
      </c>
      <c r="E58" t="s">
        <v>177</v>
      </c>
      <c r="F58" t="s">
        <v>178</v>
      </c>
      <c r="G58" s="7" t="s">
        <v>179</v>
      </c>
      <c r="H58" s="7" t="str">
        <f>IF(LEFT(Table3[[#This Row],[Object ID]],4)="tbl-","fig-" &amp; MID(Table3[[#This Row],[Object ID]],5,LEN(Table3[[#This Row],[Object ID]])-4),"")</f>
        <v>fig-heartdz-mortal-sex-aar</v>
      </c>
    </row>
    <row r="59" spans="1:8" x14ac:dyDescent="0.2">
      <c r="A59" t="s">
        <v>8</v>
      </c>
      <c r="B59">
        <v>58</v>
      </c>
      <c r="C59" t="s">
        <v>16</v>
      </c>
      <c r="E59" t="s">
        <v>180</v>
      </c>
      <c r="F59" t="s">
        <v>181</v>
      </c>
      <c r="G59" s="7" t="s">
        <v>182</v>
      </c>
      <c r="H59" s="7" t="str">
        <f>IF(LEFT(Table3[[#This Row],[Object ID]],4)="tbl-","fig-" &amp; MID(Table3[[#This Row],[Object ID]],5,LEN(Table3[[#This Row],[Object ID]])-4),"")</f>
        <v>fig-cerebrovascdz-hosp-rande-aar</v>
      </c>
    </row>
    <row r="60" spans="1:8" x14ac:dyDescent="0.2">
      <c r="A60" t="s">
        <v>8</v>
      </c>
      <c r="B60">
        <v>59</v>
      </c>
      <c r="C60" t="s">
        <v>9</v>
      </c>
      <c r="E60" t="s">
        <v>183</v>
      </c>
      <c r="F60" t="s">
        <v>184</v>
      </c>
      <c r="G60" s="7" t="s">
        <v>185</v>
      </c>
      <c r="H60" s="7" t="str">
        <f>IF(LEFT(Table3[[#This Row],[Object ID]],4)="tbl-","fig-" &amp; MID(Table3[[#This Row],[Object ID]],5,LEN(Table3[[#This Row],[Object ID]])-4),"")</f>
        <v>fig-cerebrovascdz-count-rate-age-rande-zip</v>
      </c>
    </row>
    <row r="61" spans="1:8" x14ac:dyDescent="0.2">
      <c r="A61" t="s">
        <v>8</v>
      </c>
      <c r="B61">
        <v>60</v>
      </c>
      <c r="C61" t="s">
        <v>16</v>
      </c>
      <c r="E61" t="s">
        <v>186</v>
      </c>
      <c r="F61" t="s">
        <v>187</v>
      </c>
      <c r="G61" s="7" t="s">
        <v>188</v>
      </c>
      <c r="H61" s="7" t="str">
        <f>IF(LEFT(Table3[[#This Row],[Object ID]],4)="tbl-","fig-" &amp; MID(Table3[[#This Row],[Object ID]],5,LEN(Table3[[#This Row],[Object ID]])-4),"")</f>
        <v>fig-cerebrovascdz-mortal-aar</v>
      </c>
    </row>
    <row r="62" spans="1:8" x14ac:dyDescent="0.2">
      <c r="A62" t="s">
        <v>8</v>
      </c>
      <c r="B62">
        <v>61</v>
      </c>
      <c r="C62" t="s">
        <v>16</v>
      </c>
      <c r="E62" t="s">
        <v>189</v>
      </c>
      <c r="F62" t="s">
        <v>190</v>
      </c>
      <c r="G62" s="7" t="s">
        <v>191</v>
      </c>
      <c r="H62" s="7" t="str">
        <f>IF(LEFT(Table3[[#This Row],[Object ID]],4)="tbl-","fig-" &amp; MID(Table3[[#This Row],[Object ID]],5,LEN(Table3[[#This Row],[Object ID]])-4),"")</f>
        <v>fig-cerebrovascdz-mortal-sex-aar</v>
      </c>
    </row>
    <row r="63" spans="1:8" x14ac:dyDescent="0.2">
      <c r="A63" t="s">
        <v>8</v>
      </c>
      <c r="B63">
        <v>62</v>
      </c>
      <c r="C63" t="s">
        <v>9</v>
      </c>
      <c r="E63" t="s">
        <v>192</v>
      </c>
      <c r="F63" t="s">
        <v>193</v>
      </c>
      <c r="G63" s="7" t="s">
        <v>194</v>
      </c>
      <c r="H63" s="7" t="str">
        <f>IF(LEFT(Table3[[#This Row],[Object ID]],4)="tbl-","fig-" &amp; MID(Table3[[#This Row],[Object ID]],5,LEN(Table3[[#This Row],[Object ID]])-4),"")</f>
        <v>fig-other-dzcircsystem-count-rate-age-rande-zip</v>
      </c>
    </row>
    <row r="64" spans="1:8" x14ac:dyDescent="0.2">
      <c r="A64" t="s">
        <v>8</v>
      </c>
      <c r="B64">
        <v>63</v>
      </c>
      <c r="C64" t="s">
        <v>16</v>
      </c>
      <c r="E64" t="s">
        <v>195</v>
      </c>
      <c r="F64" t="s">
        <v>196</v>
      </c>
      <c r="G64" s="7" t="s">
        <v>197</v>
      </c>
      <c r="H64" s="7" t="str">
        <f>IF(LEFT(Table3[[#This Row],[Object ID]],4)="tbl-","fig-" &amp; MID(Table3[[#This Row],[Object ID]],5,LEN(Table3[[#This Row],[Object ID]])-4),"")</f>
        <v>fig-other-dzcircsystem-mortal-aar</v>
      </c>
    </row>
    <row r="65" spans="1:8" x14ac:dyDescent="0.2">
      <c r="A65" t="s">
        <v>8</v>
      </c>
      <c r="B65">
        <v>64</v>
      </c>
      <c r="C65" t="s">
        <v>16</v>
      </c>
      <c r="E65" t="s">
        <v>198</v>
      </c>
      <c r="F65" t="s">
        <v>199</v>
      </c>
      <c r="G65" s="7" t="s">
        <v>200</v>
      </c>
      <c r="H65" s="7" t="str">
        <f>IF(LEFT(Table3[[#This Row],[Object ID]],4)="tbl-","fig-" &amp; MID(Table3[[#This Row],[Object ID]],5,LEN(Table3[[#This Row],[Object ID]])-4),"")</f>
        <v>fig-other-dzcircsystem-mortal-rande</v>
      </c>
    </row>
    <row r="66" spans="1:8" x14ac:dyDescent="0.2">
      <c r="A66" t="s">
        <v>8</v>
      </c>
      <c r="B66">
        <v>65</v>
      </c>
      <c r="C66" t="s">
        <v>16</v>
      </c>
      <c r="E66" t="s">
        <v>201</v>
      </c>
      <c r="F66" t="s">
        <v>202</v>
      </c>
      <c r="G66" s="7" t="s">
        <v>203</v>
      </c>
      <c r="H66" s="7" t="str">
        <f>IF(LEFT(Table3[[#This Row],[Object ID]],4)="tbl-","fig-" &amp; MID(Table3[[#This Row],[Object ID]],5,LEN(Table3[[#This Row],[Object ID]])-4),"")</f>
        <v>fig-circsystemdz-mortal-zip</v>
      </c>
    </row>
    <row r="67" spans="1:8" x14ac:dyDescent="0.2">
      <c r="A67" t="s">
        <v>8</v>
      </c>
      <c r="B67">
        <v>66</v>
      </c>
      <c r="C67" t="s">
        <v>16</v>
      </c>
      <c r="E67" t="s">
        <v>204</v>
      </c>
      <c r="F67" t="s">
        <v>205</v>
      </c>
      <c r="G67" s="7" t="s">
        <v>206</v>
      </c>
      <c r="H67" s="7" t="str">
        <f>IF(LEFT(Table3[[#This Row],[Object ID]],4)="tbl-","fig-" &amp; MID(Table3[[#This Row],[Object ID]],5,LEN(Table3[[#This Row],[Object ID]])-4),"")</f>
        <v>fig-circsystemdz-mortal-sex-aar</v>
      </c>
    </row>
    <row r="68" spans="1:8" x14ac:dyDescent="0.2">
      <c r="A68" t="s">
        <v>8</v>
      </c>
      <c r="B68">
        <v>67</v>
      </c>
      <c r="C68" t="s">
        <v>16</v>
      </c>
      <c r="E68" t="s">
        <v>207</v>
      </c>
      <c r="F68" t="s">
        <v>208</v>
      </c>
      <c r="G68" s="7" t="s">
        <v>209</v>
      </c>
      <c r="H68" s="7" t="str">
        <f>IF(LEFT(Table3[[#This Row],[Object ID]],4)="tbl-","fig-" &amp; MID(Table3[[#This Row],[Object ID]],5,LEN(Table3[[#This Row],[Object ID]])-4),"")</f>
        <v>fig-clrd-hosp-rande-aar</v>
      </c>
    </row>
    <row r="69" spans="1:8" x14ac:dyDescent="0.2">
      <c r="A69" t="s">
        <v>8</v>
      </c>
      <c r="B69">
        <v>68</v>
      </c>
      <c r="C69" t="s">
        <v>9</v>
      </c>
      <c r="E69" t="s">
        <v>210</v>
      </c>
      <c r="F69" t="s">
        <v>211</v>
      </c>
      <c r="G69" s="7" t="s">
        <v>212</v>
      </c>
      <c r="H69" s="7" t="str">
        <f>IF(LEFT(Table3[[#This Row],[Object ID]],4)="tbl-","fig-" &amp; MID(Table3[[#This Row],[Object ID]],5,LEN(Table3[[#This Row],[Object ID]])-4),"")</f>
        <v>fig-clrd-count-rate-age-rande-zip</v>
      </c>
    </row>
    <row r="70" spans="1:8" x14ac:dyDescent="0.2">
      <c r="A70" t="s">
        <v>8</v>
      </c>
      <c r="B70">
        <v>69</v>
      </c>
      <c r="C70" t="s">
        <v>16</v>
      </c>
      <c r="E70" t="s">
        <v>213</v>
      </c>
      <c r="F70" t="s">
        <v>214</v>
      </c>
      <c r="G70" s="7" t="s">
        <v>215</v>
      </c>
      <c r="H70" s="7" t="str">
        <f>IF(LEFT(Table3[[#This Row],[Object ID]],4)="tbl-","fig-" &amp; MID(Table3[[#This Row],[Object ID]],5,LEN(Table3[[#This Row],[Object ID]])-4),"")</f>
        <v>fig-clrd-mortal-aar</v>
      </c>
    </row>
    <row r="71" spans="1:8" x14ac:dyDescent="0.2">
      <c r="A71" t="s">
        <v>8</v>
      </c>
      <c r="B71">
        <v>70</v>
      </c>
      <c r="C71" t="s">
        <v>16</v>
      </c>
      <c r="E71" t="s">
        <v>216</v>
      </c>
      <c r="F71" t="s">
        <v>217</v>
      </c>
      <c r="G71" s="7" t="s">
        <v>218</v>
      </c>
      <c r="H71" s="7" t="str">
        <f>IF(LEFT(Table3[[#This Row],[Object ID]],4)="tbl-","fig-" &amp; MID(Table3[[#This Row],[Object ID]],5,LEN(Table3[[#This Row],[Object ID]])-4),"")</f>
        <v>fig-clrd-mortal-sex-aar</v>
      </c>
    </row>
    <row r="72" spans="1:8" x14ac:dyDescent="0.2">
      <c r="A72" t="s">
        <v>8</v>
      </c>
      <c r="B72">
        <v>71</v>
      </c>
      <c r="C72" t="s">
        <v>16</v>
      </c>
      <c r="E72" t="s">
        <v>219</v>
      </c>
      <c r="F72" t="s">
        <v>220</v>
      </c>
      <c r="G72" s="7" t="s">
        <v>221</v>
      </c>
      <c r="H72" s="7" t="str">
        <f>IF(LEFT(Table3[[#This Row],[Object ID]],4)="tbl-","fig-" &amp; MID(Table3[[#This Row],[Object ID]],5,LEN(Table3[[#This Row],[Object ID]])-4),"")</f>
        <v>fig-asthma-hosp-rande-aar</v>
      </c>
    </row>
    <row r="73" spans="1:8" x14ac:dyDescent="0.2">
      <c r="A73" t="s">
        <v>8</v>
      </c>
      <c r="B73">
        <v>72</v>
      </c>
      <c r="C73" t="s">
        <v>16</v>
      </c>
      <c r="E73" t="s">
        <v>222</v>
      </c>
      <c r="F73" t="s">
        <v>223</v>
      </c>
      <c r="G73" s="7" t="s">
        <v>224</v>
      </c>
      <c r="H73" s="7" t="str">
        <f>IF(LEFT(Table3[[#This Row],[Object ID]],4)="tbl-","fig-" &amp; MID(Table3[[#This Row],[Object ID]],5,LEN(Table3[[#This Row],[Object ID]])-4),"")</f>
        <v>fig-asthma-hosp-0to17-rande-aar</v>
      </c>
    </row>
    <row r="74" spans="1:8" x14ac:dyDescent="0.2">
      <c r="A74" t="s">
        <v>8</v>
      </c>
      <c r="B74">
        <v>73</v>
      </c>
      <c r="C74" t="s">
        <v>16</v>
      </c>
      <c r="E74" t="s">
        <v>225</v>
      </c>
      <c r="F74" t="s">
        <v>226</v>
      </c>
      <c r="G74" s="7" t="s">
        <v>227</v>
      </c>
      <c r="H74" s="7" t="str">
        <f>IF(LEFT(Table3[[#This Row],[Object ID]],4)="tbl-","fig-" &amp; MID(Table3[[#This Row],[Object ID]],5,LEN(Table3[[#This Row],[Object ID]])-4),"")</f>
        <v>fig-ppasthma-2to17-crude</v>
      </c>
    </row>
    <row r="75" spans="1:8" x14ac:dyDescent="0.2">
      <c r="A75" t="s">
        <v>8</v>
      </c>
      <c r="B75">
        <v>74</v>
      </c>
      <c r="C75" t="s">
        <v>16</v>
      </c>
      <c r="E75" t="s">
        <v>228</v>
      </c>
      <c r="F75" t="s">
        <v>229</v>
      </c>
      <c r="G75" s="7" t="s">
        <v>230</v>
      </c>
      <c r="H75" s="7" t="str">
        <f>IF(LEFT(Table3[[#This Row],[Object ID]],4)="tbl-","fig-" &amp; MID(Table3[[#This Row],[Object ID]],5,LEN(Table3[[#This Row],[Object ID]])-4),"")</f>
        <v>fig-pppneumonia-adult-aar</v>
      </c>
    </row>
    <row r="76" spans="1:8" x14ac:dyDescent="0.2">
      <c r="A76" t="s">
        <v>8</v>
      </c>
      <c r="B76">
        <v>75</v>
      </c>
      <c r="C76" t="s">
        <v>9</v>
      </c>
      <c r="E76" t="s">
        <v>231</v>
      </c>
      <c r="F76" t="s">
        <v>232</v>
      </c>
      <c r="G76" s="7" t="s">
        <v>233</v>
      </c>
      <c r="H76" s="7" t="str">
        <f>IF(LEFT(Table3[[#This Row],[Object ID]],4)="tbl-","fig-" &amp; MID(Table3[[#This Row],[Object ID]],5,LEN(Table3[[#This Row],[Object ID]])-4),"")</f>
        <v>fig-pneumoniaflu-count-rate-age-rande-zip</v>
      </c>
    </row>
    <row r="77" spans="1:8" x14ac:dyDescent="0.2">
      <c r="A77" t="s">
        <v>8</v>
      </c>
      <c r="B77">
        <v>76</v>
      </c>
      <c r="C77" t="s">
        <v>16</v>
      </c>
      <c r="E77" t="s">
        <v>234</v>
      </c>
      <c r="F77" t="s">
        <v>235</v>
      </c>
      <c r="G77" s="7" t="s">
        <v>236</v>
      </c>
      <c r="H77" s="7" t="str">
        <f>IF(LEFT(Table3[[#This Row],[Object ID]],4)="tbl-","fig-" &amp; MID(Table3[[#This Row],[Object ID]],5,LEN(Table3[[#This Row],[Object ID]])-4),"")</f>
        <v>fig-pneumoniaflu-mortal-aar</v>
      </c>
    </row>
    <row r="78" spans="1:8" x14ac:dyDescent="0.2">
      <c r="A78" t="s">
        <v>8</v>
      </c>
      <c r="B78">
        <v>77</v>
      </c>
      <c r="C78" t="s">
        <v>16</v>
      </c>
      <c r="E78" t="s">
        <v>237</v>
      </c>
      <c r="F78" t="s">
        <v>238</v>
      </c>
      <c r="G78" s="7" t="s">
        <v>239</v>
      </c>
      <c r="H78" s="7" t="str">
        <f>IF(LEFT(Table3[[#This Row],[Object ID]],4)="tbl-","fig-" &amp; MID(Table3[[#This Row],[Object ID]],5,LEN(Table3[[#This Row],[Object ID]])-4),"")</f>
        <v>fig-pneumoniaflu-mortal-sex-aar</v>
      </c>
    </row>
    <row r="79" spans="1:8" x14ac:dyDescent="0.2">
      <c r="A79" t="s">
        <v>8</v>
      </c>
      <c r="B79">
        <v>78</v>
      </c>
      <c r="C79" t="s">
        <v>16</v>
      </c>
      <c r="E79" t="s">
        <v>240</v>
      </c>
      <c r="F79" t="s">
        <v>241</v>
      </c>
      <c r="G79" s="7" t="s">
        <v>242</v>
      </c>
      <c r="H79" s="7" t="str">
        <f>IF(LEFT(Table3[[#This Row],[Object ID]],4)="tbl-","fig-" &amp; MID(Table3[[#This Row],[Object ID]],5,LEN(Table3[[#This Row],[Object ID]])-4),"")</f>
        <v>fig-dm-anydx-hosp-rande-aar</v>
      </c>
    </row>
    <row r="80" spans="1:8" x14ac:dyDescent="0.2">
      <c r="A80" t="s">
        <v>8</v>
      </c>
      <c r="B80">
        <v>79</v>
      </c>
      <c r="C80" t="s">
        <v>16</v>
      </c>
      <c r="E80" t="s">
        <v>243</v>
      </c>
      <c r="F80" t="s">
        <v>244</v>
      </c>
      <c r="G80" s="7" t="s">
        <v>245</v>
      </c>
      <c r="H80" s="7" t="str">
        <f>IF(LEFT(Table3[[#This Row],[Object ID]],4)="tbl-","fig-" &amp; MID(Table3[[#This Row],[Object ID]],5,LEN(Table3[[#This Row],[Object ID]])-4),"")</f>
        <v>fig-dm-primarydx-hosp-rande-aar</v>
      </c>
    </row>
    <row r="81" spans="1:8" x14ac:dyDescent="0.2">
      <c r="A81" t="s">
        <v>8</v>
      </c>
      <c r="B81">
        <v>80</v>
      </c>
      <c r="C81" t="s">
        <v>9</v>
      </c>
      <c r="E81" t="s">
        <v>246</v>
      </c>
      <c r="F81" t="s">
        <v>247</v>
      </c>
      <c r="G81" s="7" t="s">
        <v>248</v>
      </c>
      <c r="H81" s="7" t="str">
        <f>IF(LEFT(Table3[[#This Row],[Object ID]],4)="tbl-","fig-" &amp; MID(Table3[[#This Row],[Object ID]],5,LEN(Table3[[#This Row],[Object ID]])-4),"")</f>
        <v>fig-dm-count-rate-age-rande-zip</v>
      </c>
    </row>
    <row r="82" spans="1:8" x14ac:dyDescent="0.2">
      <c r="A82" t="s">
        <v>8</v>
      </c>
      <c r="B82">
        <v>81</v>
      </c>
      <c r="C82" t="s">
        <v>16</v>
      </c>
      <c r="E82" t="s">
        <v>249</v>
      </c>
      <c r="F82" t="s">
        <v>250</v>
      </c>
      <c r="G82" s="7" t="s">
        <v>251</v>
      </c>
      <c r="H82" s="7" t="str">
        <f>IF(LEFT(Table3[[#This Row],[Object ID]],4)="tbl-","fig-" &amp; MID(Table3[[#This Row],[Object ID]],5,LEN(Table3[[#This Row],[Object ID]])-4),"")</f>
        <v>fig-dm-mortal-aar</v>
      </c>
    </row>
    <row r="83" spans="1:8" x14ac:dyDescent="0.2">
      <c r="A83" t="s">
        <v>8</v>
      </c>
      <c r="B83">
        <v>82</v>
      </c>
      <c r="C83" t="s">
        <v>16</v>
      </c>
      <c r="E83" t="s">
        <v>252</v>
      </c>
      <c r="F83" t="s">
        <v>253</v>
      </c>
      <c r="G83" s="7" t="s">
        <v>254</v>
      </c>
      <c r="H83" s="7" t="str">
        <f>IF(LEFT(Table3[[#This Row],[Object ID]],4)="tbl-","fig-" &amp; MID(Table3[[#This Row],[Object ID]],5,LEN(Table3[[#This Row],[Object ID]])-4),"")</f>
        <v>fig-dm-mortal-sex-aar</v>
      </c>
    </row>
    <row r="84" spans="1:8" x14ac:dyDescent="0.2">
      <c r="A84" t="s">
        <v>8</v>
      </c>
      <c r="B84">
        <v>83</v>
      </c>
      <c r="C84" t="s">
        <v>16</v>
      </c>
      <c r="E84" t="s">
        <v>255</v>
      </c>
      <c r="F84" t="s">
        <v>256</v>
      </c>
      <c r="G84" s="7" t="s">
        <v>257</v>
      </c>
      <c r="H84" s="7" t="str">
        <f>IF(LEFT(Table3[[#This Row],[Object ID]],4)="tbl-","fig-" &amp; MID(Table3[[#This Row],[Object ID]],5,LEN(Table3[[#This Row],[Object ID]])-4),"")</f>
        <v>fig-overweight-obese-adult</v>
      </c>
    </row>
    <row r="85" spans="1:8" x14ac:dyDescent="0.2">
      <c r="A85" t="s">
        <v>8</v>
      </c>
      <c r="B85">
        <v>84</v>
      </c>
      <c r="C85" t="s">
        <v>16</v>
      </c>
      <c r="E85" t="s">
        <v>258</v>
      </c>
      <c r="F85" t="s">
        <v>259</v>
      </c>
      <c r="G85" s="7" t="s">
        <v>260</v>
      </c>
      <c r="H85" s="7" t="str">
        <f>IF(LEFT(Table3[[#This Row],[Object ID]],4)="tbl-","fig-" &amp; MID(Table3[[#This Row],[Object ID]],5,LEN(Table3[[#This Row],[Object ID]])-4),"")</f>
        <v>fig-obese-adult</v>
      </c>
    </row>
    <row r="86" spans="1:8" x14ac:dyDescent="0.2">
      <c r="A86" t="s">
        <v>8</v>
      </c>
      <c r="B86">
        <v>85</v>
      </c>
      <c r="C86" t="s">
        <v>16</v>
      </c>
      <c r="E86" t="s">
        <v>261</v>
      </c>
      <c r="F86" t="s">
        <v>262</v>
      </c>
      <c r="G86" s="7" t="s">
        <v>263</v>
      </c>
      <c r="H86" s="7" t="str">
        <f>IF(LEFT(Table3[[#This Row],[Object ID]],4)="tbl-","fig-" &amp; MID(Table3[[#This Row],[Object ID]],5,LEN(Table3[[#This Row],[Object ID]])-4),"")</f>
        <v>fig-obese-child</v>
      </c>
    </row>
    <row r="87" spans="1:8" x14ac:dyDescent="0.2">
      <c r="A87" t="s">
        <v>8</v>
      </c>
      <c r="B87">
        <v>86</v>
      </c>
      <c r="C87" t="s">
        <v>9</v>
      </c>
      <c r="E87" t="s">
        <v>264</v>
      </c>
      <c r="F87" t="s">
        <v>265</v>
      </c>
      <c r="G87" s="7" t="s">
        <v>266</v>
      </c>
      <c r="H87" s="7" t="str">
        <f>IF(LEFT(Table3[[#This Row],[Object ID]],4)="tbl-","fig-" &amp; MID(Table3[[#This Row],[Object ID]],5,LEN(Table3[[#This Row],[Object ID]])-4),"")</f>
        <v>fig-liverdz-count-rate-age-rande-zip</v>
      </c>
    </row>
    <row r="88" spans="1:8" x14ac:dyDescent="0.2">
      <c r="A88" t="s">
        <v>8</v>
      </c>
      <c r="B88">
        <v>87</v>
      </c>
      <c r="C88" t="s">
        <v>16</v>
      </c>
      <c r="E88" t="s">
        <v>267</v>
      </c>
      <c r="F88" t="s">
        <v>268</v>
      </c>
      <c r="G88" s="7" t="s">
        <v>269</v>
      </c>
      <c r="H88" s="7" t="str">
        <f>IF(LEFT(Table3[[#This Row],[Object ID]],4)="tbl-","fig-" &amp; MID(Table3[[#This Row],[Object ID]],5,LEN(Table3[[#This Row],[Object ID]])-4),"")</f>
        <v>fig-liverdz-mortal-aar</v>
      </c>
    </row>
    <row r="89" spans="1:8" x14ac:dyDescent="0.2">
      <c r="A89" t="s">
        <v>8</v>
      </c>
      <c r="B89">
        <v>88</v>
      </c>
      <c r="C89" t="s">
        <v>16</v>
      </c>
      <c r="E89" t="s">
        <v>270</v>
      </c>
      <c r="F89" t="s">
        <v>271</v>
      </c>
      <c r="G89" s="7" t="s">
        <v>272</v>
      </c>
      <c r="H89" s="7" t="str">
        <f>IF(LEFT(Table3[[#This Row],[Object ID]],4)="tbl-","fig-" &amp; MID(Table3[[#This Row],[Object ID]],5,LEN(Table3[[#This Row],[Object ID]])-4),"")</f>
        <v>fig-liverdz-mortal-sex-aar</v>
      </c>
    </row>
    <row r="90" spans="1:8" x14ac:dyDescent="0.2">
      <c r="A90" t="s">
        <v>8</v>
      </c>
      <c r="B90">
        <v>89</v>
      </c>
      <c r="C90" t="s">
        <v>16</v>
      </c>
      <c r="E90" t="s">
        <v>273</v>
      </c>
      <c r="F90" t="s">
        <v>274</v>
      </c>
      <c r="G90" s="7" t="s">
        <v>275</v>
      </c>
      <c r="H90" s="7" t="str">
        <f>IF(LEFT(Table3[[#This Row],[Object ID]],4)="tbl-","fig-" &amp; MID(Table3[[#This Row],[Object ID]],5,LEN(Table3[[#This Row],[Object ID]])-4),"")</f>
        <v>fig-ckd-edvisit-aar</v>
      </c>
    </row>
    <row r="91" spans="1:8" x14ac:dyDescent="0.2">
      <c r="A91" t="s">
        <v>8</v>
      </c>
      <c r="B91">
        <v>90</v>
      </c>
      <c r="C91" t="s">
        <v>16</v>
      </c>
      <c r="E91" t="s">
        <v>276</v>
      </c>
      <c r="F91" t="s">
        <v>277</v>
      </c>
      <c r="G91" s="7" t="s">
        <v>278</v>
      </c>
      <c r="H91" s="7" t="str">
        <f>IF(LEFT(Table3[[#This Row],[Object ID]],4)="tbl-","fig-" &amp; MID(Table3[[#This Row],[Object ID]],5,LEN(Table3[[#This Row],[Object ID]])-4),"")</f>
        <v>fig-ckd-hosp-rate</v>
      </c>
    </row>
    <row r="92" spans="1:8" x14ac:dyDescent="0.2">
      <c r="A92" t="s">
        <v>8</v>
      </c>
      <c r="B92">
        <v>91</v>
      </c>
      <c r="C92" t="s">
        <v>16</v>
      </c>
      <c r="E92" t="s">
        <v>279</v>
      </c>
      <c r="F92" t="s">
        <v>280</v>
      </c>
      <c r="G92" s="7" t="s">
        <v>281</v>
      </c>
      <c r="H92" s="7" t="str">
        <f>IF(LEFT(Table3[[#This Row],[Object ID]],4)="tbl-","fig-" &amp; MID(Table3[[#This Row],[Object ID]],5,LEN(Table3[[#This Row],[Object ID]])-4),"")</f>
        <v>fig-allsitesca-incidence-aar</v>
      </c>
    </row>
    <row r="93" spans="1:8" x14ac:dyDescent="0.2">
      <c r="A93" t="s">
        <v>8</v>
      </c>
      <c r="B93">
        <v>92</v>
      </c>
      <c r="C93" t="s">
        <v>16</v>
      </c>
      <c r="E93" t="s">
        <v>282</v>
      </c>
      <c r="F93" t="s">
        <v>283</v>
      </c>
      <c r="G93" s="7" t="s">
        <v>284</v>
      </c>
      <c r="H93" s="7" t="str">
        <f>IF(LEFT(Table3[[#This Row],[Object ID]],4)="tbl-","fig-" &amp; MID(Table3[[#This Row],[Object ID]],5,LEN(Table3[[#This Row],[Object ID]])-4),"")</f>
        <v>fig-allsitesca-incidence-rande-aar</v>
      </c>
    </row>
    <row r="94" spans="1:8" x14ac:dyDescent="0.2">
      <c r="A94" t="s">
        <v>8</v>
      </c>
      <c r="B94">
        <v>93</v>
      </c>
      <c r="C94" t="s">
        <v>9</v>
      </c>
      <c r="E94" t="s">
        <v>285</v>
      </c>
      <c r="F94" t="s">
        <v>286</v>
      </c>
      <c r="G94" s="7" t="s">
        <v>287</v>
      </c>
      <c r="H94" s="7" t="str">
        <f>IF(LEFT(Table3[[#This Row],[Object ID]],4)="tbl-","fig-" &amp; MID(Table3[[#This Row],[Object ID]],5,LEN(Table3[[#This Row],[Object ID]])-4),"")</f>
        <v>fig-neoplasm-count-rate-age-rande-zip</v>
      </c>
    </row>
    <row r="95" spans="1:8" x14ac:dyDescent="0.2">
      <c r="A95" t="s">
        <v>8</v>
      </c>
      <c r="B95">
        <v>94</v>
      </c>
      <c r="C95" t="s">
        <v>16</v>
      </c>
      <c r="E95" t="s">
        <v>288</v>
      </c>
      <c r="F95" t="s">
        <v>289</v>
      </c>
      <c r="G95" s="7" t="s">
        <v>290</v>
      </c>
      <c r="H95" s="7" t="str">
        <f>IF(LEFT(Table3[[#This Row],[Object ID]],4)="tbl-","fig-" &amp; MID(Table3[[#This Row],[Object ID]],5,LEN(Table3[[#This Row],[Object ID]])-4),"")</f>
        <v>fig-neoplasm-mortal-aar</v>
      </c>
    </row>
    <row r="96" spans="1:8" x14ac:dyDescent="0.2">
      <c r="A96" t="s">
        <v>8</v>
      </c>
      <c r="B96">
        <v>95</v>
      </c>
      <c r="C96" t="s">
        <v>16</v>
      </c>
      <c r="E96" t="s">
        <v>291</v>
      </c>
      <c r="F96" t="s">
        <v>292</v>
      </c>
      <c r="G96" s="7" t="s">
        <v>293</v>
      </c>
      <c r="H96" s="7" t="str">
        <f>IF(LEFT(Table3[[#This Row],[Object ID]],4)="tbl-","fig-" &amp; MID(Table3[[#This Row],[Object ID]],5,LEN(Table3[[#This Row],[Object ID]])-4),"")</f>
        <v>fig-neoplasm-mortal-rande</v>
      </c>
    </row>
    <row r="97" spans="1:8" x14ac:dyDescent="0.2">
      <c r="A97" t="s">
        <v>8</v>
      </c>
      <c r="B97">
        <v>96</v>
      </c>
      <c r="C97" t="s">
        <v>16</v>
      </c>
      <c r="E97" t="s">
        <v>294</v>
      </c>
      <c r="F97" t="s">
        <v>295</v>
      </c>
      <c r="G97" s="7" t="s">
        <v>296</v>
      </c>
      <c r="H97" s="7" t="str">
        <f>IF(LEFT(Table3[[#This Row],[Object ID]],4)="tbl-","fig-" &amp; MID(Table3[[#This Row],[Object ID]],5,LEN(Table3[[#This Row],[Object ID]])-4),"")</f>
        <v>fig-neoplasm-mortal-zip</v>
      </c>
    </row>
    <row r="98" spans="1:8" x14ac:dyDescent="0.2">
      <c r="A98" t="s">
        <v>8</v>
      </c>
      <c r="B98">
        <v>97</v>
      </c>
      <c r="C98" t="s">
        <v>16</v>
      </c>
      <c r="E98" t="s">
        <v>297</v>
      </c>
      <c r="F98" t="s">
        <v>298</v>
      </c>
      <c r="G98" s="7" t="s">
        <v>299</v>
      </c>
      <c r="H98" s="7" t="str">
        <f>IF(LEFT(Table3[[#This Row],[Object ID]],4)="tbl-","fig-" &amp; MID(Table3[[#This Row],[Object ID]],5,LEN(Table3[[#This Row],[Object ID]])-4),"")</f>
        <v>fig-neoplasm-mortal-sex-aar</v>
      </c>
    </row>
    <row r="99" spans="1:8" x14ac:dyDescent="0.2">
      <c r="A99" t="s">
        <v>8</v>
      </c>
      <c r="B99">
        <v>98</v>
      </c>
      <c r="C99" t="s">
        <v>16</v>
      </c>
      <c r="E99" t="s">
        <v>300</v>
      </c>
      <c r="F99" t="s">
        <v>301</v>
      </c>
      <c r="G99" s="7" t="s">
        <v>302</v>
      </c>
      <c r="H99" s="7" t="str">
        <f>IF(LEFT(Table3[[#This Row],[Object ID]],4)="tbl-","fig-" &amp; MID(Table3[[#This Row],[Object ID]],5,LEN(Table3[[#This Row],[Object ID]])-4),"")</f>
        <v>fig-cancerall-mortal-aar-three</v>
      </c>
    </row>
    <row r="100" spans="1:8" x14ac:dyDescent="0.2">
      <c r="A100" t="s">
        <v>8</v>
      </c>
      <c r="B100">
        <v>99</v>
      </c>
      <c r="C100" t="s">
        <v>16</v>
      </c>
      <c r="E100" t="s">
        <v>303</v>
      </c>
      <c r="F100" t="s">
        <v>304</v>
      </c>
      <c r="G100" s="7" t="s">
        <v>305</v>
      </c>
      <c r="H100" s="7" t="str">
        <f>IF(LEFT(Table3[[#This Row],[Object ID]],4)="tbl-","fig-" &amp; MID(Table3[[#This Row],[Object ID]],5,LEN(Table3[[#This Row],[Object ID]])-4),"")</f>
        <v>fig-cancerall-mortal-aar-five</v>
      </c>
    </row>
    <row r="101" spans="1:8" x14ac:dyDescent="0.2">
      <c r="A101" t="s">
        <v>8</v>
      </c>
      <c r="B101">
        <v>100</v>
      </c>
      <c r="C101" t="s">
        <v>16</v>
      </c>
      <c r="E101" t="s">
        <v>306</v>
      </c>
      <c r="F101" t="s">
        <v>307</v>
      </c>
      <c r="G101" s="7" t="s">
        <v>308</v>
      </c>
      <c r="H101" s="7" t="str">
        <f>IF(LEFT(Table3[[#This Row],[Object ID]],4)="tbl-","fig-" &amp; MID(Table3[[#This Row],[Object ID]],5,LEN(Table3[[#This Row],[Object ID]])-4),"")</f>
        <v>fig-cancerall-incidence-rande-aar-five</v>
      </c>
    </row>
    <row r="102" spans="1:8" x14ac:dyDescent="0.2">
      <c r="A102" t="s">
        <v>8</v>
      </c>
      <c r="B102">
        <v>101</v>
      </c>
      <c r="C102" t="s">
        <v>16</v>
      </c>
      <c r="E102" s="19" t="s">
        <v>309</v>
      </c>
      <c r="F102" t="s">
        <v>310</v>
      </c>
      <c r="G102" s="7" t="s">
        <v>311</v>
      </c>
      <c r="H102" s="7" t="str">
        <f>IF(LEFT(Table3[[#This Row],[Object ID]],4)="tbl-","fig-" &amp; MID(Table3[[#This Row],[Object ID]],5,LEN(Table3[[#This Row],[Object ID]])-4),"")</f>
        <v>fig-lungbronchus-incidence-aar-single</v>
      </c>
    </row>
    <row r="103" spans="1:8" x14ac:dyDescent="0.2">
      <c r="A103" t="s">
        <v>8</v>
      </c>
      <c r="B103">
        <v>102</v>
      </c>
      <c r="C103" t="s">
        <v>16</v>
      </c>
      <c r="E103" t="s">
        <v>312</v>
      </c>
      <c r="F103" t="s">
        <v>313</v>
      </c>
      <c r="G103" s="7" t="s">
        <v>314</v>
      </c>
      <c r="H103" s="7" t="str">
        <f>IF(LEFT(Table3[[#This Row],[Object ID]],4)="tbl-","fig-" &amp; MID(Table3[[#This Row],[Object ID]],5,LEN(Table3[[#This Row],[Object ID]])-4),"")</f>
        <v>fig-lungbronchus-incidence-aar-five</v>
      </c>
    </row>
    <row r="104" spans="1:8" x14ac:dyDescent="0.2">
      <c r="A104" t="s">
        <v>8</v>
      </c>
      <c r="B104">
        <v>103</v>
      </c>
      <c r="C104" t="s">
        <v>16</v>
      </c>
      <c r="E104" t="s">
        <v>315</v>
      </c>
      <c r="F104" t="s">
        <v>316</v>
      </c>
      <c r="G104" s="7" t="s">
        <v>317</v>
      </c>
      <c r="H104" s="7" t="str">
        <f>IF(LEFT(Table3[[#This Row],[Object ID]],4)="tbl-","fig-" &amp; MID(Table3[[#This Row],[Object ID]],5,LEN(Table3[[#This Row],[Object ID]])-4),"")</f>
        <v>fig-lungbronchus-incidence-rande-aar-five</v>
      </c>
    </row>
    <row r="105" spans="1:8" x14ac:dyDescent="0.2">
      <c r="A105" t="s">
        <v>8</v>
      </c>
      <c r="B105">
        <v>104</v>
      </c>
      <c r="C105" t="s">
        <v>16</v>
      </c>
      <c r="E105" s="19" t="s">
        <v>318</v>
      </c>
      <c r="F105" t="s">
        <v>319</v>
      </c>
      <c r="G105" s="7" t="s">
        <v>320</v>
      </c>
      <c r="H105" s="7" t="str">
        <f>IF(LEFT(Table3[[#This Row],[Object ID]],4)="tbl-","fig-" &amp; MID(Table3[[#This Row],[Object ID]],5,LEN(Table3[[#This Row],[Object ID]])-4),"")</f>
        <v>fig-lungbronchus-mortal-aar-single</v>
      </c>
    </row>
    <row r="106" spans="1:8" x14ac:dyDescent="0.2">
      <c r="A106" t="s">
        <v>8</v>
      </c>
      <c r="B106">
        <v>105</v>
      </c>
      <c r="C106" t="s">
        <v>16</v>
      </c>
      <c r="E106" t="s">
        <v>321</v>
      </c>
      <c r="F106" t="s">
        <v>322</v>
      </c>
      <c r="G106" s="7" t="s">
        <v>323</v>
      </c>
      <c r="H106" s="7" t="str">
        <f>IF(LEFT(Table3[[#This Row],[Object ID]],4)="tbl-","fig-" &amp; MID(Table3[[#This Row],[Object ID]],5,LEN(Table3[[#This Row],[Object ID]])-4),"")</f>
        <v>fig-lungbronchus-mortal-aar-five</v>
      </c>
    </row>
    <row r="107" spans="1:8" x14ac:dyDescent="0.2">
      <c r="A107" t="s">
        <v>8</v>
      </c>
      <c r="B107">
        <v>106</v>
      </c>
      <c r="C107" t="s">
        <v>16</v>
      </c>
      <c r="E107" t="s">
        <v>324</v>
      </c>
      <c r="F107" t="s">
        <v>325</v>
      </c>
      <c r="G107" s="7" t="s">
        <v>326</v>
      </c>
      <c r="H107" s="7" t="str">
        <f>IF(LEFT(Table3[[#This Row],[Object ID]],4)="tbl-","fig-" &amp; MID(Table3[[#This Row],[Object ID]],5,LEN(Table3[[#This Row],[Object ID]])-4),"")</f>
        <v>fig-lungbronchus-mortal-rande-aar-five</v>
      </c>
    </row>
    <row r="108" spans="1:8" x14ac:dyDescent="0.2">
      <c r="A108" t="s">
        <v>8</v>
      </c>
      <c r="B108">
        <v>107</v>
      </c>
      <c r="C108" t="s">
        <v>16</v>
      </c>
      <c r="E108" t="s">
        <v>327</v>
      </c>
      <c r="F108" t="s">
        <v>328</v>
      </c>
      <c r="G108" s="7" t="s">
        <v>329</v>
      </c>
      <c r="H108" s="7" t="str">
        <f>IF(LEFT(Table3[[#This Row],[Object ID]],4)="tbl-","fig-" &amp; MID(Table3[[#This Row],[Object ID]],5,LEN(Table3[[#This Row],[Object ID]])-4),"")</f>
        <v>fig-colonrectum-incidence-aar-five</v>
      </c>
    </row>
    <row r="109" spans="1:8" x14ac:dyDescent="0.2">
      <c r="A109" t="s">
        <v>8</v>
      </c>
      <c r="B109">
        <v>108</v>
      </c>
      <c r="C109" t="s">
        <v>16</v>
      </c>
      <c r="E109" t="s">
        <v>330</v>
      </c>
      <c r="F109" t="s">
        <v>331</v>
      </c>
      <c r="G109" s="7" t="s">
        <v>332</v>
      </c>
      <c r="H109" s="7" t="str">
        <f>IF(LEFT(Table3[[#This Row],[Object ID]],4)="tbl-","fig-" &amp; MID(Table3[[#This Row],[Object ID]],5,LEN(Table3[[#This Row],[Object ID]])-4),"")</f>
        <v>fig-colonrectum-incidence-rande-aar-five</v>
      </c>
    </row>
    <row r="110" spans="1:8" x14ac:dyDescent="0.2">
      <c r="A110" t="s">
        <v>8</v>
      </c>
      <c r="B110">
        <v>109</v>
      </c>
      <c r="C110" t="s">
        <v>16</v>
      </c>
      <c r="E110" t="s">
        <v>333</v>
      </c>
      <c r="F110" t="s">
        <v>334</v>
      </c>
      <c r="G110" s="7" t="s">
        <v>335</v>
      </c>
      <c r="H110" s="7" t="str">
        <f>IF(LEFT(Table3[[#This Row],[Object ID]],4)="tbl-","fig-" &amp; MID(Table3[[#This Row],[Object ID]],5,LEN(Table3[[#This Row],[Object ID]])-4),"")</f>
        <v>fig-colonrectum-mortal-aar-five</v>
      </c>
    </row>
    <row r="111" spans="1:8" x14ac:dyDescent="0.2">
      <c r="A111" t="s">
        <v>8</v>
      </c>
      <c r="B111">
        <v>110</v>
      </c>
      <c r="C111" t="s">
        <v>16</v>
      </c>
      <c r="E111" t="s">
        <v>336</v>
      </c>
      <c r="F111" t="s">
        <v>337</v>
      </c>
      <c r="G111" s="7" t="s">
        <v>338</v>
      </c>
      <c r="H111" s="7" t="str">
        <f>IF(LEFT(Table3[[#This Row],[Object ID]],4)="tbl-","fig-" &amp; MID(Table3[[#This Row],[Object ID]],5,LEN(Table3[[#This Row],[Object ID]])-4),"")</f>
        <v>fig-colonrectum-mortal-rande-aar-five</v>
      </c>
    </row>
    <row r="112" spans="1:8" x14ac:dyDescent="0.2">
      <c r="A112" t="s">
        <v>8</v>
      </c>
      <c r="B112">
        <v>111</v>
      </c>
      <c r="C112" t="s">
        <v>16</v>
      </c>
      <c r="E112" s="19" t="s">
        <v>339</v>
      </c>
      <c r="F112" t="s">
        <v>340</v>
      </c>
      <c r="G112" s="7" t="s">
        <v>341</v>
      </c>
      <c r="H112" s="7" t="str">
        <f>IF(LEFT(Table3[[#This Row],[Object ID]],4)="tbl-","fig-" &amp; MID(Table3[[#This Row],[Object ID]],5,LEN(Table3[[#This Row],[Object ID]])-4),"")</f>
        <v>fig-femalebreast-incidence-aar-single</v>
      </c>
    </row>
    <row r="113" spans="1:8" x14ac:dyDescent="0.2">
      <c r="A113" t="s">
        <v>8</v>
      </c>
      <c r="B113">
        <v>112</v>
      </c>
      <c r="C113" t="s">
        <v>16</v>
      </c>
      <c r="E113" t="s">
        <v>342</v>
      </c>
      <c r="F113" t="s">
        <v>343</v>
      </c>
      <c r="G113" s="7" t="s">
        <v>344</v>
      </c>
      <c r="H113" s="7" t="str">
        <f>IF(LEFT(Table3[[#This Row],[Object ID]],4)="tbl-","fig-" &amp; MID(Table3[[#This Row],[Object ID]],5,LEN(Table3[[#This Row],[Object ID]])-4),"")</f>
        <v>fig-femalebreast-incidence-aar-five</v>
      </c>
    </row>
    <row r="114" spans="1:8" x14ac:dyDescent="0.2">
      <c r="A114" t="s">
        <v>8</v>
      </c>
      <c r="B114">
        <v>113</v>
      </c>
      <c r="C114" t="s">
        <v>16</v>
      </c>
      <c r="E114" t="s">
        <v>345</v>
      </c>
      <c r="F114" t="s">
        <v>346</v>
      </c>
      <c r="G114" s="7" t="s">
        <v>347</v>
      </c>
      <c r="H114" s="7" t="str">
        <f>IF(LEFT(Table3[[#This Row],[Object ID]],4)="tbl-","fig-" &amp; MID(Table3[[#This Row],[Object ID]],5,LEN(Table3[[#This Row],[Object ID]])-4),"")</f>
        <v>fig-femalebreast-incidence-rande-aar-five</v>
      </c>
    </row>
    <row r="115" spans="1:8" x14ac:dyDescent="0.2">
      <c r="A115" t="s">
        <v>8</v>
      </c>
      <c r="B115">
        <v>114</v>
      </c>
      <c r="C115" t="s">
        <v>16</v>
      </c>
      <c r="E115" s="19" t="s">
        <v>348</v>
      </c>
      <c r="F115" t="s">
        <v>349</v>
      </c>
      <c r="G115" s="7" t="s">
        <v>350</v>
      </c>
      <c r="H115" s="7" t="str">
        <f>IF(LEFT(Table3[[#This Row],[Object ID]],4)="tbl-","fig-" &amp; MID(Table3[[#This Row],[Object ID]],5,LEN(Table3[[#This Row],[Object ID]])-4),"")</f>
        <v>fig-femalebreast-mortal-aar-single</v>
      </c>
    </row>
    <row r="116" spans="1:8" x14ac:dyDescent="0.2">
      <c r="A116" t="s">
        <v>8</v>
      </c>
      <c r="B116">
        <v>115</v>
      </c>
      <c r="C116" t="s">
        <v>16</v>
      </c>
      <c r="E116" t="s">
        <v>351</v>
      </c>
      <c r="F116" t="s">
        <v>352</v>
      </c>
      <c r="G116" s="7" t="s">
        <v>353</v>
      </c>
      <c r="H116" s="7" t="str">
        <f>IF(LEFT(Table3[[#This Row],[Object ID]],4)="tbl-","fig-" &amp; MID(Table3[[#This Row],[Object ID]],5,LEN(Table3[[#This Row],[Object ID]])-4),"")</f>
        <v>fig-femalebreast-mortal-aar-five</v>
      </c>
    </row>
    <row r="117" spans="1:8" x14ac:dyDescent="0.2">
      <c r="A117" t="s">
        <v>8</v>
      </c>
      <c r="B117">
        <v>116</v>
      </c>
      <c r="C117" t="s">
        <v>16</v>
      </c>
      <c r="E117" t="s">
        <v>354</v>
      </c>
      <c r="F117" t="s">
        <v>355</v>
      </c>
      <c r="G117" s="7" t="s">
        <v>356</v>
      </c>
      <c r="H117" s="7" t="str">
        <f>IF(LEFT(Table3[[#This Row],[Object ID]],4)="tbl-","fig-" &amp; MID(Table3[[#This Row],[Object ID]],5,LEN(Table3[[#This Row],[Object ID]])-4),"")</f>
        <v>fig-femalebreast-mortal-rande-aar-five</v>
      </c>
    </row>
    <row r="118" spans="1:8" x14ac:dyDescent="0.2">
      <c r="A118" t="s">
        <v>8</v>
      </c>
      <c r="B118">
        <v>117</v>
      </c>
      <c r="C118" t="s">
        <v>16</v>
      </c>
      <c r="E118" s="19" t="s">
        <v>357</v>
      </c>
      <c r="F118" t="s">
        <v>358</v>
      </c>
      <c r="G118" s="7" t="s">
        <v>359</v>
      </c>
      <c r="H118" s="7" t="str">
        <f>IF(LEFT(Table3[[#This Row],[Object ID]],4)="tbl-","fig-" &amp; MID(Table3[[#This Row],[Object ID]],5,LEN(Table3[[#This Row],[Object ID]])-4),"")</f>
        <v>fig-cervixuteri-incidence-aar-single</v>
      </c>
    </row>
    <row r="119" spans="1:8" x14ac:dyDescent="0.2">
      <c r="A119" t="s">
        <v>8</v>
      </c>
      <c r="B119">
        <v>118</v>
      </c>
      <c r="C119" t="s">
        <v>16</v>
      </c>
      <c r="E119" t="s">
        <v>360</v>
      </c>
      <c r="F119" t="s">
        <v>361</v>
      </c>
      <c r="G119" s="7" t="s">
        <v>362</v>
      </c>
      <c r="H119" s="7" t="str">
        <f>IF(LEFT(Table3[[#This Row],[Object ID]],4)="tbl-","fig-" &amp; MID(Table3[[#This Row],[Object ID]],5,LEN(Table3[[#This Row],[Object ID]])-4),"")</f>
        <v>fig-cervixuteri-incidence-aar-five</v>
      </c>
    </row>
    <row r="120" spans="1:8" x14ac:dyDescent="0.2">
      <c r="A120" t="s">
        <v>8</v>
      </c>
      <c r="B120">
        <v>119</v>
      </c>
      <c r="C120" t="s">
        <v>16</v>
      </c>
      <c r="E120" s="19" t="s">
        <v>363</v>
      </c>
      <c r="F120" t="s">
        <v>364</v>
      </c>
      <c r="G120" s="7" t="s">
        <v>365</v>
      </c>
      <c r="H120" s="7" t="str">
        <f>IF(LEFT(Table3[[#This Row],[Object ID]],4)="tbl-","fig-" &amp; MID(Table3[[#This Row],[Object ID]],5,LEN(Table3[[#This Row],[Object ID]])-4),"")</f>
        <v>fig-cervixuteri-mortal-aar-single</v>
      </c>
    </row>
    <row r="121" spans="1:8" x14ac:dyDescent="0.2">
      <c r="A121" t="s">
        <v>8</v>
      </c>
      <c r="B121">
        <v>120</v>
      </c>
      <c r="C121" t="s">
        <v>16</v>
      </c>
      <c r="E121" t="s">
        <v>366</v>
      </c>
      <c r="F121" t="s">
        <v>367</v>
      </c>
      <c r="G121" s="7" t="s">
        <v>368</v>
      </c>
      <c r="H121" s="7" t="str">
        <f>IF(LEFT(Table3[[#This Row],[Object ID]],4)="tbl-","fig-" &amp; MID(Table3[[#This Row],[Object ID]],5,LEN(Table3[[#This Row],[Object ID]])-4),"")</f>
        <v>fig-cervixuteri-mortal-aar-five</v>
      </c>
    </row>
    <row r="122" spans="1:8" x14ac:dyDescent="0.2">
      <c r="A122" t="s">
        <v>8</v>
      </c>
      <c r="B122">
        <v>121</v>
      </c>
      <c r="C122" t="s">
        <v>16</v>
      </c>
      <c r="E122" s="19" t="s">
        <v>369</v>
      </c>
      <c r="F122" t="s">
        <v>370</v>
      </c>
      <c r="G122" s="7" t="s">
        <v>371</v>
      </c>
      <c r="H122" s="7" t="str">
        <f>IF(LEFT(Table3[[#This Row],[Object ID]],4)="tbl-","fig-" &amp; MID(Table3[[#This Row],[Object ID]],5,LEN(Table3[[#This Row],[Object ID]])-4),"")</f>
        <v>fig-prostate-incidence-aar-single</v>
      </c>
    </row>
    <row r="123" spans="1:8" x14ac:dyDescent="0.2">
      <c r="A123" t="s">
        <v>8</v>
      </c>
      <c r="B123">
        <v>122</v>
      </c>
      <c r="C123" t="s">
        <v>16</v>
      </c>
      <c r="E123" t="s">
        <v>372</v>
      </c>
      <c r="F123" t="s">
        <v>373</v>
      </c>
      <c r="G123" s="7" t="s">
        <v>374</v>
      </c>
      <c r="H123" s="7" t="str">
        <f>IF(LEFT(Table3[[#This Row],[Object ID]],4)="tbl-","fig-" &amp; MID(Table3[[#This Row],[Object ID]],5,LEN(Table3[[#This Row],[Object ID]])-4),"")</f>
        <v>fig-prostate-incidence-aar-five</v>
      </c>
    </row>
    <row r="124" spans="1:8" x14ac:dyDescent="0.2">
      <c r="A124" t="s">
        <v>8</v>
      </c>
      <c r="B124">
        <v>123</v>
      </c>
      <c r="C124" t="s">
        <v>16</v>
      </c>
      <c r="E124" t="s">
        <v>375</v>
      </c>
      <c r="F124" t="s">
        <v>376</v>
      </c>
      <c r="G124" s="7" t="s">
        <v>377</v>
      </c>
      <c r="H124" s="7" t="str">
        <f>IF(LEFT(Table3[[#This Row],[Object ID]],4)="tbl-","fig-" &amp; MID(Table3[[#This Row],[Object ID]],5,LEN(Table3[[#This Row],[Object ID]])-4),"")</f>
        <v>fig-prostate-incidence-rande-aar-five</v>
      </c>
    </row>
    <row r="125" spans="1:8" x14ac:dyDescent="0.2">
      <c r="A125" t="s">
        <v>8</v>
      </c>
      <c r="B125">
        <v>124</v>
      </c>
      <c r="C125" t="s">
        <v>16</v>
      </c>
      <c r="E125" t="s">
        <v>378</v>
      </c>
      <c r="F125" t="s">
        <v>379</v>
      </c>
      <c r="G125" s="7" t="s">
        <v>380</v>
      </c>
      <c r="H125" s="7" t="str">
        <f>IF(LEFT(Table3[[#This Row],[Object ID]],4)="tbl-","fig-" &amp; MID(Table3[[#This Row],[Object ID]],5,LEN(Table3[[#This Row],[Object ID]])-4),"")</f>
        <v>fig-prostate-mortal-aar-single</v>
      </c>
    </row>
    <row r="126" spans="1:8" x14ac:dyDescent="0.2">
      <c r="A126" t="s">
        <v>8</v>
      </c>
      <c r="B126">
        <v>125</v>
      </c>
      <c r="C126" t="s">
        <v>16</v>
      </c>
      <c r="E126" t="s">
        <v>381</v>
      </c>
      <c r="F126" t="s">
        <v>382</v>
      </c>
      <c r="G126" s="7" t="s">
        <v>383</v>
      </c>
      <c r="H126" s="7" t="str">
        <f>IF(LEFT(Table3[[#This Row],[Object ID]],4)="tbl-","fig-" &amp; MID(Table3[[#This Row],[Object ID]],5,LEN(Table3[[#This Row],[Object ID]])-4),"")</f>
        <v>fig-prostate-mortal-aar-five</v>
      </c>
    </row>
    <row r="127" spans="1:8" x14ac:dyDescent="0.2">
      <c r="A127" t="s">
        <v>8</v>
      </c>
      <c r="B127">
        <v>126</v>
      </c>
      <c r="C127" t="s">
        <v>16</v>
      </c>
      <c r="E127" t="s">
        <v>384</v>
      </c>
      <c r="F127" t="s">
        <v>385</v>
      </c>
      <c r="G127" s="7" t="s">
        <v>386</v>
      </c>
      <c r="H127" s="7" t="str">
        <f>IF(LEFT(Table3[[#This Row],[Object ID]],4)="tbl-","fig-" &amp; MID(Table3[[#This Row],[Object ID]],5,LEN(Table3[[#This Row],[Object ID]])-4),"")</f>
        <v>fig-prostate-mortal-rande-aar-five</v>
      </c>
    </row>
    <row r="128" spans="1:8" x14ac:dyDescent="0.2">
      <c r="C128" t="s">
        <v>9</v>
      </c>
      <c r="E128" t="s">
        <v>387</v>
      </c>
      <c r="F128" t="s">
        <v>388</v>
      </c>
      <c r="G128" s="7" t="s">
        <v>389</v>
      </c>
      <c r="H128" s="7" t="str">
        <f>IF(LEFT(Table3[[#This Row],[Object ID]],4)="tbl-","fig-" &amp; MID(Table3[[#This Row],[Object ID]],5,LEN(Table3[[#This Row],[Object ID]])-4),"")</f>
        <v>fig-cd-count-rate</v>
      </c>
    </row>
    <row r="129" spans="1:8" x14ac:dyDescent="0.2">
      <c r="C129" t="s">
        <v>16</v>
      </c>
      <c r="E129" t="s">
        <v>390</v>
      </c>
      <c r="F129" t="s">
        <v>391</v>
      </c>
      <c r="G129" s="22" t="s">
        <v>392</v>
      </c>
      <c r="H129" s="7" t="str">
        <f>IF(LEFT(Table3[[#This Row],[Object ID]],4)="tbl-","fig-" &amp; MID(Table3[[#This Row],[Object ID]],5,LEN(Table3[[#This Row],[Object ID]])-4),"")</f>
        <v>fig-hepatitisa-rate</v>
      </c>
    </row>
    <row r="130" spans="1:8" x14ac:dyDescent="0.2">
      <c r="A130" t="s">
        <v>8</v>
      </c>
      <c r="B130">
        <v>127</v>
      </c>
      <c r="C130" t="s">
        <v>16</v>
      </c>
      <c r="E130" t="s">
        <v>393</v>
      </c>
      <c r="F130" t="s">
        <v>394</v>
      </c>
      <c r="G130" s="21" t="s">
        <v>395</v>
      </c>
      <c r="H130" s="7" t="str">
        <f>IF(LEFT(Table3[[#This Row],[Object ID]],4)="tbl-","fig-" &amp; MID(Table3[[#This Row],[Object ID]],5,LEN(Table3[[#This Row],[Object ID]])-4),"")</f>
        <v>fig-hepatitisb-chronic-rate</v>
      </c>
    </row>
    <row r="131" spans="1:8" x14ac:dyDescent="0.2">
      <c r="A131" t="s">
        <v>8</v>
      </c>
      <c r="B131">
        <v>128</v>
      </c>
      <c r="C131" t="s">
        <v>16</v>
      </c>
      <c r="E131" t="s">
        <v>396</v>
      </c>
      <c r="F131" t="s">
        <v>397</v>
      </c>
      <c r="G131" s="7" t="s">
        <v>398</v>
      </c>
      <c r="H131" s="7" t="str">
        <f>IF(LEFT(Table3[[#This Row],[Object ID]],4)="tbl-","fig-" &amp; MID(Table3[[#This Row],[Object ID]],5,LEN(Table3[[#This Row],[Object ID]])-4),"")</f>
        <v>fig-hepatitisc-acute-rate</v>
      </c>
    </row>
    <row r="132" spans="1:8" x14ac:dyDescent="0.2">
      <c r="A132" t="s">
        <v>8</v>
      </c>
      <c r="B132">
        <v>129</v>
      </c>
      <c r="C132" t="s">
        <v>16</v>
      </c>
      <c r="E132" t="s">
        <v>399</v>
      </c>
      <c r="F132" t="s">
        <v>400</v>
      </c>
      <c r="G132" s="21" t="s">
        <v>401</v>
      </c>
      <c r="H132" s="7" t="str">
        <f>IF(LEFT(Table3[[#This Row],[Object ID]],4)="tbl-","fig-" &amp; MID(Table3[[#This Row],[Object ID]],5,LEN(Table3[[#This Row],[Object ID]])-4),"")</f>
        <v>fig-hepatitisc-chronic-rate</v>
      </c>
    </row>
    <row r="133" spans="1:8" x14ac:dyDescent="0.2">
      <c r="A133" t="s">
        <v>8</v>
      </c>
      <c r="B133">
        <v>130</v>
      </c>
      <c r="C133" t="s">
        <v>9</v>
      </c>
      <c r="E133" t="s">
        <v>402</v>
      </c>
      <c r="F133" t="s">
        <v>403</v>
      </c>
      <c r="G133" s="22" t="s">
        <v>404</v>
      </c>
      <c r="H133" s="7" t="str">
        <f>IF(LEFT(Table3[[#This Row],[Object ID]],4)="tbl-","fig-" &amp; MID(Table3[[#This Row],[Object ID]],5,LEN(Table3[[#This Row],[Object ID]])-4),"")</f>
        <v>fig-chlamydia-count-rate-sex-rande-age-zip</v>
      </c>
    </row>
    <row r="134" spans="1:8" x14ac:dyDescent="0.2">
      <c r="A134" t="s">
        <v>8</v>
      </c>
      <c r="B134">
        <v>131</v>
      </c>
      <c r="C134" t="s">
        <v>16</v>
      </c>
      <c r="E134" t="s">
        <v>405</v>
      </c>
      <c r="F134" t="s">
        <v>406</v>
      </c>
      <c r="G134" s="21" t="s">
        <v>407</v>
      </c>
      <c r="H134" s="7" t="str">
        <f>IF(LEFT(Table3[[#This Row],[Object ID]],4)="tbl-","fig-" &amp; MID(Table3[[#This Row],[Object ID]],5,LEN(Table3[[#This Row],[Object ID]])-4),"")</f>
        <v>fig-chlamydia-aar</v>
      </c>
    </row>
    <row r="135" spans="1:8" x14ac:dyDescent="0.2">
      <c r="A135" t="s">
        <v>8</v>
      </c>
      <c r="B135">
        <v>132</v>
      </c>
      <c r="C135" t="s">
        <v>16</v>
      </c>
      <c r="E135" t="s">
        <v>408</v>
      </c>
      <c r="F135" t="s">
        <v>409</v>
      </c>
      <c r="G135" s="7" t="s">
        <v>410</v>
      </c>
      <c r="H135" s="7" t="str">
        <f>IF(LEFT(Table3[[#This Row],[Object ID]],4)="tbl-","fig-" &amp; MID(Table3[[#This Row],[Object ID]],5,LEN(Table3[[#This Row],[Object ID]])-4),"")</f>
        <v>fig-chlamydia-rande</v>
      </c>
    </row>
    <row r="136" spans="1:8" x14ac:dyDescent="0.2">
      <c r="A136" t="s">
        <v>8</v>
      </c>
      <c r="B136">
        <v>133</v>
      </c>
      <c r="C136" t="s">
        <v>9</v>
      </c>
      <c r="E136" t="s">
        <v>411</v>
      </c>
      <c r="F136" t="s">
        <v>412</v>
      </c>
      <c r="G136" s="22" t="s">
        <v>413</v>
      </c>
      <c r="H136" s="7" t="str">
        <f>IF(LEFT(Table3[[#This Row],[Object ID]],4)="tbl-","fig-" &amp; MID(Table3[[#This Row],[Object ID]],5,LEN(Table3[[#This Row],[Object ID]])-4),"")</f>
        <v>fig-gonorrhea-count-rate-sex-rande-age-zip</v>
      </c>
    </row>
    <row r="137" spans="1:8" x14ac:dyDescent="0.2">
      <c r="A137" t="s">
        <v>8</v>
      </c>
      <c r="B137">
        <v>134</v>
      </c>
      <c r="C137" t="s">
        <v>16</v>
      </c>
      <c r="E137" t="s">
        <v>414</v>
      </c>
      <c r="F137" t="s">
        <v>415</v>
      </c>
      <c r="G137" s="21" t="s">
        <v>416</v>
      </c>
      <c r="H137" s="7" t="str">
        <f>IF(LEFT(Table3[[#This Row],[Object ID]],4)="tbl-","fig-" &amp; MID(Table3[[#This Row],[Object ID]],5,LEN(Table3[[#This Row],[Object ID]])-4),"")</f>
        <v>fig-gonorrhea-aar</v>
      </c>
    </row>
    <row r="138" spans="1:8" x14ac:dyDescent="0.2">
      <c r="A138" t="s">
        <v>8</v>
      </c>
      <c r="B138">
        <v>135</v>
      </c>
      <c r="C138" t="s">
        <v>16</v>
      </c>
      <c r="E138" t="s">
        <v>417</v>
      </c>
      <c r="F138" t="s">
        <v>418</v>
      </c>
      <c r="G138" s="7" t="s">
        <v>419</v>
      </c>
      <c r="H138" s="7" t="str">
        <f>IF(LEFT(Table3[[#This Row],[Object ID]],4)="tbl-","fig-" &amp; MID(Table3[[#This Row],[Object ID]],5,LEN(Table3[[#This Row],[Object ID]])-4),"")</f>
        <v>fig-gonorrhea-rande</v>
      </c>
    </row>
    <row r="139" spans="1:8" x14ac:dyDescent="0.2">
      <c r="A139" t="s">
        <v>8</v>
      </c>
      <c r="B139">
        <v>136</v>
      </c>
      <c r="C139" t="s">
        <v>9</v>
      </c>
      <c r="E139" t="s">
        <v>420</v>
      </c>
      <c r="F139" t="s">
        <v>421</v>
      </c>
      <c r="G139" s="21" t="s">
        <v>422</v>
      </c>
      <c r="H139" s="7" t="str">
        <f>IF(LEFT(Table3[[#This Row],[Object ID]],4)="tbl-","fig-" &amp; MID(Table3[[#This Row],[Object ID]],5,LEN(Table3[[#This Row],[Object ID]])-4),"")</f>
        <v>fig-hiv-prevalence-rate-rande-age-sex</v>
      </c>
    </row>
    <row r="140" spans="1:8" x14ac:dyDescent="0.2">
      <c r="A140" t="s">
        <v>8</v>
      </c>
      <c r="B140">
        <v>137</v>
      </c>
      <c r="C140" t="s">
        <v>16</v>
      </c>
      <c r="E140" t="s">
        <v>423</v>
      </c>
      <c r="F140" t="s">
        <v>424</v>
      </c>
      <c r="G140" s="7" t="s">
        <v>425</v>
      </c>
      <c r="H140" s="7" t="str">
        <f>IF(LEFT(Table3[[#This Row],[Object ID]],4)="tbl-","fig-" &amp; MID(Table3[[#This Row],[Object ID]],5,LEN(Table3[[#This Row],[Object ID]])-4),"")</f>
        <v>fig-hiv-aids-incidence-aar</v>
      </c>
    </row>
    <row r="141" spans="1:8" x14ac:dyDescent="0.2">
      <c r="A141" t="s">
        <v>8</v>
      </c>
      <c r="B141">
        <v>138</v>
      </c>
      <c r="C141" t="s">
        <v>16</v>
      </c>
      <c r="E141" t="s">
        <v>426</v>
      </c>
      <c r="F141" t="s">
        <v>427</v>
      </c>
      <c r="G141" s="7" t="s">
        <v>428</v>
      </c>
      <c r="H141" s="7" t="str">
        <f>IF(LEFT(Table3[[#This Row],[Object ID]],4)="tbl-","fig-" &amp; MID(Table3[[#This Row],[Object ID]],5,LEN(Table3[[#This Row],[Object ID]])-4),"")</f>
        <v>fig-hiv-prevalence-transmission-category</v>
      </c>
    </row>
    <row r="142" spans="1:8" x14ac:dyDescent="0.2">
      <c r="A142" t="s">
        <v>8</v>
      </c>
      <c r="B142">
        <v>139</v>
      </c>
      <c r="C142" t="s">
        <v>16</v>
      </c>
      <c r="E142" t="s">
        <v>429</v>
      </c>
      <c r="F142" t="s">
        <v>430</v>
      </c>
      <c r="G142" s="7" t="s">
        <v>431</v>
      </c>
      <c r="H142" s="7" t="str">
        <f>IF(LEFT(Table3[[#This Row],[Object ID]],4)="tbl-","fig-" &amp; MID(Table3[[#This Row],[Object ID]],5,LEN(Table3[[#This Row],[Object ID]])-4),"")</f>
        <v>fig-hiv-linkage-care-rande</v>
      </c>
    </row>
    <row r="143" spans="1:8" x14ac:dyDescent="0.2">
      <c r="A143" t="s">
        <v>8</v>
      </c>
      <c r="B143">
        <v>140</v>
      </c>
      <c r="C143" t="s">
        <v>16</v>
      </c>
      <c r="E143" t="s">
        <v>432</v>
      </c>
      <c r="F143" t="s">
        <v>433</v>
      </c>
      <c r="G143" s="7" t="s">
        <v>434</v>
      </c>
      <c r="H143" s="7" t="str">
        <f>IF(LEFT(Table3[[#This Row],[Object ID]],4)="tbl-","fig-" &amp; MID(Table3[[#This Row],[Object ID]],5,LEN(Table3[[#This Row],[Object ID]])-4),"")</f>
        <v>fig-prep-coverage</v>
      </c>
    </row>
    <row r="144" spans="1:8" x14ac:dyDescent="0.2">
      <c r="A144" t="s">
        <v>8</v>
      </c>
      <c r="B144">
        <v>141</v>
      </c>
      <c r="C144" t="s">
        <v>9</v>
      </c>
      <c r="E144" t="s">
        <v>435</v>
      </c>
      <c r="F144" t="s">
        <v>436</v>
      </c>
      <c r="G144" s="22" t="s">
        <v>437</v>
      </c>
      <c r="H144" s="7" t="str">
        <f>IF(LEFT(Table3[[#This Row],[Object ID]],4)="tbl-","fig-" &amp; MID(Table3[[#This Row],[Object ID]],5,LEN(Table3[[#This Row],[Object ID]])-4),"")</f>
        <v>fig-syphilis-count-rate-sex-rande-age-zip</v>
      </c>
    </row>
    <row r="145" spans="1:8" x14ac:dyDescent="0.2">
      <c r="A145" t="s">
        <v>8</v>
      </c>
      <c r="B145">
        <v>142</v>
      </c>
      <c r="C145" t="s">
        <v>16</v>
      </c>
      <c r="E145" t="s">
        <v>438</v>
      </c>
      <c r="F145" t="s">
        <v>439</v>
      </c>
      <c r="G145" s="21" t="s">
        <v>440</v>
      </c>
      <c r="H145" s="7" t="str">
        <f>IF(LEFT(Table3[[#This Row],[Object ID]],4)="tbl-","fig-" &amp; MID(Table3[[#This Row],[Object ID]],5,LEN(Table3[[#This Row],[Object ID]])-4),"")</f>
        <v>fig-syphilis-early-aar</v>
      </c>
    </row>
    <row r="146" spans="1:8" x14ac:dyDescent="0.2">
      <c r="A146" t="s">
        <v>8</v>
      </c>
      <c r="B146">
        <v>143</v>
      </c>
      <c r="C146" t="s">
        <v>16</v>
      </c>
      <c r="E146" t="s">
        <v>441</v>
      </c>
      <c r="F146" t="s">
        <v>442</v>
      </c>
      <c r="G146" s="7" t="s">
        <v>443</v>
      </c>
      <c r="H146" s="7" t="str">
        <f>IF(LEFT(Table3[[#This Row],[Object ID]],4)="tbl-","fig-" &amp; MID(Table3[[#This Row],[Object ID]],5,LEN(Table3[[#This Row],[Object ID]])-4),"")</f>
        <v>fig-syphilis-rande</v>
      </c>
    </row>
    <row r="147" spans="1:8" x14ac:dyDescent="0.2">
      <c r="A147" t="s">
        <v>8</v>
      </c>
      <c r="B147">
        <v>144</v>
      </c>
      <c r="C147" t="s">
        <v>9</v>
      </c>
      <c r="E147" t="s">
        <v>444</v>
      </c>
      <c r="F147" t="s">
        <v>445</v>
      </c>
      <c r="G147" s="21" t="s">
        <v>446</v>
      </c>
      <c r="H147" s="7" t="str">
        <f>IF(LEFT(Table3[[#This Row],[Object ID]],4)="tbl-","fig-" &amp; MID(Table3[[#This Row],[Object ID]],5,LEN(Table3[[#This Row],[Object ID]])-4),"")</f>
        <v>fig-fertility-rate-age-rande-zip</v>
      </c>
    </row>
    <row r="148" spans="1:8" x14ac:dyDescent="0.2">
      <c r="A148" t="s">
        <v>8</v>
      </c>
      <c r="B148">
        <v>145</v>
      </c>
      <c r="C148" t="s">
        <v>16</v>
      </c>
      <c r="E148" t="s">
        <v>447</v>
      </c>
      <c r="F148" t="s">
        <v>448</v>
      </c>
      <c r="G148" s="21" t="s">
        <v>449</v>
      </c>
      <c r="H148" s="7" t="str">
        <f>IF(LEFT(Table3[[#This Row],[Object ID]],4)="tbl-","fig-" &amp; MID(Table3[[#This Row],[Object ID]],5,LEN(Table3[[#This Row],[Object ID]])-4),"")</f>
        <v>fig-fertility</v>
      </c>
    </row>
    <row r="149" spans="1:8" x14ac:dyDescent="0.2">
      <c r="A149" t="s">
        <v>8</v>
      </c>
      <c r="B149">
        <v>146</v>
      </c>
      <c r="C149" t="s">
        <v>16</v>
      </c>
      <c r="E149" t="s">
        <v>450</v>
      </c>
      <c r="F149" t="s">
        <v>451</v>
      </c>
      <c r="G149" s="7" t="s">
        <v>452</v>
      </c>
      <c r="H149" s="7" t="str">
        <f>IF(LEFT(Table3[[#This Row],[Object ID]],4)="tbl-","fig-" &amp; MID(Table3[[#This Row],[Object ID]],5,LEN(Table3[[#This Row],[Object ID]])-4),"")</f>
        <v>fig-fertility-rande</v>
      </c>
    </row>
    <row r="150" spans="1:8" x14ac:dyDescent="0.2">
      <c r="A150" t="s">
        <v>8</v>
      </c>
      <c r="B150">
        <v>147</v>
      </c>
      <c r="C150" t="s">
        <v>16</v>
      </c>
      <c r="E150" t="s">
        <v>453</v>
      </c>
      <c r="F150" t="s">
        <v>454</v>
      </c>
      <c r="G150" s="21" t="s">
        <v>455</v>
      </c>
      <c r="H150" s="7" t="str">
        <f>IF(LEFT(Table3[[#This Row],[Object ID]],4)="tbl-","fig-" &amp; MID(Table3[[#This Row],[Object ID]],5,LEN(Table3[[#This Row],[Object ID]])-4),"")</f>
        <v>fig-fertility-sex</v>
      </c>
    </row>
    <row r="151" spans="1:8" x14ac:dyDescent="0.2">
      <c r="A151" t="s">
        <v>8</v>
      </c>
      <c r="B151">
        <v>148</v>
      </c>
      <c r="C151" t="s">
        <v>9</v>
      </c>
      <c r="E151" t="s">
        <v>456</v>
      </c>
      <c r="F151" t="s">
        <v>457</v>
      </c>
      <c r="G151" s="7" t="s">
        <v>458</v>
      </c>
      <c r="H151" s="7" t="str">
        <f>IF(LEFT(Table3[[#This Row],[Object ID]],4)="tbl-","fig-" &amp; MID(Table3[[#This Row],[Object ID]],5,LEN(Table3[[#This Row],[Object ID]])-4),"")</f>
        <v>fig-allbirths-under17-age-rande-zip</v>
      </c>
    </row>
    <row r="152" spans="1:8" x14ac:dyDescent="0.2">
      <c r="A152" t="s">
        <v>8</v>
      </c>
      <c r="B152">
        <v>149</v>
      </c>
      <c r="C152" t="s">
        <v>9</v>
      </c>
      <c r="E152" t="s">
        <v>459</v>
      </c>
      <c r="F152" t="s">
        <v>460</v>
      </c>
      <c r="G152" s="7" t="s">
        <v>461</v>
      </c>
      <c r="H152" s="7" t="str">
        <f>IF(LEFT(Table3[[#This Row],[Object ID]],4)="tbl-","fig-" &amp; MID(Table3[[#This Row],[Object ID]],5,LEN(Table3[[#This Row],[Object ID]])-4),"")</f>
        <v>fig-allbirths-medicaid-selfpay-age-rande-zip</v>
      </c>
    </row>
    <row r="153" spans="1:8" x14ac:dyDescent="0.2">
      <c r="A153" t="s">
        <v>8</v>
      </c>
      <c r="B153">
        <v>150</v>
      </c>
      <c r="C153" t="s">
        <v>16</v>
      </c>
      <c r="E153" t="s">
        <v>462</v>
      </c>
      <c r="F153" t="s">
        <v>463</v>
      </c>
      <c r="G153" s="21" t="s">
        <v>464</v>
      </c>
      <c r="H153" s="7" t="str">
        <f>IF(LEFT(Table3[[#This Row],[Object ID]],4)="tbl-","fig-" &amp; MID(Table3[[#This Row],[Object ID]],5,LEN(Table3[[#This Row],[Object ID]])-4),"")</f>
        <v>fig-maternal-mortal</v>
      </c>
    </row>
    <row r="154" spans="1:8" x14ac:dyDescent="0.2">
      <c r="A154" t="s">
        <v>8</v>
      </c>
      <c r="B154">
        <v>151</v>
      </c>
      <c r="C154" t="s">
        <v>16</v>
      </c>
      <c r="E154" t="s">
        <v>465</v>
      </c>
      <c r="F154" t="s">
        <v>466</v>
      </c>
      <c r="G154" s="21" t="s">
        <v>467</v>
      </c>
      <c r="H154" s="7" t="str">
        <f>IF(LEFT(Table3[[#This Row],[Object ID]],4)="tbl-","fig-" &amp; MID(Table3[[#This Row],[Object ID]],5,LEN(Table3[[#This Row],[Object ID]])-4),"")</f>
        <v>fig-child-adolescent-mortal</v>
      </c>
    </row>
    <row r="155" spans="1:8" x14ac:dyDescent="0.2">
      <c r="A155" t="s">
        <v>8</v>
      </c>
      <c r="B155">
        <v>152</v>
      </c>
      <c r="C155" t="s">
        <v>16</v>
      </c>
      <c r="E155" t="s">
        <v>468</v>
      </c>
      <c r="F155" t="s">
        <v>469</v>
      </c>
      <c r="G155" s="21" t="s">
        <v>470</v>
      </c>
      <c r="H155" s="7" t="str">
        <f>IF(LEFT(Table3[[#This Row],[Object ID]],4)="tbl-","fig-" &amp; MID(Table3[[#This Row],[Object ID]],5,LEN(Table3[[#This Row],[Object ID]])-4),"")</f>
        <v>fig-infant-mortal</v>
      </c>
    </row>
    <row r="156" spans="1:8" x14ac:dyDescent="0.2">
      <c r="A156" t="s">
        <v>8</v>
      </c>
      <c r="B156">
        <v>153</v>
      </c>
      <c r="C156" t="s">
        <v>9</v>
      </c>
      <c r="E156" t="s">
        <v>471</v>
      </c>
      <c r="F156" t="s">
        <v>472</v>
      </c>
      <c r="G156" s="7" t="s">
        <v>473</v>
      </c>
      <c r="H156" s="7" t="str">
        <f>IF(LEFT(Table3[[#This Row],[Object ID]],4)="tbl-","fig-" &amp; MID(Table3[[#This Row],[Object ID]],5,LEN(Table3[[#This Row],[Object ID]])-4),"")</f>
        <v>fig-early-pnc-age-rande-zip</v>
      </c>
    </row>
    <row r="157" spans="1:8" x14ac:dyDescent="0.2">
      <c r="A157" t="s">
        <v>8</v>
      </c>
      <c r="B157">
        <v>154</v>
      </c>
      <c r="C157" t="s">
        <v>16</v>
      </c>
      <c r="E157" t="s">
        <v>474</v>
      </c>
      <c r="F157" t="s">
        <v>475</v>
      </c>
      <c r="G157" s="22" t="s">
        <v>476</v>
      </c>
      <c r="H157" s="7" t="str">
        <f>IF(LEFT(Table3[[#This Row],[Object ID]],4)="tbl-","fig-" &amp; MID(Table3[[#This Row],[Object ID]],5,LEN(Table3[[#This Row],[Object ID]])-4),"")</f>
        <v>fig-early-pnc</v>
      </c>
    </row>
    <row r="158" spans="1:8" x14ac:dyDescent="0.2">
      <c r="A158" t="s">
        <v>8</v>
      </c>
      <c r="B158">
        <v>155</v>
      </c>
      <c r="C158" t="s">
        <v>16</v>
      </c>
      <c r="E158" t="s">
        <v>477</v>
      </c>
      <c r="F158" t="s">
        <v>478</v>
      </c>
      <c r="G158" s="21" t="s">
        <v>479</v>
      </c>
      <c r="H158" s="7" t="str">
        <f>IF(LEFT(Table3[[#This Row],[Object ID]],4)="tbl-","fig-" &amp; MID(Table3[[#This Row],[Object ID]],5,LEN(Table3[[#This Row],[Object ID]])-4),"")</f>
        <v>fig-early-pnc-rande</v>
      </c>
    </row>
    <row r="159" spans="1:8" x14ac:dyDescent="0.2">
      <c r="A159" t="s">
        <v>8</v>
      </c>
      <c r="B159">
        <v>156</v>
      </c>
      <c r="C159" t="s">
        <v>16</v>
      </c>
      <c r="E159" t="s">
        <v>480</v>
      </c>
      <c r="F159" t="s">
        <v>481</v>
      </c>
      <c r="G159" s="22" t="s">
        <v>482</v>
      </c>
      <c r="H159" s="7" t="str">
        <f>IF(LEFT(Table3[[#This Row],[Object ID]],4)="tbl-","fig-" &amp; MID(Table3[[#This Row],[Object ID]],5,LEN(Table3[[#This Row],[Object ID]])-4),"")</f>
        <v>fig-early-pnc-zip</v>
      </c>
    </row>
    <row r="160" spans="1:8" x14ac:dyDescent="0.2">
      <c r="A160" t="s">
        <v>8</v>
      </c>
      <c r="B160">
        <v>157</v>
      </c>
      <c r="C160" t="s">
        <v>9</v>
      </c>
      <c r="E160" t="s">
        <v>483</v>
      </c>
      <c r="F160" t="s">
        <v>484</v>
      </c>
      <c r="G160" s="22" t="s">
        <v>485</v>
      </c>
      <c r="H160" s="7" t="str">
        <f>IF(LEFT(Table3[[#This Row],[Object ID]],4)="tbl-","fig-" &amp; MID(Table3[[#This Row],[Object ID]],5,LEN(Table3[[#This Row],[Object ID]])-4),"")</f>
        <v>fig-late-no-pnc-age-rande-zip</v>
      </c>
    </row>
    <row r="161" spans="1:8" x14ac:dyDescent="0.2">
      <c r="A161" t="s">
        <v>8</v>
      </c>
      <c r="B161">
        <v>158</v>
      </c>
      <c r="C161" t="s">
        <v>16</v>
      </c>
      <c r="E161" t="s">
        <v>486</v>
      </c>
      <c r="F161" t="s">
        <v>487</v>
      </c>
      <c r="G161" s="22" t="s">
        <v>488</v>
      </c>
      <c r="H161" s="7" t="str">
        <f>IF(LEFT(Table3[[#This Row],[Object ID]],4)="tbl-","fig-" &amp; MID(Table3[[#This Row],[Object ID]],5,LEN(Table3[[#This Row],[Object ID]])-4),"")</f>
        <v>fig-late-no-pnc</v>
      </c>
    </row>
    <row r="162" spans="1:8" x14ac:dyDescent="0.2">
      <c r="A162" t="s">
        <v>8</v>
      </c>
      <c r="B162">
        <v>159</v>
      </c>
      <c r="C162" t="s">
        <v>16</v>
      </c>
      <c r="E162" t="s">
        <v>489</v>
      </c>
      <c r="F162" t="s">
        <v>490</v>
      </c>
      <c r="G162" s="21" t="s">
        <v>491</v>
      </c>
      <c r="H162" s="7" t="str">
        <f>IF(LEFT(Table3[[#This Row],[Object ID]],4)="tbl-","fig-" &amp; MID(Table3[[#This Row],[Object ID]],5,LEN(Table3[[#This Row],[Object ID]])-4),"")</f>
        <v>fig-late-no-pnc-rande</v>
      </c>
    </row>
    <row r="163" spans="1:8" x14ac:dyDescent="0.2">
      <c r="A163" t="s">
        <v>8</v>
      </c>
      <c r="B163">
        <v>160</v>
      </c>
      <c r="C163" t="s">
        <v>16</v>
      </c>
      <c r="E163" t="s">
        <v>492</v>
      </c>
      <c r="F163" t="s">
        <v>493</v>
      </c>
      <c r="G163" s="22" t="s">
        <v>494</v>
      </c>
      <c r="H163" s="7" t="str">
        <f>IF(LEFT(Table3[[#This Row],[Object ID]],4)="tbl-","fig-" &amp; MID(Table3[[#This Row],[Object ID]],5,LEN(Table3[[#This Row],[Object ID]])-4),"")</f>
        <v>fig-late-no-pnc-zip</v>
      </c>
    </row>
    <row r="164" spans="1:8" x14ac:dyDescent="0.2">
      <c r="A164" t="s">
        <v>8</v>
      </c>
      <c r="B164">
        <v>161</v>
      </c>
      <c r="C164" t="s">
        <v>16</v>
      </c>
      <c r="E164" t="s">
        <v>495</v>
      </c>
      <c r="F164" t="s">
        <v>496</v>
      </c>
      <c r="G164" s="22" t="s">
        <v>497</v>
      </c>
      <c r="H164" s="7" t="str">
        <f>IF(LEFT(Table3[[#This Row],[Object ID]],4)="tbl-","fig-" &amp; MID(Table3[[#This Row],[Object ID]],5,LEN(Table3[[#This Row],[Object ID]])-4),"")</f>
        <v>fig-adequate-pnc</v>
      </c>
    </row>
    <row r="165" spans="1:8" x14ac:dyDescent="0.2">
      <c r="A165" t="s">
        <v>8</v>
      </c>
      <c r="B165">
        <v>162</v>
      </c>
      <c r="C165" t="s">
        <v>9</v>
      </c>
      <c r="E165" t="s">
        <v>498</v>
      </c>
      <c r="F165" t="s">
        <v>499</v>
      </c>
      <c r="G165" s="22" t="s">
        <v>500</v>
      </c>
      <c r="H165" s="7" t="str">
        <f>IF(LEFT(Table3[[#This Row],[Object ID]],4)="tbl-","fig-" &amp; MID(Table3[[#This Row],[Object ID]],5,LEN(Table3[[#This Row],[Object ID]])-4),"")</f>
        <v>fig-premature-birth-age-rande-zip</v>
      </c>
    </row>
    <row r="166" spans="1:8" x14ac:dyDescent="0.2">
      <c r="A166" t="s">
        <v>8</v>
      </c>
      <c r="B166">
        <v>163</v>
      </c>
      <c r="C166" t="s">
        <v>16</v>
      </c>
      <c r="E166" t="s">
        <v>501</v>
      </c>
      <c r="F166" t="s">
        <v>502</v>
      </c>
      <c r="G166" s="22" t="s">
        <v>503</v>
      </c>
      <c r="H166" s="7" t="str">
        <f>IF(LEFT(Table3[[#This Row],[Object ID]],4)="tbl-","fig-" &amp; MID(Table3[[#This Row],[Object ID]],5,LEN(Table3[[#This Row],[Object ID]])-4),"")</f>
        <v>fig-premature-birth</v>
      </c>
    </row>
    <row r="167" spans="1:8" x14ac:dyDescent="0.2">
      <c r="A167" t="s">
        <v>8</v>
      </c>
      <c r="B167">
        <v>164</v>
      </c>
      <c r="C167" t="s">
        <v>16</v>
      </c>
      <c r="E167" t="s">
        <v>504</v>
      </c>
      <c r="F167" t="s">
        <v>505</v>
      </c>
      <c r="G167" s="21" t="s">
        <v>506</v>
      </c>
      <c r="H167" s="7" t="str">
        <f>IF(LEFT(Table3[[#This Row],[Object ID]],4)="tbl-","fig-" &amp; MID(Table3[[#This Row],[Object ID]],5,LEN(Table3[[#This Row],[Object ID]])-4),"")</f>
        <v>fig-premature-birth-rande</v>
      </c>
    </row>
    <row r="168" spans="1:8" x14ac:dyDescent="0.2">
      <c r="A168" t="s">
        <v>8</v>
      </c>
      <c r="B168">
        <v>165</v>
      </c>
      <c r="C168" t="s">
        <v>9</v>
      </c>
      <c r="E168" t="s">
        <v>507</v>
      </c>
      <c r="F168" t="s">
        <v>508</v>
      </c>
      <c r="G168" s="22" t="s">
        <v>509</v>
      </c>
      <c r="H168" s="7" t="str">
        <f>IF(LEFT(Table3[[#This Row],[Object ID]],4)="tbl-","fig-" &amp; MID(Table3[[#This Row],[Object ID]],5,LEN(Table3[[#This Row],[Object ID]])-4),"")</f>
        <v>fig-lbw-age-rande-zip</v>
      </c>
    </row>
    <row r="169" spans="1:8" x14ac:dyDescent="0.2">
      <c r="A169" t="s">
        <v>8</v>
      </c>
      <c r="B169">
        <v>166</v>
      </c>
      <c r="C169" t="s">
        <v>16</v>
      </c>
      <c r="E169" t="s">
        <v>510</v>
      </c>
      <c r="F169" t="s">
        <v>511</v>
      </c>
      <c r="G169" s="22" t="s">
        <v>512</v>
      </c>
      <c r="H169" s="7" t="str">
        <f>IF(LEFT(Table3[[#This Row],[Object ID]],4)="tbl-","fig-" &amp; MID(Table3[[#This Row],[Object ID]],5,LEN(Table3[[#This Row],[Object ID]])-4),"")</f>
        <v>fig-lbw-birth</v>
      </c>
    </row>
    <row r="170" spans="1:8" x14ac:dyDescent="0.2">
      <c r="A170" t="s">
        <v>8</v>
      </c>
      <c r="B170">
        <v>167</v>
      </c>
      <c r="C170" t="s">
        <v>16</v>
      </c>
      <c r="E170" t="s">
        <v>513</v>
      </c>
      <c r="F170" t="s">
        <v>514</v>
      </c>
      <c r="G170" s="21" t="s">
        <v>515</v>
      </c>
      <c r="H170" s="7" t="str">
        <f>IF(LEFT(Table3[[#This Row],[Object ID]],4)="tbl-","fig-" &amp; MID(Table3[[#This Row],[Object ID]],5,LEN(Table3[[#This Row],[Object ID]])-4),"")</f>
        <v>fig-lbw-birth-rande</v>
      </c>
    </row>
    <row r="171" spans="1:8" x14ac:dyDescent="0.2">
      <c r="A171" t="s">
        <v>8</v>
      </c>
      <c r="B171">
        <v>168</v>
      </c>
      <c r="C171" t="s">
        <v>16</v>
      </c>
      <c r="E171" t="s">
        <v>516</v>
      </c>
      <c r="F171" t="s">
        <v>517</v>
      </c>
      <c r="G171" s="22" t="s">
        <v>518</v>
      </c>
      <c r="H171" s="7" t="str">
        <f>IF(LEFT(Table3[[#This Row],[Object ID]],4)="tbl-","fig-" &amp; MID(Table3[[#This Row],[Object ID]],5,LEN(Table3[[#This Row],[Object ID]])-4),"")</f>
        <v>fig-ed-any-drug-od-aar</v>
      </c>
    </row>
    <row r="172" spans="1:8" x14ac:dyDescent="0.2">
      <c r="A172" t="s">
        <v>8</v>
      </c>
      <c r="B172">
        <v>169</v>
      </c>
      <c r="C172" t="s">
        <v>16</v>
      </c>
      <c r="E172" t="s">
        <v>519</v>
      </c>
      <c r="F172" t="s">
        <v>520</v>
      </c>
      <c r="G172" s="7" t="s">
        <v>521</v>
      </c>
      <c r="H172" s="7" t="str">
        <f>IF(LEFT(Table3[[#This Row],[Object ID]],4)="tbl-","fig-" &amp; MID(Table3[[#This Row],[Object ID]],5,LEN(Table3[[#This Row],[Object ID]])-4),"")</f>
        <v>fig-outpatiented-hopsitaldc-opioid-abuse-depend-crude</v>
      </c>
    </row>
    <row r="173" spans="1:8" x14ac:dyDescent="0.2">
      <c r="A173" t="s">
        <v>8</v>
      </c>
      <c r="B173">
        <v>170</v>
      </c>
      <c r="C173" t="s">
        <v>16</v>
      </c>
      <c r="E173" t="s">
        <v>522</v>
      </c>
      <c r="F173" t="s">
        <v>523</v>
      </c>
      <c r="G173" s="7" t="s">
        <v>524</v>
      </c>
      <c r="H173" s="7" t="str">
        <f>IF(LEFT(Table3[[#This Row],[Object ID]],4)="tbl-","fig-" &amp; MID(Table3[[#This Row],[Object ID]],5,LEN(Table3[[#This Row],[Object ID]])-4),"")</f>
        <v>fig-neonatal-withdraw-maternal-drug-crude</v>
      </c>
    </row>
    <row r="174" spans="1:8" x14ac:dyDescent="0.2">
      <c r="A174" t="s">
        <v>8</v>
      </c>
      <c r="B174">
        <v>171</v>
      </c>
      <c r="C174" t="s">
        <v>16</v>
      </c>
      <c r="E174" t="s">
        <v>525</v>
      </c>
      <c r="F174" t="s">
        <v>526</v>
      </c>
      <c r="G174" s="7" t="s">
        <v>527</v>
      </c>
      <c r="H174" s="7" t="str">
        <f>IF(LEFT(Table3[[#This Row],[Object ID]],4)="tbl-","fig-" &amp; MID(Table3[[#This Row],[Object ID]],5,LEN(Table3[[#This Row],[Object ID]])-4),"")</f>
        <v>fig-opioid-rx-aar</v>
      </c>
    </row>
    <row r="175" spans="1:8" x14ac:dyDescent="0.2">
      <c r="A175" t="s">
        <v>8</v>
      </c>
      <c r="B175">
        <v>172</v>
      </c>
      <c r="C175" t="s">
        <v>16</v>
      </c>
      <c r="E175" t="s">
        <v>528</v>
      </c>
      <c r="F175" t="s">
        <v>529</v>
      </c>
      <c r="G175" s="7" t="s">
        <v>530</v>
      </c>
      <c r="H175" s="7" t="str">
        <f>IF(LEFT(Table3[[#This Row],[Object ID]],4)="tbl-","fig-" &amp; MID(Table3[[#This Row],[Object ID]],5,LEN(Table3[[#This Row],[Object ID]])-4),"")</f>
        <v>fig-opioid-naïve-7day-rx</v>
      </c>
    </row>
    <row r="176" spans="1:8" x14ac:dyDescent="0.2">
      <c r="C176" t="s">
        <v>16</v>
      </c>
      <c r="E176" t="s">
        <v>531</v>
      </c>
      <c r="F176" t="s">
        <v>532</v>
      </c>
      <c r="G176" s="7" t="s">
        <v>533</v>
      </c>
      <c r="H176" s="7" t="str">
        <f>IF(LEFT(Table3[[#This Row],[Object ID]],4)="tbl-","fig-" &amp; MID(Table3[[#This Row],[Object ID]],5,LEN(Table3[[#This Row],[Object ID]])-4),"")</f>
        <v>fig-benzo-rx-aar</v>
      </c>
    </row>
    <row r="177" spans="1:8" x14ac:dyDescent="0.2">
      <c r="A177" t="s">
        <v>8</v>
      </c>
      <c r="B177">
        <v>173</v>
      </c>
      <c r="C177" t="s">
        <v>16</v>
      </c>
      <c r="E177" t="s">
        <v>534</v>
      </c>
      <c r="F177" t="s">
        <v>535</v>
      </c>
      <c r="G177" s="21" t="s">
        <v>536</v>
      </c>
      <c r="H177" s="7" t="str">
        <f>IF(LEFT(Table3[[#This Row],[Object ID]],4)="tbl-","fig-" &amp; MID(Table3[[#This Row],[Object ID]],5,LEN(Table3[[#This Row],[Object ID]])-4),"")</f>
        <v>fig-overlap-opioid-benzo-rx</v>
      </c>
    </row>
    <row r="178" spans="1:8" x14ac:dyDescent="0.2">
      <c r="A178" t="s">
        <v>8</v>
      </c>
      <c r="B178">
        <v>174</v>
      </c>
      <c r="C178" t="s">
        <v>16</v>
      </c>
      <c r="E178" t="s">
        <v>537</v>
      </c>
      <c r="F178" t="s">
        <v>538</v>
      </c>
      <c r="G178" s="21" t="s">
        <v>539</v>
      </c>
      <c r="H178" s="7" t="str">
        <f>IF(LEFT(Table3[[#This Row],[Object ID]],4)="tbl-","fig-" &amp; MID(Table3[[#This Row],[Object ID]],5,LEN(Table3[[#This Row],[Object ID]])-4),"")</f>
        <v>fig-opioidud-atleast1rx-bup-aar</v>
      </c>
    </row>
    <row r="179" spans="1:8" x14ac:dyDescent="0.2">
      <c r="A179" t="s">
        <v>8</v>
      </c>
      <c r="B179">
        <v>175</v>
      </c>
      <c r="C179" t="s">
        <v>16</v>
      </c>
      <c r="E179" t="s">
        <v>540</v>
      </c>
      <c r="F179" t="s">
        <v>541</v>
      </c>
      <c r="G179" s="7" t="s">
        <v>542</v>
      </c>
      <c r="H179" s="7" t="str">
        <f>IF(LEFT(Table3[[#This Row],[Object ID]],4)="tbl-","fig-" &amp; MID(Table3[[#This Row],[Object ID]],5,LEN(Table3[[#This Row],[Object ID]])-4),"")</f>
        <v>fig-opioidud-continuous-bup-rx</v>
      </c>
    </row>
    <row r="180" spans="1:8" x14ac:dyDescent="0.2">
      <c r="A180" t="s">
        <v>8</v>
      </c>
      <c r="B180">
        <v>176</v>
      </c>
      <c r="C180" t="s">
        <v>16</v>
      </c>
      <c r="E180" t="s">
        <v>543</v>
      </c>
      <c r="F180" t="s">
        <v>544</v>
      </c>
      <c r="G180" s="7" t="s">
        <v>545</v>
      </c>
      <c r="H180" s="7" t="str">
        <f>IF(LEFT(Table3[[#This Row],[Object ID]],4)="tbl-","fig-" &amp; MID(Table3[[#This Row],[Object ID]],5,LEN(Table3[[#This Row],[Object ID]])-4),"")</f>
        <v>fig-perception-harm-su</v>
      </c>
    </row>
    <row r="181" spans="1:8" x14ac:dyDescent="0.2">
      <c r="A181" t="s">
        <v>8</v>
      </c>
      <c r="B181">
        <v>177</v>
      </c>
      <c r="C181" t="s">
        <v>9</v>
      </c>
      <c r="E181" t="s">
        <v>546</v>
      </c>
      <c r="F181" t="s">
        <v>547</v>
      </c>
      <c r="G181" s="7" t="s">
        <v>548</v>
      </c>
      <c r="H181" s="7" t="str">
        <f>IF(LEFT(Table3[[#This Row],[Object ID]],4)="tbl-","fig-" &amp; MID(Table3[[#This Row],[Object ID]],5,LEN(Table3[[#This Row],[Object ID]])-4),"")</f>
        <v>fig-lifetime-su</v>
      </c>
    </row>
    <row r="182" spans="1:8" x14ac:dyDescent="0.2">
      <c r="A182" t="s">
        <v>8</v>
      </c>
      <c r="B182">
        <v>178</v>
      </c>
      <c r="C182" t="s">
        <v>9</v>
      </c>
      <c r="E182" t="s">
        <v>549</v>
      </c>
      <c r="F182" t="s">
        <v>550</v>
      </c>
      <c r="G182" s="21" t="s">
        <v>551</v>
      </c>
      <c r="H182" s="7" t="str">
        <f>IF(LEFT(Table3[[#This Row],[Object ID]],4)="tbl-","fig-" &amp; MID(Table3[[#This Row],[Object ID]],5,LEN(Table3[[#This Row],[Object ID]])-4),"")</f>
        <v/>
      </c>
    </row>
    <row r="183" spans="1:8" x14ac:dyDescent="0.2">
      <c r="A183" t="s">
        <v>8</v>
      </c>
      <c r="B183">
        <v>179</v>
      </c>
      <c r="C183" t="s">
        <v>9</v>
      </c>
      <c r="E183" t="s">
        <v>552</v>
      </c>
      <c r="F183" t="s">
        <v>553</v>
      </c>
      <c r="G183" s="7" t="s">
        <v>554</v>
      </c>
      <c r="H183" s="7" t="str">
        <f>IF(LEFT(Table3[[#This Row],[Object ID]],4)="tbl-","fig-" &amp; MID(Table3[[#This Row],[Object ID]],5,LEN(Table3[[#This Row],[Object ID]])-4),"")</f>
        <v>fig-source-marijuana-ifused</v>
      </c>
    </row>
    <row r="184" spans="1:8" x14ac:dyDescent="0.2">
      <c r="A184" t="s">
        <v>8</v>
      </c>
      <c r="B184">
        <v>180</v>
      </c>
      <c r="C184" t="s">
        <v>9</v>
      </c>
      <c r="E184" t="s">
        <v>555</v>
      </c>
      <c r="F184" t="s">
        <v>556</v>
      </c>
      <c r="G184" s="7" t="s">
        <v>557</v>
      </c>
      <c r="H184" s="7" t="str">
        <f>IF(LEFT(Table3[[#This Row],[Object ID]],4)="tbl-","fig-" &amp; MID(Table3[[#This Row],[Object ID]],5,LEN(Table3[[#This Row],[Object ID]])-4),"")</f>
        <v>fig-opioid-od-fatal-age-sex</v>
      </c>
    </row>
    <row r="185" spans="1:8" x14ac:dyDescent="0.2">
      <c r="A185" t="s">
        <v>8</v>
      </c>
      <c r="B185">
        <v>181</v>
      </c>
      <c r="C185" t="s">
        <v>16</v>
      </c>
      <c r="E185" t="s">
        <v>558</v>
      </c>
      <c r="F185" t="s">
        <v>559</v>
      </c>
      <c r="G185" s="7" t="s">
        <v>560</v>
      </c>
      <c r="H185" s="7" t="str">
        <f>IF(LEFT(Table3[[#This Row],[Object ID]],4)="tbl-","fig-" &amp; MID(Table3[[#This Row],[Object ID]],5,LEN(Table3[[#This Row],[Object ID]])-4),"")</f>
        <v>fig-opioid-od-fatal</v>
      </c>
    </row>
    <row r="186" spans="1:8" x14ac:dyDescent="0.2">
      <c r="A186" t="s">
        <v>8</v>
      </c>
      <c r="B186">
        <v>182</v>
      </c>
      <c r="C186" t="s">
        <v>16</v>
      </c>
      <c r="E186" t="s">
        <v>561</v>
      </c>
      <c r="F186" t="s">
        <v>562</v>
      </c>
      <c r="G186" s="7" t="s">
        <v>563</v>
      </c>
      <c r="H186" s="7" t="str">
        <f>IF(LEFT(Table3[[#This Row],[Object ID]],4)="tbl-","fig-" &amp; MID(Table3[[#This Row],[Object ID]],5,LEN(Table3[[#This Row],[Object ID]])-4),"")</f>
        <v>fig-opioid-od-fatal-age</v>
      </c>
    </row>
    <row r="187" spans="1:8" x14ac:dyDescent="0.2">
      <c r="A187" t="s">
        <v>8</v>
      </c>
      <c r="B187">
        <v>183</v>
      </c>
      <c r="C187" t="s">
        <v>16</v>
      </c>
      <c r="E187" t="s">
        <v>564</v>
      </c>
      <c r="F187" t="s">
        <v>565</v>
      </c>
      <c r="G187" s="7" t="s">
        <v>566</v>
      </c>
      <c r="H187" s="7" t="str">
        <f>IF(LEFT(Table3[[#This Row],[Object ID]],4)="tbl-","fig-" &amp; MID(Table3[[#This Row],[Object ID]],5,LEN(Table3[[#This Row],[Object ID]])-4),"")</f>
        <v>fig-opioid-od-fatal-sex</v>
      </c>
    </row>
    <row r="188" spans="1:8" x14ac:dyDescent="0.2">
      <c r="A188" t="s">
        <v>8</v>
      </c>
      <c r="B188">
        <v>184</v>
      </c>
      <c r="C188" t="s">
        <v>16</v>
      </c>
      <c r="E188" t="s">
        <v>567</v>
      </c>
      <c r="F188" t="s">
        <v>568</v>
      </c>
      <c r="G188" s="21" t="s">
        <v>569</v>
      </c>
      <c r="H188" s="7" t="str">
        <f>IF(LEFT(Table3[[#This Row],[Object ID]],4)="tbl-","fig-" &amp; MID(Table3[[#This Row],[Object ID]],5,LEN(Table3[[#This Row],[Object ID]])-4),"")</f>
        <v>fig-binge-drinking-last-month</v>
      </c>
    </row>
    <row r="189" spans="1:8" x14ac:dyDescent="0.2">
      <c r="A189" t="s">
        <v>8</v>
      </c>
      <c r="B189">
        <v>185</v>
      </c>
      <c r="C189" t="s">
        <v>16</v>
      </c>
      <c r="E189" t="s">
        <v>570</v>
      </c>
      <c r="F189" t="s">
        <v>571</v>
      </c>
      <c r="G189" s="7" t="s">
        <v>572</v>
      </c>
      <c r="H189" s="7" t="str">
        <f>IF(LEFT(Table3[[#This Row],[Object ID]],4)="tbl-","fig-" &amp; MID(Table3[[#This Row],[Object ID]],5,LEN(Table3[[#This Row],[Object ID]])-4),"")</f>
        <v>fig-alcohol-mva-injury-death</v>
      </c>
    </row>
    <row r="190" spans="1:8" x14ac:dyDescent="0.2">
      <c r="A190" t="s">
        <v>8</v>
      </c>
      <c r="B190">
        <v>186</v>
      </c>
      <c r="C190" t="s">
        <v>9</v>
      </c>
      <c r="E190" t="s">
        <v>573</v>
      </c>
      <c r="F190" t="s">
        <v>574</v>
      </c>
      <c r="G190" s="7" t="s">
        <v>575</v>
      </c>
      <c r="H190" s="7" t="str">
        <f>IF(LEFT(Table3[[#This Row],[Object ID]],4)="tbl-","fig-" &amp; MID(Table3[[#This Row],[Object ID]],5,LEN(Table3[[#This Row],[Object ID]])-4),"")</f>
        <v/>
      </c>
    </row>
    <row r="191" spans="1:8" x14ac:dyDescent="0.2">
      <c r="A191" t="s">
        <v>8</v>
      </c>
      <c r="B191">
        <v>187</v>
      </c>
      <c r="C191" t="s">
        <v>16</v>
      </c>
      <c r="E191" t="s">
        <v>576</v>
      </c>
      <c r="F191" t="s">
        <v>577</v>
      </c>
      <c r="G191" s="7" t="s">
        <v>578</v>
      </c>
      <c r="H191" s="7" t="str">
        <f>IF(LEFT(Table3[[#This Row],[Object ID]],4)="tbl-","fig-" &amp; MID(Table3[[#This Row],[Object ID]],5,LEN(Table3[[#This Row],[Object ID]])-4),"")</f>
        <v>fig-current-smoker</v>
      </c>
    </row>
    <row r="192" spans="1:8" x14ac:dyDescent="0.2">
      <c r="A192" t="s">
        <v>8</v>
      </c>
      <c r="B192">
        <v>188</v>
      </c>
      <c r="C192" t="s">
        <v>16</v>
      </c>
      <c r="E192" t="s">
        <v>579</v>
      </c>
      <c r="F192" t="s">
        <v>580</v>
      </c>
      <c r="G192" s="7" t="s">
        <v>581</v>
      </c>
      <c r="H192" s="7" t="str">
        <f>IF(LEFT(Table3[[#This Row],[Object ID]],4)="tbl-","fig-" &amp; MID(Table3[[#This Row],[Object ID]],5,LEN(Table3[[#This Row],[Object ID]])-4),"")</f>
        <v>fig-unintent-injury-hospital-rande-aar</v>
      </c>
    </row>
    <row r="193" spans="1:8" x14ac:dyDescent="0.2">
      <c r="A193" t="s">
        <v>8</v>
      </c>
      <c r="B193">
        <v>189</v>
      </c>
      <c r="C193" t="s">
        <v>9</v>
      </c>
      <c r="E193" t="s">
        <v>582</v>
      </c>
      <c r="F193" t="s">
        <v>583</v>
      </c>
      <c r="G193" s="7" t="s">
        <v>584</v>
      </c>
      <c r="H193" s="7" t="str">
        <f>IF(LEFT(Table3[[#This Row],[Object ID]],4)="tbl-","fig-" &amp; MID(Table3[[#This Row],[Object ID]],5,LEN(Table3[[#This Row],[Object ID]])-4),"")</f>
        <v>fig-unintent-injury-mortal-age-rande-zip</v>
      </c>
    </row>
    <row r="194" spans="1:8" x14ac:dyDescent="0.2">
      <c r="A194" t="s">
        <v>8</v>
      </c>
      <c r="B194">
        <v>190</v>
      </c>
      <c r="C194" t="s">
        <v>16</v>
      </c>
      <c r="E194" t="s">
        <v>585</v>
      </c>
      <c r="F194" t="s">
        <v>586</v>
      </c>
      <c r="G194" s="7" t="s">
        <v>587</v>
      </c>
      <c r="H194" s="7" t="str">
        <f>IF(LEFT(Table3[[#This Row],[Object ID]],4)="tbl-","fig-" &amp; MID(Table3[[#This Row],[Object ID]],5,LEN(Table3[[#This Row],[Object ID]])-4),"")</f>
        <v>fig-unintent-injury-mortal-aar</v>
      </c>
    </row>
    <row r="195" spans="1:8" x14ac:dyDescent="0.2">
      <c r="A195" t="s">
        <v>8</v>
      </c>
      <c r="B195">
        <v>191</v>
      </c>
      <c r="C195" t="s">
        <v>16</v>
      </c>
      <c r="E195" t="s">
        <v>588</v>
      </c>
      <c r="F195" t="s">
        <v>589</v>
      </c>
      <c r="G195" s="7" t="s">
        <v>590</v>
      </c>
      <c r="H195" s="7" t="str">
        <f>IF(LEFT(Table3[[#This Row],[Object ID]],4)="tbl-","fig-" &amp; MID(Table3[[#This Row],[Object ID]],5,LEN(Table3[[#This Row],[Object ID]])-4),"")</f>
        <v>fig-unintent-injury-mortal-age</v>
      </c>
    </row>
    <row r="196" spans="1:8" x14ac:dyDescent="0.2">
      <c r="A196" t="s">
        <v>8</v>
      </c>
      <c r="B196">
        <v>192</v>
      </c>
      <c r="C196" t="s">
        <v>16</v>
      </c>
      <c r="E196" t="s">
        <v>591</v>
      </c>
      <c r="F196" t="s">
        <v>592</v>
      </c>
      <c r="G196" s="7" t="s">
        <v>593</v>
      </c>
      <c r="H196" s="7" t="str">
        <f>IF(LEFT(Table3[[#This Row],[Object ID]],4)="tbl-","fig-" &amp; MID(Table3[[#This Row],[Object ID]],5,LEN(Table3[[#This Row],[Object ID]])-4),"")</f>
        <v>fig-unintent-injury-mortal-zip</v>
      </c>
    </row>
    <row r="197" spans="1:8" x14ac:dyDescent="0.2">
      <c r="A197" t="s">
        <v>8</v>
      </c>
      <c r="B197">
        <v>193</v>
      </c>
      <c r="C197" t="s">
        <v>16</v>
      </c>
      <c r="E197" t="s">
        <v>594</v>
      </c>
      <c r="F197" t="s">
        <v>595</v>
      </c>
      <c r="G197" s="7" t="s">
        <v>596</v>
      </c>
      <c r="H197" s="7" t="str">
        <f>IF(LEFT(Table3[[#This Row],[Object ID]],4)="tbl-","fig-" &amp; MID(Table3[[#This Row],[Object ID]],5,LEN(Table3[[#This Row],[Object ID]])-4),"")</f>
        <v>fig-unintent-injury-mortal-sex-aar</v>
      </c>
    </row>
    <row r="198" spans="1:8" x14ac:dyDescent="0.2">
      <c r="A198" t="s">
        <v>8</v>
      </c>
      <c r="B198">
        <v>194</v>
      </c>
      <c r="C198" t="s">
        <v>16</v>
      </c>
      <c r="E198" t="s">
        <v>597</v>
      </c>
      <c r="F198" t="s">
        <v>598</v>
      </c>
      <c r="G198" s="7" t="s">
        <v>599</v>
      </c>
      <c r="H198" s="7" t="str">
        <f>IF(LEFT(Table3[[#This Row],[Object ID]],4)="tbl-","fig-" &amp; MID(Table3[[#This Row],[Object ID]],5,LEN(Table3[[#This Row],[Object ID]])-4),"")</f>
        <v>fig-falls-65-rande</v>
      </c>
    </row>
    <row r="199" spans="1:8" x14ac:dyDescent="0.2">
      <c r="A199" t="s">
        <v>8</v>
      </c>
      <c r="B199">
        <v>195</v>
      </c>
      <c r="C199" t="s">
        <v>16</v>
      </c>
      <c r="E199" t="s">
        <v>600</v>
      </c>
      <c r="F199" t="s">
        <v>601</v>
      </c>
      <c r="G199" s="7" t="s">
        <v>602</v>
      </c>
      <c r="H199" s="7" t="str">
        <f>IF(LEFT(Table3[[#This Row],[Object ID]],4)="tbl-","fig-" &amp; MID(Table3[[#This Row],[Object ID]],5,LEN(Table3[[#This Row],[Object ID]])-4),"")</f>
        <v>fig-self-inflict-injury-hospital-aar</v>
      </c>
    </row>
    <row r="200" spans="1:8" x14ac:dyDescent="0.2">
      <c r="A200" t="s">
        <v>8</v>
      </c>
      <c r="B200">
        <v>196</v>
      </c>
      <c r="C200" t="s">
        <v>16</v>
      </c>
      <c r="E200" t="s">
        <v>603</v>
      </c>
      <c r="F200" t="s">
        <v>604</v>
      </c>
      <c r="G200" s="7" t="s">
        <v>605</v>
      </c>
      <c r="H200" s="7" t="str">
        <f>IF(LEFT(Table3[[#This Row],[Object ID]],4)="tbl-","fig-" &amp; MID(Table3[[#This Row],[Object ID]],5,LEN(Table3[[#This Row],[Object ID]])-4),"")</f>
        <v>fig-self-inflict-injury-hospital-15-19</v>
      </c>
    </row>
    <row r="201" spans="1:8" x14ac:dyDescent="0.2">
      <c r="A201" t="s">
        <v>8</v>
      </c>
      <c r="B201">
        <v>197</v>
      </c>
      <c r="C201" t="s">
        <v>16</v>
      </c>
      <c r="E201" t="s">
        <v>606</v>
      </c>
      <c r="F201" t="s">
        <v>607</v>
      </c>
      <c r="G201" s="7" t="s">
        <v>608</v>
      </c>
      <c r="H201" s="7" t="str">
        <f>IF(LEFT(Table3[[#This Row],[Object ID]],4)="tbl-","fig-" &amp; MID(Table3[[#This Row],[Object ID]],5,LEN(Table3[[#This Row],[Object ID]])-4),"")</f>
        <v>fig-suicide-mortal-aar</v>
      </c>
    </row>
    <row r="202" spans="1:8" x14ac:dyDescent="0.2">
      <c r="A202" t="s">
        <v>8</v>
      </c>
      <c r="B202">
        <v>198</v>
      </c>
      <c r="C202" t="s">
        <v>16</v>
      </c>
      <c r="E202" t="s">
        <v>609</v>
      </c>
      <c r="F202" t="s">
        <v>610</v>
      </c>
      <c r="G202" s="7" t="s">
        <v>611</v>
      </c>
      <c r="H202" s="7" t="str">
        <f>IF(LEFT(Table3[[#This Row],[Object ID]],4)="tbl-","fig-" &amp; MID(Table3[[#This Row],[Object ID]],5,LEN(Table3[[#This Row],[Object ID]])-4),"")</f>
        <v>fig-50to64-colorectal-screen</v>
      </c>
    </row>
    <row r="203" spans="1:8" x14ac:dyDescent="0.2">
      <c r="A203" t="s">
        <v>8</v>
      </c>
      <c r="B203">
        <v>199</v>
      </c>
      <c r="C203" t="s">
        <v>16</v>
      </c>
      <c r="E203" t="s">
        <v>612</v>
      </c>
      <c r="F203" t="s">
        <v>613</v>
      </c>
      <c r="G203" s="7" t="s">
        <v>614</v>
      </c>
      <c r="H203" s="7" t="str">
        <f>IF(LEFT(Table3[[#This Row],[Object ID]],4)="tbl-","fig-" &amp; MID(Table3[[#This Row],[Object ID]],5,LEN(Table3[[#This Row],[Object ID]])-4),"")</f>
        <v>fig-21to64-women-cervical-ca-screen</v>
      </c>
    </row>
    <row r="204" spans="1:8" x14ac:dyDescent="0.2">
      <c r="A204" t="s">
        <v>8</v>
      </c>
      <c r="B204">
        <v>200</v>
      </c>
      <c r="C204" t="s">
        <v>16</v>
      </c>
      <c r="E204" t="s">
        <v>615</v>
      </c>
      <c r="F204" t="s">
        <v>616</v>
      </c>
      <c r="G204" s="7" t="s">
        <v>617</v>
      </c>
      <c r="H204" s="7" t="str">
        <f>IF(LEFT(Table3[[#This Row],[Object ID]],4)="tbl-","fig-" &amp; MID(Table3[[#This Row],[Object ID]],5,LEN(Table3[[#This Row],[Object ID]])-4),"")</f>
        <v>fig-50to74-women-breast-ca-screen</v>
      </c>
    </row>
    <row r="205" spans="1:8" x14ac:dyDescent="0.2">
      <c r="A205" t="s">
        <v>8</v>
      </c>
      <c r="B205">
        <v>201</v>
      </c>
      <c r="C205" t="s">
        <v>16</v>
      </c>
      <c r="E205" t="s">
        <v>618</v>
      </c>
      <c r="F205" t="s">
        <v>619</v>
      </c>
      <c r="G205" s="7" t="s">
        <v>620</v>
      </c>
      <c r="H205" s="7" t="str">
        <f>IF(LEFT(Table3[[#This Row],[Object ID]],4)="tbl-","fig-" &amp; MID(Table3[[#This Row],[Object ID]],5,LEN(Table3[[#This Row],[Object ID]])-4),"")</f>
        <v>fig-adults-asthma</v>
      </c>
    </row>
    <row r="206" spans="1:8" x14ac:dyDescent="0.2">
      <c r="A206" t="s">
        <v>8</v>
      </c>
      <c r="B206">
        <v>202</v>
      </c>
      <c r="C206" t="s">
        <v>16</v>
      </c>
      <c r="E206" t="s">
        <v>621</v>
      </c>
      <c r="F206" t="s">
        <v>622</v>
      </c>
      <c r="G206" s="7" t="s">
        <v>623</v>
      </c>
      <c r="H206" s="7" t="str">
        <f>IF(LEFT(Table3[[#This Row],[Object ID]],4)="tbl-","fig-" &amp; MID(Table3[[#This Row],[Object ID]],5,LEN(Table3[[#This Row],[Object ID]])-4),"")</f>
        <v>fig-md-dx-dm-predm</v>
      </c>
    </row>
    <row r="207" spans="1:8" x14ac:dyDescent="0.2">
      <c r="A207" t="s">
        <v>8</v>
      </c>
      <c r="B207">
        <v>203</v>
      </c>
      <c r="C207" t="s">
        <v>16</v>
      </c>
      <c r="E207" t="s">
        <v>624</v>
      </c>
      <c r="F207" t="s">
        <v>625</v>
      </c>
      <c r="G207" s="7" t="s">
        <v>626</v>
      </c>
      <c r="H207" s="7" t="str">
        <f>IF(LEFT(Table3[[#This Row],[Object ID]],4)="tbl-","fig-" &amp; MID(Table3[[#This Row],[Object ID]],5,LEN(Table3[[#This Row],[Object ID]])-4),"")</f>
        <v>fig-test-high-bs-dm</v>
      </c>
    </row>
    <row r="208" spans="1:8" x14ac:dyDescent="0.2">
      <c r="A208" t="s">
        <v>8</v>
      </c>
      <c r="B208">
        <v>204</v>
      </c>
      <c r="C208" t="s">
        <v>9</v>
      </c>
      <c r="E208" s="19" t="s">
        <v>627</v>
      </c>
      <c r="F208" t="s">
        <v>628</v>
      </c>
      <c r="G208" s="7" t="s">
        <v>629</v>
      </c>
      <c r="H208" s="7" t="str">
        <f>IF(LEFT(Table3[[#This Row],[Object ID]],4)="tbl-","fig-" &amp; MID(Table3[[#This Row],[Object ID]],5,LEN(Table3[[#This Row],[Object ID]])-4),"")</f>
        <v>fig-excerpt</v>
      </c>
    </row>
    <row r="209" spans="1:8" x14ac:dyDescent="0.2">
      <c r="A209" t="s">
        <v>8</v>
      </c>
      <c r="B209">
        <v>205</v>
      </c>
      <c r="C209" t="s">
        <v>9</v>
      </c>
      <c r="E209" s="19" t="s">
        <v>630</v>
      </c>
      <c r="F209" t="s">
        <v>631</v>
      </c>
      <c r="G209" s="7" t="s">
        <v>632</v>
      </c>
      <c r="H209" s="7" t="str">
        <f>IF(LEFT(Table3[[#This Row],[Object ID]],4)="tbl-","fig-" &amp; MID(Table3[[#This Row],[Object ID]],5,LEN(Table3[[#This Row],[Object ID]])-4),"")</f>
        <v>fig-themes-focus-group</v>
      </c>
    </row>
    <row r="210" spans="1:8" x14ac:dyDescent="0.2">
      <c r="A210" t="s">
        <v>8</v>
      </c>
      <c r="B210">
        <v>206</v>
      </c>
      <c r="C210" t="s">
        <v>9</v>
      </c>
      <c r="E210" s="19" t="s">
        <v>633</v>
      </c>
      <c r="F210" t="s">
        <v>634</v>
      </c>
      <c r="G210" s="7" t="s">
        <v>635</v>
      </c>
      <c r="H210" s="7" t="str">
        <f>IF(LEFT(Table3[[#This Row],[Object ID]],4)="tbl-","fig-" &amp; MID(Table3[[#This Row],[Object ID]],5,LEN(Table3[[#This Row],[Object ID]])-4),"")</f>
        <v>fig-zip-code</v>
      </c>
    </row>
    <row r="211" spans="1:8" x14ac:dyDescent="0.2">
      <c r="A211" t="s">
        <v>8</v>
      </c>
      <c r="B211">
        <v>207</v>
      </c>
      <c r="C211" t="s">
        <v>16</v>
      </c>
      <c r="E211" s="19" t="s">
        <v>636</v>
      </c>
      <c r="F211" t="s">
        <v>637</v>
      </c>
      <c r="G211" s="7" t="s">
        <v>638</v>
      </c>
      <c r="H211" s="7" t="str">
        <f>IF(LEFT(Table3[[#This Row],[Object ID]],4)="tbl-","fig-" &amp; MID(Table3[[#This Row],[Object ID]],5,LEN(Table3[[#This Row],[Object ID]])-4),"")</f>
        <v>fig-great-strengths-community</v>
      </c>
    </row>
    <row r="212" spans="1:8" x14ac:dyDescent="0.2">
      <c r="A212" t="s">
        <v>8</v>
      </c>
      <c r="B212">
        <v>208</v>
      </c>
      <c r="C212" t="s">
        <v>16</v>
      </c>
      <c r="E212" s="19" t="s">
        <v>639</v>
      </c>
      <c r="F212" t="s">
        <v>640</v>
      </c>
      <c r="G212" s="7" t="s">
        <v>641</v>
      </c>
      <c r="H212" s="7" t="str">
        <f>IF(LEFT(Table3[[#This Row],[Object ID]],4)="tbl-","fig-" &amp; MID(Table3[[#This Row],[Object ID]],5,LEN(Table3[[#This Row],[Object ID]])-4),"")</f>
        <v>fig-focus-resources-improve-life</v>
      </c>
    </row>
    <row r="213" spans="1:8" x14ac:dyDescent="0.2">
      <c r="A213" t="s">
        <v>8</v>
      </c>
      <c r="B213">
        <v>209</v>
      </c>
      <c r="C213" t="s">
        <v>16</v>
      </c>
      <c r="E213" s="19" t="s">
        <v>642</v>
      </c>
      <c r="F213" t="s">
        <v>643</v>
      </c>
      <c r="G213" s="7" t="s">
        <v>644</v>
      </c>
      <c r="H213" s="7" t="str">
        <f>IF(LEFT(Table3[[#This Row],[Object ID]],4)="tbl-","fig-" &amp; MID(Table3[[#This Row],[Object ID]],5,LEN(Table3[[#This Row],[Object ID]])-4),"")</f>
        <v>fig-important-health-issues</v>
      </c>
    </row>
    <row r="214" spans="1:8" x14ac:dyDescent="0.2">
      <c r="A214" t="s">
        <v>8</v>
      </c>
      <c r="B214">
        <v>210</v>
      </c>
      <c r="C214" t="s">
        <v>16</v>
      </c>
      <c r="E214" s="19" t="s">
        <v>645</v>
      </c>
      <c r="F214" t="s">
        <v>646</v>
      </c>
      <c r="G214" s="7" t="s">
        <v>647</v>
      </c>
      <c r="H214" s="7" t="str">
        <f>IF(LEFT(Table3[[#This Row],[Object ID]],4)="tbl-","fig-" &amp; MID(Table3[[#This Row],[Object ID]],5,LEN(Table3[[#This Row],[Object ID]])-4),"")</f>
        <v>fig-important-health-issues-PA-area</v>
      </c>
    </row>
    <row r="215" spans="1:8" x14ac:dyDescent="0.2">
      <c r="A215" t="s">
        <v>8</v>
      </c>
      <c r="B215">
        <v>211</v>
      </c>
      <c r="C215" t="s">
        <v>16</v>
      </c>
      <c r="E215" s="19" t="s">
        <v>648</v>
      </c>
      <c r="F215" t="s">
        <v>649</v>
      </c>
      <c r="G215" s="7" t="s">
        <v>650</v>
      </c>
      <c r="H215" s="7" t="str">
        <f>IF(LEFT(Table3[[#This Row],[Object ID]],4)="tbl-","fig-" &amp; MID(Table3[[#This Row],[Object ID]],5,LEN(Table3[[#This Row],[Object ID]])-4),"")</f>
        <v>fig-cas-great-strength-community-longitude</v>
      </c>
    </row>
    <row r="216" spans="1:8" x14ac:dyDescent="0.2">
      <c r="A216" t="s">
        <v>8</v>
      </c>
      <c r="B216">
        <v>212</v>
      </c>
      <c r="C216" t="s">
        <v>16</v>
      </c>
      <c r="E216" s="19" t="s">
        <v>651</v>
      </c>
      <c r="F216" t="s">
        <v>652</v>
      </c>
      <c r="G216" s="7" t="s">
        <v>653</v>
      </c>
      <c r="H216" s="7" t="str">
        <f>IF(LEFT(Table3[[#This Row],[Object ID]],4)="tbl-","fig-" &amp; MID(Table3[[#This Row],[Object ID]],5,LEN(Table3[[#This Row],[Object ID]])-4),"")</f>
        <v>fig-cas-focus-resources-improve-life-longitude</v>
      </c>
    </row>
    <row r="217" spans="1:8" x14ac:dyDescent="0.2">
      <c r="A217" t="s">
        <v>8</v>
      </c>
      <c r="B217">
        <v>213</v>
      </c>
      <c r="C217" t="s">
        <v>16</v>
      </c>
      <c r="E217" s="19" t="s">
        <v>654</v>
      </c>
      <c r="F217" t="s">
        <v>655</v>
      </c>
      <c r="G217" s="7" t="s">
        <v>656</v>
      </c>
      <c r="H217" s="7" t="str">
        <f>IF(LEFT(Table3[[#This Row],[Object ID]],4)="tbl-","fig-" &amp; MID(Table3[[#This Row],[Object ID]],5,LEN(Table3[[#This Row],[Object ID]])-4),"")</f>
        <v>fig-cas-important-health-issues-longitude</v>
      </c>
    </row>
    <row r="218" spans="1:8" x14ac:dyDescent="0.2">
      <c r="A218" t="s">
        <v>8</v>
      </c>
      <c r="B218">
        <v>214</v>
      </c>
      <c r="C218" t="s">
        <v>16</v>
      </c>
      <c r="E218" s="19" t="s">
        <v>657</v>
      </c>
      <c r="F218" t="s">
        <v>658</v>
      </c>
      <c r="G218" s="7" t="s">
        <v>659</v>
      </c>
      <c r="H218" s="7" t="str">
        <f>IF(LEFT(Table3[[#This Row],[Object ID]],4)="tbl-","fig-" &amp; MID(Table3[[#This Row],[Object ID]],5,LEN(Table3[[#This Row],[Object ID]])-4),"")</f>
        <v>fig-health-problem-fix-first</v>
      </c>
    </row>
    <row r="219" spans="1:8" x14ac:dyDescent="0.2">
      <c r="A219" t="s">
        <v>8</v>
      </c>
      <c r="B219">
        <v>215</v>
      </c>
      <c r="C219" t="s">
        <v>9</v>
      </c>
      <c r="E219" s="19" t="s">
        <v>660</v>
      </c>
      <c r="F219" t="s">
        <v>661</v>
      </c>
      <c r="G219" s="7" t="s">
        <v>662</v>
      </c>
      <c r="H219" s="7" t="str">
        <f>IF(LEFT(Table3[[#This Row],[Object ID]],4)="tbl-","fig-" &amp; MID(Table3[[#This Row],[Object ID]],5,LEN(Table3[[#This Row],[Object ID]])-4),"")</f>
        <v>fig-siena-demographic-break-down</v>
      </c>
    </row>
    <row r="220" spans="1:8" x14ac:dyDescent="0.2">
      <c r="A220" t="s">
        <v>8</v>
      </c>
      <c r="B220">
        <v>216</v>
      </c>
      <c r="C220" t="s">
        <v>16</v>
      </c>
      <c r="E220" t="s">
        <v>663</v>
      </c>
      <c r="F220" t="s">
        <v>664</v>
      </c>
      <c r="G220" s="7" t="s">
        <v>665</v>
      </c>
      <c r="H220" s="7" t="str">
        <f>IF(LEFT(Table3[[#This Row],[Object ID]],4)="tbl-","fig-" &amp; MID(Table3[[#This Row],[Object ID]],5,LEN(Table3[[#This Row],[Object ID]])-4),"")</f>
        <v>fig-siena-live-oc</v>
      </c>
    </row>
    <row r="221" spans="1:8" x14ac:dyDescent="0.2">
      <c r="A221" t="s">
        <v>8</v>
      </c>
      <c r="B221">
        <v>217</v>
      </c>
      <c r="C221" t="s">
        <v>16</v>
      </c>
      <c r="E221" t="s">
        <v>666</v>
      </c>
      <c r="F221" t="s">
        <v>667</v>
      </c>
      <c r="G221" s="7" t="s">
        <v>668</v>
      </c>
      <c r="H221" s="7" t="str">
        <f>IF(LEFT(Table3[[#This Row],[Object ID]],4)="tbl-","fig-" &amp; MID(Table3[[#This Row],[Object ID]],5,LEN(Table3[[#This Row],[Object ID]])-4),"")</f>
        <v>fig-siena-quality-life</v>
      </c>
    </row>
    <row r="222" spans="1:8" x14ac:dyDescent="0.2">
      <c r="A222" t="s">
        <v>8</v>
      </c>
      <c r="B222">
        <v>218</v>
      </c>
      <c r="C222" t="s">
        <v>16</v>
      </c>
      <c r="E222" t="s">
        <v>669</v>
      </c>
      <c r="F222" t="s">
        <v>670</v>
      </c>
      <c r="G222" s="7" t="s">
        <v>671</v>
      </c>
      <c r="H222" s="7" t="str">
        <f>IF(LEFT(Table3[[#This Row],[Object ID]],4)="tbl-","fig-" &amp; MID(Table3[[#This Row],[Object ID]],5,LEN(Table3[[#This Row],[Object ID]])-4),"")</f>
        <v>fig-siena-quality-life-income</v>
      </c>
    </row>
    <row r="223" spans="1:8" x14ac:dyDescent="0.2">
      <c r="A223" t="s">
        <v>8</v>
      </c>
      <c r="B223">
        <v>219</v>
      </c>
      <c r="C223" t="s">
        <v>16</v>
      </c>
      <c r="E223" t="s">
        <v>672</v>
      </c>
      <c r="F223" t="s">
        <v>673</v>
      </c>
      <c r="G223" s="7" t="s">
        <v>674</v>
      </c>
      <c r="H223" s="7" t="str">
        <f>IF(LEFT(Table3[[#This Row],[Object ID]],4)="tbl-","fig-" &amp; MID(Table3[[#This Row],[Object ID]],5,LEN(Table3[[#This Row],[Object ID]])-4),"")</f>
        <v>fig-siena-info-bad-weather</v>
      </c>
    </row>
    <row r="224" spans="1:8" x14ac:dyDescent="0.2">
      <c r="A224" t="s">
        <v>8</v>
      </c>
      <c r="B224">
        <v>220</v>
      </c>
      <c r="C224" t="s">
        <v>16</v>
      </c>
      <c r="E224" t="s">
        <v>675</v>
      </c>
      <c r="F224" t="s">
        <v>676</v>
      </c>
      <c r="G224" s="7" t="s">
        <v>677</v>
      </c>
      <c r="H224" s="7" t="str">
        <f>IF(LEFT(Table3[[#This Row],[Object ID]],4)="tbl-","fig-" &amp; MID(Table3[[#This Row],[Object ID]],5,LEN(Table3[[#This Row],[Object ID]])-4),"")</f>
        <v>fig-siena-info-bad-weather-income</v>
      </c>
    </row>
    <row r="225" spans="1:8" x14ac:dyDescent="0.2">
      <c r="A225" t="s">
        <v>8</v>
      </c>
      <c r="B225">
        <v>221</v>
      </c>
      <c r="C225" t="s">
        <v>16</v>
      </c>
      <c r="E225" t="s">
        <v>678</v>
      </c>
      <c r="F225" t="s">
        <v>679</v>
      </c>
      <c r="G225" s="7" t="s">
        <v>680</v>
      </c>
      <c r="H225" s="7" t="str">
        <f>IF(LEFT(Table3[[#This Row],[Object ID]],4)="tbl-","fig-" &amp; MID(Table3[[#This Row],[Object ID]],5,LEN(Table3[[#This Row],[Object ID]])-4),"")</f>
        <v>fig-siena-ph-emergency</v>
      </c>
    </row>
    <row r="226" spans="1:8" x14ac:dyDescent="0.2">
      <c r="A226" t="s">
        <v>8</v>
      </c>
      <c r="B226">
        <v>222</v>
      </c>
      <c r="C226" t="s">
        <v>16</v>
      </c>
      <c r="E226" t="s">
        <v>681</v>
      </c>
      <c r="F226" t="s">
        <v>682</v>
      </c>
      <c r="G226" s="7" t="s">
        <v>683</v>
      </c>
      <c r="H226" s="7" t="str">
        <f>IF(LEFT(Table3[[#This Row],[Object ID]],4)="tbl-","fig-" &amp; MID(Table3[[#This Row],[Object ID]],5,LEN(Table3[[#This Row],[Object ID]])-4),"")</f>
        <v>fig-siena-ph-emergency-income</v>
      </c>
    </row>
    <row r="227" spans="1:8" x14ac:dyDescent="0.2">
      <c r="A227" t="s">
        <v>8</v>
      </c>
      <c r="B227">
        <v>223</v>
      </c>
      <c r="C227" t="s">
        <v>16</v>
      </c>
      <c r="E227" t="s">
        <v>684</v>
      </c>
      <c r="F227" t="s">
        <v>685</v>
      </c>
      <c r="G227" s="7" t="s">
        <v>686</v>
      </c>
      <c r="H227" s="7" t="str">
        <f>IF(LEFT(Table3[[#This Row],[Object ID]],4)="tbl-","fig-" &amp; MID(Table3[[#This Row],[Object ID]],5,LEN(Table3[[#This Row],[Object ID]])-4),"")</f>
        <v>fig-siena-safe-place-walk-bike</v>
      </c>
    </row>
    <row r="228" spans="1:8" x14ac:dyDescent="0.2">
      <c r="A228" t="s">
        <v>8</v>
      </c>
      <c r="B228">
        <v>224</v>
      </c>
      <c r="C228" t="s">
        <v>16</v>
      </c>
      <c r="E228" t="s">
        <v>687</v>
      </c>
      <c r="F228" t="s">
        <v>688</v>
      </c>
      <c r="G228" s="7" t="s">
        <v>689</v>
      </c>
      <c r="H228" s="7" t="str">
        <f>IF(LEFT(Table3[[#This Row],[Object ID]],4)="tbl-","fig-" &amp; MID(Table3[[#This Row],[Object ID]],5,LEN(Table3[[#This Row],[Object ID]])-4),"")</f>
        <v>fig-siena-safe-place-walk-bike-income</v>
      </c>
    </row>
    <row r="229" spans="1:8" x14ac:dyDescent="0.2">
      <c r="A229" t="s">
        <v>8</v>
      </c>
      <c r="B229">
        <v>225</v>
      </c>
      <c r="C229" t="s">
        <v>16</v>
      </c>
      <c r="E229" t="s">
        <v>690</v>
      </c>
      <c r="F229" t="s">
        <v>691</v>
      </c>
      <c r="G229" s="7" t="s">
        <v>692</v>
      </c>
      <c r="H229" s="7" t="str">
        <f>IF(LEFT(Table3[[#This Row],[Object ID]],4)="tbl-","fig-" &amp; MID(Table3[[#This Row],[Object ID]],5,LEN(Table3[[#This Row],[Object ID]])-4),"")</f>
        <v>fig-siena-walk-bike-safe</v>
      </c>
    </row>
    <row r="230" spans="1:8" x14ac:dyDescent="0.2">
      <c r="A230" t="s">
        <v>8</v>
      </c>
      <c r="B230">
        <v>226</v>
      </c>
      <c r="C230" t="s">
        <v>16</v>
      </c>
      <c r="E230" t="s">
        <v>693</v>
      </c>
      <c r="F230" t="s">
        <v>694</v>
      </c>
      <c r="G230" s="7" t="s">
        <v>695</v>
      </c>
      <c r="H230" s="7" t="str">
        <f>IF(LEFT(Table3[[#This Row],[Object ID]],4)="tbl-","fig-" &amp; MID(Table3[[#This Row],[Object ID]],5,LEN(Table3[[#This Row],[Object ID]])-4),"")</f>
        <v>fig-siena-walk-bike-safe-income</v>
      </c>
    </row>
    <row r="231" spans="1:8" x14ac:dyDescent="0.2">
      <c r="A231" t="s">
        <v>8</v>
      </c>
      <c r="B231">
        <v>227</v>
      </c>
      <c r="C231" t="s">
        <v>16</v>
      </c>
      <c r="E231" t="s">
        <v>696</v>
      </c>
      <c r="F231" t="s">
        <v>697</v>
      </c>
      <c r="G231" s="7" t="s">
        <v>698</v>
      </c>
      <c r="H231" s="7" t="str">
        <f>IF(LEFT(Table3[[#This Row],[Object ID]],4)="tbl-","fig-" &amp; MID(Table3[[#This Row],[Object ID]],5,LEN(Table3[[#This Row],[Object ID]])-4),"")</f>
        <v>fig-siena-rate-community-as-place-to-age</v>
      </c>
    </row>
    <row r="232" spans="1:8" x14ac:dyDescent="0.2">
      <c r="A232" t="s">
        <v>8</v>
      </c>
      <c r="B232">
        <v>228</v>
      </c>
      <c r="C232" t="s">
        <v>16</v>
      </c>
      <c r="E232" t="s">
        <v>699</v>
      </c>
      <c r="F232" t="s">
        <v>700</v>
      </c>
      <c r="G232" s="7" t="s">
        <v>701</v>
      </c>
      <c r="H232" s="7" t="str">
        <f>IF(LEFT(Table3[[#This Row],[Object ID]],4)="tbl-","fig-" &amp; MID(Table3[[#This Row],[Object ID]],5,LEN(Table3[[#This Row],[Object ID]])-4),"")</f>
        <v>fig-siena-rate-community-as-place-to-age-income</v>
      </c>
    </row>
    <row r="233" spans="1:8" x14ac:dyDescent="0.2">
      <c r="A233" t="s">
        <v>8</v>
      </c>
      <c r="B233">
        <v>229</v>
      </c>
      <c r="C233" t="s">
        <v>16</v>
      </c>
      <c r="E233" t="s">
        <v>702</v>
      </c>
      <c r="F233" t="s">
        <v>703</v>
      </c>
      <c r="G233" s="7" t="s">
        <v>704</v>
      </c>
      <c r="H233" s="7" t="str">
        <f>IF(LEFT(Table3[[#This Row],[Object ID]],4)="tbl-","fig-" &amp; MID(Table3[[#This Row],[Object ID]],5,LEN(Table3[[#This Row],[Object ID]])-4),"")</f>
        <v>fig-siena-physical-health</v>
      </c>
    </row>
    <row r="234" spans="1:8" x14ac:dyDescent="0.2">
      <c r="A234" t="s">
        <v>8</v>
      </c>
      <c r="B234">
        <v>230</v>
      </c>
      <c r="C234" t="s">
        <v>16</v>
      </c>
      <c r="E234" t="s">
        <v>705</v>
      </c>
      <c r="F234" t="s">
        <v>706</v>
      </c>
      <c r="G234" s="7" t="s">
        <v>707</v>
      </c>
      <c r="H234" s="7" t="str">
        <f>IF(LEFT(Table3[[#This Row],[Object ID]],4)="tbl-","fig-" &amp; MID(Table3[[#This Row],[Object ID]],5,LEN(Table3[[#This Row],[Object ID]])-4),"")</f>
        <v>fig-siena-physical-health-income</v>
      </c>
    </row>
    <row r="235" spans="1:8" x14ac:dyDescent="0.2">
      <c r="A235" t="s">
        <v>8</v>
      </c>
      <c r="B235">
        <v>231</v>
      </c>
      <c r="C235" t="s">
        <v>16</v>
      </c>
      <c r="E235" t="s">
        <v>708</v>
      </c>
      <c r="F235" t="s">
        <v>709</v>
      </c>
      <c r="G235" s="7" t="s">
        <v>710</v>
      </c>
      <c r="H235" s="7" t="str">
        <f>IF(LEFT(Table3[[#This Row],[Object ID]],4)="tbl-","fig-" &amp; MID(Table3[[#This Row],[Object ID]],5,LEN(Table3[[#This Row],[Object ID]])-4),"")</f>
        <v>fig-siena-mental-health</v>
      </c>
    </row>
    <row r="236" spans="1:8" x14ac:dyDescent="0.2">
      <c r="A236" t="s">
        <v>8</v>
      </c>
      <c r="B236">
        <v>232</v>
      </c>
      <c r="C236" t="s">
        <v>16</v>
      </c>
      <c r="E236" t="s">
        <v>711</v>
      </c>
      <c r="F236" t="s">
        <v>712</v>
      </c>
      <c r="G236" s="7" t="s">
        <v>713</v>
      </c>
      <c r="H236" s="7" t="str">
        <f>IF(LEFT(Table3[[#This Row],[Object ID]],4)="tbl-","fig-" &amp; MID(Table3[[#This Row],[Object ID]],5,LEN(Table3[[#This Row],[Object ID]])-4),"")</f>
        <v>fig-siena-mental-health-income</v>
      </c>
    </row>
    <row r="237" spans="1:8" x14ac:dyDescent="0.2">
      <c r="A237" t="s">
        <v>8</v>
      </c>
      <c r="B237">
        <v>233</v>
      </c>
      <c r="C237" t="s">
        <v>16</v>
      </c>
      <c r="E237" t="s">
        <v>714</v>
      </c>
      <c r="F237" t="s">
        <v>715</v>
      </c>
      <c r="G237" s="7" t="s">
        <v>716</v>
      </c>
      <c r="H237" s="7" t="str">
        <f>IF(LEFT(Table3[[#This Row],[Object ID]],4)="tbl-","fig-" &amp; MID(Table3[[#This Row],[Object ID]],5,LEN(Table3[[#This Row],[Object ID]])-4),"")</f>
        <v>fig-siena-healthy-diet</v>
      </c>
    </row>
    <row r="238" spans="1:8" x14ac:dyDescent="0.2">
      <c r="A238" t="s">
        <v>8</v>
      </c>
      <c r="B238">
        <v>234</v>
      </c>
      <c r="C238" t="s">
        <v>16</v>
      </c>
      <c r="E238" t="s">
        <v>717</v>
      </c>
      <c r="F238" t="s">
        <v>718</v>
      </c>
      <c r="G238" s="7" t="s">
        <v>719</v>
      </c>
      <c r="H238" s="7" t="str">
        <f>IF(LEFT(Table3[[#This Row],[Object ID]],4)="tbl-","fig-" &amp; MID(Table3[[#This Row],[Object ID]],5,LEN(Table3[[#This Row],[Object ID]])-4),"")</f>
        <v>fig-siena-healthy-diet-income</v>
      </c>
    </row>
    <row r="239" spans="1:8" x14ac:dyDescent="0.2">
      <c r="A239" t="s">
        <v>8</v>
      </c>
      <c r="B239">
        <v>235</v>
      </c>
      <c r="C239" t="s">
        <v>16</v>
      </c>
      <c r="E239" t="s">
        <v>720</v>
      </c>
      <c r="F239" t="s">
        <v>721</v>
      </c>
      <c r="G239" s="7" t="s">
        <v>722</v>
      </c>
      <c r="H239" s="7" t="str">
        <f>IF(LEFT(Table3[[#This Row],[Object ID]],4)="tbl-","fig-" &amp; MID(Table3[[#This Row],[Object ID]],5,LEN(Table3[[#This Row],[Object ID]])-4),"")</f>
        <v>fig-siena-exercise</v>
      </c>
    </row>
    <row r="240" spans="1:8" x14ac:dyDescent="0.2">
      <c r="A240" t="s">
        <v>8</v>
      </c>
      <c r="B240">
        <v>236</v>
      </c>
      <c r="C240" t="s">
        <v>16</v>
      </c>
      <c r="E240" t="s">
        <v>723</v>
      </c>
      <c r="F240" t="s">
        <v>724</v>
      </c>
      <c r="G240" s="7" t="s">
        <v>725</v>
      </c>
      <c r="H240" s="7" t="str">
        <f>IF(LEFT(Table3[[#This Row],[Object ID]],4)="tbl-","fig-" &amp; MID(Table3[[#This Row],[Object ID]],5,LEN(Table3[[#This Row],[Object ID]])-4),"")</f>
        <v>fig-siena-exercise-income</v>
      </c>
    </row>
    <row r="241" spans="1:8" x14ac:dyDescent="0.2">
      <c r="A241" t="s">
        <v>8</v>
      </c>
      <c r="B241">
        <v>237</v>
      </c>
      <c r="C241" t="s">
        <v>16</v>
      </c>
      <c r="E241" t="s">
        <v>726</v>
      </c>
      <c r="F241" t="s">
        <v>727</v>
      </c>
      <c r="G241" s="7" t="s">
        <v>728</v>
      </c>
      <c r="H241" s="7" t="str">
        <f>IF(LEFT(Table3[[#This Row],[Object ID]],4)="tbl-","fig-" &amp; MID(Table3[[#This Row],[Object ID]],5,LEN(Table3[[#This Row],[Object ID]])-4),"")</f>
        <v>fig-siena-sleep</v>
      </c>
    </row>
    <row r="242" spans="1:8" x14ac:dyDescent="0.2">
      <c r="A242" t="s">
        <v>8</v>
      </c>
      <c r="B242">
        <v>238</v>
      </c>
      <c r="C242" t="s">
        <v>16</v>
      </c>
      <c r="E242" t="s">
        <v>729</v>
      </c>
      <c r="F242" t="s">
        <v>730</v>
      </c>
      <c r="G242" s="7" t="s">
        <v>731</v>
      </c>
      <c r="H242" s="7" t="str">
        <f>IF(LEFT(Table3[[#This Row],[Object ID]],4)="tbl-","fig-" &amp; MID(Table3[[#This Row],[Object ID]],5,LEN(Table3[[#This Row],[Object ID]])-4),"")</f>
        <v>fig-siena-sleep-income</v>
      </c>
    </row>
    <row r="243" spans="1:8" x14ac:dyDescent="0.2">
      <c r="A243" t="s">
        <v>8</v>
      </c>
      <c r="B243">
        <v>239</v>
      </c>
      <c r="C243" t="s">
        <v>16</v>
      </c>
      <c r="E243" t="s">
        <v>732</v>
      </c>
      <c r="F243" t="s">
        <v>733</v>
      </c>
      <c r="G243" s="7" t="s">
        <v>734</v>
      </c>
      <c r="H243" s="7" t="str">
        <f>IF(LEFT(Table3[[#This Row],[Object ID]],4)="tbl-","fig-" &amp; MID(Table3[[#This Row],[Object ID]],5,LEN(Table3[[#This Row],[Object ID]])-4),"")</f>
        <v>fig-siena-stress</v>
      </c>
    </row>
    <row r="244" spans="1:8" x14ac:dyDescent="0.2">
      <c r="A244" t="s">
        <v>8</v>
      </c>
      <c r="B244">
        <v>240</v>
      </c>
      <c r="C244" t="s">
        <v>16</v>
      </c>
      <c r="E244" t="s">
        <v>735</v>
      </c>
      <c r="F244" t="s">
        <v>736</v>
      </c>
      <c r="G244" s="7" t="s">
        <v>737</v>
      </c>
      <c r="H244" s="7" t="str">
        <f>IF(LEFT(Table3[[#This Row],[Object ID]],4)="tbl-","fig-" &amp; MID(Table3[[#This Row],[Object ID]],5,LEN(Table3[[#This Row],[Object ID]])-4),"")</f>
        <v>fig-siena-stress-income</v>
      </c>
    </row>
    <row r="245" spans="1:8" x14ac:dyDescent="0.2">
      <c r="A245" t="s">
        <v>8</v>
      </c>
      <c r="B245">
        <v>241</v>
      </c>
      <c r="C245" t="s">
        <v>16</v>
      </c>
      <c r="E245" t="s">
        <v>738</v>
      </c>
      <c r="F245" t="s">
        <v>739</v>
      </c>
      <c r="G245" s="7" t="s">
        <v>740</v>
      </c>
      <c r="H245" s="7" t="str">
        <f>IF(LEFT(Table3[[#This Row],[Object ID]],4)="tbl-","fig-" &amp; MID(Table3[[#This Row],[Object ID]],5,LEN(Table3[[#This Row],[Object ID]])-4),"")</f>
        <v>fig-siena-quality-encounter</v>
      </c>
    </row>
    <row r="246" spans="1:8" x14ac:dyDescent="0.2">
      <c r="A246" t="s">
        <v>8</v>
      </c>
      <c r="B246">
        <v>242</v>
      </c>
      <c r="C246" t="s">
        <v>16</v>
      </c>
      <c r="E246" t="s">
        <v>741</v>
      </c>
      <c r="F246" t="s">
        <v>742</v>
      </c>
      <c r="G246" s="7" t="s">
        <v>743</v>
      </c>
      <c r="H246" s="7" t="str">
        <f>IF(LEFT(Table3[[#This Row],[Object ID]],4)="tbl-","fig-" &amp; MID(Table3[[#This Row],[Object ID]],5,LEN(Table3[[#This Row],[Object ID]])-4),"")</f>
        <v>fig-siena-quality-encounter-income</v>
      </c>
    </row>
    <row r="247" spans="1:8" x14ac:dyDescent="0.2">
      <c r="A247" t="s">
        <v>8</v>
      </c>
      <c r="B247">
        <v>243</v>
      </c>
      <c r="C247" t="s">
        <v>16</v>
      </c>
      <c r="E247" t="s">
        <v>744</v>
      </c>
      <c r="F247" t="s">
        <v>745</v>
      </c>
      <c r="G247" s="7" t="s">
        <v>746</v>
      </c>
      <c r="H247" s="7" t="str">
        <f>IF(LEFT(Table3[[#This Row],[Object ID]],4)="tbl-","fig-" &amp; MID(Table3[[#This Row],[Object ID]],5,LEN(Table3[[#This Row],[Object ID]])-4),"")</f>
        <v>fig-siena-alcohol</v>
      </c>
    </row>
    <row r="248" spans="1:8" x14ac:dyDescent="0.2">
      <c r="A248" t="s">
        <v>8</v>
      </c>
      <c r="B248">
        <v>244</v>
      </c>
      <c r="C248" t="s">
        <v>16</v>
      </c>
      <c r="E248" t="s">
        <v>747</v>
      </c>
      <c r="F248" t="s">
        <v>748</v>
      </c>
      <c r="G248" s="7" t="s">
        <v>749</v>
      </c>
      <c r="H248" s="7" t="str">
        <f>IF(LEFT(Table3[[#This Row],[Object ID]],4)="tbl-","fig-" &amp; MID(Table3[[#This Row],[Object ID]],5,LEN(Table3[[#This Row],[Object ID]])-4),"")</f>
        <v>fig-siena-alcohol-income</v>
      </c>
    </row>
    <row r="249" spans="1:8" x14ac:dyDescent="0.2">
      <c r="A249" t="s">
        <v>8</v>
      </c>
      <c r="B249">
        <v>245</v>
      </c>
      <c r="C249" t="s">
        <v>16</v>
      </c>
      <c r="E249" t="s">
        <v>750</v>
      </c>
      <c r="F249" t="s">
        <v>751</v>
      </c>
      <c r="G249" s="7" t="s">
        <v>752</v>
      </c>
      <c r="H249" s="7" t="str">
        <f>IF(LEFT(Table3[[#This Row],[Object ID]],4)="tbl-","fig-" &amp; MID(Table3[[#This Row],[Object ID]],5,LEN(Table3[[#This Row],[Object ID]])-4),"")</f>
        <v>fig-siena-non-medical-drug-use</v>
      </c>
    </row>
    <row r="250" spans="1:8" x14ac:dyDescent="0.2">
      <c r="A250" t="s">
        <v>8</v>
      </c>
      <c r="B250">
        <v>246</v>
      </c>
      <c r="C250" t="s">
        <v>16</v>
      </c>
      <c r="E250" t="s">
        <v>753</v>
      </c>
      <c r="F250" t="s">
        <v>754</v>
      </c>
      <c r="G250" s="7" t="s">
        <v>755</v>
      </c>
      <c r="H250" s="7" t="str">
        <f>IF(LEFT(Table3[[#This Row],[Object ID]],4)="tbl-","fig-" &amp; MID(Table3[[#This Row],[Object ID]],5,LEN(Table3[[#This Row],[Object ID]])-4),"")</f>
        <v>fig-siena-non-medical-drug-use-income</v>
      </c>
    </row>
    <row r="251" spans="1:8" x14ac:dyDescent="0.2">
      <c r="A251" t="s">
        <v>8</v>
      </c>
      <c r="B251">
        <v>247</v>
      </c>
      <c r="C251" t="s">
        <v>16</v>
      </c>
      <c r="E251" t="s">
        <v>756</v>
      </c>
      <c r="F251" t="s">
        <v>757</v>
      </c>
      <c r="G251" s="7" t="s">
        <v>758</v>
      </c>
      <c r="H251" s="7" t="str">
        <f>IF(LEFT(Table3[[#This Row],[Object ID]],4)="tbl-","fig-" &amp; MID(Table3[[#This Row],[Object ID]],5,LEN(Table3[[#This Row],[Object ID]])-4),"")</f>
        <v>fig-siena-cannabis</v>
      </c>
    </row>
    <row r="252" spans="1:8" x14ac:dyDescent="0.2">
      <c r="A252" t="s">
        <v>8</v>
      </c>
      <c r="B252">
        <v>248</v>
      </c>
      <c r="C252" t="s">
        <v>16</v>
      </c>
      <c r="E252" t="s">
        <v>759</v>
      </c>
      <c r="F252" t="s">
        <v>760</v>
      </c>
      <c r="G252" s="7" t="s">
        <v>761</v>
      </c>
      <c r="H252" s="7" t="str">
        <f>IF(LEFT(Table3[[#This Row],[Object ID]],4)="tbl-","fig-" &amp; MID(Table3[[#This Row],[Object ID]],5,LEN(Table3[[#This Row],[Object ID]])-4),"")</f>
        <v>fig-siena-cannabis-income</v>
      </c>
    </row>
    <row r="253" spans="1:8" x14ac:dyDescent="0.2">
      <c r="A253" t="s">
        <v>8</v>
      </c>
      <c r="B253">
        <v>249</v>
      </c>
      <c r="C253" t="s">
        <v>16</v>
      </c>
      <c r="E253" t="s">
        <v>762</v>
      </c>
      <c r="F253" t="s">
        <v>763</v>
      </c>
      <c r="G253" s="7" t="s">
        <v>764</v>
      </c>
      <c r="H253" s="7" t="str">
        <f>IF(LEFT(Table3[[#This Row],[Object ID]],4)="tbl-","fig-" &amp; MID(Table3[[#This Row],[Object ID]],5,LEN(Table3[[#This Row],[Object ID]])-4),"")</f>
        <v>fig-siena-unable-food</v>
      </c>
    </row>
    <row r="254" spans="1:8" x14ac:dyDescent="0.2">
      <c r="A254" t="s">
        <v>8</v>
      </c>
      <c r="B254">
        <v>250</v>
      </c>
      <c r="C254" t="s">
        <v>16</v>
      </c>
      <c r="E254" t="s">
        <v>765</v>
      </c>
      <c r="F254" t="s">
        <v>766</v>
      </c>
      <c r="G254" s="7" t="s">
        <v>767</v>
      </c>
      <c r="H254" s="7" t="str">
        <f>IF(LEFT(Table3[[#This Row],[Object ID]],4)="tbl-","fig-" &amp; MID(Table3[[#This Row],[Object ID]],5,LEN(Table3[[#This Row],[Object ID]])-4),"")</f>
        <v>fig-siena-unable-food-income</v>
      </c>
    </row>
    <row r="255" spans="1:8" x14ac:dyDescent="0.2">
      <c r="A255" t="s">
        <v>8</v>
      </c>
      <c r="B255">
        <v>251</v>
      </c>
      <c r="C255" t="s">
        <v>16</v>
      </c>
      <c r="E255" t="s">
        <v>768</v>
      </c>
      <c r="F255" t="s">
        <v>769</v>
      </c>
      <c r="G255" s="7" t="s">
        <v>770</v>
      </c>
      <c r="H255" s="7" t="str">
        <f>IF(LEFT(Table3[[#This Row],[Object ID]],4)="tbl-","fig-" &amp; MID(Table3[[#This Row],[Object ID]],5,LEN(Table3[[#This Row],[Object ID]])-4),"")</f>
        <v>fig-siena-unable-utilities</v>
      </c>
    </row>
    <row r="256" spans="1:8" x14ac:dyDescent="0.2">
      <c r="A256" t="s">
        <v>8</v>
      </c>
      <c r="B256">
        <v>252</v>
      </c>
      <c r="C256" t="s">
        <v>16</v>
      </c>
      <c r="E256" t="s">
        <v>771</v>
      </c>
      <c r="F256" t="s">
        <v>772</v>
      </c>
      <c r="G256" s="7" t="s">
        <v>773</v>
      </c>
      <c r="H256" s="7" t="str">
        <f>IF(LEFT(Table3[[#This Row],[Object ID]],4)="tbl-","fig-" &amp; MID(Table3[[#This Row],[Object ID]],5,LEN(Table3[[#This Row],[Object ID]])-4),"")</f>
        <v>fig-siena-unable-utilities-income</v>
      </c>
    </row>
    <row r="257" spans="1:8" x14ac:dyDescent="0.2">
      <c r="A257" t="s">
        <v>8</v>
      </c>
      <c r="B257">
        <v>253</v>
      </c>
      <c r="C257" t="s">
        <v>16</v>
      </c>
      <c r="E257" t="s">
        <v>774</v>
      </c>
      <c r="F257" t="s">
        <v>775</v>
      </c>
      <c r="G257" s="7" t="s">
        <v>776</v>
      </c>
      <c r="H257" s="7" t="str">
        <f>IF(LEFT(Table3[[#This Row],[Object ID]],4)="tbl-","fig-" &amp; MID(Table3[[#This Row],[Object ID]],5,LEN(Table3[[#This Row],[Object ID]])-4),"")</f>
        <v>fig-siena-unable-dental-vision</v>
      </c>
    </row>
    <row r="258" spans="1:8" x14ac:dyDescent="0.2">
      <c r="A258" t="s">
        <v>8</v>
      </c>
      <c r="B258">
        <v>254</v>
      </c>
      <c r="C258" t="s">
        <v>16</v>
      </c>
      <c r="E258" t="s">
        <v>777</v>
      </c>
      <c r="F258" t="s">
        <v>778</v>
      </c>
      <c r="G258" s="7" t="s">
        <v>779</v>
      </c>
      <c r="H258" s="7" t="str">
        <f>IF(LEFT(Table3[[#This Row],[Object ID]],4)="tbl-","fig-" &amp; MID(Table3[[#This Row],[Object ID]],5,LEN(Table3[[#This Row],[Object ID]])-4),"")</f>
        <v>fig-siena-unable-dental-vision-income</v>
      </c>
    </row>
    <row r="259" spans="1:8" x14ac:dyDescent="0.2">
      <c r="A259" t="s">
        <v>8</v>
      </c>
      <c r="B259">
        <v>255</v>
      </c>
      <c r="C259" t="s">
        <v>16</v>
      </c>
      <c r="E259" t="s">
        <v>780</v>
      </c>
      <c r="F259" t="s">
        <v>781</v>
      </c>
      <c r="G259" s="7" t="s">
        <v>782</v>
      </c>
      <c r="H259" s="7" t="str">
        <f>IF(LEFT(Table3[[#This Row],[Object ID]],4)="tbl-","fig-" &amp; MID(Table3[[#This Row],[Object ID]],5,LEN(Table3[[#This Row],[Object ID]])-4),"")</f>
        <v>fig-siena-unable-phone</v>
      </c>
    </row>
    <row r="260" spans="1:8" x14ac:dyDescent="0.2">
      <c r="A260" t="s">
        <v>8</v>
      </c>
      <c r="B260">
        <v>256</v>
      </c>
      <c r="C260" t="s">
        <v>16</v>
      </c>
      <c r="E260" t="s">
        <v>783</v>
      </c>
      <c r="F260" t="s">
        <v>784</v>
      </c>
      <c r="G260" s="7" t="s">
        <v>785</v>
      </c>
      <c r="H260" s="7" t="str">
        <f>IF(LEFT(Table3[[#This Row],[Object ID]],4)="tbl-","fig-" &amp; MID(Table3[[#This Row],[Object ID]],5,LEN(Table3[[#This Row],[Object ID]])-4),"")</f>
        <v>fig-siena-unable-phone-income</v>
      </c>
    </row>
    <row r="261" spans="1:8" x14ac:dyDescent="0.2">
      <c r="A261" t="s">
        <v>8</v>
      </c>
      <c r="B261">
        <v>257</v>
      </c>
      <c r="C261" t="s">
        <v>16</v>
      </c>
      <c r="E261" t="s">
        <v>786</v>
      </c>
      <c r="F261" t="s">
        <v>787</v>
      </c>
      <c r="G261" s="7" t="s">
        <v>788</v>
      </c>
      <c r="H261" s="7" t="str">
        <f>IF(LEFT(Table3[[#This Row],[Object ID]],4)="tbl-","fig-" &amp; MID(Table3[[#This Row],[Object ID]],5,LEN(Table3[[#This Row],[Object ID]])-4),"")</f>
        <v>fig-siena-unable-transportation</v>
      </c>
    </row>
    <row r="262" spans="1:8" x14ac:dyDescent="0.2">
      <c r="A262" t="s">
        <v>8</v>
      </c>
      <c r="B262">
        <v>258</v>
      </c>
      <c r="C262" t="s">
        <v>16</v>
      </c>
      <c r="E262" t="s">
        <v>789</v>
      </c>
      <c r="F262" t="s">
        <v>790</v>
      </c>
      <c r="G262" s="7" t="s">
        <v>791</v>
      </c>
      <c r="H262" s="7" t="str">
        <f>IF(LEFT(Table3[[#This Row],[Object ID]],4)="tbl-","fig-" &amp; MID(Table3[[#This Row],[Object ID]],5,LEN(Table3[[#This Row],[Object ID]])-4),"")</f>
        <v>fig-siena-unable-transportation-income</v>
      </c>
    </row>
    <row r="263" spans="1:8" x14ac:dyDescent="0.2">
      <c r="A263" t="s">
        <v>8</v>
      </c>
      <c r="B263">
        <v>259</v>
      </c>
      <c r="C263" t="s">
        <v>16</v>
      </c>
      <c r="E263" t="s">
        <v>792</v>
      </c>
      <c r="F263" t="s">
        <v>793</v>
      </c>
      <c r="G263" s="7" t="s">
        <v>794</v>
      </c>
      <c r="H263" s="7" t="str">
        <f>IF(LEFT(Table3[[#This Row],[Object ID]],4)="tbl-","fig-" &amp; MID(Table3[[#This Row],[Object ID]],5,LEN(Table3[[#This Row],[Object ID]])-4),"")</f>
        <v>fig-siena-unable-housing</v>
      </c>
    </row>
    <row r="264" spans="1:8" x14ac:dyDescent="0.2">
      <c r="A264" t="s">
        <v>8</v>
      </c>
      <c r="B264">
        <v>260</v>
      </c>
      <c r="C264" t="s">
        <v>16</v>
      </c>
      <c r="E264" t="s">
        <v>795</v>
      </c>
      <c r="F264" t="s">
        <v>796</v>
      </c>
      <c r="G264" s="7" t="s">
        <v>797</v>
      </c>
      <c r="H264" s="7" t="str">
        <f>IF(LEFT(Table3[[#This Row],[Object ID]],4)="tbl-","fig-" &amp; MID(Table3[[#This Row],[Object ID]],5,LEN(Table3[[#This Row],[Object ID]])-4),"")</f>
        <v>fig-siena-unable-housing-income</v>
      </c>
    </row>
    <row r="265" spans="1:8" x14ac:dyDescent="0.2">
      <c r="A265" t="s">
        <v>8</v>
      </c>
      <c r="B265">
        <v>261</v>
      </c>
      <c r="C265" t="s">
        <v>16</v>
      </c>
      <c r="E265" t="s">
        <v>798</v>
      </c>
      <c r="F265" t="s">
        <v>799</v>
      </c>
      <c r="G265" s="7" t="s">
        <v>800</v>
      </c>
      <c r="H265" s="7" t="str">
        <f>IF(LEFT(Table3[[#This Row],[Object ID]],4)="tbl-","fig-" &amp; MID(Table3[[#This Row],[Object ID]],5,LEN(Table3[[#This Row],[Object ID]])-4),"")</f>
        <v>fig-siena-unable-childcare</v>
      </c>
    </row>
    <row r="266" spans="1:8" x14ac:dyDescent="0.2">
      <c r="A266" t="s">
        <v>8</v>
      </c>
      <c r="B266">
        <v>262</v>
      </c>
      <c r="C266" t="s">
        <v>16</v>
      </c>
      <c r="E266" t="s">
        <v>801</v>
      </c>
      <c r="F266" t="s">
        <v>802</v>
      </c>
      <c r="G266" s="7" t="s">
        <v>803</v>
      </c>
      <c r="H266" s="7" t="str">
        <f>IF(LEFT(Table3[[#This Row],[Object ID]],4)="tbl-","fig-" &amp; MID(Table3[[#This Row],[Object ID]],5,LEN(Table3[[#This Row],[Object ID]])-4),"")</f>
        <v>fig-siena-unable-childcare-income</v>
      </c>
    </row>
    <row r="267" spans="1:8" x14ac:dyDescent="0.2">
      <c r="A267" t="s">
        <v>8</v>
      </c>
      <c r="B267">
        <v>263</v>
      </c>
      <c r="C267" t="s">
        <v>16</v>
      </c>
      <c r="E267" t="s">
        <v>804</v>
      </c>
      <c r="F267" t="s">
        <v>805</v>
      </c>
      <c r="G267" s="7" t="s">
        <v>806</v>
      </c>
      <c r="H267" s="7" t="str">
        <f>IF(LEFT(Table3[[#This Row],[Object ID]],4)="tbl-","fig-" &amp; MID(Table3[[#This Row],[Object ID]],5,LEN(Table3[[#This Row],[Object ID]])-4),"")</f>
        <v>fig-siena-unable-internet</v>
      </c>
    </row>
    <row r="268" spans="1:8" x14ac:dyDescent="0.2">
      <c r="A268" t="s">
        <v>8</v>
      </c>
      <c r="B268">
        <v>264</v>
      </c>
      <c r="C268" t="s">
        <v>16</v>
      </c>
      <c r="E268" t="s">
        <v>807</v>
      </c>
      <c r="F268" t="s">
        <v>808</v>
      </c>
      <c r="G268" s="7" t="s">
        <v>809</v>
      </c>
      <c r="H268" s="7" t="str">
        <f>IF(LEFT(Table3[[#This Row],[Object ID]],4)="tbl-","fig-" &amp; MID(Table3[[#This Row],[Object ID]],5,LEN(Table3[[#This Row],[Object ID]])-4),"")</f>
        <v>fig-siena-unable-internet-income</v>
      </c>
    </row>
    <row r="269" spans="1:8" x14ac:dyDescent="0.2">
      <c r="A269" t="s">
        <v>8</v>
      </c>
      <c r="B269">
        <v>265</v>
      </c>
      <c r="C269" t="s">
        <v>16</v>
      </c>
      <c r="E269" t="s">
        <v>810</v>
      </c>
      <c r="F269" t="s">
        <v>811</v>
      </c>
      <c r="G269" s="7" t="s">
        <v>812</v>
      </c>
      <c r="H269" s="7" t="str">
        <f>IF(LEFT(Table3[[#This Row],[Object ID]],4)="tbl-","fig-" &amp; MID(Table3[[#This Row],[Object ID]],5,LEN(Table3[[#This Row],[Object ID]])-4),"")</f>
        <v>fig-siena-routine-physical</v>
      </c>
    </row>
    <row r="270" spans="1:8" x14ac:dyDescent="0.2">
      <c r="A270" t="s">
        <v>8</v>
      </c>
      <c r="B270">
        <v>266</v>
      </c>
      <c r="C270" t="s">
        <v>16</v>
      </c>
      <c r="E270" t="s">
        <v>813</v>
      </c>
      <c r="F270" t="s">
        <v>814</v>
      </c>
      <c r="G270" s="7" t="s">
        <v>815</v>
      </c>
      <c r="H270" s="7" t="str">
        <f>IF(LEFT(Table3[[#This Row],[Object ID]],4)="tbl-","fig-" &amp; MID(Table3[[#This Row],[Object ID]],5,LEN(Table3[[#This Row],[Object ID]])-4),"")</f>
        <v>fig-siena-routine-physical-income</v>
      </c>
    </row>
    <row r="271" spans="1:8" x14ac:dyDescent="0.2">
      <c r="A271" t="s">
        <v>8</v>
      </c>
      <c r="B271">
        <v>267</v>
      </c>
      <c r="C271" t="s">
        <v>16</v>
      </c>
      <c r="E271" t="s">
        <v>816</v>
      </c>
      <c r="F271" t="s">
        <v>817</v>
      </c>
      <c r="G271" s="7" t="s">
        <v>818</v>
      </c>
      <c r="H271" s="7" t="str">
        <f>IF(LEFT(Table3[[#This Row],[Object ID]],4)="tbl-","fig-" &amp; MID(Table3[[#This Row],[Object ID]],5,LEN(Table3[[#This Row],[Object ID]])-4),"")</f>
        <v>fig-siena-not-routine-physical</v>
      </c>
    </row>
    <row r="272" spans="1:8" x14ac:dyDescent="0.2">
      <c r="A272" t="s">
        <v>8</v>
      </c>
      <c r="B272">
        <v>268</v>
      </c>
      <c r="C272" t="s">
        <v>9</v>
      </c>
      <c r="E272" t="s">
        <v>819</v>
      </c>
      <c r="F272" t="s">
        <v>820</v>
      </c>
      <c r="G272" s="7" t="s">
        <v>821</v>
      </c>
      <c r="H272" s="7" t="str">
        <f>IF(LEFT(Table3[[#This Row],[Object ID]],4)="tbl-","fig-" &amp; MID(Table3[[#This Row],[Object ID]],5,LEN(Table3[[#This Row],[Object ID]])-4),"")</f>
        <v>fig-siena-not-routine-physical-income</v>
      </c>
    </row>
    <row r="273" spans="1:8" x14ac:dyDescent="0.2">
      <c r="A273" t="s">
        <v>8</v>
      </c>
      <c r="B273">
        <v>269</v>
      </c>
      <c r="C273" t="s">
        <v>16</v>
      </c>
      <c r="E273" t="s">
        <v>822</v>
      </c>
      <c r="F273" t="s">
        <v>823</v>
      </c>
      <c r="G273" s="7" t="s">
        <v>824</v>
      </c>
      <c r="H273" s="7" t="str">
        <f>IF(LEFT(Table3[[#This Row],[Object ID]],4)="tbl-","fig-" &amp; MID(Table3[[#This Row],[Object ID]],5,LEN(Table3[[#This Row],[Object ID]])-4),"")</f>
        <v>fig-siena-routine-dentist</v>
      </c>
    </row>
    <row r="274" spans="1:8" x14ac:dyDescent="0.2">
      <c r="A274" t="s">
        <v>8</v>
      </c>
      <c r="B274">
        <v>270</v>
      </c>
      <c r="C274" t="s">
        <v>16</v>
      </c>
      <c r="E274" t="s">
        <v>825</v>
      </c>
      <c r="F274" t="s">
        <v>826</v>
      </c>
      <c r="G274" s="7" t="s">
        <v>827</v>
      </c>
      <c r="H274" s="7" t="str">
        <f>IF(LEFT(Table3[[#This Row],[Object ID]],4)="tbl-","fig-" &amp; MID(Table3[[#This Row],[Object ID]],5,LEN(Table3[[#This Row],[Object ID]])-4),"")</f>
        <v>fig-siena-routine-dentist-income</v>
      </c>
    </row>
    <row r="275" spans="1:8" x14ac:dyDescent="0.2">
      <c r="A275" t="s">
        <v>8</v>
      </c>
      <c r="B275">
        <v>271</v>
      </c>
      <c r="C275" t="s">
        <v>16</v>
      </c>
      <c r="E275" t="s">
        <v>828</v>
      </c>
      <c r="F275" t="s">
        <v>829</v>
      </c>
      <c r="G275" s="7" t="s">
        <v>830</v>
      </c>
      <c r="H275" s="7" t="str">
        <f>IF(LEFT(Table3[[#This Row],[Object ID]],4)="tbl-","fig-" &amp; MID(Table3[[#This Row],[Object ID]],5,LEN(Table3[[#This Row],[Object ID]])-4),"")</f>
        <v>fig-siena-not-routine-dentist</v>
      </c>
    </row>
    <row r="276" spans="1:8" x14ac:dyDescent="0.2">
      <c r="A276" t="s">
        <v>8</v>
      </c>
      <c r="B276">
        <v>272</v>
      </c>
      <c r="C276" t="s">
        <v>9</v>
      </c>
      <c r="E276" t="s">
        <v>831</v>
      </c>
      <c r="F276" t="s">
        <v>832</v>
      </c>
      <c r="G276" s="7" t="s">
        <v>833</v>
      </c>
      <c r="H276" s="7" t="str">
        <f>IF(LEFT(Table3[[#This Row],[Object ID]],4)="tbl-","fig-" &amp; MID(Table3[[#This Row],[Object ID]],5,LEN(Table3[[#This Row],[Object ID]])-4),"")</f>
        <v>fig-siena-not-routine-dentist-income</v>
      </c>
    </row>
    <row r="277" spans="1:8" x14ac:dyDescent="0.2">
      <c r="A277" t="s">
        <v>8</v>
      </c>
      <c r="B277">
        <v>273</v>
      </c>
      <c r="C277" t="s">
        <v>16</v>
      </c>
      <c r="E277" t="s">
        <v>834</v>
      </c>
      <c r="F277" t="s">
        <v>835</v>
      </c>
      <c r="G277" s="7" t="s">
        <v>836</v>
      </c>
      <c r="H277" s="7" t="str">
        <f>IF(LEFT(Table3[[#This Row],[Object ID]],4)="tbl-","fig-" &amp; MID(Table3[[#This Row],[Object ID]],5,LEN(Table3[[#This Row],[Object ID]])-4),"")</f>
        <v>fig-siena-ed-not-for-emergency</v>
      </c>
    </row>
    <row r="278" spans="1:8" x14ac:dyDescent="0.2">
      <c r="A278" t="s">
        <v>8</v>
      </c>
      <c r="B278">
        <v>274</v>
      </c>
      <c r="C278" t="s">
        <v>16</v>
      </c>
      <c r="E278" t="s">
        <v>837</v>
      </c>
      <c r="F278" t="s">
        <v>838</v>
      </c>
      <c r="G278" s="7" t="s">
        <v>839</v>
      </c>
      <c r="H278" s="7" t="str">
        <f>IF(LEFT(Table3[[#This Row],[Object ID]],4)="tbl-","fig-" &amp; MID(Table3[[#This Row],[Object ID]],5,LEN(Table3[[#This Row],[Object ID]])-4),"")</f>
        <v>fig-siena-ed-not-for-emergency-income</v>
      </c>
    </row>
    <row r="279" spans="1:8" x14ac:dyDescent="0.2">
      <c r="A279" t="s">
        <v>8</v>
      </c>
      <c r="B279">
        <v>275</v>
      </c>
      <c r="C279" t="s">
        <v>16</v>
      </c>
      <c r="E279" t="s">
        <v>840</v>
      </c>
      <c r="F279" t="s">
        <v>841</v>
      </c>
      <c r="G279" s="7" t="s">
        <v>842</v>
      </c>
      <c r="H279" s="7" t="str">
        <f>IF(LEFT(Table3[[#This Row],[Object ID]],4)="tbl-","fig-" &amp; MID(Table3[[#This Row],[Object ID]],5,LEN(Table3[[#This Row],[Object ID]])-4),"")</f>
        <v>fig-siena-reason-ed-not-emergency</v>
      </c>
    </row>
    <row r="280" spans="1:8" x14ac:dyDescent="0.2">
      <c r="A280" t="s">
        <v>8</v>
      </c>
      <c r="B280">
        <v>276</v>
      </c>
      <c r="C280" t="s">
        <v>9</v>
      </c>
      <c r="E280" t="s">
        <v>843</v>
      </c>
      <c r="F280" t="s">
        <v>844</v>
      </c>
      <c r="G280" s="7" t="s">
        <v>845</v>
      </c>
      <c r="H280" s="7" t="str">
        <f>IF(LEFT(Table3[[#This Row],[Object ID]],4)="tbl-","fig-" &amp; MID(Table3[[#This Row],[Object ID]],5,LEN(Table3[[#This Row],[Object ID]])-4),"")</f>
        <v>fig-siena-reason-ed-not-emergency-income</v>
      </c>
    </row>
    <row r="281" spans="1:8" x14ac:dyDescent="0.2">
      <c r="A281" t="s">
        <v>8</v>
      </c>
      <c r="B281">
        <v>277</v>
      </c>
      <c r="C281" t="s">
        <v>16</v>
      </c>
      <c r="E281" t="s">
        <v>846</v>
      </c>
      <c r="F281" t="s">
        <v>847</v>
      </c>
      <c r="G281" s="7" t="s">
        <v>848</v>
      </c>
      <c r="H281" s="7" t="str">
        <f>IF(LEFT(Table3[[#This Row],[Object ID]],4)="tbl-","fig-" &amp; MID(Table3[[#This Row],[Object ID]],5,LEN(Table3[[#This Row],[Object ID]])-4),"")</f>
        <v>fig-siena-routine-mh-visit</v>
      </c>
    </row>
    <row r="282" spans="1:8" x14ac:dyDescent="0.2">
      <c r="A282" t="s">
        <v>8</v>
      </c>
      <c r="B282">
        <v>278</v>
      </c>
      <c r="C282" t="s">
        <v>16</v>
      </c>
      <c r="E282" t="s">
        <v>849</v>
      </c>
      <c r="F282" t="s">
        <v>850</v>
      </c>
      <c r="G282" s="7" t="s">
        <v>851</v>
      </c>
      <c r="H282" s="7" t="str">
        <f>IF(LEFT(Table3[[#This Row],[Object ID]],4)="tbl-","fig-" &amp; MID(Table3[[#This Row],[Object ID]],5,LEN(Table3[[#This Row],[Object ID]])-4),"")</f>
        <v>fig-siena-routine-mh-visit-income</v>
      </c>
    </row>
    <row r="283" spans="1:8" x14ac:dyDescent="0.2">
      <c r="A283" t="s">
        <v>8</v>
      </c>
      <c r="B283">
        <v>279</v>
      </c>
      <c r="C283" t="s">
        <v>16</v>
      </c>
      <c r="E283" t="s">
        <v>852</v>
      </c>
      <c r="F283" t="s">
        <v>853</v>
      </c>
      <c r="G283" s="7" t="s">
        <v>854</v>
      </c>
      <c r="H283" s="7" t="str">
        <f>IF(LEFT(Table3[[#This Row],[Object ID]],4)="tbl-","fig-" &amp; MID(Table3[[#This Row],[Object ID]],5,LEN(Table3[[#This Row],[Object ID]])-4),"")</f>
        <v>fig-siena-reason-not-mh-visist</v>
      </c>
    </row>
    <row r="284" spans="1:8" x14ac:dyDescent="0.2">
      <c r="A284" t="s">
        <v>8</v>
      </c>
      <c r="B284">
        <v>280</v>
      </c>
      <c r="C284" t="s">
        <v>9</v>
      </c>
      <c r="E284" t="s">
        <v>855</v>
      </c>
      <c r="F284" t="s">
        <v>856</v>
      </c>
      <c r="G284" s="7" t="s">
        <v>857</v>
      </c>
      <c r="H284" s="7" t="str">
        <f>IF(LEFT(Table3[[#This Row],[Object ID]],4)="tbl-","fig-" &amp; MID(Table3[[#This Row],[Object ID]],5,LEN(Table3[[#This Row],[Object ID]])-4),"")</f>
        <v>fig-siena-reason-not-mh-visist-income</v>
      </c>
    </row>
    <row r="285" spans="1:8" x14ac:dyDescent="0.2">
      <c r="A285" t="s">
        <v>8</v>
      </c>
      <c r="B285">
        <v>281</v>
      </c>
      <c r="C285" t="s">
        <v>16</v>
      </c>
      <c r="E285" t="s">
        <v>858</v>
      </c>
      <c r="F285" t="s">
        <v>859</v>
      </c>
      <c r="G285" s="7" t="s">
        <v>860</v>
      </c>
      <c r="H285" s="7" t="str">
        <f>IF(LEFT(Table3[[#This Row],[Object ID]],4)="tbl-","fig-" &amp; MID(Table3[[#This Row],[Object ID]],5,LEN(Table3[[#This Row],[Object ID]])-4),"")</f>
        <v>fig-siena-had-covid</v>
      </c>
    </row>
    <row r="286" spans="1:8" x14ac:dyDescent="0.2">
      <c r="A286" t="s">
        <v>8</v>
      </c>
      <c r="B286">
        <v>282</v>
      </c>
      <c r="C286" t="s">
        <v>16</v>
      </c>
      <c r="E286" t="s">
        <v>861</v>
      </c>
      <c r="F286" t="s">
        <v>862</v>
      </c>
      <c r="G286" s="7" t="s">
        <v>863</v>
      </c>
      <c r="H286" s="7" t="str">
        <f>IF(LEFT(Table3[[#This Row],[Object ID]],4)="tbl-","fig-" &amp; MID(Table3[[#This Row],[Object ID]],5,LEN(Table3[[#This Row],[Object ID]])-4),"")</f>
        <v>fig-siena-had-covid-income</v>
      </c>
    </row>
    <row r="287" spans="1:8" x14ac:dyDescent="0.2">
      <c r="A287" t="s">
        <v>8</v>
      </c>
      <c r="B287">
        <v>283</v>
      </c>
      <c r="C287" t="s">
        <v>16</v>
      </c>
      <c r="E287" t="s">
        <v>864</v>
      </c>
      <c r="F287" t="s">
        <v>865</v>
      </c>
      <c r="G287" s="7" t="s">
        <v>866</v>
      </c>
      <c r="H287" s="7" t="str">
        <f>IF(LEFT(Table3[[#This Row],[Object ID]],4)="tbl-","fig-" &amp; MID(Table3[[#This Row],[Object ID]],5,LEN(Table3[[#This Row],[Object ID]])-4),"")</f>
        <v>fig-siena-had-long-covid</v>
      </c>
    </row>
    <row r="288" spans="1:8" x14ac:dyDescent="0.2">
      <c r="A288" t="s">
        <v>8</v>
      </c>
      <c r="B288">
        <v>284</v>
      </c>
      <c r="C288" t="s">
        <v>16</v>
      </c>
      <c r="E288" t="s">
        <v>867</v>
      </c>
      <c r="F288" t="s">
        <v>868</v>
      </c>
      <c r="G288" s="7" t="s">
        <v>869</v>
      </c>
      <c r="H288" s="7" t="str">
        <f>IF(LEFT(Table3[[#This Row],[Object ID]],4)="tbl-","fig-" &amp; MID(Table3[[#This Row],[Object ID]],5,LEN(Table3[[#This Row],[Object ID]])-4),"")</f>
        <v>fig-siena-had-long-covid-income</v>
      </c>
    </row>
    <row r="289" spans="1:8" x14ac:dyDescent="0.2">
      <c r="A289" t="s">
        <v>8</v>
      </c>
      <c r="B289">
        <v>285</v>
      </c>
      <c r="C289" t="s">
        <v>16</v>
      </c>
      <c r="E289" t="s">
        <v>870</v>
      </c>
      <c r="F289" t="s">
        <v>871</v>
      </c>
      <c r="G289" s="7" t="s">
        <v>872</v>
      </c>
      <c r="H289" s="7" t="str">
        <f>IF(LEFT(Table3[[#This Row],[Object ID]],4)="tbl-","fig-" &amp; MID(Table3[[#This Row],[Object ID]],5,LEN(Table3[[#This Row],[Object ID]])-4),"")</f>
        <v>fig-siena-covid-vaccine</v>
      </c>
    </row>
    <row r="290" spans="1:8" x14ac:dyDescent="0.2">
      <c r="A290" t="s">
        <v>8</v>
      </c>
      <c r="B290">
        <v>286</v>
      </c>
      <c r="C290" t="s">
        <v>16</v>
      </c>
      <c r="E290" t="s">
        <v>873</v>
      </c>
      <c r="F290" t="s">
        <v>874</v>
      </c>
      <c r="G290" s="7" t="s">
        <v>875</v>
      </c>
      <c r="H290" s="7" t="str">
        <f>IF(LEFT(Table3[[#This Row],[Object ID]],4)="tbl-","fig-" &amp; MID(Table3[[#This Row],[Object ID]],5,LEN(Table3[[#This Row],[Object ID]])-4),"")</f>
        <v>fig-siena-covid-vaccine-income</v>
      </c>
    </row>
    <row r="291" spans="1:8" x14ac:dyDescent="0.2">
      <c r="A291" t="s">
        <v>8</v>
      </c>
      <c r="B291">
        <v>287</v>
      </c>
      <c r="C291" t="s">
        <v>16</v>
      </c>
      <c r="E291" t="s">
        <v>876</v>
      </c>
      <c r="F291" t="s">
        <v>877</v>
      </c>
      <c r="G291" s="7" t="s">
        <v>878</v>
      </c>
      <c r="H291" s="7" t="str">
        <f>IF(LEFT(Table3[[#This Row],[Object ID]],4)="tbl-","fig-" &amp; MID(Table3[[#This Row],[Object ID]],5,LEN(Table3[[#This Row],[Object ID]])-4),"")</f>
        <v>fig-siena-updated-covid-vaccine</v>
      </c>
    </row>
    <row r="292" spans="1:8" x14ac:dyDescent="0.2">
      <c r="A292" t="s">
        <v>8</v>
      </c>
      <c r="B292">
        <v>288</v>
      </c>
      <c r="C292" t="s">
        <v>16</v>
      </c>
      <c r="E292" t="s">
        <v>879</v>
      </c>
      <c r="F292" t="s">
        <v>880</v>
      </c>
      <c r="G292" s="7" t="s">
        <v>881</v>
      </c>
      <c r="H292" s="7" t="str">
        <f>IF(LEFT(Table3[[#This Row],[Object ID]],4)="tbl-","fig-" &amp; MID(Table3[[#This Row],[Object ID]],5,LEN(Table3[[#This Row],[Object ID]])-4),"")</f>
        <v>fig-siena-updated-covid-vaccine-income</v>
      </c>
    </row>
    <row r="293" spans="1:8" x14ac:dyDescent="0.2">
      <c r="A293" t="s">
        <v>8</v>
      </c>
      <c r="B293">
        <v>289</v>
      </c>
      <c r="C293" t="s">
        <v>16</v>
      </c>
      <c r="E293" t="s">
        <v>882</v>
      </c>
      <c r="F293" t="s">
        <v>883</v>
      </c>
      <c r="G293" s="7" t="s">
        <v>884</v>
      </c>
      <c r="H293" s="7" t="str">
        <f>IF(LEFT(Table3[[#This Row],[Object ID]],4)="tbl-","fig-" &amp; MID(Table3[[#This Row],[Object ID]],5,LEN(Table3[[#This Row],[Object ID]])-4),"")</f>
        <v>fig-siena-flu-vaccine</v>
      </c>
    </row>
    <row r="294" spans="1:8" x14ac:dyDescent="0.2">
      <c r="C294" t="s">
        <v>16</v>
      </c>
      <c r="E294" t="s">
        <v>885</v>
      </c>
      <c r="F294" t="s">
        <v>886</v>
      </c>
      <c r="G294" s="7" t="s">
        <v>887</v>
      </c>
      <c r="H294" s="7" t="str">
        <f>IF(LEFT(Table3[[#This Row],[Object ID]],4)="tbl-","fig-" &amp; MID(Table3[[#This Row],[Object ID]],5,LEN(Table3[[#This Row],[Object ID]])-4),"")</f>
        <v>fig-siena-flu-vaccine-income</v>
      </c>
    </row>
    <row r="295" spans="1:8" x14ac:dyDescent="0.2">
      <c r="C295" t="s">
        <v>16</v>
      </c>
      <c r="E295" t="s">
        <v>888</v>
      </c>
      <c r="F295" t="s">
        <v>889</v>
      </c>
      <c r="G295" s="7" t="s">
        <v>890</v>
      </c>
      <c r="H295" s="7" t="str">
        <f>IF(LEFT(Table3[[#This Row],[Object ID]],4)="tbl-","fig-" &amp; MID(Table3[[#This Row],[Object ID]],5,LEN(Table3[[#This Row],[Object ID]])-4),"")</f>
        <v>fig-siena-flu-vaccine-60yo</v>
      </c>
    </row>
    <row r="296" spans="1:8" x14ac:dyDescent="0.2">
      <c r="C296" t="s">
        <v>16</v>
      </c>
      <c r="E296" t="s">
        <v>891</v>
      </c>
      <c r="F296" t="s">
        <v>892</v>
      </c>
      <c r="G296" s="7" t="s">
        <v>893</v>
      </c>
      <c r="H296" s="7" t="str">
        <f>IF(LEFT(Table3[[#This Row],[Object ID]],4)="tbl-","fig-" &amp; MID(Table3[[#This Row],[Object ID]],5,LEN(Table3[[#This Row],[Object ID]])-4),"")</f>
        <v>fig-siena-feeling-nervous</v>
      </c>
    </row>
    <row r="297" spans="1:8" x14ac:dyDescent="0.2">
      <c r="C297" t="s">
        <v>16</v>
      </c>
      <c r="E297" t="s">
        <v>894</v>
      </c>
      <c r="F297" t="s">
        <v>895</v>
      </c>
      <c r="G297" s="7" t="s">
        <v>896</v>
      </c>
      <c r="H297" s="7" t="str">
        <f>IF(LEFT(Table3[[#This Row],[Object ID]],4)="tbl-","fig-" &amp; MID(Table3[[#This Row],[Object ID]],5,LEN(Table3[[#This Row],[Object ID]])-4),"")</f>
        <v>fig-siena-feeling-nervous-income</v>
      </c>
    </row>
    <row r="298" spans="1:8" x14ac:dyDescent="0.2">
      <c r="C298" t="s">
        <v>16</v>
      </c>
      <c r="E298" t="s">
        <v>897</v>
      </c>
      <c r="F298" t="s">
        <v>898</v>
      </c>
      <c r="G298" s="7" t="s">
        <v>899</v>
      </c>
      <c r="H298" s="7" t="str">
        <f>IF(LEFT(Table3[[#This Row],[Object ID]],4)="tbl-","fig-" &amp; MID(Table3[[#This Row],[Object ID]],5,LEN(Table3[[#This Row],[Object ID]])-4),"")</f>
        <v>fig-siena-feeling-hopeless</v>
      </c>
    </row>
    <row r="299" spans="1:8" x14ac:dyDescent="0.2">
      <c r="C299" t="s">
        <v>16</v>
      </c>
      <c r="E299" t="s">
        <v>900</v>
      </c>
      <c r="F299" t="s">
        <v>901</v>
      </c>
      <c r="G299" s="7" t="s">
        <v>902</v>
      </c>
      <c r="H299" s="7" t="str">
        <f>IF(LEFT(Table3[[#This Row],[Object ID]],4)="tbl-","fig-" &amp; MID(Table3[[#This Row],[Object ID]],5,LEN(Table3[[#This Row],[Object ID]])-4),"")</f>
        <v>fig-siena-feeling-hopeless-income</v>
      </c>
    </row>
    <row r="300" spans="1:8" x14ac:dyDescent="0.2">
      <c r="C300" t="s">
        <v>16</v>
      </c>
      <c r="E300" t="s">
        <v>903</v>
      </c>
      <c r="F300" t="s">
        <v>904</v>
      </c>
      <c r="G300" s="7" t="s">
        <v>905</v>
      </c>
      <c r="H300" s="7" t="str">
        <f>IF(LEFT(Table3[[#This Row],[Object ID]],4)="tbl-","fig-" &amp; MID(Table3[[#This Row],[Object ID]],5,LEN(Table3[[#This Row],[Object ID]])-4),"")</f>
        <v>fig-siena-restless-fidgety</v>
      </c>
    </row>
    <row r="301" spans="1:8" x14ac:dyDescent="0.2">
      <c r="C301" t="s">
        <v>16</v>
      </c>
      <c r="E301" t="s">
        <v>906</v>
      </c>
      <c r="F301" t="s">
        <v>907</v>
      </c>
      <c r="G301" s="7" t="s">
        <v>908</v>
      </c>
      <c r="H301" s="7" t="str">
        <f>IF(LEFT(Table3[[#This Row],[Object ID]],4)="tbl-","fig-" &amp; MID(Table3[[#This Row],[Object ID]],5,LEN(Table3[[#This Row],[Object ID]])-4),"")</f>
        <v>fig-siena-restless-fidgety-income</v>
      </c>
    </row>
    <row r="302" spans="1:8" x14ac:dyDescent="0.2">
      <c r="C302" t="s">
        <v>16</v>
      </c>
      <c r="E302" t="s">
        <v>909</v>
      </c>
      <c r="F302" t="s">
        <v>910</v>
      </c>
      <c r="G302" s="7" t="s">
        <v>911</v>
      </c>
      <c r="H302" s="7" t="str">
        <f>IF(LEFT(Table3[[#This Row],[Object ID]],4)="tbl-","fig-" &amp; MID(Table3[[#This Row],[Object ID]],5,LEN(Table3[[#This Row],[Object ID]])-4),"")</f>
        <v>fig-siena-depressed</v>
      </c>
    </row>
    <row r="303" spans="1:8" x14ac:dyDescent="0.2">
      <c r="C303" t="s">
        <v>16</v>
      </c>
      <c r="E303" t="s">
        <v>912</v>
      </c>
      <c r="F303" t="s">
        <v>913</v>
      </c>
      <c r="G303" s="7" t="s">
        <v>914</v>
      </c>
      <c r="H303" s="7" t="str">
        <f>IF(LEFT(Table3[[#This Row],[Object ID]],4)="tbl-","fig-" &amp; MID(Table3[[#This Row],[Object ID]],5,LEN(Table3[[#This Row],[Object ID]])-4),"")</f>
        <v>fig-siena-depressed-income</v>
      </c>
    </row>
    <row r="304" spans="1:8" x14ac:dyDescent="0.2">
      <c r="C304" t="s">
        <v>16</v>
      </c>
      <c r="E304" t="s">
        <v>915</v>
      </c>
      <c r="F304" t="s">
        <v>916</v>
      </c>
      <c r="G304" s="7" t="s">
        <v>917</v>
      </c>
      <c r="H304" s="7" t="str">
        <f>IF(LEFT(Table3[[#This Row],[Object ID]],4)="tbl-","fig-" &amp; MID(Table3[[#This Row],[Object ID]],5,LEN(Table3[[#This Row],[Object ID]])-4),"")</f>
        <v>fig-siena-everything-effort</v>
      </c>
    </row>
    <row r="305" spans="3:8" x14ac:dyDescent="0.2">
      <c r="C305" t="s">
        <v>16</v>
      </c>
      <c r="E305" t="s">
        <v>918</v>
      </c>
      <c r="F305" t="s">
        <v>919</v>
      </c>
      <c r="G305" s="7" t="s">
        <v>920</v>
      </c>
      <c r="H305" s="7" t="str">
        <f>IF(LEFT(Table3[[#This Row],[Object ID]],4)="tbl-","fig-" &amp; MID(Table3[[#This Row],[Object ID]],5,LEN(Table3[[#This Row],[Object ID]])-4),"")</f>
        <v>fig-siena-everything-effort-income</v>
      </c>
    </row>
    <row r="306" spans="3:8" x14ac:dyDescent="0.2">
      <c r="C306" t="s">
        <v>16</v>
      </c>
      <c r="E306" t="s">
        <v>921</v>
      </c>
      <c r="F306" t="s">
        <v>922</v>
      </c>
      <c r="G306" s="7" t="s">
        <v>923</v>
      </c>
      <c r="H306" s="7" t="str">
        <f>IF(LEFT(Table3[[#This Row],[Object ID]],4)="tbl-","fig-" &amp; MID(Table3[[#This Row],[Object ID]],5,LEN(Table3[[#This Row],[Object ID]])-4),"")</f>
        <v>fig-siena-worthless</v>
      </c>
    </row>
    <row r="307" spans="3:8" x14ac:dyDescent="0.2">
      <c r="C307" t="s">
        <v>16</v>
      </c>
      <c r="E307" t="s">
        <v>924</v>
      </c>
      <c r="F307" t="s">
        <v>925</v>
      </c>
      <c r="G307" s="7" t="s">
        <v>926</v>
      </c>
      <c r="H307" s="7" t="str">
        <f>IF(LEFT(Table3[[#This Row],[Object ID]],4)="tbl-","fig-" &amp; MID(Table3[[#This Row],[Object ID]],5,LEN(Table3[[#This Row],[Object ID]])-4),"")</f>
        <v>fig-siena-worthless-income</v>
      </c>
    </row>
    <row r="308" spans="3:8" x14ac:dyDescent="0.2">
      <c r="C308" t="s">
        <v>16</v>
      </c>
      <c r="E308" t="s">
        <v>927</v>
      </c>
      <c r="F308" t="s">
        <v>928</v>
      </c>
      <c r="G308" s="7" t="s">
        <v>929</v>
      </c>
      <c r="H308" s="7" t="str">
        <f>IF(LEFT(Table3[[#This Row],[Object ID]],4)="tbl-","fig-" &amp; MID(Table3[[#This Row],[Object ID]],5,LEN(Table3[[#This Row],[Object ID]])-4),"")</f>
        <v>fig-siena-kessler</v>
      </c>
    </row>
    <row r="309" spans="3:8" x14ac:dyDescent="0.2">
      <c r="C309" t="s">
        <v>16</v>
      </c>
      <c r="E309" t="s">
        <v>930</v>
      </c>
      <c r="F309" t="s">
        <v>931</v>
      </c>
      <c r="G309" s="7" t="s">
        <v>932</v>
      </c>
      <c r="H309" s="7" t="str">
        <f>IF(LEFT(Table3[[#This Row],[Object ID]],4)="tbl-","fig-" &amp; MID(Table3[[#This Row],[Object ID]],5,LEN(Table3[[#This Row],[Object ID]])-4),"")</f>
        <v>fig-siena-kessler-income</v>
      </c>
    </row>
    <row r="310" spans="3:8" x14ac:dyDescent="0.2">
      <c r="C310" t="s">
        <v>16</v>
      </c>
      <c r="E310" t="s">
        <v>933</v>
      </c>
      <c r="F310" t="s">
        <v>934</v>
      </c>
      <c r="G310" s="7" t="s">
        <v>935</v>
      </c>
      <c r="H310" s="7" t="str">
        <f>IF(LEFT(Table3[[#This Row],[Object ID]],4)="tbl-","fig-" &amp; MID(Table3[[#This Row],[Object ID]],5,LEN(Table3[[#This Row],[Object ID]])-4),"")</f>
        <v>fig-siena-had-a-child</v>
      </c>
    </row>
    <row r="311" spans="3:8" x14ac:dyDescent="0.2">
      <c r="C311" t="s">
        <v>16</v>
      </c>
      <c r="E311" t="s">
        <v>936</v>
      </c>
      <c r="F311" t="s">
        <v>937</v>
      </c>
      <c r="G311" s="7" t="s">
        <v>938</v>
      </c>
      <c r="H311" s="7" t="str">
        <f>IF(LEFT(Table3[[#This Row],[Object ID]],4)="tbl-","fig-" &amp; MID(Table3[[#This Row],[Object ID]],5,LEN(Table3[[#This Row],[Object ID]])-4),"")</f>
        <v>fig-siena-bf-any-child</v>
      </c>
    </row>
    <row r="312" spans="3:8" x14ac:dyDescent="0.2">
      <c r="C312" t="s">
        <v>16</v>
      </c>
      <c r="E312" t="s">
        <v>939</v>
      </c>
      <c r="F312" t="s">
        <v>940</v>
      </c>
      <c r="G312" s="7" t="s">
        <v>941</v>
      </c>
      <c r="H312" s="7" t="str">
        <f>IF(LEFT(Table3[[#This Row],[Object ID]],4)="tbl-","fig-" &amp; MID(Table3[[#This Row],[Object ID]],5,LEN(Table3[[#This Row],[Object ID]])-4),"")</f>
        <v>fig-siena-bf-duration</v>
      </c>
    </row>
    <row r="313" spans="3:8" x14ac:dyDescent="0.2">
      <c r="C313" t="s">
        <v>9</v>
      </c>
      <c r="E313" s="19" t="s">
        <v>942</v>
      </c>
      <c r="F313" s="33" t="s">
        <v>943</v>
      </c>
      <c r="G313" s="7" t="s">
        <v>944</v>
      </c>
      <c r="H313" s="7" t="str">
        <f>IF(LEFT(Table3[[#This Row],[Object ID]],4)="tbl-","fig-" &amp; MID(Table3[[#This Row],[Object ID]],5,LEN(Table3[[#This Row],[Object ID]])-4),"")</f>
        <v>fig-siena-help-basic-needs</v>
      </c>
    </row>
    <row r="314" spans="3:8" x14ac:dyDescent="0.2">
      <c r="C314" t="s">
        <v>9</v>
      </c>
      <c r="E314" s="19" t="s">
        <v>945</v>
      </c>
      <c r="F314" s="33" t="s">
        <v>946</v>
      </c>
      <c r="G314" s="7" t="s">
        <v>947</v>
      </c>
      <c r="H314" s="7" t="str">
        <f>IF(LEFT(Table3[[#This Row],[Object ID]],4)="tbl-","fig-" &amp; MID(Table3[[#This Row],[Object ID]],5,LEN(Table3[[#This Row],[Object ID]])-4),"")</f>
        <v>fig-siena-help-child-behavior-develop</v>
      </c>
    </row>
    <row r="315" spans="3:8" x14ac:dyDescent="0.2">
      <c r="C315" t="s">
        <v>16</v>
      </c>
      <c r="E315" t="s">
        <v>948</v>
      </c>
      <c r="F315" s="32" t="s">
        <v>949</v>
      </c>
      <c r="G315" s="7" t="s">
        <v>950</v>
      </c>
      <c r="H315" s="7" t="str">
        <f>IF(LEFT(Table3[[#This Row],[Object ID]],4)="tbl-","fig-" &amp; MID(Table3[[#This Row],[Object ID]],5,LEN(Table3[[#This Row],[Object ID]])-4),"")</f>
        <v>fig-siena-difficulty-help-for-child</v>
      </c>
    </row>
    <row r="316" spans="3:8" x14ac:dyDescent="0.2">
      <c r="C316" t="s">
        <v>16</v>
      </c>
      <c r="E316" t="s">
        <v>951</v>
      </c>
      <c r="F316" t="s">
        <v>952</v>
      </c>
      <c r="G316" s="7" t="s">
        <v>953</v>
      </c>
      <c r="H316" s="7" t="str">
        <f>IF(LEFT(Table3[[#This Row],[Object ID]],4)="tbl-","fig-" &amp; MID(Table3[[#This Row],[Object ID]],5,LEN(Table3[[#This Row],[Object ID]])-4),"")</f>
        <v>fig-data-review-guide</v>
      </c>
    </row>
    <row r="317" spans="3:8" x14ac:dyDescent="0.2">
      <c r="C317" t="s">
        <v>9</v>
      </c>
      <c r="E317" t="s">
        <v>954</v>
      </c>
      <c r="F317" t="s">
        <v>955</v>
      </c>
      <c r="G317" s="7" t="s">
        <v>956</v>
      </c>
      <c r="H317" s="7" t="str">
        <f>IF(LEFT(Table3[[#This Row],[Object ID]],4)="tbl-","fig-" &amp; MID(Table3[[#This Row],[Object ID]],5,LEN(Table3[[#This Row],[Object ID]])-4),"")</f>
        <v>fig-top-areas-concern</v>
      </c>
    </row>
    <row r="318" spans="3:8" x14ac:dyDescent="0.2">
      <c r="C318" t="s">
        <v>16</v>
      </c>
      <c r="E318" t="s">
        <v>957</v>
      </c>
      <c r="F318" t="s">
        <v>958</v>
      </c>
      <c r="G318" s="7" t="s">
        <v>959</v>
      </c>
      <c r="H318" s="7" t="str">
        <f>IF(LEFT(Table3[[#This Row],[Object ID]],4)="tbl-","fig-" &amp; MID(Table3[[#This Row],[Object ID]],5,LEN(Table3[[#This Row],[Object ID]])-4),"")</f>
        <v>fig-data-review-process</v>
      </c>
    </row>
    <row r="319" spans="3:8" x14ac:dyDescent="0.2">
      <c r="C319" t="s">
        <v>9</v>
      </c>
      <c r="E319" t="s">
        <v>960</v>
      </c>
      <c r="F319" t="s">
        <v>961</v>
      </c>
      <c r="G319" s="7" t="s">
        <v>962</v>
      </c>
      <c r="H319" s="7" t="str">
        <f>IF(LEFT(Table3[[#This Row],[Object ID]],4)="tbl-","fig-" &amp; MID(Table3[[#This Row],[Object ID]],5,LEN(Table3[[#This Row],[Object ID]])-4),"")</f>
        <v>fig-ebi-long-term-objective</v>
      </c>
    </row>
    <row r="320" spans="3:8" x14ac:dyDescent="0.2">
      <c r="C320" t="s">
        <v>9</v>
      </c>
      <c r="E320" t="s">
        <v>963</v>
      </c>
      <c r="F320" t="s">
        <v>964</v>
      </c>
      <c r="G320" s="7" t="s">
        <v>965</v>
      </c>
      <c r="H320" s="7" t="str">
        <f>IF(LEFT(Table3[[#This Row],[Object ID]],4)="tbl-","fig-" &amp; MID(Table3[[#This Row],[Object ID]],5,LEN(Table3[[#This Row],[Object ID]])-4),"")</f>
        <v>fig-short-term-process</v>
      </c>
    </row>
    <row r="321" spans="1:8" x14ac:dyDescent="0.2">
      <c r="A321" s="61"/>
      <c r="B321" s="61"/>
      <c r="C321" s="61"/>
      <c r="E321" s="61"/>
      <c r="F321" s="61" t="s">
        <v>966</v>
      </c>
      <c r="G321" s="7" t="s">
        <v>967</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968</v>
      </c>
      <c r="B1" s="15" t="s">
        <v>969</v>
      </c>
      <c r="C1" s="1"/>
      <c r="D1" s="1" t="s">
        <v>970</v>
      </c>
      <c r="E1" s="1" t="s">
        <v>971</v>
      </c>
      <c r="F1" s="1" t="s">
        <v>972</v>
      </c>
    </row>
    <row r="2" spans="1:6" x14ac:dyDescent="0.2">
      <c r="A2" t="s">
        <v>973</v>
      </c>
      <c r="B2" t="s">
        <v>974</v>
      </c>
      <c r="C2" t="s">
        <v>975</v>
      </c>
      <c r="D2" t="s">
        <v>976</v>
      </c>
      <c r="E2" s="2" t="s">
        <v>977</v>
      </c>
      <c r="F2" s="3" t="s">
        <v>978</v>
      </c>
    </row>
    <row r="3" spans="1:6" x14ac:dyDescent="0.2">
      <c r="A3" t="s">
        <v>979</v>
      </c>
      <c r="B3" t="s">
        <v>980</v>
      </c>
      <c r="C3" t="s">
        <v>975</v>
      </c>
      <c r="D3" t="s">
        <v>981</v>
      </c>
      <c r="E3" s="5" t="s">
        <v>982</v>
      </c>
      <c r="F3" s="3" t="s">
        <v>983</v>
      </c>
    </row>
    <row r="4" spans="1:6" x14ac:dyDescent="0.2">
      <c r="A4" t="s">
        <v>984</v>
      </c>
      <c r="B4" t="s">
        <v>985</v>
      </c>
      <c r="C4" t="s">
        <v>975</v>
      </c>
      <c r="D4" t="s">
        <v>986</v>
      </c>
      <c r="E4" s="5" t="s">
        <v>987</v>
      </c>
      <c r="F4" s="3" t="s">
        <v>988</v>
      </c>
    </row>
    <row r="5" spans="1:6" x14ac:dyDescent="0.2">
      <c r="A5" t="s">
        <v>989</v>
      </c>
      <c r="B5" t="s">
        <v>990</v>
      </c>
      <c r="C5" t="s">
        <v>975</v>
      </c>
      <c r="D5" t="s">
        <v>991</v>
      </c>
      <c r="E5" s="5" t="s">
        <v>992</v>
      </c>
      <c r="F5" s="3" t="s">
        <v>993</v>
      </c>
    </row>
    <row r="6" spans="1:6" x14ac:dyDescent="0.2">
      <c r="A6" t="s">
        <v>994</v>
      </c>
      <c r="B6" t="s">
        <v>995</v>
      </c>
      <c r="C6" t="s">
        <v>975</v>
      </c>
      <c r="D6" t="s">
        <v>996</v>
      </c>
      <c r="E6" s="5" t="s">
        <v>997</v>
      </c>
      <c r="F6" s="3" t="s">
        <v>998</v>
      </c>
    </row>
    <row r="7" spans="1:6" x14ac:dyDescent="0.2">
      <c r="A7" t="s">
        <v>999</v>
      </c>
      <c r="B7" t="s">
        <v>1000</v>
      </c>
      <c r="C7" t="s">
        <v>975</v>
      </c>
      <c r="D7" t="s">
        <v>1001</v>
      </c>
      <c r="E7" s="5" t="s">
        <v>1002</v>
      </c>
      <c r="F7" s="3" t="s">
        <v>1003</v>
      </c>
    </row>
    <row r="8" spans="1:6" x14ac:dyDescent="0.2">
      <c r="A8" t="s">
        <v>1004</v>
      </c>
      <c r="B8" t="s">
        <v>1005</v>
      </c>
      <c r="C8" t="s">
        <v>975</v>
      </c>
      <c r="D8" t="s">
        <v>1006</v>
      </c>
      <c r="E8" s="5" t="s">
        <v>1007</v>
      </c>
      <c r="F8" s="3" t="s">
        <v>1008</v>
      </c>
    </row>
    <row r="9" spans="1:6" x14ac:dyDescent="0.2">
      <c r="A9" t="s">
        <v>1009</v>
      </c>
      <c r="B9" t="s">
        <v>1010</v>
      </c>
      <c r="C9" t="s">
        <v>1011</v>
      </c>
      <c r="D9" t="s">
        <v>1012</v>
      </c>
      <c r="E9" s="5" t="s">
        <v>1013</v>
      </c>
      <c r="F9" s="3" t="s">
        <v>1014</v>
      </c>
    </row>
    <row r="10" spans="1:6" x14ac:dyDescent="0.2">
      <c r="C10" s="6" t="s">
        <v>1015</v>
      </c>
      <c r="D10" s="4" t="s">
        <v>1016</v>
      </c>
      <c r="E10" s="5" t="s">
        <v>1017</v>
      </c>
      <c r="F10" s="3" t="s">
        <v>1018</v>
      </c>
    </row>
    <row r="11" spans="1:6" x14ac:dyDescent="0.2">
      <c r="C11" s="6" t="s">
        <v>1015</v>
      </c>
      <c r="D11" s="4" t="s">
        <v>1019</v>
      </c>
      <c r="E11" s="5" t="s">
        <v>1020</v>
      </c>
      <c r="F11" s="3" t="s">
        <v>1021</v>
      </c>
    </row>
    <row r="12" spans="1:6" x14ac:dyDescent="0.2">
      <c r="C12" s="6" t="s">
        <v>1015</v>
      </c>
      <c r="D12" s="4" t="s">
        <v>1022</v>
      </c>
      <c r="E12" s="5" t="s">
        <v>1023</v>
      </c>
      <c r="F12" s="3" t="s">
        <v>1024</v>
      </c>
    </row>
    <row r="13" spans="1:6" x14ac:dyDescent="0.2">
      <c r="C13" s="6" t="s">
        <v>1015</v>
      </c>
      <c r="D13" s="4" t="s">
        <v>1025</v>
      </c>
      <c r="E13" s="5" t="s">
        <v>1026</v>
      </c>
      <c r="F13" s="3" t="s">
        <v>1027</v>
      </c>
    </row>
    <row r="14" spans="1:6" x14ac:dyDescent="0.2">
      <c r="C14" s="6" t="s">
        <v>1015</v>
      </c>
      <c r="D14" s="4" t="s">
        <v>1028</v>
      </c>
      <c r="E14" s="2" t="s">
        <v>1029</v>
      </c>
      <c r="F14" s="3" t="s">
        <v>1030</v>
      </c>
    </row>
    <row r="15" spans="1:6" x14ac:dyDescent="0.2">
      <c r="C15" t="s">
        <v>1031</v>
      </c>
      <c r="D15" t="s">
        <v>1032</v>
      </c>
      <c r="E15" s="2" t="s">
        <v>1033</v>
      </c>
      <c r="F15" s="3" t="s">
        <v>1034</v>
      </c>
    </row>
    <row r="16" spans="1:6" x14ac:dyDescent="0.2">
      <c r="C16" t="s">
        <v>1031</v>
      </c>
      <c r="D16" t="s">
        <v>1035</v>
      </c>
      <c r="E16" s="2" t="s">
        <v>1036</v>
      </c>
      <c r="F16" s="3" t="s">
        <v>1037</v>
      </c>
    </row>
    <row r="17" spans="3:6" x14ac:dyDescent="0.2">
      <c r="C17" t="s">
        <v>1031</v>
      </c>
      <c r="D17" s="7" t="s">
        <v>1038</v>
      </c>
      <c r="E17" s="2" t="s">
        <v>1039</v>
      </c>
      <c r="F17" s="3" t="s">
        <v>1040</v>
      </c>
    </row>
    <row r="18" spans="3:6" x14ac:dyDescent="0.2">
      <c r="C18" t="s">
        <v>1031</v>
      </c>
      <c r="D18" t="s">
        <v>1041</v>
      </c>
      <c r="E18" s="5" t="s">
        <v>1042</v>
      </c>
      <c r="F18" s="3" t="s">
        <v>1043</v>
      </c>
    </row>
    <row r="19" spans="3:6" x14ac:dyDescent="0.2">
      <c r="C19" t="s">
        <v>1031</v>
      </c>
      <c r="D19" t="s">
        <v>1044</v>
      </c>
      <c r="E19" s="2" t="s">
        <v>1045</v>
      </c>
      <c r="F19" s="3" t="s">
        <v>1046</v>
      </c>
    </row>
    <row r="20" spans="3:6" x14ac:dyDescent="0.2">
      <c r="C20" s="1"/>
      <c r="D20" s="1"/>
      <c r="E20" s="5" t="s">
        <v>1047</v>
      </c>
      <c r="F20" s="3" t="s">
        <v>1048</v>
      </c>
    </row>
    <row r="21" spans="3:6" x14ac:dyDescent="0.2">
      <c r="C21" s="1"/>
      <c r="D21" s="1"/>
      <c r="E21" s="5" t="s">
        <v>1049</v>
      </c>
      <c r="F21" s="3" t="s">
        <v>1050</v>
      </c>
    </row>
    <row r="22" spans="3:6" x14ac:dyDescent="0.2">
      <c r="C22" s="1"/>
      <c r="D22" s="1"/>
      <c r="E22" s="5" t="s">
        <v>1051</v>
      </c>
      <c r="F22" s="3" t="s">
        <v>1052</v>
      </c>
    </row>
    <row r="23" spans="3:6" x14ac:dyDescent="0.2">
      <c r="C23" s="1"/>
      <c r="D23" s="1"/>
      <c r="E23" s="5" t="s">
        <v>1053</v>
      </c>
      <c r="F23" s="3" t="s">
        <v>1054</v>
      </c>
    </row>
    <row r="24" spans="3:6" x14ac:dyDescent="0.2">
      <c r="C24" s="1"/>
      <c r="D24" s="1"/>
      <c r="E24" s="5" t="s">
        <v>1055</v>
      </c>
      <c r="F24" s="3" t="s">
        <v>1056</v>
      </c>
    </row>
    <row r="25" spans="3:6" x14ac:dyDescent="0.2">
      <c r="C25" s="1"/>
      <c r="D25" s="1"/>
      <c r="E25" s="5" t="s">
        <v>1057</v>
      </c>
      <c r="F25" s="3" t="s">
        <v>1058</v>
      </c>
    </row>
    <row r="26" spans="3:6" x14ac:dyDescent="0.2">
      <c r="C26" s="1"/>
      <c r="D26" s="1"/>
      <c r="E26" s="5" t="s">
        <v>1059</v>
      </c>
      <c r="F26" s="3" t="s">
        <v>1060</v>
      </c>
    </row>
    <row r="27" spans="3:6" x14ac:dyDescent="0.2">
      <c r="C27" s="1"/>
      <c r="D27" s="1"/>
      <c r="E27" s="5" t="s">
        <v>1061</v>
      </c>
      <c r="F27" s="3" t="s">
        <v>1062</v>
      </c>
    </row>
    <row r="28" spans="3:6" x14ac:dyDescent="0.2">
      <c r="C28" s="1"/>
      <c r="D28" s="1"/>
      <c r="E28" s="5" t="s">
        <v>1063</v>
      </c>
      <c r="F28" s="3" t="s">
        <v>1064</v>
      </c>
    </row>
    <row r="29" spans="3:6" x14ac:dyDescent="0.2">
      <c r="C29" s="1"/>
      <c r="D29" s="1"/>
      <c r="E29" s="1"/>
      <c r="F29" s="3" t="s">
        <v>1065</v>
      </c>
    </row>
    <row r="30" spans="3:6" x14ac:dyDescent="0.2">
      <c r="C30" s="1"/>
      <c r="D30" s="1"/>
      <c r="E30" s="1"/>
      <c r="F30" s="3" t="s">
        <v>1066</v>
      </c>
    </row>
    <row r="31" spans="3:6" x14ac:dyDescent="0.2">
      <c r="C31" s="1"/>
      <c r="D31" s="1"/>
      <c r="E31" s="1"/>
      <c r="F31" s="3" t="s">
        <v>1067</v>
      </c>
    </row>
    <row r="32" spans="3:6" x14ac:dyDescent="0.2">
      <c r="C32" s="1"/>
      <c r="D32" s="1"/>
      <c r="E32" s="1"/>
      <c r="F32" s="3" t="s">
        <v>1068</v>
      </c>
    </row>
    <row r="33" spans="3:6" x14ac:dyDescent="0.2">
      <c r="C33" s="1"/>
      <c r="D33" s="1"/>
      <c r="E33" s="1"/>
      <c r="F33" s="3" t="s">
        <v>1069</v>
      </c>
    </row>
    <row r="34" spans="3:6" x14ac:dyDescent="0.2">
      <c r="C34" s="1"/>
      <c r="D34" s="1"/>
      <c r="E34" s="1"/>
      <c r="F34" s="3" t="s">
        <v>1070</v>
      </c>
    </row>
    <row r="35" spans="3:6" x14ac:dyDescent="0.2">
      <c r="C35" s="1"/>
      <c r="D35" s="1"/>
      <c r="E35" s="1"/>
      <c r="F35" s="3" t="s">
        <v>1071</v>
      </c>
    </row>
    <row r="36" spans="3:6" x14ac:dyDescent="0.2">
      <c r="C36" s="1"/>
      <c r="D36" s="1"/>
      <c r="E36" s="1"/>
      <c r="F36" s="3" t="s">
        <v>1072</v>
      </c>
    </row>
    <row r="37" spans="3:6" x14ac:dyDescent="0.2">
      <c r="C37" s="1"/>
      <c r="D37" s="1"/>
      <c r="E37" s="1"/>
      <c r="F37" s="3" t="s">
        <v>1073</v>
      </c>
    </row>
    <row r="38" spans="3:6" x14ac:dyDescent="0.2">
      <c r="C38" s="1"/>
      <c r="D38" s="1"/>
      <c r="E38" s="1"/>
      <c r="F38" s="3" t="s">
        <v>1074</v>
      </c>
    </row>
    <row r="39" spans="3:6" x14ac:dyDescent="0.2">
      <c r="C39" s="1"/>
      <c r="D39" s="1"/>
      <c r="E39" s="1"/>
      <c r="F39" s="3" t="s">
        <v>1034</v>
      </c>
    </row>
    <row r="40" spans="3:6" x14ac:dyDescent="0.2">
      <c r="C40" s="1"/>
      <c r="D40" s="1"/>
      <c r="E40" s="1"/>
      <c r="F40" s="3" t="s">
        <v>1075</v>
      </c>
    </row>
    <row r="41" spans="3:6" x14ac:dyDescent="0.2">
      <c r="C41" s="1"/>
      <c r="D41" s="1"/>
      <c r="E41" s="1"/>
      <c r="F41" s="3" t="s">
        <v>1076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1077</v>
      </c>
      <c r="B1" s="79" t="s">
        <v>11</v>
      </c>
      <c r="C1" s="80"/>
      <c r="D1" s="80"/>
      <c r="E1" s="80"/>
      <c r="F1" s="80"/>
      <c r="G1" s="81"/>
      <c r="H1" s="81"/>
      <c r="I1" s="81"/>
      <c r="J1" s="81"/>
      <c r="K1" s="81"/>
      <c r="L1" s="81"/>
      <c r="M1" s="81"/>
      <c r="N1" s="81"/>
      <c r="O1" s="80"/>
    </row>
    <row r="2" spans="1:17" x14ac:dyDescent="0.2">
      <c r="A2" s="16" t="s">
        <v>1078</v>
      </c>
      <c r="B2" t="s">
        <v>1079</v>
      </c>
    </row>
    <row r="3" spans="1:17" x14ac:dyDescent="0.2">
      <c r="A3" s="16" t="s">
        <v>1080</v>
      </c>
      <c r="B3" t="str">
        <f>IF($B$1="","",_xlfn.XLOOKUP($B$1,Master!$F$2:$F$321,Master!$G$2:$G$321,""))</f>
        <v>tbl-demographics-sum</v>
      </c>
    </row>
    <row r="4" spans="1:17" x14ac:dyDescent="0.2">
      <c r="A4" s="16" t="s">
        <v>7</v>
      </c>
      <c r="B4" t="str">
        <f>IF($B$1="","",_xlfn.XLOOKUP($B$1,Master!$F$2:$F$321,Master!$H$2:$H$321,""))</f>
        <v>fig-demographics-sum</v>
      </c>
      <c r="E4" s="8"/>
      <c r="F4" s="10" t="s">
        <v>1009</v>
      </c>
      <c r="G4" s="11" t="s">
        <v>973</v>
      </c>
      <c r="H4" s="11" t="s">
        <v>973</v>
      </c>
      <c r="I4" s="11" t="s">
        <v>973</v>
      </c>
      <c r="J4" s="11" t="s">
        <v>973</v>
      </c>
      <c r="K4" s="11" t="s">
        <v>973</v>
      </c>
      <c r="L4" s="11" t="s">
        <v>973</v>
      </c>
      <c r="M4" s="11" t="s">
        <v>973</v>
      </c>
      <c r="N4" s="11" t="s">
        <v>979</v>
      </c>
      <c r="O4" s="10"/>
      <c r="P4" s="10"/>
      <c r="Q4" s="10"/>
    </row>
    <row r="5" spans="1:17" x14ac:dyDescent="0.2">
      <c r="A5" s="84" t="s">
        <v>1081</v>
      </c>
      <c r="B5" s="80"/>
      <c r="E5" s="83" t="s">
        <v>1082</v>
      </c>
      <c r="F5" s="81" t="s">
        <v>1083</v>
      </c>
      <c r="G5" s="17" t="s">
        <v>1084</v>
      </c>
      <c r="H5" s="81" t="s">
        <v>1085</v>
      </c>
      <c r="I5" s="81"/>
      <c r="J5" s="81"/>
      <c r="K5" s="81"/>
      <c r="L5" s="81" t="s">
        <v>1086</v>
      </c>
      <c r="M5" s="81"/>
      <c r="N5" s="81" t="s">
        <v>1087</v>
      </c>
    </row>
    <row r="6" spans="1:17" ht="15" customHeight="1" x14ac:dyDescent="0.2">
      <c r="A6" t="s">
        <v>1088</v>
      </c>
      <c r="B6" t="b">
        <v>1</v>
      </c>
      <c r="E6" s="80"/>
      <c r="F6" s="80"/>
      <c r="G6" s="17" t="s">
        <v>1089</v>
      </c>
      <c r="H6" s="17" t="s">
        <v>1090</v>
      </c>
      <c r="I6" s="17" t="s">
        <v>1091</v>
      </c>
      <c r="J6" s="17" t="s">
        <v>1092</v>
      </c>
      <c r="K6" s="17" t="s">
        <v>1093</v>
      </c>
      <c r="L6" s="17" t="s">
        <v>1094</v>
      </c>
      <c r="M6" s="17" t="s">
        <v>1095</v>
      </c>
      <c r="N6" s="81"/>
      <c r="O6" s="15"/>
    </row>
    <row r="7" spans="1:17" ht="15.75" customHeight="1" x14ac:dyDescent="0.2">
      <c r="E7" s="80"/>
      <c r="F7" s="16" t="s">
        <v>1096</v>
      </c>
      <c r="G7" s="29">
        <v>403840</v>
      </c>
      <c r="H7" s="29">
        <v>103740</v>
      </c>
      <c r="I7" s="29">
        <v>41468</v>
      </c>
      <c r="J7" s="29">
        <v>200687</v>
      </c>
      <c r="K7" s="29">
        <v>57945</v>
      </c>
      <c r="L7" s="29">
        <v>201512</v>
      </c>
      <c r="M7" s="29">
        <v>202328</v>
      </c>
      <c r="N7" s="17">
        <v>36.9</v>
      </c>
      <c r="O7" s="15"/>
    </row>
    <row r="8" spans="1:17" x14ac:dyDescent="0.2">
      <c r="E8" s="80"/>
      <c r="F8" s="16" t="s">
        <v>1097</v>
      </c>
      <c r="G8" s="29">
        <v>18672</v>
      </c>
      <c r="H8" s="29">
        <v>5333</v>
      </c>
      <c r="I8" s="29">
        <v>1742</v>
      </c>
      <c r="J8" s="29">
        <v>9322</v>
      </c>
      <c r="K8" s="29">
        <v>2275</v>
      </c>
      <c r="L8" s="29">
        <v>9133</v>
      </c>
      <c r="M8" s="29">
        <v>9539</v>
      </c>
      <c r="N8" s="17">
        <v>34.4</v>
      </c>
      <c r="O8" s="15"/>
      <c r="P8" s="9"/>
    </row>
    <row r="9" spans="1:17" x14ac:dyDescent="0.2">
      <c r="A9" s="84" t="s">
        <v>1098</v>
      </c>
      <c r="B9" s="80"/>
      <c r="E9" s="80"/>
      <c r="F9" s="47" t="s">
        <v>1099</v>
      </c>
      <c r="G9" s="29">
        <v>3880</v>
      </c>
      <c r="H9" s="29">
        <v>1658</v>
      </c>
      <c r="I9" s="29">
        <v>263</v>
      </c>
      <c r="J9" s="29">
        <v>1622</v>
      </c>
      <c r="K9" s="29">
        <v>337</v>
      </c>
      <c r="L9" s="29">
        <v>1933</v>
      </c>
      <c r="M9" s="29">
        <v>1947</v>
      </c>
      <c r="N9" s="17">
        <v>25.2</v>
      </c>
      <c r="O9" s="15"/>
    </row>
    <row r="10" spans="1:17" x14ac:dyDescent="0.2">
      <c r="A10" t="s">
        <v>1100</v>
      </c>
      <c r="E10" s="80"/>
      <c r="F10" s="47" t="s">
        <v>1101</v>
      </c>
      <c r="G10" s="29">
        <v>5723</v>
      </c>
      <c r="H10" s="29">
        <v>1287</v>
      </c>
      <c r="I10" s="29">
        <v>430</v>
      </c>
      <c r="J10" s="29">
        <v>3121</v>
      </c>
      <c r="K10" s="29">
        <v>885</v>
      </c>
      <c r="L10" s="29">
        <v>2883</v>
      </c>
      <c r="M10" s="29">
        <v>2840</v>
      </c>
      <c r="N10" s="17">
        <v>39.1</v>
      </c>
    </row>
    <row r="11" spans="1:17" x14ac:dyDescent="0.2">
      <c r="A11" t="s">
        <v>1102</v>
      </c>
      <c r="E11" s="80"/>
      <c r="F11" s="16" t="s">
        <v>1103</v>
      </c>
      <c r="G11" s="29">
        <v>12621</v>
      </c>
      <c r="H11" s="29">
        <v>2702</v>
      </c>
      <c r="I11" s="29">
        <v>1198</v>
      </c>
      <c r="J11" s="29">
        <v>6927</v>
      </c>
      <c r="K11" s="29">
        <v>1794</v>
      </c>
      <c r="L11" s="29">
        <v>5839</v>
      </c>
      <c r="M11" s="29">
        <v>6782</v>
      </c>
      <c r="N11" s="17">
        <v>39.1</v>
      </c>
      <c r="O11" s="12"/>
    </row>
    <row r="12" spans="1:17" x14ac:dyDescent="0.2">
      <c r="A12" t="s">
        <v>1104</v>
      </c>
      <c r="E12" s="80"/>
      <c r="F12" s="49" t="s">
        <v>1105</v>
      </c>
      <c r="G12" s="29">
        <v>4052</v>
      </c>
      <c r="H12" s="29">
        <v>738</v>
      </c>
      <c r="I12" s="29">
        <v>313</v>
      </c>
      <c r="J12" s="29">
        <v>2451</v>
      </c>
      <c r="K12" s="29">
        <v>550</v>
      </c>
      <c r="L12" s="29">
        <v>1961</v>
      </c>
      <c r="M12" s="29" t="s">
        <v>1106</v>
      </c>
      <c r="N12" s="13" t="s">
        <v>1107</v>
      </c>
      <c r="O12" s="12"/>
    </row>
    <row r="13" spans="1:17" x14ac:dyDescent="0.2">
      <c r="A13" t="s">
        <v>1108</v>
      </c>
      <c r="E13" s="80"/>
      <c r="F13" s="24" t="s">
        <v>1109</v>
      </c>
      <c r="G13" s="29">
        <v>12801</v>
      </c>
      <c r="H13" s="29">
        <v>2714</v>
      </c>
      <c r="I13" s="29">
        <v>1148</v>
      </c>
      <c r="J13" s="29">
        <v>6435</v>
      </c>
      <c r="K13" s="29">
        <v>2504</v>
      </c>
      <c r="L13" s="29">
        <v>6218</v>
      </c>
      <c r="M13" s="29" t="s">
        <v>1110</v>
      </c>
      <c r="N13" s="13" t="s">
        <v>1111</v>
      </c>
    </row>
    <row r="14" spans="1:17" x14ac:dyDescent="0.2">
      <c r="A14" t="s">
        <v>1112</v>
      </c>
      <c r="E14" s="80"/>
      <c r="F14" s="47" t="s">
        <v>1113</v>
      </c>
      <c r="G14" s="29">
        <v>3046</v>
      </c>
      <c r="H14" s="29">
        <v>593</v>
      </c>
      <c r="I14" s="29">
        <v>321</v>
      </c>
      <c r="J14" s="29">
        <v>1580</v>
      </c>
      <c r="K14" s="29">
        <v>552</v>
      </c>
      <c r="L14" s="29">
        <v>1460</v>
      </c>
      <c r="M14" s="29">
        <v>1586</v>
      </c>
      <c r="N14" s="17">
        <v>44.7</v>
      </c>
    </row>
    <row r="15" spans="1:17" x14ac:dyDescent="0.2">
      <c r="A15" t="s">
        <v>1114</v>
      </c>
      <c r="E15" s="80"/>
      <c r="F15" s="16" t="s">
        <v>1115</v>
      </c>
      <c r="G15" s="29">
        <v>9097</v>
      </c>
      <c r="H15" s="29">
        <v>2086</v>
      </c>
      <c r="I15" s="29">
        <v>814</v>
      </c>
      <c r="J15" s="29">
        <v>5014</v>
      </c>
      <c r="K15" s="29">
        <v>1183</v>
      </c>
      <c r="L15" s="29">
        <v>4732</v>
      </c>
      <c r="M15" s="29">
        <v>4365</v>
      </c>
      <c r="N15" s="17">
        <v>40.799999999999997</v>
      </c>
    </row>
    <row r="16" spans="1:17" x14ac:dyDescent="0.2">
      <c r="A16" t="s">
        <v>1116</v>
      </c>
      <c r="E16" s="80"/>
      <c r="F16" s="16" t="s">
        <v>1117</v>
      </c>
      <c r="G16" s="29">
        <v>7471</v>
      </c>
      <c r="H16" s="29">
        <v>1512</v>
      </c>
      <c r="I16" s="29">
        <v>508</v>
      </c>
      <c r="J16" s="29">
        <v>3786</v>
      </c>
      <c r="K16" s="29">
        <v>1665</v>
      </c>
      <c r="L16" s="29">
        <v>3753</v>
      </c>
      <c r="M16" s="29">
        <v>3718</v>
      </c>
      <c r="N16" s="17">
        <v>45.4</v>
      </c>
    </row>
    <row r="17" spans="1:15" x14ac:dyDescent="0.2">
      <c r="E17" s="80"/>
      <c r="F17" s="16" t="s">
        <v>1118</v>
      </c>
      <c r="G17" s="29">
        <v>14463</v>
      </c>
      <c r="H17" s="29">
        <v>2871</v>
      </c>
      <c r="I17" s="29">
        <v>1226</v>
      </c>
      <c r="J17" s="29">
        <v>7303</v>
      </c>
      <c r="K17" s="29">
        <v>3063</v>
      </c>
      <c r="L17" s="29">
        <v>7390</v>
      </c>
      <c r="M17" s="29">
        <v>7073</v>
      </c>
      <c r="N17" s="17">
        <v>44.7</v>
      </c>
    </row>
    <row r="18" spans="1:15" x14ac:dyDescent="0.2">
      <c r="A18" s="84" t="s">
        <v>1119</v>
      </c>
      <c r="B18" s="80"/>
      <c r="E18" s="80"/>
      <c r="F18" s="47" t="s">
        <v>1120</v>
      </c>
      <c r="G18" s="29">
        <v>5751</v>
      </c>
      <c r="H18" s="29">
        <v>1108</v>
      </c>
      <c r="I18" s="29">
        <v>367</v>
      </c>
      <c r="J18" s="29">
        <v>2744</v>
      </c>
      <c r="K18" s="29">
        <v>1532</v>
      </c>
      <c r="L18" s="29">
        <v>2745</v>
      </c>
      <c r="M18" s="29">
        <v>3006</v>
      </c>
      <c r="N18" s="17">
        <v>48</v>
      </c>
    </row>
    <row r="19" spans="1:15" x14ac:dyDescent="0.2">
      <c r="A19" t="s">
        <v>1121</v>
      </c>
      <c r="B19" t="s">
        <v>1122</v>
      </c>
      <c r="E19" s="80"/>
      <c r="F19" s="16" t="s">
        <v>1123</v>
      </c>
      <c r="G19" s="29">
        <v>4680</v>
      </c>
      <c r="H19" s="29">
        <v>1167</v>
      </c>
      <c r="I19" s="29">
        <v>266</v>
      </c>
      <c r="J19" s="29">
        <v>2637</v>
      </c>
      <c r="K19" s="29">
        <v>610</v>
      </c>
      <c r="L19" s="29">
        <v>2458</v>
      </c>
      <c r="M19" s="29">
        <v>2222</v>
      </c>
      <c r="N19" s="17">
        <v>37.799999999999997</v>
      </c>
    </row>
    <row r="20" spans="1:15" x14ac:dyDescent="0.2">
      <c r="E20" s="80"/>
      <c r="F20" s="16" t="s">
        <v>1124</v>
      </c>
      <c r="G20" s="29">
        <v>5507</v>
      </c>
      <c r="H20" s="29">
        <v>1280</v>
      </c>
      <c r="I20" s="29">
        <v>499</v>
      </c>
      <c r="J20" s="29">
        <v>2943</v>
      </c>
      <c r="K20" s="29">
        <v>785</v>
      </c>
      <c r="L20" s="29">
        <v>2924</v>
      </c>
      <c r="M20" s="29">
        <v>2583</v>
      </c>
      <c r="N20" s="17">
        <v>44.3</v>
      </c>
      <c r="O20" s="12"/>
    </row>
    <row r="21" spans="1:15" x14ac:dyDescent="0.2">
      <c r="A21" s="82" t="s">
        <v>1125</v>
      </c>
      <c r="B21" s="80"/>
      <c r="E21" s="80"/>
      <c r="F21" s="25" t="s">
        <v>1126</v>
      </c>
      <c r="G21" s="29" t="s">
        <v>1127</v>
      </c>
      <c r="H21" s="29" t="s">
        <v>1128</v>
      </c>
      <c r="I21" s="29" t="s">
        <v>1129</v>
      </c>
      <c r="J21" s="29" t="s">
        <v>1130</v>
      </c>
      <c r="K21" s="29" t="s">
        <v>1131</v>
      </c>
      <c r="L21" s="29" t="s">
        <v>1132</v>
      </c>
      <c r="M21" s="29" t="s">
        <v>1133</v>
      </c>
      <c r="N21" s="13" t="s">
        <v>1134</v>
      </c>
      <c r="O21" s="12"/>
    </row>
    <row r="22" spans="1:15" x14ac:dyDescent="0.2">
      <c r="A22" t="s">
        <v>1135</v>
      </c>
      <c r="B22" t="s">
        <v>1136</v>
      </c>
      <c r="E22" s="80"/>
      <c r="F22" s="47" t="s">
        <v>1137</v>
      </c>
      <c r="G22" s="29" t="s">
        <v>1138</v>
      </c>
      <c r="H22" s="29" t="s">
        <v>1139</v>
      </c>
      <c r="I22" s="29" t="s">
        <v>1140</v>
      </c>
      <c r="J22" s="29" t="s">
        <v>1141</v>
      </c>
      <c r="K22" s="29" t="s">
        <v>1142</v>
      </c>
      <c r="L22" s="29" t="s">
        <v>1143</v>
      </c>
      <c r="M22" s="29" t="s">
        <v>1144</v>
      </c>
      <c r="N22" s="13" t="s">
        <v>1145</v>
      </c>
    </row>
    <row r="23" spans="1:15" x14ac:dyDescent="0.2">
      <c r="E23" s="80"/>
      <c r="F23" s="25" t="s">
        <v>1146</v>
      </c>
      <c r="G23" s="29" t="s">
        <v>1147</v>
      </c>
      <c r="H23" s="29" t="s">
        <v>1148</v>
      </c>
      <c r="I23" s="29" t="s">
        <v>1149</v>
      </c>
      <c r="J23" s="29">
        <v>15768</v>
      </c>
      <c r="K23" s="29">
        <v>4110</v>
      </c>
      <c r="L23" s="29">
        <v>15640</v>
      </c>
      <c r="M23" s="29">
        <v>14587</v>
      </c>
      <c r="N23" s="17">
        <v>35.700000000000003</v>
      </c>
    </row>
    <row r="24" spans="1:15" x14ac:dyDescent="0.2">
      <c r="E24" s="80"/>
      <c r="F24" s="25" t="s">
        <v>1150</v>
      </c>
      <c r="G24" s="29" t="s">
        <v>1151</v>
      </c>
      <c r="H24" s="29" t="s">
        <v>1152</v>
      </c>
      <c r="I24" s="29" t="s">
        <v>1153</v>
      </c>
      <c r="J24" s="29">
        <v>2371</v>
      </c>
      <c r="K24" s="29">
        <v>524</v>
      </c>
      <c r="L24" s="29">
        <v>2246</v>
      </c>
      <c r="M24" s="29">
        <v>2402</v>
      </c>
      <c r="N24" s="17">
        <v>36.5</v>
      </c>
    </row>
    <row r="25" spans="1:15" x14ac:dyDescent="0.2">
      <c r="E25" s="80"/>
      <c r="F25" s="49" t="s">
        <v>1154</v>
      </c>
      <c r="G25" s="29" t="s">
        <v>1155</v>
      </c>
      <c r="H25" s="29" t="s">
        <v>1156</v>
      </c>
      <c r="I25" s="29" t="s">
        <v>1157</v>
      </c>
      <c r="J25" s="29">
        <v>304</v>
      </c>
      <c r="K25" s="29">
        <v>79</v>
      </c>
      <c r="L25" s="29">
        <v>282</v>
      </c>
      <c r="M25" s="29">
        <v>402</v>
      </c>
      <c r="N25" s="17">
        <v>30.5</v>
      </c>
    </row>
    <row r="26" spans="1:15" x14ac:dyDescent="0.2">
      <c r="E26" s="80"/>
      <c r="F26" s="27" t="s">
        <v>1158</v>
      </c>
      <c r="G26" s="29" t="s">
        <v>1159</v>
      </c>
      <c r="H26" s="29" t="s">
        <v>1160</v>
      </c>
      <c r="I26" s="29" t="s">
        <v>1161</v>
      </c>
      <c r="J26" s="29">
        <v>10438</v>
      </c>
      <c r="K26" s="29">
        <v>3039</v>
      </c>
      <c r="L26" s="29">
        <v>9782</v>
      </c>
      <c r="M26" s="29">
        <v>11517</v>
      </c>
      <c r="N26" s="17">
        <v>36.799999999999997</v>
      </c>
    </row>
    <row r="27" spans="1:15" x14ac:dyDescent="0.2">
      <c r="A27" s="82"/>
      <c r="B27" s="80"/>
      <c r="E27" s="80"/>
      <c r="F27" s="47" t="s">
        <v>1162</v>
      </c>
      <c r="G27" s="29">
        <v>2089</v>
      </c>
      <c r="H27" s="29">
        <v>598</v>
      </c>
      <c r="I27" s="29" t="s">
        <v>1163</v>
      </c>
      <c r="J27" s="29">
        <v>1033</v>
      </c>
      <c r="K27" s="29">
        <v>363</v>
      </c>
      <c r="L27" s="29">
        <v>877</v>
      </c>
      <c r="M27" s="29">
        <v>1212</v>
      </c>
      <c r="N27" s="17">
        <v>37</v>
      </c>
    </row>
    <row r="28" spans="1:15" x14ac:dyDescent="0.2">
      <c r="E28" s="80"/>
      <c r="F28" s="47" t="s">
        <v>1164</v>
      </c>
      <c r="G28" s="29">
        <v>9466</v>
      </c>
      <c r="H28" s="29">
        <v>2552</v>
      </c>
      <c r="I28" s="29" t="s">
        <v>1165</v>
      </c>
      <c r="J28" s="29">
        <v>4846</v>
      </c>
      <c r="K28" s="29">
        <v>950</v>
      </c>
      <c r="L28" s="29">
        <v>4473</v>
      </c>
      <c r="M28" s="29">
        <v>4993</v>
      </c>
      <c r="N28" s="17">
        <v>32.799999999999997</v>
      </c>
    </row>
    <row r="29" spans="1:15" x14ac:dyDescent="0.2">
      <c r="E29" s="80"/>
      <c r="F29" s="25" t="s">
        <v>1166</v>
      </c>
      <c r="G29" s="29">
        <v>23235</v>
      </c>
      <c r="H29" s="29">
        <v>5597</v>
      </c>
      <c r="I29" s="29" t="s">
        <v>1167</v>
      </c>
      <c r="J29" s="29">
        <v>12228</v>
      </c>
      <c r="K29" s="29">
        <v>3358</v>
      </c>
      <c r="L29" s="29">
        <v>11058</v>
      </c>
      <c r="M29" s="29">
        <v>12177</v>
      </c>
      <c r="N29" s="17">
        <v>39.4</v>
      </c>
    </row>
    <row r="30" spans="1:15" x14ac:dyDescent="0.2">
      <c r="E30" s="80"/>
      <c r="F30" s="47" t="s">
        <v>1168</v>
      </c>
      <c r="G30" s="29">
        <v>3147</v>
      </c>
      <c r="H30" s="29">
        <v>507</v>
      </c>
      <c r="I30" s="29" t="s">
        <v>1169</v>
      </c>
      <c r="J30" s="29">
        <v>1772</v>
      </c>
      <c r="K30" s="29">
        <v>660</v>
      </c>
      <c r="L30" s="29">
        <v>1451</v>
      </c>
      <c r="M30" s="29">
        <v>1696</v>
      </c>
      <c r="N30" s="17">
        <v>46.5</v>
      </c>
    </row>
    <row r="31" spans="1:15" x14ac:dyDescent="0.2">
      <c r="E31" s="80"/>
      <c r="F31" s="47" t="s">
        <v>1170</v>
      </c>
      <c r="G31" s="29">
        <v>3800</v>
      </c>
      <c r="H31" s="29">
        <v>962</v>
      </c>
      <c r="I31" s="29" t="s">
        <v>1171</v>
      </c>
      <c r="J31" s="29">
        <v>1960</v>
      </c>
      <c r="K31" s="29">
        <v>553</v>
      </c>
      <c r="L31" s="29">
        <v>1722</v>
      </c>
      <c r="M31" s="29">
        <v>2078</v>
      </c>
      <c r="N31" s="17">
        <v>39.799999999999997</v>
      </c>
    </row>
    <row r="32" spans="1:15" x14ac:dyDescent="0.2">
      <c r="E32" s="80"/>
      <c r="F32" s="47" t="s">
        <v>1172</v>
      </c>
      <c r="G32" s="29">
        <v>6871</v>
      </c>
      <c r="H32" s="29">
        <v>1664</v>
      </c>
      <c r="I32" s="29" t="s">
        <v>1173</v>
      </c>
      <c r="J32" s="29">
        <v>3732</v>
      </c>
      <c r="K32" s="29">
        <v>816</v>
      </c>
      <c r="L32" s="29">
        <v>3498</v>
      </c>
      <c r="M32" s="29">
        <v>3373</v>
      </c>
      <c r="N32" s="17">
        <v>38.1</v>
      </c>
    </row>
    <row r="33" spans="5:14" x14ac:dyDescent="0.2">
      <c r="E33" s="80"/>
      <c r="F33" s="16" t="s">
        <v>1174</v>
      </c>
      <c r="G33" s="29" t="s">
        <v>1175</v>
      </c>
      <c r="H33" s="29" t="s">
        <v>1176</v>
      </c>
      <c r="I33" s="29" t="s">
        <v>1177</v>
      </c>
      <c r="J33" s="29">
        <v>3856</v>
      </c>
      <c r="K33" s="29">
        <v>1079</v>
      </c>
      <c r="L33" s="29">
        <v>3897</v>
      </c>
      <c r="M33" s="29">
        <v>2603</v>
      </c>
      <c r="N33" s="17">
        <v>44.3</v>
      </c>
    </row>
    <row r="34" spans="5:14" x14ac:dyDescent="0.2">
      <c r="E34" s="80"/>
      <c r="F34" s="47" t="s">
        <v>1178</v>
      </c>
      <c r="G34" s="29">
        <v>1210</v>
      </c>
      <c r="H34" s="29">
        <v>353</v>
      </c>
      <c r="I34" s="29" t="s">
        <v>1179</v>
      </c>
      <c r="J34" s="29">
        <v>564</v>
      </c>
      <c r="K34" s="29">
        <v>237</v>
      </c>
      <c r="L34" s="29">
        <v>623</v>
      </c>
      <c r="M34" s="29">
        <v>587</v>
      </c>
      <c r="N34" s="17">
        <v>35.6</v>
      </c>
    </row>
    <row r="35" spans="5:14" x14ac:dyDescent="0.2">
      <c r="E35" s="80"/>
      <c r="F35" s="25" t="s">
        <v>1180</v>
      </c>
      <c r="G35" s="29">
        <v>28649</v>
      </c>
      <c r="H35" s="29">
        <v>7379</v>
      </c>
      <c r="I35" s="29" t="s">
        <v>1181</v>
      </c>
      <c r="J35" s="29">
        <v>14393</v>
      </c>
      <c r="K35" s="29">
        <v>3540</v>
      </c>
      <c r="L35" s="29">
        <v>13424</v>
      </c>
      <c r="M35" s="29">
        <v>15225</v>
      </c>
      <c r="N35" s="17">
        <v>31.7</v>
      </c>
    </row>
    <row r="36" spans="5:14" x14ac:dyDescent="0.2">
      <c r="E36" s="80"/>
      <c r="F36" s="25" t="s">
        <v>1182</v>
      </c>
      <c r="G36" s="29">
        <v>31866</v>
      </c>
      <c r="H36" s="29">
        <v>6121</v>
      </c>
      <c r="I36" s="29" t="s">
        <v>1183</v>
      </c>
      <c r="J36" s="29">
        <v>17297</v>
      </c>
      <c r="K36" s="29">
        <v>5460</v>
      </c>
      <c r="L36" s="29">
        <v>16112</v>
      </c>
      <c r="M36" s="29">
        <v>15754</v>
      </c>
      <c r="N36" s="17">
        <v>41.8</v>
      </c>
    </row>
    <row r="37" spans="5:14" x14ac:dyDescent="0.2">
      <c r="E37" s="80"/>
      <c r="F37" s="25" t="s">
        <v>1184</v>
      </c>
      <c r="G37" s="29">
        <v>27781</v>
      </c>
      <c r="H37" s="29">
        <v>5691</v>
      </c>
      <c r="I37" s="29" t="s">
        <v>1185</v>
      </c>
      <c r="J37" s="29">
        <v>15049</v>
      </c>
      <c r="K37" s="29">
        <v>4593</v>
      </c>
      <c r="L37" s="29">
        <v>13475</v>
      </c>
      <c r="M37" s="29">
        <v>14306</v>
      </c>
      <c r="N37" s="17">
        <v>41.4</v>
      </c>
    </row>
    <row r="38" spans="5:14" x14ac:dyDescent="0.2">
      <c r="E38" s="80"/>
      <c r="F38" s="25" t="s">
        <v>1186</v>
      </c>
      <c r="G38" s="29">
        <v>36572</v>
      </c>
      <c r="H38" s="29">
        <v>20811</v>
      </c>
      <c r="I38" s="29" t="s">
        <v>1187</v>
      </c>
      <c r="J38" s="29">
        <v>9535</v>
      </c>
      <c r="K38" s="29">
        <v>969</v>
      </c>
      <c r="L38" s="29">
        <v>18558</v>
      </c>
      <c r="M38" s="29">
        <v>18014</v>
      </c>
      <c r="N38" s="17">
        <v>15.1</v>
      </c>
    </row>
    <row r="39" spans="5:14" x14ac:dyDescent="0.2">
      <c r="E39" s="80"/>
      <c r="F39" s="49" t="s">
        <v>1188</v>
      </c>
      <c r="G39" s="29" t="s">
        <v>1189</v>
      </c>
      <c r="H39" s="29" t="s">
        <v>1190</v>
      </c>
      <c r="I39" s="29" t="s">
        <v>1187</v>
      </c>
      <c r="J39" s="29">
        <v>9535</v>
      </c>
      <c r="K39" s="29">
        <v>969</v>
      </c>
      <c r="L39" s="29">
        <v>18558</v>
      </c>
      <c r="M39" s="29">
        <v>18014</v>
      </c>
      <c r="N39" s="17">
        <v>15.1</v>
      </c>
    </row>
    <row r="40" spans="5:14" x14ac:dyDescent="0.2">
      <c r="E40" s="80"/>
      <c r="F40" s="26" t="s">
        <v>1191</v>
      </c>
      <c r="G40" s="29" t="s">
        <v>1192</v>
      </c>
      <c r="H40" s="29" t="s">
        <v>1193</v>
      </c>
      <c r="I40" s="29" t="s">
        <v>1194</v>
      </c>
      <c r="J40" s="29">
        <v>4209</v>
      </c>
      <c r="K40" s="29">
        <v>1615</v>
      </c>
      <c r="L40" s="29">
        <v>4267</v>
      </c>
      <c r="M40" s="29">
        <v>4442</v>
      </c>
      <c r="N40" s="17">
        <v>39.6</v>
      </c>
    </row>
    <row r="41" spans="5:14" x14ac:dyDescent="0.2">
      <c r="E41" s="80"/>
      <c r="F41" s="16" t="s">
        <v>1195</v>
      </c>
      <c r="G41" s="29" t="s">
        <v>1196</v>
      </c>
      <c r="H41" s="29" t="s">
        <v>1197</v>
      </c>
      <c r="I41" s="29" t="s">
        <v>1198</v>
      </c>
      <c r="J41" s="29">
        <v>1954</v>
      </c>
      <c r="K41" s="29">
        <v>869</v>
      </c>
      <c r="L41" s="29">
        <v>1975</v>
      </c>
      <c r="M41" s="29">
        <v>1790</v>
      </c>
      <c r="N41" s="17">
        <v>48.4</v>
      </c>
    </row>
    <row r="42" spans="5:14" x14ac:dyDescent="0.2">
      <c r="E42" s="80"/>
      <c r="F42" s="47" t="s">
        <v>1199</v>
      </c>
      <c r="G42" s="29">
        <v>3083</v>
      </c>
      <c r="H42" s="29">
        <v>620</v>
      </c>
      <c r="I42" s="29">
        <v>228</v>
      </c>
      <c r="J42" s="29">
        <v>1543</v>
      </c>
      <c r="K42" s="29">
        <v>692</v>
      </c>
      <c r="L42" s="29">
        <v>1546</v>
      </c>
      <c r="M42" s="29">
        <v>1537</v>
      </c>
      <c r="N42" s="17">
        <v>45.1</v>
      </c>
    </row>
    <row r="43" spans="5:14" x14ac:dyDescent="0.2">
      <c r="E43" s="80"/>
      <c r="F43" s="47" t="s">
        <v>1200</v>
      </c>
      <c r="G43" s="29">
        <v>682</v>
      </c>
      <c r="H43" s="29">
        <v>82</v>
      </c>
      <c r="I43" s="29">
        <v>12</v>
      </c>
      <c r="J43" s="29">
        <v>411</v>
      </c>
      <c r="K43" s="29">
        <v>177</v>
      </c>
      <c r="L43" s="29">
        <v>429</v>
      </c>
      <c r="M43" s="29">
        <v>253</v>
      </c>
      <c r="N43" s="17">
        <v>51.9</v>
      </c>
    </row>
    <row r="44" spans="5:14" x14ac:dyDescent="0.2">
      <c r="E44" s="80"/>
      <c r="F44" s="16" t="s">
        <v>1201</v>
      </c>
      <c r="G44" s="29">
        <v>30790</v>
      </c>
      <c r="H44" s="29">
        <v>5920</v>
      </c>
      <c r="I44" s="29">
        <v>3341</v>
      </c>
      <c r="J44" s="29">
        <v>16353</v>
      </c>
      <c r="K44" s="29">
        <v>5176</v>
      </c>
      <c r="L44" s="29">
        <v>15650</v>
      </c>
      <c r="M44" s="29">
        <v>15140</v>
      </c>
      <c r="N44" s="17">
        <v>41.3</v>
      </c>
    </row>
    <row r="45" spans="5:14" x14ac:dyDescent="0.2">
      <c r="E45" s="80"/>
      <c r="F45" s="16" t="s">
        <v>1202</v>
      </c>
      <c r="G45" s="29">
        <v>31909</v>
      </c>
      <c r="H45" s="29">
        <v>6273</v>
      </c>
      <c r="I45" s="29">
        <v>2216</v>
      </c>
      <c r="J45" s="29">
        <v>17141</v>
      </c>
      <c r="K45" s="29">
        <v>6279</v>
      </c>
      <c r="L45" s="29">
        <v>15794</v>
      </c>
      <c r="M45" s="29">
        <v>16115</v>
      </c>
      <c r="N45" s="17">
        <v>44.1</v>
      </c>
    </row>
    <row r="46" spans="5:14" x14ac:dyDescent="0.2">
      <c r="E46" s="80"/>
      <c r="F46" s="47" t="s">
        <v>1203</v>
      </c>
      <c r="G46" s="29">
        <v>2915</v>
      </c>
      <c r="H46" s="29">
        <v>620</v>
      </c>
      <c r="I46" s="29">
        <v>278</v>
      </c>
      <c r="J46" s="29">
        <v>1575</v>
      </c>
      <c r="K46" s="29">
        <v>442</v>
      </c>
      <c r="L46" s="29">
        <v>1566</v>
      </c>
      <c r="M46" s="29">
        <v>1349</v>
      </c>
      <c r="N46" s="17">
        <v>36</v>
      </c>
    </row>
    <row r="47" spans="5:14" x14ac:dyDescent="0.2">
      <c r="E47" s="80"/>
      <c r="F47" s="47" t="s">
        <v>1204</v>
      </c>
      <c r="G47" s="29">
        <v>3022</v>
      </c>
      <c r="H47" s="29">
        <v>529</v>
      </c>
      <c r="I47" s="29">
        <v>101</v>
      </c>
      <c r="J47" s="29">
        <v>1760</v>
      </c>
      <c r="K47" s="29">
        <v>632</v>
      </c>
      <c r="L47" s="29">
        <v>1471</v>
      </c>
      <c r="M47" s="29">
        <v>1551</v>
      </c>
      <c r="N47" s="17">
        <v>42.2</v>
      </c>
    </row>
    <row r="48" spans="5:14" x14ac:dyDescent="0.2">
      <c r="E48" s="80"/>
      <c r="F48" s="47" t="s">
        <v>1205</v>
      </c>
      <c r="G48" s="29">
        <v>6625</v>
      </c>
      <c r="H48" s="29">
        <v>1274</v>
      </c>
      <c r="I48" s="29">
        <v>418</v>
      </c>
      <c r="J48" s="29">
        <v>3125</v>
      </c>
      <c r="K48" s="29">
        <v>1808</v>
      </c>
      <c r="L48" s="29">
        <v>2921</v>
      </c>
      <c r="M48" s="29">
        <v>3704</v>
      </c>
      <c r="N48" s="17">
        <v>48.4</v>
      </c>
    </row>
    <row r="49" spans="5:14" x14ac:dyDescent="0.2">
      <c r="E49" s="80"/>
      <c r="F49" s="16" t="s">
        <v>1206</v>
      </c>
      <c r="G49" s="29">
        <v>7493</v>
      </c>
      <c r="H49" s="29">
        <v>1726</v>
      </c>
      <c r="I49" s="29">
        <v>882</v>
      </c>
      <c r="J49" s="29">
        <v>3842</v>
      </c>
      <c r="K49" s="29">
        <v>1043</v>
      </c>
      <c r="L49" s="29">
        <v>3585</v>
      </c>
      <c r="M49" s="29">
        <v>3908</v>
      </c>
      <c r="N49" s="17">
        <v>39.200000000000003</v>
      </c>
    </row>
    <row r="50" spans="5:14" x14ac:dyDescent="0.2">
      <c r="E50" s="80"/>
      <c r="F50" s="16" t="s">
        <v>1207</v>
      </c>
      <c r="G50" s="29">
        <v>12191</v>
      </c>
      <c r="H50" s="29">
        <v>3079</v>
      </c>
      <c r="I50" s="29">
        <v>1478</v>
      </c>
      <c r="J50" s="29">
        <v>6286</v>
      </c>
      <c r="K50" s="29">
        <v>1348</v>
      </c>
      <c r="L50" s="29">
        <v>6205</v>
      </c>
      <c r="M50" s="29">
        <v>5986</v>
      </c>
      <c r="N50" s="17">
        <v>40</v>
      </c>
    </row>
    <row r="51" spans="5:14" x14ac:dyDescent="0.2">
      <c r="E51" s="80"/>
      <c r="F51" s="47" t="s">
        <v>1162</v>
      </c>
      <c r="G51" s="29">
        <v>754</v>
      </c>
      <c r="H51" s="29">
        <v>149</v>
      </c>
      <c r="I51" s="29">
        <v>39</v>
      </c>
      <c r="J51" s="29">
        <v>505</v>
      </c>
      <c r="K51" s="29">
        <v>61</v>
      </c>
      <c r="L51" s="29">
        <v>337</v>
      </c>
      <c r="M51" s="29">
        <v>417</v>
      </c>
      <c r="N51" s="17">
        <v>37</v>
      </c>
    </row>
    <row r="52" spans="5:14" x14ac:dyDescent="0.2">
      <c r="E52" s="80"/>
      <c r="F52" s="47" t="s">
        <v>1208</v>
      </c>
      <c r="G52" s="29">
        <v>11437</v>
      </c>
      <c r="H52" s="29">
        <v>2930</v>
      </c>
      <c r="I52" s="29">
        <v>1439</v>
      </c>
      <c r="J52" s="29">
        <v>5781</v>
      </c>
      <c r="K52" s="29">
        <v>1287</v>
      </c>
      <c r="L52" s="29">
        <v>5868</v>
      </c>
      <c r="M52" s="29">
        <v>5569</v>
      </c>
      <c r="N52" s="17">
        <v>39.700000000000003</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v>
      </c>
    </row>
    <row r="4" spans="1:17" x14ac:dyDescent="0.2">
      <c r="A4" s="16" t="s">
        <v>7</v>
      </c>
      <c r="B4" t="str">
        <f>IF($B$1="","",_xlfn.XLOOKUP($B$1,Master!$F$2:$F$321,Master!$H$2:$H$321,""))</f>
        <v>fig-pop</v>
      </c>
      <c r="E4" s="8"/>
      <c r="F4" s="10" t="s">
        <v>1009</v>
      </c>
      <c r="G4" s="10" t="s">
        <v>973</v>
      </c>
      <c r="H4" s="10" t="s">
        <v>973</v>
      </c>
      <c r="I4" s="10" t="s">
        <v>973</v>
      </c>
      <c r="J4" s="10" t="s">
        <v>973</v>
      </c>
      <c r="K4" s="10" t="s">
        <v>973</v>
      </c>
      <c r="L4" s="10" t="s">
        <v>973</v>
      </c>
      <c r="M4" s="10"/>
      <c r="N4" s="10"/>
      <c r="O4" s="10"/>
      <c r="P4" s="10"/>
      <c r="Q4" s="10"/>
    </row>
    <row r="5" spans="1:17" x14ac:dyDescent="0.2">
      <c r="A5" s="84" t="s">
        <v>1081</v>
      </c>
      <c r="B5" s="80"/>
      <c r="E5" s="83" t="s">
        <v>1082</v>
      </c>
      <c r="F5" s="81" t="s">
        <v>1083</v>
      </c>
      <c r="G5" s="81" t="s">
        <v>1209</v>
      </c>
      <c r="H5" s="80"/>
      <c r="I5" s="80"/>
      <c r="J5" s="80"/>
      <c r="K5" s="80"/>
      <c r="L5" s="80"/>
      <c r="M5" s="21"/>
      <c r="N5" s="21"/>
    </row>
    <row r="6" spans="1:17" ht="15" customHeight="1" x14ac:dyDescent="0.2">
      <c r="A6" t="s">
        <v>1088</v>
      </c>
      <c r="E6" s="80"/>
      <c r="F6" s="80"/>
      <c r="G6" s="17">
        <v>1970</v>
      </c>
      <c r="H6" s="15">
        <v>1980</v>
      </c>
      <c r="I6" s="15">
        <v>1990</v>
      </c>
      <c r="J6" s="15">
        <v>2000</v>
      </c>
      <c r="K6" s="15">
        <v>2010</v>
      </c>
      <c r="L6" s="15">
        <v>2020</v>
      </c>
      <c r="M6" s="15"/>
      <c r="N6" s="21"/>
      <c r="O6" s="15"/>
    </row>
    <row r="7" spans="1:17" ht="15.75" customHeight="1" x14ac:dyDescent="0.2">
      <c r="E7" s="80"/>
      <c r="F7" s="16" t="s">
        <v>1096</v>
      </c>
      <c r="G7" s="23">
        <v>221657</v>
      </c>
      <c r="H7" s="23">
        <v>259603</v>
      </c>
      <c r="I7" s="23">
        <v>307647</v>
      </c>
      <c r="J7" s="23">
        <v>341367</v>
      </c>
      <c r="K7" s="23">
        <v>372813</v>
      </c>
      <c r="L7" s="23">
        <v>401310</v>
      </c>
      <c r="M7" s="15"/>
      <c r="N7" s="15"/>
      <c r="O7" s="15"/>
    </row>
    <row r="8" spans="1:17" x14ac:dyDescent="0.2">
      <c r="E8" s="80"/>
      <c r="F8" s="16" t="s">
        <v>1097</v>
      </c>
      <c r="G8" s="23">
        <v>8813</v>
      </c>
      <c r="H8" s="23">
        <v>12339</v>
      </c>
      <c r="I8" s="23">
        <v>16673</v>
      </c>
      <c r="J8" s="23">
        <v>17351</v>
      </c>
      <c r="K8" s="23">
        <v>18028</v>
      </c>
      <c r="L8" s="23">
        <v>18811</v>
      </c>
      <c r="M8" s="15"/>
      <c r="N8" s="15"/>
      <c r="O8" s="15"/>
      <c r="P8" s="9"/>
    </row>
    <row r="9" spans="1:17" x14ac:dyDescent="0.2">
      <c r="A9" s="84" t="s">
        <v>1098</v>
      </c>
      <c r="B9" s="80"/>
      <c r="E9" s="80"/>
      <c r="F9" s="47" t="s">
        <v>1099</v>
      </c>
      <c r="G9" s="15" t="s">
        <v>1210</v>
      </c>
      <c r="H9" s="15" t="s">
        <v>1210</v>
      </c>
      <c r="I9" s="15" t="s">
        <v>1210</v>
      </c>
      <c r="J9" s="15" t="s">
        <v>1210</v>
      </c>
      <c r="K9" s="23">
        <v>3234</v>
      </c>
      <c r="L9" s="23">
        <v>3973</v>
      </c>
      <c r="M9" s="15"/>
      <c r="N9" s="15"/>
      <c r="O9" s="15"/>
    </row>
    <row r="10" spans="1:17" x14ac:dyDescent="0.2">
      <c r="A10" t="s">
        <v>1100</v>
      </c>
      <c r="E10" s="80"/>
      <c r="F10" s="47" t="s">
        <v>1101</v>
      </c>
      <c r="G10" s="23">
        <v>1887</v>
      </c>
      <c r="H10" s="23">
        <v>2380</v>
      </c>
      <c r="I10" s="23">
        <v>4906</v>
      </c>
      <c r="J10" s="23">
        <v>5851</v>
      </c>
      <c r="K10" s="23">
        <v>5899</v>
      </c>
      <c r="L10" s="23">
        <v>5657</v>
      </c>
      <c r="M10" s="15"/>
      <c r="N10" s="15"/>
    </row>
    <row r="11" spans="1:17" x14ac:dyDescent="0.2">
      <c r="A11" t="s">
        <v>1102</v>
      </c>
      <c r="E11" s="80"/>
      <c r="F11" s="16" t="s">
        <v>1103</v>
      </c>
      <c r="G11" s="23">
        <v>4767</v>
      </c>
      <c r="H11" s="23">
        <v>6850</v>
      </c>
      <c r="I11" s="23">
        <v>9138</v>
      </c>
      <c r="J11" s="28">
        <v>12140</v>
      </c>
      <c r="K11" s="28">
        <v>11981</v>
      </c>
      <c r="L11" s="28">
        <v>12646</v>
      </c>
      <c r="M11" s="15"/>
      <c r="N11" s="15"/>
      <c r="O11" s="12"/>
    </row>
    <row r="12" spans="1:17" x14ac:dyDescent="0.2">
      <c r="A12" t="s">
        <v>1104</v>
      </c>
      <c r="E12" s="80"/>
      <c r="F12" s="49" t="s">
        <v>1105</v>
      </c>
      <c r="G12" s="28">
        <v>1627</v>
      </c>
      <c r="H12" s="28">
        <v>1910</v>
      </c>
      <c r="I12" s="23">
        <v>3270</v>
      </c>
      <c r="J12" s="23">
        <v>3445</v>
      </c>
      <c r="K12" s="23">
        <v>3969</v>
      </c>
      <c r="L12" s="23">
        <v>3993</v>
      </c>
      <c r="M12" s="17"/>
      <c r="N12" s="17"/>
      <c r="O12" s="12"/>
    </row>
    <row r="13" spans="1:17" x14ac:dyDescent="0.2">
      <c r="A13" t="s">
        <v>1108</v>
      </c>
      <c r="E13" s="80"/>
      <c r="F13" s="24" t="s">
        <v>1109</v>
      </c>
      <c r="G13" s="23">
        <v>9672</v>
      </c>
      <c r="H13" s="23">
        <v>10774</v>
      </c>
      <c r="I13" s="23">
        <v>11270</v>
      </c>
      <c r="J13" s="23">
        <v>12307</v>
      </c>
      <c r="K13" s="23">
        <v>12646</v>
      </c>
      <c r="L13" s="23">
        <v>12884</v>
      </c>
      <c r="M13" s="15"/>
      <c r="N13" s="15"/>
    </row>
    <row r="14" spans="1:17" x14ac:dyDescent="0.2">
      <c r="A14" t="s">
        <v>1112</v>
      </c>
      <c r="E14" s="80"/>
      <c r="F14" s="47" t="s">
        <v>1113</v>
      </c>
      <c r="G14" s="23">
        <v>3131</v>
      </c>
      <c r="H14" s="23">
        <v>3164</v>
      </c>
      <c r="I14" s="23">
        <v>3093</v>
      </c>
      <c r="J14" s="23">
        <v>3058</v>
      </c>
      <c r="K14" s="23">
        <v>3018</v>
      </c>
      <c r="L14" s="23">
        <v>3075</v>
      </c>
      <c r="M14" s="15"/>
      <c r="N14" s="15"/>
    </row>
    <row r="15" spans="1:17" x14ac:dyDescent="0.2">
      <c r="A15" t="s">
        <v>1114</v>
      </c>
      <c r="E15" s="80"/>
      <c r="F15" s="16" t="s">
        <v>1115</v>
      </c>
      <c r="G15" s="23">
        <v>3896</v>
      </c>
      <c r="H15" s="23">
        <v>4910</v>
      </c>
      <c r="I15" s="23">
        <v>6394</v>
      </c>
      <c r="J15" s="23">
        <v>7875</v>
      </c>
      <c r="K15" s="23">
        <v>9316</v>
      </c>
      <c r="L15" s="23">
        <v>9130</v>
      </c>
      <c r="M15" s="15"/>
      <c r="N15" s="15"/>
    </row>
    <row r="16" spans="1:17" x14ac:dyDescent="0.2">
      <c r="A16" t="s">
        <v>1116</v>
      </c>
      <c r="E16" s="80"/>
      <c r="F16" s="16" t="s">
        <v>1117</v>
      </c>
      <c r="G16" s="23">
        <v>4370</v>
      </c>
      <c r="H16" s="23">
        <v>5633</v>
      </c>
      <c r="I16" s="23">
        <v>7832</v>
      </c>
      <c r="J16" s="23">
        <v>7858</v>
      </c>
      <c r="K16" s="23">
        <v>7901</v>
      </c>
      <c r="L16" s="23">
        <v>7509</v>
      </c>
      <c r="M16" s="15"/>
      <c r="N16" s="15"/>
    </row>
    <row r="17" spans="1:15" x14ac:dyDescent="0.2">
      <c r="E17" s="80"/>
      <c r="F17" s="16" t="s">
        <v>1118</v>
      </c>
      <c r="G17" s="23">
        <v>8393</v>
      </c>
      <c r="H17" s="23">
        <v>10463</v>
      </c>
      <c r="I17" s="23">
        <v>11500</v>
      </c>
      <c r="J17" s="23">
        <v>12913</v>
      </c>
      <c r="K17" s="23">
        <v>13687</v>
      </c>
      <c r="L17" s="23">
        <v>14571</v>
      </c>
      <c r="M17" s="15"/>
      <c r="N17" s="15"/>
    </row>
    <row r="18" spans="1:15" x14ac:dyDescent="0.2">
      <c r="A18" s="84" t="s">
        <v>1119</v>
      </c>
      <c r="B18" s="80"/>
      <c r="E18" s="80"/>
      <c r="F18" s="47" t="s">
        <v>1120</v>
      </c>
      <c r="G18" s="23">
        <v>4342</v>
      </c>
      <c r="H18" s="23">
        <v>4874</v>
      </c>
      <c r="I18" s="23">
        <v>5255</v>
      </c>
      <c r="J18" s="23">
        <v>5676</v>
      </c>
      <c r="K18" s="23">
        <v>5454</v>
      </c>
      <c r="L18" s="23">
        <v>5777</v>
      </c>
      <c r="M18" s="15"/>
      <c r="N18" s="15"/>
    </row>
    <row r="19" spans="1:15" x14ac:dyDescent="0.2">
      <c r="A19" t="s">
        <v>1121</v>
      </c>
      <c r="B19" t="s">
        <v>1211</v>
      </c>
      <c r="E19" s="80"/>
      <c r="F19" s="16" t="s">
        <v>1123</v>
      </c>
      <c r="G19" s="23">
        <v>1379</v>
      </c>
      <c r="H19" s="23">
        <v>2085</v>
      </c>
      <c r="I19" s="23">
        <v>3120</v>
      </c>
      <c r="J19" s="23">
        <v>3800</v>
      </c>
      <c r="K19" s="23">
        <v>4616</v>
      </c>
      <c r="L19" s="23">
        <v>4689</v>
      </c>
      <c r="M19" s="15"/>
      <c r="N19" s="15"/>
    </row>
    <row r="20" spans="1:15" x14ac:dyDescent="0.2">
      <c r="E20" s="80"/>
      <c r="F20" s="16" t="s">
        <v>1124</v>
      </c>
      <c r="G20" s="23">
        <v>2204</v>
      </c>
      <c r="H20" s="23">
        <v>2945</v>
      </c>
      <c r="I20" s="23">
        <v>3910</v>
      </c>
      <c r="J20" s="23">
        <v>4686</v>
      </c>
      <c r="K20" s="23">
        <v>5561</v>
      </c>
      <c r="L20" s="23">
        <v>5489</v>
      </c>
      <c r="M20" s="15"/>
      <c r="N20" s="15"/>
      <c r="O20" s="12"/>
    </row>
    <row r="21" spans="1:15" x14ac:dyDescent="0.2">
      <c r="A21" s="82" t="s">
        <v>1125</v>
      </c>
      <c r="B21" s="80"/>
      <c r="E21" s="80"/>
      <c r="F21" s="25" t="s">
        <v>1126</v>
      </c>
      <c r="G21" s="23">
        <v>14661</v>
      </c>
      <c r="H21" s="23">
        <v>14004</v>
      </c>
      <c r="I21" s="23">
        <v>13667</v>
      </c>
      <c r="J21" s="23">
        <v>12484</v>
      </c>
      <c r="K21" s="23">
        <v>12492</v>
      </c>
      <c r="L21" s="23">
        <v>12939</v>
      </c>
      <c r="M21" s="15"/>
      <c r="N21" s="15"/>
      <c r="O21" s="12"/>
    </row>
    <row r="22" spans="1:15" x14ac:dyDescent="0.2">
      <c r="A22" t="s">
        <v>1135</v>
      </c>
      <c r="B22" t="s">
        <v>1212</v>
      </c>
      <c r="E22" s="80"/>
      <c r="F22" s="47" t="s">
        <v>1137</v>
      </c>
      <c r="G22" s="23">
        <v>4638</v>
      </c>
      <c r="H22" s="23">
        <v>4187</v>
      </c>
      <c r="I22" s="23">
        <v>3937</v>
      </c>
      <c r="J22" s="23">
        <v>3678</v>
      </c>
      <c r="K22" s="23">
        <v>3900</v>
      </c>
      <c r="L22" s="23">
        <v>3684</v>
      </c>
      <c r="M22" s="15"/>
      <c r="N22" s="15"/>
    </row>
    <row r="23" spans="1:15" x14ac:dyDescent="0.2">
      <c r="E23" s="80"/>
      <c r="F23" s="25" t="s">
        <v>1146</v>
      </c>
      <c r="G23" s="23">
        <v>22607</v>
      </c>
      <c r="H23" s="23">
        <v>21454</v>
      </c>
      <c r="I23" s="23">
        <v>24160</v>
      </c>
      <c r="J23" s="23">
        <v>25388</v>
      </c>
      <c r="K23" s="23">
        <v>28086</v>
      </c>
      <c r="L23" s="23">
        <v>30345</v>
      </c>
      <c r="M23" s="15"/>
      <c r="N23" s="15"/>
    </row>
    <row r="24" spans="1:15" x14ac:dyDescent="0.2">
      <c r="E24" s="80"/>
      <c r="F24" s="25" t="s">
        <v>1150</v>
      </c>
      <c r="G24" s="23">
        <v>1942</v>
      </c>
      <c r="H24" s="23">
        <v>2488</v>
      </c>
      <c r="I24" s="23">
        <v>2981</v>
      </c>
      <c r="J24" s="23">
        <v>3585</v>
      </c>
      <c r="K24" s="23">
        <v>4490</v>
      </c>
      <c r="L24" s="23">
        <v>4621</v>
      </c>
      <c r="M24" s="15"/>
      <c r="N24" s="15"/>
    </row>
    <row r="25" spans="1:15" x14ac:dyDescent="0.2">
      <c r="E25" s="80"/>
      <c r="F25" s="49" t="s">
        <v>1154</v>
      </c>
      <c r="G25" s="15">
        <v>576</v>
      </c>
      <c r="H25" s="15">
        <v>574</v>
      </c>
      <c r="I25" s="15">
        <v>548</v>
      </c>
      <c r="J25" s="15">
        <v>536</v>
      </c>
      <c r="K25" s="15">
        <v>612</v>
      </c>
      <c r="L25" s="15">
        <v>592</v>
      </c>
      <c r="M25" s="15"/>
      <c r="N25" s="15"/>
    </row>
    <row r="26" spans="1:15" x14ac:dyDescent="0.2">
      <c r="E26" s="80"/>
      <c r="F26" s="27" t="s">
        <v>1158</v>
      </c>
      <c r="G26" s="23">
        <v>9190</v>
      </c>
      <c r="H26" s="23">
        <v>14948</v>
      </c>
      <c r="I26" s="23">
        <v>23035</v>
      </c>
      <c r="J26" s="23">
        <v>31407</v>
      </c>
      <c r="K26" s="23">
        <v>39912</v>
      </c>
      <c r="L26" s="23">
        <v>21387</v>
      </c>
      <c r="M26" s="15"/>
      <c r="N26" s="15"/>
    </row>
    <row r="27" spans="1:15" x14ac:dyDescent="0.2">
      <c r="A27" s="82"/>
      <c r="B27" s="80"/>
      <c r="E27" s="80"/>
      <c r="F27" s="47" t="s">
        <v>1162</v>
      </c>
      <c r="G27" s="15">
        <v>955</v>
      </c>
      <c r="H27" s="15">
        <v>796</v>
      </c>
      <c r="I27" s="23">
        <v>2288</v>
      </c>
      <c r="J27" s="23">
        <v>2252</v>
      </c>
      <c r="K27" s="23">
        <v>2424</v>
      </c>
      <c r="L27" s="23">
        <v>2714</v>
      </c>
      <c r="M27" s="15"/>
      <c r="N27" s="15"/>
    </row>
    <row r="28" spans="1:15" x14ac:dyDescent="0.2">
      <c r="E28" s="80"/>
      <c r="F28" s="47" t="s">
        <v>1164</v>
      </c>
      <c r="G28" s="23">
        <v>4439</v>
      </c>
      <c r="H28" s="23">
        <v>5996</v>
      </c>
      <c r="I28" s="23">
        <v>6672</v>
      </c>
      <c r="J28" s="23">
        <v>7780</v>
      </c>
      <c r="K28" s="23">
        <v>8364</v>
      </c>
      <c r="L28" s="23">
        <v>9343</v>
      </c>
      <c r="M28" s="15"/>
      <c r="N28" s="15"/>
    </row>
    <row r="29" spans="1:15" x14ac:dyDescent="0.2">
      <c r="E29" s="80"/>
      <c r="F29" s="25" t="s">
        <v>1166</v>
      </c>
      <c r="G29" s="23">
        <v>13995</v>
      </c>
      <c r="H29" s="23">
        <v>16576</v>
      </c>
      <c r="I29" s="23">
        <v>18501</v>
      </c>
      <c r="J29" s="23">
        <v>20891</v>
      </c>
      <c r="K29" s="23">
        <v>22606</v>
      </c>
      <c r="L29" s="23">
        <v>23322</v>
      </c>
      <c r="M29" s="15"/>
      <c r="N29" s="15"/>
    </row>
    <row r="30" spans="1:15" x14ac:dyDescent="0.2">
      <c r="E30" s="80"/>
      <c r="F30" s="47" t="s">
        <v>1168</v>
      </c>
      <c r="G30" s="23">
        <v>1536</v>
      </c>
      <c r="H30" s="23">
        <v>2007</v>
      </c>
      <c r="I30" s="23">
        <v>2802</v>
      </c>
      <c r="J30" s="23">
        <v>3084</v>
      </c>
      <c r="K30" s="23">
        <v>2958</v>
      </c>
      <c r="L30" s="23">
        <v>3150</v>
      </c>
      <c r="M30" s="15"/>
      <c r="N30" s="15"/>
    </row>
    <row r="31" spans="1:15" x14ac:dyDescent="0.2">
      <c r="E31" s="80"/>
      <c r="F31" s="47" t="s">
        <v>1170</v>
      </c>
      <c r="G31" s="23">
        <v>1533</v>
      </c>
      <c r="H31" s="23">
        <v>2316</v>
      </c>
      <c r="I31" s="23">
        <v>2696</v>
      </c>
      <c r="J31" s="23">
        <v>3636</v>
      </c>
      <c r="K31" s="23">
        <v>3814</v>
      </c>
      <c r="L31" s="23">
        <v>3834</v>
      </c>
      <c r="M31" s="15"/>
      <c r="N31" s="15"/>
    </row>
    <row r="32" spans="1:15" x14ac:dyDescent="0.2">
      <c r="E32" s="80"/>
      <c r="F32" s="47" t="s">
        <v>1172</v>
      </c>
      <c r="G32" s="23">
        <v>5277</v>
      </c>
      <c r="H32" s="23">
        <v>5659</v>
      </c>
      <c r="I32" s="23">
        <v>5836</v>
      </c>
      <c r="J32" s="23">
        <v>6164</v>
      </c>
      <c r="K32" s="23">
        <v>6978</v>
      </c>
      <c r="L32" s="23">
        <v>6818</v>
      </c>
      <c r="M32" s="15"/>
      <c r="N32" s="15"/>
    </row>
    <row r="33" spans="5:14" x14ac:dyDescent="0.2">
      <c r="E33" s="80"/>
      <c r="F33" s="16" t="s">
        <v>1174</v>
      </c>
      <c r="G33" s="23">
        <v>2966</v>
      </c>
      <c r="H33" s="23">
        <v>4398</v>
      </c>
      <c r="I33" s="23">
        <v>5971</v>
      </c>
      <c r="J33" s="23">
        <v>6639</v>
      </c>
      <c r="K33" s="23">
        <v>7018</v>
      </c>
      <c r="L33" s="23">
        <v>6537</v>
      </c>
      <c r="M33" s="15"/>
      <c r="N33" s="15"/>
    </row>
    <row r="34" spans="5:14" x14ac:dyDescent="0.2">
      <c r="E34" s="80"/>
      <c r="F34" s="47" t="s">
        <v>1178</v>
      </c>
      <c r="G34" s="15">
        <v>933</v>
      </c>
      <c r="H34" s="15">
        <v>953</v>
      </c>
      <c r="I34" s="28">
        <v>1078</v>
      </c>
      <c r="J34" s="15">
        <v>989</v>
      </c>
      <c r="K34" s="23">
        <v>1068</v>
      </c>
      <c r="L34" s="15">
        <v>989</v>
      </c>
      <c r="M34" s="15"/>
      <c r="N34" s="15"/>
    </row>
    <row r="35" spans="5:14" x14ac:dyDescent="0.2">
      <c r="E35" s="80"/>
      <c r="F35" s="25" t="s">
        <v>1180</v>
      </c>
      <c r="G35" s="23">
        <v>26219</v>
      </c>
      <c r="H35" s="23">
        <v>23438</v>
      </c>
      <c r="I35" s="28">
        <v>26454</v>
      </c>
      <c r="J35" s="23">
        <v>28259</v>
      </c>
      <c r="K35" s="23">
        <v>28866</v>
      </c>
      <c r="L35" s="23">
        <v>28856</v>
      </c>
      <c r="M35" s="15"/>
      <c r="N35" s="15"/>
    </row>
    <row r="36" spans="5:14" x14ac:dyDescent="0.2">
      <c r="E36" s="80"/>
      <c r="F36" s="25" t="s">
        <v>1182</v>
      </c>
      <c r="G36" s="23">
        <v>21593</v>
      </c>
      <c r="H36" s="23">
        <v>22747</v>
      </c>
      <c r="I36" s="28">
        <v>24058</v>
      </c>
      <c r="J36" s="23">
        <v>27568</v>
      </c>
      <c r="K36" s="23">
        <v>29801</v>
      </c>
      <c r="L36" s="23">
        <v>31985</v>
      </c>
      <c r="M36" s="15"/>
      <c r="N36" s="15"/>
    </row>
    <row r="37" spans="5:14" x14ac:dyDescent="0.2">
      <c r="E37" s="80"/>
      <c r="F37" s="25" t="s">
        <v>1184</v>
      </c>
      <c r="G37" s="23">
        <v>16650</v>
      </c>
      <c r="H37" s="23">
        <v>19534</v>
      </c>
      <c r="I37" s="28">
        <v>22937</v>
      </c>
      <c r="J37" s="23">
        <v>22866</v>
      </c>
      <c r="K37" s="23">
        <v>25244</v>
      </c>
      <c r="L37" s="23">
        <v>27805</v>
      </c>
      <c r="M37" s="15"/>
      <c r="N37" s="15"/>
    </row>
    <row r="38" spans="5:14" x14ac:dyDescent="0.2">
      <c r="E38" s="80"/>
      <c r="F38" s="25" t="s">
        <v>1186</v>
      </c>
      <c r="G38" s="15" t="s">
        <v>1210</v>
      </c>
      <c r="H38" s="15" t="s">
        <v>1210</v>
      </c>
      <c r="I38" s="15" t="s">
        <v>1210</v>
      </c>
      <c r="J38" s="15" t="s">
        <v>1210</v>
      </c>
      <c r="K38" s="15" t="s">
        <v>1210</v>
      </c>
      <c r="L38" s="23">
        <v>32954</v>
      </c>
      <c r="M38" s="15"/>
      <c r="N38" s="15"/>
    </row>
    <row r="39" spans="5:14" x14ac:dyDescent="0.2">
      <c r="E39" s="80"/>
      <c r="F39" s="49" t="s">
        <v>1188</v>
      </c>
      <c r="G39" s="15">
        <v>0</v>
      </c>
      <c r="H39" s="23">
        <v>2088</v>
      </c>
      <c r="I39" s="23">
        <v>7437</v>
      </c>
      <c r="J39" s="23">
        <v>13138</v>
      </c>
      <c r="K39" s="23">
        <v>20175</v>
      </c>
      <c r="L39" s="23">
        <v>32954</v>
      </c>
      <c r="M39" s="15"/>
      <c r="N39" s="15"/>
    </row>
    <row r="40" spans="5:14" x14ac:dyDescent="0.2">
      <c r="E40" s="80"/>
      <c r="F40" s="26" t="s">
        <v>1191</v>
      </c>
      <c r="G40" s="23">
        <v>8852</v>
      </c>
      <c r="H40" s="23">
        <v>8699</v>
      </c>
      <c r="I40" s="23">
        <v>9060</v>
      </c>
      <c r="J40" s="23">
        <v>8860</v>
      </c>
      <c r="K40" s="23">
        <v>8828</v>
      </c>
      <c r="L40" s="23">
        <v>8775</v>
      </c>
      <c r="M40" s="15"/>
      <c r="N40" s="15"/>
    </row>
    <row r="41" spans="5:14" x14ac:dyDescent="0.2">
      <c r="E41" s="80"/>
      <c r="F41" s="16" t="s">
        <v>1195</v>
      </c>
      <c r="G41" s="14">
        <v>2967</v>
      </c>
      <c r="H41" s="14">
        <v>3069</v>
      </c>
      <c r="I41" s="14">
        <v>3023</v>
      </c>
      <c r="J41" s="14">
        <v>3334</v>
      </c>
      <c r="K41" s="14">
        <v>3624</v>
      </c>
      <c r="L41" s="14">
        <v>3811</v>
      </c>
      <c r="M41" s="15"/>
      <c r="N41" s="15"/>
    </row>
    <row r="42" spans="5:14" x14ac:dyDescent="0.2">
      <c r="E42" s="80"/>
      <c r="F42" s="47" t="s">
        <v>1199</v>
      </c>
      <c r="G42" s="15">
        <v>861</v>
      </c>
      <c r="H42" s="15">
        <v>809</v>
      </c>
      <c r="I42" s="15">
        <v>706</v>
      </c>
      <c r="J42" s="15">
        <v>731</v>
      </c>
      <c r="K42" s="15">
        <v>623</v>
      </c>
      <c r="L42" s="15">
        <v>645</v>
      </c>
      <c r="M42" s="15"/>
      <c r="N42" s="15"/>
    </row>
    <row r="43" spans="5:14" x14ac:dyDescent="0.2">
      <c r="E43" s="80"/>
      <c r="F43" s="47" t="s">
        <v>1200</v>
      </c>
      <c r="G43" s="23">
        <v>11518</v>
      </c>
      <c r="H43" s="23">
        <v>20481</v>
      </c>
      <c r="I43" s="23">
        <v>23016</v>
      </c>
      <c r="J43" s="23">
        <v>24659</v>
      </c>
      <c r="K43" s="23">
        <v>27426</v>
      </c>
      <c r="L43" s="23">
        <v>30486</v>
      </c>
      <c r="M43" s="15"/>
      <c r="N43" s="15"/>
    </row>
    <row r="44" spans="5:14" x14ac:dyDescent="0.2">
      <c r="E44" s="80"/>
      <c r="F44" s="16" t="s">
        <v>1201</v>
      </c>
      <c r="G44" s="23">
        <v>16956</v>
      </c>
      <c r="H44" s="23">
        <v>20976</v>
      </c>
      <c r="I44" s="23">
        <v>27193</v>
      </c>
      <c r="J44" s="23">
        <v>30764</v>
      </c>
      <c r="K44" s="23">
        <v>32065</v>
      </c>
      <c r="L44" s="23">
        <v>32027</v>
      </c>
      <c r="M44" s="15"/>
      <c r="N44" s="15"/>
    </row>
    <row r="45" spans="5:14" x14ac:dyDescent="0.2">
      <c r="E45" s="80"/>
      <c r="F45" s="16" t="s">
        <v>1202</v>
      </c>
      <c r="G45" s="23">
        <v>1674</v>
      </c>
      <c r="H45" s="23">
        <v>1947</v>
      </c>
      <c r="I45" s="23">
        <v>2497</v>
      </c>
      <c r="J45" s="23">
        <v>2571</v>
      </c>
      <c r="K45" s="23">
        <v>2833</v>
      </c>
      <c r="L45" s="23">
        <v>2888</v>
      </c>
      <c r="M45" s="15"/>
      <c r="N45" s="15"/>
    </row>
    <row r="46" spans="5:14" x14ac:dyDescent="0.2">
      <c r="E46" s="80"/>
      <c r="F46" s="47" t="s">
        <v>1203</v>
      </c>
      <c r="G46" s="23">
        <v>2262</v>
      </c>
      <c r="H46" s="23">
        <v>2809</v>
      </c>
      <c r="I46" s="23">
        <v>3208</v>
      </c>
      <c r="J46" s="23">
        <v>3411</v>
      </c>
      <c r="K46" s="23">
        <v>3154</v>
      </c>
      <c r="L46" s="23">
        <v>2994</v>
      </c>
      <c r="M46" s="15"/>
      <c r="N46" s="15"/>
    </row>
    <row r="47" spans="5:14" x14ac:dyDescent="0.2">
      <c r="E47" s="80"/>
      <c r="F47" s="47" t="s">
        <v>1204</v>
      </c>
      <c r="G47" s="23">
        <v>3604</v>
      </c>
      <c r="H47" s="23">
        <v>4320</v>
      </c>
      <c r="I47" s="23">
        <v>5984</v>
      </c>
      <c r="J47" s="23">
        <v>6412</v>
      </c>
      <c r="K47" s="23">
        <v>6731</v>
      </c>
      <c r="L47" s="23">
        <v>6652</v>
      </c>
      <c r="M47" s="15"/>
      <c r="N47" s="15"/>
    </row>
    <row r="48" spans="5:14" x14ac:dyDescent="0.2">
      <c r="E48" s="80"/>
      <c r="F48" s="47" t="s">
        <v>1205</v>
      </c>
      <c r="G48" s="23">
        <v>3408</v>
      </c>
      <c r="H48" s="23">
        <v>4298</v>
      </c>
      <c r="I48" s="23">
        <v>5518</v>
      </c>
      <c r="J48" s="23">
        <v>6273</v>
      </c>
      <c r="K48" s="23">
        <v>7266</v>
      </c>
      <c r="L48" s="23">
        <v>7534</v>
      </c>
      <c r="M48" s="15"/>
      <c r="N48" s="15"/>
    </row>
    <row r="49" spans="5:14" x14ac:dyDescent="0.2">
      <c r="E49" s="80"/>
      <c r="F49" s="16" t="s">
        <v>1206</v>
      </c>
      <c r="G49" s="23">
        <v>4639</v>
      </c>
      <c r="H49" s="23">
        <v>6494</v>
      </c>
      <c r="I49" s="23">
        <v>8236</v>
      </c>
      <c r="J49" s="23">
        <v>9460</v>
      </c>
      <c r="K49" s="23">
        <v>11353</v>
      </c>
      <c r="L49" s="23">
        <v>12197</v>
      </c>
      <c r="M49" s="15"/>
      <c r="N49" s="15"/>
    </row>
    <row r="50" spans="5:14" x14ac:dyDescent="0.2">
      <c r="E50" s="80"/>
      <c r="F50" s="16" t="s">
        <v>1207</v>
      </c>
      <c r="G50" s="15" t="s">
        <v>1210</v>
      </c>
      <c r="H50" s="15" t="s">
        <v>1210</v>
      </c>
      <c r="I50" s="15" t="s">
        <v>1210</v>
      </c>
      <c r="J50" s="15" t="s">
        <v>1210</v>
      </c>
      <c r="K50" s="23">
        <v>10686</v>
      </c>
      <c r="L50" s="23">
        <v>11526</v>
      </c>
      <c r="M50" s="15"/>
      <c r="N50" s="15"/>
    </row>
    <row r="51" spans="5:14" x14ac:dyDescent="0.2">
      <c r="E51" s="80"/>
      <c r="F51" s="47" t="s">
        <v>1162</v>
      </c>
      <c r="G51" s="15" t="s">
        <v>1210</v>
      </c>
      <c r="H51" s="15" t="s">
        <v>1210</v>
      </c>
      <c r="I51" s="15" t="s">
        <v>1210</v>
      </c>
      <c r="J51" s="15" t="s">
        <v>1210</v>
      </c>
      <c r="K51" s="15" t="s">
        <v>1210</v>
      </c>
      <c r="L51" s="15" t="s">
        <v>1210</v>
      </c>
      <c r="M51" s="15"/>
      <c r="N51" s="15"/>
    </row>
    <row r="52" spans="5:14" x14ac:dyDescent="0.2">
      <c r="E52" s="80"/>
      <c r="F52" s="47" t="s">
        <v>1208</v>
      </c>
      <c r="G52" s="15" t="s">
        <v>1210</v>
      </c>
      <c r="H52" s="15" t="s">
        <v>1210</v>
      </c>
      <c r="I52" s="15" t="s">
        <v>1210</v>
      </c>
      <c r="J52" s="15" t="s">
        <v>1210</v>
      </c>
      <c r="K52" s="15" t="s">
        <v>1210</v>
      </c>
      <c r="L52" s="15" t="s">
        <v>1210</v>
      </c>
      <c r="M52" s="15"/>
      <c r="N52" s="15"/>
    </row>
    <row r="53" spans="5:14" x14ac:dyDescent="0.2">
      <c r="E53" s="80"/>
    </row>
    <row r="54" spans="5:14" x14ac:dyDescent="0.2">
      <c r="E54" s="80"/>
    </row>
    <row r="55" spans="5:14" x14ac:dyDescent="0.2">
      <c r="E55" s="80"/>
    </row>
    <row r="56" spans="5:14" x14ac:dyDescent="0.2">
      <c r="E56" s="80"/>
    </row>
    <row r="57" spans="5:14"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1077</v>
      </c>
      <c r="B1" s="79" t="s">
        <v>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tbl-pop-growth</v>
      </c>
    </row>
    <row r="4" spans="1:17" x14ac:dyDescent="0.2">
      <c r="A4" s="16" t="s">
        <v>7</v>
      </c>
      <c r="B4" t="str">
        <f>IF($B$1="","",_xlfn.XLOOKUP($B$1,Master!$F$2:$F$321,Master!$H$2:$H$321,""))</f>
        <v>fig-pop-growth</v>
      </c>
      <c r="E4" s="8"/>
      <c r="F4" s="10" t="s">
        <v>1009</v>
      </c>
      <c r="G4" s="10" t="s">
        <v>973</v>
      </c>
      <c r="H4" s="10" t="s">
        <v>973</v>
      </c>
      <c r="I4" s="10" t="s">
        <v>973</v>
      </c>
      <c r="J4" s="10" t="s">
        <v>979</v>
      </c>
      <c r="K4" s="10" t="s">
        <v>979</v>
      </c>
      <c r="L4" s="10" t="s">
        <v>979</v>
      </c>
      <c r="M4" s="10"/>
      <c r="N4" s="10"/>
      <c r="O4" s="10"/>
      <c r="P4" s="10"/>
      <c r="Q4" s="10"/>
    </row>
    <row r="5" spans="1:17" x14ac:dyDescent="0.2">
      <c r="A5" s="84" t="s">
        <v>1081</v>
      </c>
      <c r="B5" s="80"/>
      <c r="E5" s="83" t="s">
        <v>1082</v>
      </c>
      <c r="F5" s="81" t="s">
        <v>1083</v>
      </c>
      <c r="G5" s="81" t="s">
        <v>1213</v>
      </c>
      <c r="H5" s="80"/>
      <c r="I5" s="80"/>
      <c r="J5" s="81" t="s">
        <v>1214</v>
      </c>
      <c r="K5" s="80"/>
      <c r="L5" s="80"/>
    </row>
    <row r="6" spans="1:17" ht="15" customHeight="1" x14ac:dyDescent="0.2">
      <c r="A6" t="s">
        <v>1088</v>
      </c>
      <c r="B6" t="b">
        <v>0</v>
      </c>
      <c r="E6" s="80"/>
      <c r="F6" s="80"/>
      <c r="G6" s="17">
        <v>2000</v>
      </c>
      <c r="H6" s="17">
        <v>2010</v>
      </c>
      <c r="I6" s="17">
        <v>2020</v>
      </c>
      <c r="J6" s="17" t="s">
        <v>1215</v>
      </c>
      <c r="K6" s="17" t="s">
        <v>1216</v>
      </c>
      <c r="L6" s="17" t="s">
        <v>1217</v>
      </c>
      <c r="M6" s="15"/>
      <c r="N6" s="15"/>
      <c r="O6" s="15"/>
    </row>
    <row r="7" spans="1:17" ht="15.75" customHeight="1" x14ac:dyDescent="0.2">
      <c r="E7" s="80"/>
      <c r="F7" s="16" t="s">
        <v>1096</v>
      </c>
      <c r="G7" s="28">
        <v>341367</v>
      </c>
      <c r="H7" s="28">
        <v>372813</v>
      </c>
      <c r="I7" s="28">
        <v>401310</v>
      </c>
      <c r="J7" s="17">
        <v>9.1999999999999993</v>
      </c>
      <c r="K7" s="17">
        <v>7.6</v>
      </c>
      <c r="L7" s="17">
        <v>17.600000000000001</v>
      </c>
      <c r="M7" s="15"/>
      <c r="N7" s="15"/>
      <c r="O7" s="15"/>
    </row>
    <row r="8" spans="1:17" x14ac:dyDescent="0.2">
      <c r="E8" s="80"/>
      <c r="F8" s="16" t="s">
        <v>1097</v>
      </c>
      <c r="G8" s="28">
        <v>17351</v>
      </c>
      <c r="H8" s="28">
        <v>18028</v>
      </c>
      <c r="I8" s="28">
        <v>18811</v>
      </c>
      <c r="J8" s="17">
        <v>3.9</v>
      </c>
      <c r="K8" s="17">
        <v>4.3</v>
      </c>
      <c r="L8" s="17">
        <v>8.4</v>
      </c>
      <c r="M8" s="15"/>
      <c r="N8" s="15"/>
      <c r="O8" s="15"/>
    </row>
    <row r="9" spans="1:17" x14ac:dyDescent="0.2">
      <c r="A9" s="84" t="s">
        <v>1098</v>
      </c>
      <c r="B9" s="80"/>
      <c r="E9" s="80"/>
      <c r="F9" s="47" t="s">
        <v>1099</v>
      </c>
      <c r="G9" s="17" t="s">
        <v>1218</v>
      </c>
      <c r="H9" s="28">
        <v>3234</v>
      </c>
      <c r="I9" s="28">
        <v>3973</v>
      </c>
      <c r="J9" s="17" t="s">
        <v>1210</v>
      </c>
      <c r="K9" s="17">
        <v>22.9</v>
      </c>
      <c r="L9" s="17" t="s">
        <v>1210</v>
      </c>
      <c r="M9" s="15"/>
      <c r="N9" s="15"/>
      <c r="O9" s="15"/>
    </row>
    <row r="10" spans="1:17" x14ac:dyDescent="0.2">
      <c r="A10" t="s">
        <v>1100</v>
      </c>
      <c r="E10" s="80"/>
      <c r="F10" s="47" t="s">
        <v>1101</v>
      </c>
      <c r="G10" s="28">
        <v>5851</v>
      </c>
      <c r="H10" s="28">
        <v>5899</v>
      </c>
      <c r="I10" s="28">
        <v>5657</v>
      </c>
      <c r="J10" s="17">
        <v>0.8</v>
      </c>
      <c r="K10" s="17">
        <v>-4.0999999999999996</v>
      </c>
      <c r="L10" s="17">
        <v>-3.3</v>
      </c>
    </row>
    <row r="11" spans="1:17" x14ac:dyDescent="0.2">
      <c r="A11" t="s">
        <v>1102</v>
      </c>
      <c r="E11" s="80"/>
      <c r="F11" s="16" t="s">
        <v>1103</v>
      </c>
      <c r="G11" s="28">
        <v>12140</v>
      </c>
      <c r="H11" s="28">
        <v>11981</v>
      </c>
      <c r="I11" s="28">
        <v>12646</v>
      </c>
      <c r="J11" s="17">
        <v>-1.3</v>
      </c>
      <c r="K11" s="17">
        <v>5.6</v>
      </c>
      <c r="L11" s="17">
        <v>4.2</v>
      </c>
      <c r="M11" s="17"/>
      <c r="N11" s="17"/>
    </row>
    <row r="12" spans="1:17" x14ac:dyDescent="0.2">
      <c r="A12" t="s">
        <v>1104</v>
      </c>
      <c r="E12" s="80"/>
      <c r="F12" s="49" t="s">
        <v>1105</v>
      </c>
      <c r="G12" s="28">
        <v>3445</v>
      </c>
      <c r="H12" s="28">
        <v>3969</v>
      </c>
      <c r="I12" s="28">
        <v>3993</v>
      </c>
      <c r="J12" s="17">
        <v>15.2</v>
      </c>
      <c r="K12" s="17">
        <v>0.6</v>
      </c>
      <c r="L12" s="17">
        <v>15.9</v>
      </c>
    </row>
    <row r="13" spans="1:17" x14ac:dyDescent="0.2">
      <c r="A13" t="s">
        <v>1108</v>
      </c>
      <c r="E13" s="80"/>
      <c r="F13" s="24" t="s">
        <v>1109</v>
      </c>
      <c r="G13" s="28">
        <v>12307</v>
      </c>
      <c r="H13" s="28">
        <v>12646</v>
      </c>
      <c r="I13" s="28">
        <v>12884</v>
      </c>
      <c r="J13" s="17">
        <v>2.8</v>
      </c>
      <c r="K13" s="17">
        <v>1.9</v>
      </c>
      <c r="L13" s="17">
        <v>4.7</v>
      </c>
    </row>
    <row r="14" spans="1:17" x14ac:dyDescent="0.2">
      <c r="A14" t="s">
        <v>1112</v>
      </c>
      <c r="E14" s="80"/>
      <c r="F14" s="47" t="s">
        <v>1113</v>
      </c>
      <c r="G14" s="28">
        <v>3058</v>
      </c>
      <c r="H14" s="28">
        <v>3018</v>
      </c>
      <c r="I14" s="28">
        <v>3075</v>
      </c>
      <c r="J14" s="17">
        <v>-1.3</v>
      </c>
      <c r="K14" s="17">
        <v>1.9</v>
      </c>
      <c r="L14" s="17">
        <v>0.6</v>
      </c>
    </row>
    <row r="15" spans="1:17" x14ac:dyDescent="0.2">
      <c r="A15" t="s">
        <v>1114</v>
      </c>
      <c r="E15" s="80"/>
      <c r="F15" s="16" t="s">
        <v>1115</v>
      </c>
      <c r="G15" s="28">
        <v>7875</v>
      </c>
      <c r="H15" s="28">
        <v>9316</v>
      </c>
      <c r="I15" s="28">
        <v>9130</v>
      </c>
      <c r="J15" s="17">
        <v>18.3</v>
      </c>
      <c r="K15" s="17">
        <v>-2</v>
      </c>
      <c r="L15" s="17">
        <v>15.9</v>
      </c>
    </row>
    <row r="16" spans="1:17" x14ac:dyDescent="0.2">
      <c r="A16" t="s">
        <v>1116</v>
      </c>
      <c r="E16" s="80"/>
      <c r="F16" s="16" t="s">
        <v>1117</v>
      </c>
      <c r="G16" s="28">
        <v>7858</v>
      </c>
      <c r="H16" s="28">
        <v>7901</v>
      </c>
      <c r="I16" s="28">
        <v>7509</v>
      </c>
      <c r="J16" s="17">
        <v>0.5</v>
      </c>
      <c r="K16" s="17">
        <v>-5</v>
      </c>
      <c r="L16" s="17">
        <v>-4.4000000000000004</v>
      </c>
    </row>
    <row r="17" spans="1:12" x14ac:dyDescent="0.2">
      <c r="E17" s="80"/>
      <c r="F17" s="16" t="s">
        <v>1118</v>
      </c>
      <c r="G17" s="28">
        <v>12913</v>
      </c>
      <c r="H17" s="28">
        <v>13687</v>
      </c>
      <c r="I17" s="28">
        <v>14571</v>
      </c>
      <c r="J17" s="17">
        <v>6</v>
      </c>
      <c r="K17" s="17">
        <v>6.5</v>
      </c>
      <c r="L17" s="17">
        <v>12.8</v>
      </c>
    </row>
    <row r="18" spans="1:12" x14ac:dyDescent="0.2">
      <c r="A18" s="84" t="s">
        <v>1119</v>
      </c>
      <c r="B18" s="80"/>
      <c r="E18" s="80"/>
      <c r="F18" s="47" t="s">
        <v>1120</v>
      </c>
      <c r="G18" s="28">
        <v>5676</v>
      </c>
      <c r="H18" s="28">
        <v>5454</v>
      </c>
      <c r="I18" s="28">
        <v>5777</v>
      </c>
      <c r="J18" s="17">
        <v>-3.9</v>
      </c>
      <c r="K18" s="17">
        <v>5.9</v>
      </c>
      <c r="L18" s="17">
        <v>1.8</v>
      </c>
    </row>
    <row r="19" spans="1:12" x14ac:dyDescent="0.2">
      <c r="A19" t="s">
        <v>1121</v>
      </c>
      <c r="B19" t="s">
        <v>1219</v>
      </c>
      <c r="E19" s="80"/>
      <c r="F19" s="16" t="s">
        <v>1123</v>
      </c>
      <c r="G19" s="28">
        <v>3800</v>
      </c>
      <c r="H19" s="28">
        <v>4616</v>
      </c>
      <c r="I19" s="28">
        <v>4689</v>
      </c>
      <c r="J19" s="17">
        <v>21.5</v>
      </c>
      <c r="K19" s="17">
        <v>1.6</v>
      </c>
      <c r="L19" s="17">
        <v>23.4</v>
      </c>
    </row>
    <row r="20" spans="1:12" x14ac:dyDescent="0.2">
      <c r="E20" s="80"/>
      <c r="F20" s="16" t="s">
        <v>1124</v>
      </c>
      <c r="G20" s="28">
        <v>4686</v>
      </c>
      <c r="H20" s="28">
        <v>5561</v>
      </c>
      <c r="I20" s="28">
        <v>5489</v>
      </c>
      <c r="J20" s="17">
        <v>18.7</v>
      </c>
      <c r="K20" s="17">
        <v>-1.3</v>
      </c>
      <c r="L20" s="17">
        <v>17.100000000000001</v>
      </c>
    </row>
    <row r="21" spans="1:12" x14ac:dyDescent="0.2">
      <c r="A21" s="84" t="s">
        <v>1125</v>
      </c>
      <c r="B21" s="80"/>
      <c r="E21" s="80"/>
      <c r="F21" s="25" t="s">
        <v>1126</v>
      </c>
      <c r="G21" s="28">
        <v>12484</v>
      </c>
      <c r="H21" s="28">
        <v>12492</v>
      </c>
      <c r="I21" s="28">
        <v>12939</v>
      </c>
      <c r="J21" s="17">
        <v>0.1</v>
      </c>
      <c r="K21" s="17">
        <v>3.6</v>
      </c>
      <c r="L21" s="17">
        <v>3.6</v>
      </c>
    </row>
    <row r="22" spans="1:12" x14ac:dyDescent="0.2">
      <c r="A22" t="s">
        <v>1135</v>
      </c>
      <c r="B22" t="s">
        <v>1220</v>
      </c>
      <c r="E22" s="80"/>
      <c r="F22" s="47" t="s">
        <v>1137</v>
      </c>
      <c r="G22" s="28">
        <v>3678</v>
      </c>
      <c r="H22" s="28">
        <v>3900</v>
      </c>
      <c r="I22" s="28">
        <v>3684</v>
      </c>
      <c r="J22" s="17">
        <v>6</v>
      </c>
      <c r="K22" s="17">
        <v>-5.5</v>
      </c>
      <c r="L22" s="17">
        <v>0.2</v>
      </c>
    </row>
    <row r="23" spans="1:12" x14ac:dyDescent="0.2">
      <c r="A23" s="85"/>
      <c r="B23" s="80"/>
      <c r="E23" s="80"/>
      <c r="F23" s="25" t="s">
        <v>1146</v>
      </c>
      <c r="G23" s="28">
        <v>25388</v>
      </c>
      <c r="H23" s="28">
        <v>28086</v>
      </c>
      <c r="I23" s="28">
        <v>30345</v>
      </c>
      <c r="J23" s="17">
        <v>10.6</v>
      </c>
      <c r="K23" s="17">
        <v>8</v>
      </c>
      <c r="L23" s="17">
        <v>19.5</v>
      </c>
    </row>
    <row r="24" spans="1:12" x14ac:dyDescent="0.2">
      <c r="E24" s="80"/>
      <c r="F24" s="25" t="s">
        <v>1150</v>
      </c>
      <c r="G24" s="28">
        <v>3585</v>
      </c>
      <c r="H24" s="28">
        <v>4490</v>
      </c>
      <c r="I24" s="28">
        <v>4621</v>
      </c>
      <c r="J24" s="17">
        <v>25.2</v>
      </c>
      <c r="K24" s="17">
        <v>2.9</v>
      </c>
      <c r="L24" s="17">
        <v>28.9</v>
      </c>
    </row>
    <row r="25" spans="1:12" x14ac:dyDescent="0.2">
      <c r="E25" s="80"/>
      <c r="F25" s="49" t="s">
        <v>1154</v>
      </c>
      <c r="G25" s="17">
        <v>536</v>
      </c>
      <c r="H25" s="17">
        <v>612</v>
      </c>
      <c r="I25" s="17">
        <v>592</v>
      </c>
      <c r="J25" s="17">
        <v>14.2</v>
      </c>
      <c r="K25" s="17">
        <v>-3.3</v>
      </c>
      <c r="L25" s="17">
        <v>10.4</v>
      </c>
    </row>
    <row r="26" spans="1:12" x14ac:dyDescent="0.2">
      <c r="A26" s="82"/>
      <c r="B26" s="80"/>
      <c r="E26" s="80"/>
      <c r="F26" s="27" t="s">
        <v>1158</v>
      </c>
      <c r="G26" s="28">
        <v>31407</v>
      </c>
      <c r="H26" s="28">
        <v>39912</v>
      </c>
      <c r="I26" s="28">
        <v>21387</v>
      </c>
      <c r="J26" s="17">
        <v>27.1</v>
      </c>
      <c r="K26" s="17">
        <v>-46.4</v>
      </c>
      <c r="L26" s="17">
        <v>-31.9</v>
      </c>
    </row>
    <row r="27" spans="1:12" x14ac:dyDescent="0.2">
      <c r="E27" s="80"/>
      <c r="F27" s="47" t="s">
        <v>1162</v>
      </c>
      <c r="G27" s="28">
        <v>2252</v>
      </c>
      <c r="H27" s="28">
        <v>2424</v>
      </c>
      <c r="I27" s="28">
        <v>2714</v>
      </c>
      <c r="J27" s="17">
        <v>7.6</v>
      </c>
      <c r="K27" s="17">
        <v>12</v>
      </c>
      <c r="L27" s="17">
        <v>20.5</v>
      </c>
    </row>
    <row r="28" spans="1:12" x14ac:dyDescent="0.2">
      <c r="E28" s="80"/>
      <c r="F28" s="47" t="s">
        <v>1164</v>
      </c>
      <c r="G28" s="28">
        <v>7780</v>
      </c>
      <c r="H28" s="28">
        <v>8364</v>
      </c>
      <c r="I28" s="28">
        <v>9343</v>
      </c>
      <c r="J28" s="17">
        <v>7.5</v>
      </c>
      <c r="K28" s="17">
        <v>11.7</v>
      </c>
      <c r="L28" s="17">
        <v>20.100000000000001</v>
      </c>
    </row>
    <row r="29" spans="1:12" x14ac:dyDescent="0.2">
      <c r="E29" s="80"/>
      <c r="F29" s="25" t="s">
        <v>1166</v>
      </c>
      <c r="G29" s="28">
        <v>20891</v>
      </c>
      <c r="H29" s="28">
        <v>22606</v>
      </c>
      <c r="I29" s="28">
        <v>23322</v>
      </c>
      <c r="J29" s="17">
        <v>8.1999999999999993</v>
      </c>
      <c r="K29" s="17">
        <v>3.2</v>
      </c>
      <c r="L29" s="17">
        <v>11.6</v>
      </c>
    </row>
    <row r="30" spans="1:12" x14ac:dyDescent="0.2">
      <c r="E30" s="80"/>
      <c r="F30" s="47" t="s">
        <v>1168</v>
      </c>
      <c r="G30" s="28">
        <v>3084</v>
      </c>
      <c r="H30" s="28">
        <v>2958</v>
      </c>
      <c r="I30" s="28">
        <v>3150</v>
      </c>
      <c r="J30" s="17">
        <v>-4.0999999999999996</v>
      </c>
      <c r="K30" s="17">
        <v>6.5</v>
      </c>
      <c r="L30" s="17">
        <v>2.1</v>
      </c>
    </row>
    <row r="31" spans="1:12" x14ac:dyDescent="0.2">
      <c r="E31" s="80"/>
      <c r="F31" s="47" t="s">
        <v>1170</v>
      </c>
      <c r="G31" s="28">
        <v>3636</v>
      </c>
      <c r="H31" s="28">
        <v>3814</v>
      </c>
      <c r="I31" s="28">
        <v>3834</v>
      </c>
      <c r="J31" s="17">
        <v>4.9000000000000004</v>
      </c>
      <c r="K31" s="17">
        <v>0.5</v>
      </c>
      <c r="L31" s="17">
        <v>5.4</v>
      </c>
    </row>
    <row r="32" spans="1:12" x14ac:dyDescent="0.2">
      <c r="E32" s="80"/>
      <c r="F32" s="47" t="s">
        <v>1172</v>
      </c>
      <c r="G32" s="28">
        <v>6164</v>
      </c>
      <c r="H32" s="28">
        <v>6978</v>
      </c>
      <c r="I32" s="28">
        <v>6818</v>
      </c>
      <c r="J32" s="17">
        <v>13.2</v>
      </c>
      <c r="K32" s="17">
        <v>-2.2999999999999998</v>
      </c>
      <c r="L32" s="17">
        <v>10.6</v>
      </c>
    </row>
    <row r="33" spans="5:12" x14ac:dyDescent="0.2">
      <c r="E33" s="80"/>
      <c r="F33" s="16" t="s">
        <v>1174</v>
      </c>
      <c r="G33" s="28">
        <v>6639</v>
      </c>
      <c r="H33" s="28">
        <v>7018</v>
      </c>
      <c r="I33" s="28">
        <v>6537</v>
      </c>
      <c r="J33" s="17">
        <v>5.7</v>
      </c>
      <c r="K33" s="17">
        <v>-6.9</v>
      </c>
      <c r="L33" s="17">
        <v>-1.5</v>
      </c>
    </row>
    <row r="34" spans="5:12" x14ac:dyDescent="0.2">
      <c r="E34" s="80"/>
      <c r="F34" s="47" t="s">
        <v>1178</v>
      </c>
      <c r="G34" s="17">
        <v>989</v>
      </c>
      <c r="H34" s="28">
        <v>1068</v>
      </c>
      <c r="I34" s="17">
        <v>989</v>
      </c>
      <c r="J34" s="17">
        <v>8</v>
      </c>
      <c r="K34" s="17">
        <v>-7.4</v>
      </c>
      <c r="L34" s="17">
        <v>0</v>
      </c>
    </row>
    <row r="35" spans="5:12" x14ac:dyDescent="0.2">
      <c r="E35" s="80"/>
      <c r="F35" s="25" t="s">
        <v>1180</v>
      </c>
      <c r="G35" s="28">
        <v>28259</v>
      </c>
      <c r="H35" s="28">
        <v>28866</v>
      </c>
      <c r="I35" s="28">
        <v>28856</v>
      </c>
      <c r="J35" s="17">
        <v>2.1</v>
      </c>
      <c r="K35" s="17">
        <v>0</v>
      </c>
      <c r="L35" s="17">
        <v>2.1</v>
      </c>
    </row>
    <row r="36" spans="5:12" x14ac:dyDescent="0.2">
      <c r="E36" s="80"/>
      <c r="F36" s="25" t="s">
        <v>1182</v>
      </c>
      <c r="G36" s="28">
        <v>27568</v>
      </c>
      <c r="H36" s="28">
        <v>29801</v>
      </c>
      <c r="I36" s="28">
        <v>31985</v>
      </c>
      <c r="J36" s="17">
        <v>8.1</v>
      </c>
      <c r="K36" s="17">
        <v>7.3</v>
      </c>
      <c r="L36" s="17">
        <v>16</v>
      </c>
    </row>
    <row r="37" spans="5:12" x14ac:dyDescent="0.2">
      <c r="E37" s="80"/>
      <c r="F37" s="25" t="s">
        <v>1184</v>
      </c>
      <c r="G37" s="28">
        <v>22866</v>
      </c>
      <c r="H37" s="28">
        <v>25244</v>
      </c>
      <c r="I37" s="28">
        <v>27805</v>
      </c>
      <c r="J37" s="17">
        <v>10.4</v>
      </c>
      <c r="K37" s="17">
        <v>10.1</v>
      </c>
      <c r="L37" s="17">
        <v>21.6</v>
      </c>
    </row>
    <row r="38" spans="5:12" x14ac:dyDescent="0.2">
      <c r="E38" s="80"/>
      <c r="F38" s="25" t="s">
        <v>1186</v>
      </c>
      <c r="G38" s="17" t="s">
        <v>1210</v>
      </c>
      <c r="H38" s="17" t="s">
        <v>1210</v>
      </c>
      <c r="I38" s="28">
        <v>32954</v>
      </c>
      <c r="J38" s="17" t="s">
        <v>1210</v>
      </c>
      <c r="K38" s="17" t="s">
        <v>1210</v>
      </c>
      <c r="L38" s="17" t="s">
        <v>1210</v>
      </c>
    </row>
    <row r="39" spans="5:12" x14ac:dyDescent="0.2">
      <c r="E39" s="80"/>
      <c r="F39" s="49" t="s">
        <v>1188</v>
      </c>
      <c r="G39" s="28">
        <v>13138</v>
      </c>
      <c r="H39" s="28">
        <v>20175</v>
      </c>
      <c r="I39" s="28">
        <v>32954</v>
      </c>
      <c r="J39" s="17">
        <v>53.6</v>
      </c>
      <c r="K39" s="17">
        <v>63.3</v>
      </c>
      <c r="L39" s="17">
        <v>150.80000000000001</v>
      </c>
    </row>
    <row r="40" spans="5:12" x14ac:dyDescent="0.2">
      <c r="E40" s="80"/>
      <c r="F40" s="26" t="s">
        <v>1191</v>
      </c>
      <c r="G40" s="28">
        <v>8860</v>
      </c>
      <c r="H40" s="28">
        <v>8828</v>
      </c>
      <c r="I40" s="28">
        <v>8775</v>
      </c>
      <c r="J40" s="17">
        <v>-0.4</v>
      </c>
      <c r="K40" s="17">
        <v>-0.6</v>
      </c>
      <c r="L40" s="17">
        <v>-1</v>
      </c>
    </row>
    <row r="41" spans="5:12" x14ac:dyDescent="0.2">
      <c r="E41" s="80"/>
      <c r="F41" s="16" t="s">
        <v>1195</v>
      </c>
      <c r="G41" s="28">
        <v>3334</v>
      </c>
      <c r="H41" s="28">
        <v>3624</v>
      </c>
      <c r="I41" s="28">
        <v>3811</v>
      </c>
      <c r="J41" s="17">
        <v>8.6999999999999993</v>
      </c>
      <c r="K41" s="17">
        <v>5.2</v>
      </c>
      <c r="L41" s="17">
        <v>14.3</v>
      </c>
    </row>
    <row r="42" spans="5:12" x14ac:dyDescent="0.2">
      <c r="E42" s="80"/>
      <c r="F42" s="47" t="s">
        <v>1199</v>
      </c>
      <c r="G42" s="17">
        <v>731</v>
      </c>
      <c r="H42" s="17">
        <v>623</v>
      </c>
      <c r="I42" s="17">
        <v>645</v>
      </c>
      <c r="J42" s="17">
        <v>-14.8</v>
      </c>
      <c r="K42" s="17">
        <v>3.5</v>
      </c>
      <c r="L42" s="17">
        <v>-11.8</v>
      </c>
    </row>
    <row r="43" spans="5:12" x14ac:dyDescent="0.2">
      <c r="E43" s="80"/>
      <c r="F43" s="47" t="s">
        <v>1200</v>
      </c>
      <c r="G43" s="28">
        <v>24659</v>
      </c>
      <c r="H43" s="28">
        <v>27426</v>
      </c>
      <c r="I43" s="28">
        <v>30486</v>
      </c>
      <c r="J43" s="17">
        <v>11.2</v>
      </c>
      <c r="K43" s="17">
        <v>11.2</v>
      </c>
      <c r="L43" s="17">
        <v>23.6</v>
      </c>
    </row>
    <row r="44" spans="5:12" x14ac:dyDescent="0.2">
      <c r="E44" s="80"/>
      <c r="F44" s="16" t="s">
        <v>1201</v>
      </c>
      <c r="G44" s="28">
        <v>30764</v>
      </c>
      <c r="H44" s="28">
        <v>32065</v>
      </c>
      <c r="I44" s="28">
        <v>32027</v>
      </c>
      <c r="J44" s="17">
        <v>4.2</v>
      </c>
      <c r="K44" s="17">
        <v>-0.1</v>
      </c>
      <c r="L44" s="17">
        <v>4.0999999999999996</v>
      </c>
    </row>
    <row r="45" spans="5:12" x14ac:dyDescent="0.2">
      <c r="E45" s="80"/>
      <c r="F45" s="16" t="s">
        <v>1202</v>
      </c>
      <c r="G45" s="28">
        <v>2571</v>
      </c>
      <c r="H45" s="28">
        <v>2833</v>
      </c>
      <c r="I45" s="28">
        <v>2888</v>
      </c>
      <c r="J45" s="17">
        <v>10.199999999999999</v>
      </c>
      <c r="K45" s="17">
        <v>1.9</v>
      </c>
      <c r="L45" s="17">
        <v>12.3</v>
      </c>
    </row>
    <row r="46" spans="5:12" x14ac:dyDescent="0.2">
      <c r="E46" s="80"/>
      <c r="F46" s="47" t="s">
        <v>1203</v>
      </c>
      <c r="G46" s="28">
        <v>3411</v>
      </c>
      <c r="H46" s="28">
        <v>3154</v>
      </c>
      <c r="I46" s="28">
        <v>2994</v>
      </c>
      <c r="J46" s="17">
        <v>-7.5</v>
      </c>
      <c r="K46" s="17">
        <v>-5.0999999999999996</v>
      </c>
      <c r="L46" s="17">
        <v>-12.2</v>
      </c>
    </row>
    <row r="47" spans="5:12" x14ac:dyDescent="0.2">
      <c r="E47" s="80"/>
      <c r="F47" s="47" t="s">
        <v>1204</v>
      </c>
      <c r="G47" s="28">
        <v>6412</v>
      </c>
      <c r="H47" s="28">
        <v>6731</v>
      </c>
      <c r="I47" s="28">
        <v>6652</v>
      </c>
      <c r="J47" s="17">
        <v>5</v>
      </c>
      <c r="K47" s="17">
        <v>-1.2</v>
      </c>
      <c r="L47" s="17">
        <v>3.7</v>
      </c>
    </row>
    <row r="48" spans="5:12" x14ac:dyDescent="0.2">
      <c r="E48" s="80"/>
      <c r="F48" s="47" t="s">
        <v>1205</v>
      </c>
      <c r="G48" s="28">
        <v>6273</v>
      </c>
      <c r="H48" s="28">
        <v>7266</v>
      </c>
      <c r="I48" s="28">
        <v>7534</v>
      </c>
      <c r="J48" s="17">
        <v>15.8</v>
      </c>
      <c r="K48" s="17">
        <v>3.7</v>
      </c>
      <c r="L48" s="17">
        <v>20.100000000000001</v>
      </c>
    </row>
    <row r="49" spans="5:12" x14ac:dyDescent="0.2">
      <c r="E49" s="80"/>
      <c r="F49" s="16" t="s">
        <v>1206</v>
      </c>
      <c r="G49" s="28">
        <v>9460</v>
      </c>
      <c r="H49" s="28">
        <v>11353</v>
      </c>
      <c r="I49" s="28">
        <v>12197</v>
      </c>
      <c r="J49" s="17">
        <v>20</v>
      </c>
      <c r="K49" s="17">
        <v>7.4</v>
      </c>
      <c r="L49" s="17">
        <v>28.9</v>
      </c>
    </row>
    <row r="50" spans="5:12" x14ac:dyDescent="0.2">
      <c r="E50" s="80"/>
      <c r="F50" s="16" t="s">
        <v>1207</v>
      </c>
      <c r="G50" s="17" t="s">
        <v>1210</v>
      </c>
      <c r="H50" s="28">
        <v>10686</v>
      </c>
      <c r="I50" s="28">
        <v>11526</v>
      </c>
      <c r="J50" s="17" t="s">
        <v>1210</v>
      </c>
      <c r="K50" s="17">
        <v>7.9</v>
      </c>
      <c r="L50" s="17" t="s">
        <v>1210</v>
      </c>
    </row>
    <row r="51" spans="5:12" x14ac:dyDescent="0.2">
      <c r="E51" s="80"/>
      <c r="F51" s="47" t="s">
        <v>1162</v>
      </c>
      <c r="G51" s="17" t="s">
        <v>1210</v>
      </c>
      <c r="H51" s="17" t="s">
        <v>1210</v>
      </c>
      <c r="I51" s="17" t="s">
        <v>1210</v>
      </c>
      <c r="J51" s="17" t="s">
        <v>1210</v>
      </c>
      <c r="K51" s="17" t="s">
        <v>1210</v>
      </c>
      <c r="L51" s="17" t="s">
        <v>1210</v>
      </c>
    </row>
    <row r="52" spans="5:12" x14ac:dyDescent="0.2">
      <c r="E52" s="80"/>
      <c r="F52" s="47" t="s">
        <v>1208</v>
      </c>
      <c r="G52" s="17" t="s">
        <v>1210</v>
      </c>
      <c r="H52" s="17" t="s">
        <v>1210</v>
      </c>
      <c r="I52" s="17" t="s">
        <v>1210</v>
      </c>
      <c r="J52" s="17" t="s">
        <v>1210</v>
      </c>
      <c r="K52" s="17" t="s">
        <v>1210</v>
      </c>
      <c r="L52" s="17" t="s">
        <v>1210</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tbl-pop-housing-density</v>
      </c>
    </row>
    <row r="4" spans="1:17" x14ac:dyDescent="0.2">
      <c r="A4" s="16" t="s">
        <v>7</v>
      </c>
      <c r="B4" t="str">
        <f>IF($B$1="","",_xlfn.XLOOKUP($B$1,Master!$F$2:$F$321,Master!$H$2:$H$321,""))</f>
        <v>fig-pop-housing-density</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1083</v>
      </c>
      <c r="G5" t="s">
        <v>1221</v>
      </c>
      <c r="H5" t="s">
        <v>1222</v>
      </c>
      <c r="I5" t="s">
        <v>1223</v>
      </c>
    </row>
    <row r="6" spans="1:17" ht="15" customHeight="1" x14ac:dyDescent="0.2">
      <c r="A6" t="s">
        <v>1088</v>
      </c>
      <c r="B6" t="b">
        <v>0</v>
      </c>
      <c r="E6" s="80"/>
      <c r="F6" s="16" t="s">
        <v>1096</v>
      </c>
      <c r="G6" s="15">
        <v>812.3</v>
      </c>
      <c r="H6" s="15">
        <v>497.1</v>
      </c>
      <c r="I6" s="15">
        <v>182.8</v>
      </c>
      <c r="J6" s="15"/>
      <c r="K6" s="15"/>
      <c r="L6" s="15"/>
      <c r="M6" s="15"/>
      <c r="N6" s="15"/>
      <c r="O6" s="15"/>
    </row>
    <row r="7" spans="1:17" ht="15.75" customHeight="1" x14ac:dyDescent="0.2">
      <c r="E7" s="80"/>
      <c r="F7" s="16" t="s">
        <v>1097</v>
      </c>
      <c r="G7" s="15">
        <v>34.700000000000003</v>
      </c>
      <c r="H7" s="15">
        <v>537.6</v>
      </c>
      <c r="I7" s="15">
        <v>198.2</v>
      </c>
      <c r="J7" s="15"/>
      <c r="K7" s="15"/>
      <c r="L7" s="15"/>
      <c r="M7" s="15"/>
      <c r="N7" s="15"/>
      <c r="O7" s="15"/>
    </row>
    <row r="8" spans="1:17" x14ac:dyDescent="0.2">
      <c r="E8" s="80"/>
      <c r="F8" s="47" t="s">
        <v>1099</v>
      </c>
      <c r="G8" s="15">
        <v>4.7</v>
      </c>
      <c r="H8" s="15">
        <v>829.1</v>
      </c>
      <c r="I8" s="15">
        <v>297</v>
      </c>
      <c r="J8" s="15"/>
      <c r="K8" s="15"/>
      <c r="L8" s="15"/>
      <c r="M8" s="15"/>
      <c r="N8" s="15"/>
      <c r="O8" s="15"/>
    </row>
    <row r="9" spans="1:17" x14ac:dyDescent="0.2">
      <c r="A9" s="84" t="s">
        <v>1098</v>
      </c>
      <c r="B9" s="80"/>
      <c r="E9" s="80"/>
      <c r="F9" s="47" t="s">
        <v>1101</v>
      </c>
      <c r="G9" s="15">
        <v>2.5</v>
      </c>
      <c r="H9" s="30">
        <v>2253.1999999999998</v>
      </c>
      <c r="I9" s="15">
        <v>860.6</v>
      </c>
      <c r="J9" s="15"/>
      <c r="K9" s="15"/>
      <c r="L9" s="15"/>
      <c r="M9" s="15"/>
      <c r="N9" s="15"/>
      <c r="O9" s="15"/>
    </row>
    <row r="10" spans="1:17" x14ac:dyDescent="0.2">
      <c r="A10" t="s">
        <v>1100</v>
      </c>
      <c r="E10" s="80"/>
      <c r="F10" s="16" t="s">
        <v>1103</v>
      </c>
      <c r="G10" s="15">
        <v>25.1</v>
      </c>
      <c r="H10" s="15">
        <v>503.8</v>
      </c>
      <c r="I10" s="15">
        <v>190.1</v>
      </c>
    </row>
    <row r="11" spans="1:17" x14ac:dyDescent="0.2">
      <c r="A11" t="s">
        <v>1102</v>
      </c>
      <c r="E11" s="80"/>
      <c r="F11" s="49" t="s">
        <v>1105</v>
      </c>
      <c r="G11" s="15">
        <v>2.2000000000000002</v>
      </c>
      <c r="H11" s="30">
        <v>1884.7</v>
      </c>
      <c r="I11" s="15">
        <v>784.7</v>
      </c>
      <c r="J11" s="17"/>
      <c r="K11" s="17"/>
      <c r="L11" s="17"/>
      <c r="M11" s="17"/>
      <c r="N11" s="17"/>
    </row>
    <row r="12" spans="1:17" x14ac:dyDescent="0.2">
      <c r="A12" t="s">
        <v>1104</v>
      </c>
      <c r="E12" s="80"/>
      <c r="F12" s="24" t="s">
        <v>1109</v>
      </c>
      <c r="G12" s="17">
        <v>26.7</v>
      </c>
      <c r="H12" s="17">
        <v>480.2</v>
      </c>
      <c r="I12" s="15">
        <v>201.3</v>
      </c>
      <c r="J12" s="15"/>
      <c r="K12" s="15"/>
      <c r="L12" s="15"/>
    </row>
    <row r="13" spans="1:17" x14ac:dyDescent="0.2">
      <c r="A13" t="s">
        <v>1108</v>
      </c>
      <c r="E13" s="80"/>
      <c r="F13" s="47" t="s">
        <v>1113</v>
      </c>
      <c r="G13" s="15">
        <v>2</v>
      </c>
      <c r="H13" s="30">
        <v>1530.7</v>
      </c>
      <c r="I13" s="15">
        <v>671.9</v>
      </c>
    </row>
    <row r="14" spans="1:17" x14ac:dyDescent="0.2">
      <c r="A14" t="s">
        <v>1112</v>
      </c>
      <c r="E14" s="80"/>
      <c r="F14" s="16" t="s">
        <v>1115</v>
      </c>
      <c r="G14" s="15">
        <v>40</v>
      </c>
      <c r="H14" s="15">
        <v>227.3</v>
      </c>
      <c r="I14" s="15">
        <v>77.3</v>
      </c>
    </row>
    <row r="15" spans="1:17" x14ac:dyDescent="0.2">
      <c r="A15" t="s">
        <v>1114</v>
      </c>
      <c r="E15" s="80"/>
      <c r="F15" s="16" t="s">
        <v>1117</v>
      </c>
      <c r="G15" s="15">
        <v>66.5</v>
      </c>
      <c r="H15" s="15">
        <v>112.4</v>
      </c>
      <c r="I15" s="15">
        <v>50.3</v>
      </c>
    </row>
    <row r="16" spans="1:17" x14ac:dyDescent="0.2">
      <c r="A16" t="s">
        <v>1116</v>
      </c>
      <c r="E16" s="80"/>
      <c r="F16" s="16" t="s">
        <v>1118</v>
      </c>
      <c r="G16" s="15">
        <v>43.6</v>
      </c>
      <c r="H16" s="15">
        <v>331.4</v>
      </c>
      <c r="I16" s="15">
        <v>123.1</v>
      </c>
    </row>
    <row r="17" spans="1:11" x14ac:dyDescent="0.2">
      <c r="E17" s="80"/>
      <c r="F17" s="47" t="s">
        <v>1120</v>
      </c>
      <c r="G17" s="15">
        <v>3.3</v>
      </c>
      <c r="H17" s="30">
        <v>1732.2</v>
      </c>
      <c r="I17" s="15">
        <v>778</v>
      </c>
    </row>
    <row r="18" spans="1:11" x14ac:dyDescent="0.2">
      <c r="A18" s="84" t="s">
        <v>1119</v>
      </c>
      <c r="B18" s="80"/>
      <c r="E18" s="80"/>
      <c r="F18" s="16" t="s">
        <v>1123</v>
      </c>
      <c r="G18" s="15">
        <v>38.9</v>
      </c>
      <c r="H18" s="15">
        <v>120.3</v>
      </c>
      <c r="I18" s="15">
        <v>45.6</v>
      </c>
    </row>
    <row r="19" spans="1:11" x14ac:dyDescent="0.2">
      <c r="A19" t="s">
        <v>1121</v>
      </c>
      <c r="B19" t="s">
        <v>1224</v>
      </c>
      <c r="E19" s="80"/>
      <c r="F19" s="16" t="s">
        <v>1124</v>
      </c>
      <c r="G19" s="15">
        <v>26.8</v>
      </c>
      <c r="H19" s="15">
        <v>205.8</v>
      </c>
      <c r="I19" s="15">
        <v>68.8</v>
      </c>
    </row>
    <row r="20" spans="1:11" x14ac:dyDescent="0.2">
      <c r="E20" s="80"/>
      <c r="F20" s="25" t="s">
        <v>1126</v>
      </c>
      <c r="G20" s="15">
        <v>30.4</v>
      </c>
      <c r="H20" s="15">
        <v>424.1</v>
      </c>
      <c r="I20" s="15">
        <v>139.5</v>
      </c>
    </row>
    <row r="21" spans="1:11" x14ac:dyDescent="0.2">
      <c r="A21" s="84" t="s">
        <v>1125</v>
      </c>
      <c r="B21" s="80"/>
      <c r="E21" s="80"/>
      <c r="F21" s="47" t="s">
        <v>1137</v>
      </c>
      <c r="G21" s="15">
        <v>1.1000000000000001</v>
      </c>
      <c r="H21" s="30">
        <v>3390.8</v>
      </c>
      <c r="I21" s="30">
        <v>1649.5</v>
      </c>
    </row>
    <row r="22" spans="1:11" x14ac:dyDescent="0.2">
      <c r="A22" t="s">
        <v>1135</v>
      </c>
      <c r="B22" t="s">
        <v>1225</v>
      </c>
      <c r="E22" s="80"/>
      <c r="F22" s="25" t="s">
        <v>1146</v>
      </c>
      <c r="G22" s="15">
        <v>5.3</v>
      </c>
      <c r="H22" s="30">
        <v>5692.5</v>
      </c>
      <c r="I22" s="30">
        <v>2075</v>
      </c>
    </row>
    <row r="23" spans="1:11" x14ac:dyDescent="0.2">
      <c r="A23" s="85"/>
      <c r="B23" s="80"/>
      <c r="E23" s="80"/>
      <c r="F23" s="25" t="s">
        <v>1150</v>
      </c>
      <c r="G23" s="15">
        <v>23</v>
      </c>
      <c r="H23" s="15">
        <v>202.1</v>
      </c>
      <c r="I23" s="15">
        <v>70.8</v>
      </c>
    </row>
    <row r="24" spans="1:11" x14ac:dyDescent="0.2">
      <c r="E24" s="80"/>
      <c r="F24" s="49" t="s">
        <v>1154</v>
      </c>
      <c r="G24" s="15">
        <v>0.3</v>
      </c>
      <c r="H24" s="30">
        <v>2206.5</v>
      </c>
      <c r="I24" s="15">
        <v>758.1</v>
      </c>
    </row>
    <row r="25" spans="1:11" x14ac:dyDescent="0.2">
      <c r="E25" s="80"/>
      <c r="F25" s="27" t="s">
        <v>1158</v>
      </c>
      <c r="G25" s="15">
        <v>18.600000000000001</v>
      </c>
      <c r="H25" s="30">
        <v>1148.2</v>
      </c>
      <c r="I25" s="15">
        <v>398.7</v>
      </c>
      <c r="K25" t="s">
        <v>1226</v>
      </c>
    </row>
    <row r="26" spans="1:11" x14ac:dyDescent="0.2">
      <c r="E26" s="80"/>
      <c r="F26" s="47" t="s">
        <v>1162</v>
      </c>
      <c r="G26" s="15">
        <v>0.5</v>
      </c>
      <c r="H26" s="30">
        <v>4352.1000000000004</v>
      </c>
      <c r="I26" s="30">
        <v>1829.2</v>
      </c>
    </row>
    <row r="27" spans="1:11" x14ac:dyDescent="0.2">
      <c r="A27" s="82"/>
      <c r="B27" s="80"/>
      <c r="E27" s="80"/>
      <c r="F27" s="47" t="s">
        <v>1164</v>
      </c>
      <c r="G27" s="15">
        <v>3.5</v>
      </c>
      <c r="H27" s="30">
        <v>2712.3</v>
      </c>
      <c r="I27" s="15">
        <v>850.7</v>
      </c>
    </row>
    <row r="28" spans="1:11" x14ac:dyDescent="0.2">
      <c r="E28" s="80"/>
      <c r="F28" s="25" t="s">
        <v>1166</v>
      </c>
      <c r="G28" s="15">
        <v>50.3</v>
      </c>
      <c r="H28" s="15">
        <v>462.3</v>
      </c>
      <c r="I28" s="15">
        <v>178.5</v>
      </c>
    </row>
    <row r="29" spans="1:11" x14ac:dyDescent="0.2">
      <c r="E29" s="80"/>
      <c r="F29" s="47" t="s">
        <v>1168</v>
      </c>
      <c r="G29" s="15">
        <v>1.4</v>
      </c>
      <c r="H29" s="30">
        <v>2331.1</v>
      </c>
      <c r="I29" s="30">
        <v>1125.2</v>
      </c>
    </row>
    <row r="30" spans="1:11" x14ac:dyDescent="0.2">
      <c r="E30" s="80"/>
      <c r="F30" s="47" t="s">
        <v>1170</v>
      </c>
      <c r="G30" s="15">
        <v>1.4</v>
      </c>
      <c r="H30" s="30">
        <v>2695</v>
      </c>
      <c r="I30" s="30">
        <v>1134.8</v>
      </c>
    </row>
    <row r="31" spans="1:11" x14ac:dyDescent="0.2">
      <c r="E31" s="80"/>
      <c r="F31" s="47" t="s">
        <v>1172</v>
      </c>
      <c r="G31" s="15">
        <v>2</v>
      </c>
      <c r="H31" s="30">
        <v>3487.8</v>
      </c>
      <c r="I31" s="30">
        <v>1462.9</v>
      </c>
      <c r="K31" t="s">
        <v>1227</v>
      </c>
    </row>
    <row r="32" spans="1:11" x14ac:dyDescent="0.2">
      <c r="E32" s="80"/>
      <c r="F32" s="16" t="s">
        <v>1174</v>
      </c>
      <c r="G32" s="15">
        <v>25.1</v>
      </c>
      <c r="H32" s="15">
        <v>258.7</v>
      </c>
      <c r="I32" s="15">
        <v>91.1</v>
      </c>
    </row>
    <row r="33" spans="5:9" x14ac:dyDescent="0.2">
      <c r="E33" s="80"/>
      <c r="F33" s="47" t="s">
        <v>1178</v>
      </c>
      <c r="G33" s="15">
        <v>0.8</v>
      </c>
      <c r="H33" s="30">
        <v>1592.1</v>
      </c>
      <c r="I33" s="15">
        <v>615.79999999999995</v>
      </c>
    </row>
    <row r="34" spans="5:9" x14ac:dyDescent="0.2">
      <c r="E34" s="80"/>
      <c r="F34" s="25" t="s">
        <v>1180</v>
      </c>
      <c r="G34" s="15">
        <v>3.8</v>
      </c>
      <c r="H34" s="30">
        <v>7519.4</v>
      </c>
      <c r="I34" s="31">
        <v>3050.9</v>
      </c>
    </row>
    <row r="35" spans="5:9" x14ac:dyDescent="0.2">
      <c r="E35" s="80"/>
      <c r="F35" s="25" t="s">
        <v>1182</v>
      </c>
      <c r="G35" s="15">
        <v>43.4</v>
      </c>
      <c r="H35" s="15">
        <v>734.9</v>
      </c>
      <c r="I35" s="17">
        <v>284.89999999999998</v>
      </c>
    </row>
    <row r="36" spans="5:9" x14ac:dyDescent="0.2">
      <c r="E36" s="80"/>
      <c r="F36" s="25" t="s">
        <v>1184</v>
      </c>
      <c r="G36" s="15">
        <v>34.1</v>
      </c>
      <c r="H36" s="15">
        <v>815.2</v>
      </c>
      <c r="I36" s="17">
        <v>332.6</v>
      </c>
    </row>
    <row r="37" spans="5:9" x14ac:dyDescent="0.2">
      <c r="E37" s="80"/>
      <c r="F37" s="25" t="s">
        <v>1186</v>
      </c>
      <c r="G37" s="15">
        <v>1.5</v>
      </c>
      <c r="H37" s="30">
        <v>25049.3</v>
      </c>
      <c r="I37" s="31">
        <v>5056.8999999999996</v>
      </c>
    </row>
    <row r="38" spans="5:9" x14ac:dyDescent="0.2">
      <c r="E38" s="80"/>
      <c r="F38" s="49" t="s">
        <v>1188</v>
      </c>
      <c r="G38" s="15">
        <v>1.5</v>
      </c>
      <c r="H38" s="30">
        <v>25049.3</v>
      </c>
      <c r="I38" s="30">
        <v>5056.8999999999996</v>
      </c>
    </row>
    <row r="39" spans="5:9" x14ac:dyDescent="0.2">
      <c r="E39" s="80"/>
      <c r="F39" s="26" t="s">
        <v>1191</v>
      </c>
      <c r="G39" s="15">
        <v>2.5</v>
      </c>
      <c r="H39" s="30">
        <v>3442.3</v>
      </c>
      <c r="I39" s="30">
        <v>1539.9</v>
      </c>
    </row>
    <row r="40" spans="5:9" x14ac:dyDescent="0.2">
      <c r="E40" s="80"/>
      <c r="F40" s="16" t="s">
        <v>1195</v>
      </c>
      <c r="G40" s="15">
        <v>47.1</v>
      </c>
      <c r="H40" s="15">
        <v>80</v>
      </c>
      <c r="I40" s="15">
        <v>37.5</v>
      </c>
    </row>
    <row r="41" spans="5:9" x14ac:dyDescent="0.2">
      <c r="E41" s="80"/>
      <c r="F41" s="47" t="s">
        <v>1199</v>
      </c>
      <c r="G41" s="15">
        <v>44.4</v>
      </c>
      <c r="H41" s="15">
        <v>69.5</v>
      </c>
      <c r="I41" s="15">
        <v>28.9</v>
      </c>
    </row>
    <row r="42" spans="5:9" x14ac:dyDescent="0.2">
      <c r="E42" s="80"/>
      <c r="F42" s="47" t="s">
        <v>1200</v>
      </c>
      <c r="G42" s="15">
        <v>2.7</v>
      </c>
      <c r="H42" s="15">
        <v>256.39999999999998</v>
      </c>
      <c r="I42" s="15">
        <v>181.2</v>
      </c>
    </row>
    <row r="43" spans="5:9" x14ac:dyDescent="0.2">
      <c r="E43" s="80"/>
      <c r="F43" s="16" t="s">
        <v>1201</v>
      </c>
      <c r="G43" s="15">
        <v>61.9</v>
      </c>
      <c r="H43" s="15">
        <v>497.5</v>
      </c>
      <c r="I43" s="15">
        <v>198.5</v>
      </c>
    </row>
    <row r="44" spans="5:9" x14ac:dyDescent="0.2">
      <c r="E44" s="80"/>
      <c r="F44" s="16" t="s">
        <v>1202</v>
      </c>
      <c r="G44" s="15">
        <v>101.3</v>
      </c>
      <c r="H44" s="15">
        <v>315</v>
      </c>
      <c r="I44" s="15">
        <v>128.80000000000001</v>
      </c>
    </row>
    <row r="45" spans="5:9" x14ac:dyDescent="0.2">
      <c r="E45" s="80"/>
      <c r="F45" s="47" t="s">
        <v>1203</v>
      </c>
      <c r="G45" s="15">
        <v>2.2999999999999998</v>
      </c>
      <c r="H45" s="30">
        <v>1295.5999999999999</v>
      </c>
      <c r="I45" s="15">
        <v>445.3</v>
      </c>
    </row>
    <row r="46" spans="5:9" x14ac:dyDescent="0.2">
      <c r="E46" s="80"/>
      <c r="F46" s="47" t="s">
        <v>1204</v>
      </c>
      <c r="G46" s="15">
        <v>2</v>
      </c>
      <c r="H46" s="30">
        <v>1496</v>
      </c>
      <c r="I46" s="15">
        <v>682.7</v>
      </c>
    </row>
    <row r="47" spans="5:9" x14ac:dyDescent="0.2">
      <c r="E47" s="80"/>
      <c r="F47" s="47" t="s">
        <v>1205</v>
      </c>
      <c r="G47" s="15">
        <v>2.4</v>
      </c>
      <c r="H47" s="30">
        <v>2726.3</v>
      </c>
      <c r="I47" s="30">
        <v>1359.7</v>
      </c>
    </row>
    <row r="48" spans="5:9" x14ac:dyDescent="0.2">
      <c r="E48" s="80"/>
      <c r="F48" s="16" t="s">
        <v>1206</v>
      </c>
      <c r="G48" s="15">
        <v>34.700000000000003</v>
      </c>
      <c r="H48" s="15">
        <v>215.9</v>
      </c>
      <c r="I48" s="15">
        <v>75.900000000000006</v>
      </c>
    </row>
    <row r="49" spans="5:9" x14ac:dyDescent="0.2">
      <c r="E49" s="80"/>
      <c r="F49" s="16" t="s">
        <v>1207</v>
      </c>
      <c r="G49" s="15">
        <v>36.1</v>
      </c>
      <c r="H49" s="15">
        <v>337.7</v>
      </c>
      <c r="I49" s="15">
        <v>116.2</v>
      </c>
    </row>
    <row r="50" spans="5:9" x14ac:dyDescent="0.2">
      <c r="E50" s="80"/>
      <c r="F50" s="47" t="s">
        <v>1162</v>
      </c>
      <c r="G50" s="15">
        <v>0.5</v>
      </c>
      <c r="H50" s="30">
        <v>1450</v>
      </c>
      <c r="I50" s="15">
        <v>498.1</v>
      </c>
    </row>
    <row r="51" spans="5:9" x14ac:dyDescent="0.2">
      <c r="E51" s="80"/>
      <c r="F51" s="47" t="s">
        <v>1208</v>
      </c>
      <c r="G51" s="15">
        <v>35.6</v>
      </c>
      <c r="H51" s="15">
        <v>321.39999999999998</v>
      </c>
      <c r="I51" s="15">
        <v>110.6</v>
      </c>
    </row>
    <row r="52" spans="5:9" x14ac:dyDescent="0.2">
      <c r="E52" s="80"/>
    </row>
    <row r="53" spans="5:9" x14ac:dyDescent="0.2">
      <c r="E53" s="80"/>
    </row>
    <row r="54" spans="5:9" x14ac:dyDescent="0.2">
      <c r="E54" s="80"/>
    </row>
    <row r="55" spans="5:9" x14ac:dyDescent="0.2">
      <c r="E55" s="80"/>
    </row>
    <row r="56" spans="5:9" x14ac:dyDescent="0.2">
      <c r="E56" s="80"/>
    </row>
    <row r="57" spans="5:9" x14ac:dyDescent="0.2">
      <c r="E57" s="8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1077</v>
      </c>
      <c r="B1" s="79" t="s">
        <v>27</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tbl-pop-sex-age</v>
      </c>
    </row>
    <row r="4" spans="1:18" x14ac:dyDescent="0.2">
      <c r="A4" s="16" t="s">
        <v>7</v>
      </c>
      <c r="B4" t="str">
        <f>IF($B$1="","",_xlfn.XLOOKUP($B$1,Master!$F$2:$F$321,Master!$H$2:$H$321,""))</f>
        <v>fig-pop-sex-age</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4" t="s">
        <v>1081</v>
      </c>
      <c r="B5" s="80"/>
      <c r="E5" s="83" t="s">
        <v>1082</v>
      </c>
      <c r="F5" s="81" t="s">
        <v>1083</v>
      </c>
      <c r="G5" s="81" t="s">
        <v>1213</v>
      </c>
      <c r="H5" s="80"/>
      <c r="I5" s="80"/>
      <c r="J5" s="81" t="s">
        <v>1228</v>
      </c>
      <c r="K5" s="80"/>
      <c r="L5" s="80"/>
      <c r="M5" s="81" t="s">
        <v>1229</v>
      </c>
      <c r="N5" s="80"/>
      <c r="O5" s="80"/>
      <c r="P5" s="81" t="s">
        <v>1230</v>
      </c>
      <c r="Q5" s="80"/>
      <c r="R5" s="80"/>
    </row>
    <row r="6" spans="1:18" ht="15" customHeight="1" x14ac:dyDescent="0.2">
      <c r="A6" t="s">
        <v>1088</v>
      </c>
      <c r="B6" t="b">
        <v>1</v>
      </c>
      <c r="E6" s="80"/>
      <c r="F6" s="80"/>
      <c r="G6" s="17" t="s">
        <v>1089</v>
      </c>
      <c r="H6" s="17" t="s">
        <v>1094</v>
      </c>
      <c r="I6" s="17" t="s">
        <v>1095</v>
      </c>
      <c r="J6" s="17" t="s">
        <v>1089</v>
      </c>
      <c r="K6" s="17" t="s">
        <v>1094</v>
      </c>
      <c r="L6" s="17" t="s">
        <v>1095</v>
      </c>
      <c r="M6" s="17" t="s">
        <v>1089</v>
      </c>
      <c r="N6" s="17" t="s">
        <v>1094</v>
      </c>
      <c r="O6" s="17" t="s">
        <v>1095</v>
      </c>
      <c r="P6" s="17" t="s">
        <v>1089</v>
      </c>
      <c r="Q6" s="17" t="s">
        <v>1094</v>
      </c>
      <c r="R6" s="17" t="s">
        <v>1095</v>
      </c>
    </row>
    <row r="7" spans="1:18" ht="15.75" customHeight="1" x14ac:dyDescent="0.2">
      <c r="E7" s="80"/>
      <c r="F7" s="16" t="s">
        <v>1096</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80"/>
      <c r="F8" s="16" t="s">
        <v>1097</v>
      </c>
      <c r="G8" s="14">
        <v>18672</v>
      </c>
      <c r="H8" s="14">
        <v>9133</v>
      </c>
      <c r="I8" s="14">
        <v>9539</v>
      </c>
      <c r="J8" s="14">
        <v>5333</v>
      </c>
      <c r="K8" s="14">
        <v>2906</v>
      </c>
      <c r="L8" s="14">
        <v>2427</v>
      </c>
      <c r="M8" s="14">
        <v>7299</v>
      </c>
      <c r="N8" s="14">
        <v>3507</v>
      </c>
      <c r="O8" s="14">
        <v>3792</v>
      </c>
      <c r="P8" s="14">
        <v>2275</v>
      </c>
      <c r="Q8" s="14">
        <v>1093</v>
      </c>
      <c r="R8" s="14">
        <v>1182</v>
      </c>
    </row>
    <row r="9" spans="1:18" x14ac:dyDescent="0.2">
      <c r="A9" s="84" t="s">
        <v>1098</v>
      </c>
      <c r="B9" s="80"/>
      <c r="E9" s="80"/>
      <c r="F9" s="47" t="s">
        <v>1099</v>
      </c>
      <c r="G9" s="14">
        <v>3880</v>
      </c>
      <c r="H9" s="14">
        <v>1933</v>
      </c>
      <c r="I9" s="14">
        <v>1947</v>
      </c>
      <c r="J9" s="14">
        <v>1658</v>
      </c>
      <c r="K9">
        <v>774</v>
      </c>
      <c r="L9">
        <v>884</v>
      </c>
      <c r="M9" s="14">
        <v>1552</v>
      </c>
      <c r="N9">
        <v>738</v>
      </c>
      <c r="O9">
        <v>814</v>
      </c>
      <c r="P9">
        <v>337</v>
      </c>
      <c r="Q9">
        <v>188</v>
      </c>
      <c r="R9">
        <v>149</v>
      </c>
    </row>
    <row r="10" spans="1:18" x14ac:dyDescent="0.2">
      <c r="A10" t="s">
        <v>1100</v>
      </c>
      <c r="E10" s="80"/>
      <c r="F10" s="47" t="s">
        <v>1101</v>
      </c>
      <c r="G10" s="14">
        <v>5723</v>
      </c>
      <c r="H10" s="14">
        <v>2883</v>
      </c>
      <c r="I10" s="14">
        <v>2840</v>
      </c>
      <c r="J10" s="50">
        <v>1287</v>
      </c>
      <c r="K10" s="21">
        <v>740</v>
      </c>
      <c r="L10" s="21">
        <v>547</v>
      </c>
      <c r="M10" s="50">
        <v>2353</v>
      </c>
      <c r="N10" s="50">
        <v>1384</v>
      </c>
      <c r="O10">
        <v>969</v>
      </c>
      <c r="P10">
        <v>885</v>
      </c>
      <c r="Q10">
        <v>377</v>
      </c>
      <c r="R10">
        <v>508</v>
      </c>
    </row>
    <row r="11" spans="1:18" x14ac:dyDescent="0.2">
      <c r="A11" t="s">
        <v>1102</v>
      </c>
      <c r="E11" s="80"/>
      <c r="F11" s="16" t="s">
        <v>1103</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1104</v>
      </c>
      <c r="E12" s="80"/>
      <c r="F12" s="49" t="s">
        <v>1105</v>
      </c>
      <c r="G12" s="14">
        <v>4052</v>
      </c>
      <c r="H12" s="14">
        <v>1961</v>
      </c>
      <c r="I12" s="14">
        <v>2091</v>
      </c>
      <c r="J12">
        <v>738</v>
      </c>
      <c r="K12">
        <v>369</v>
      </c>
      <c r="L12">
        <v>369</v>
      </c>
      <c r="M12" s="14">
        <v>1797</v>
      </c>
      <c r="N12" s="14">
        <v>1018</v>
      </c>
      <c r="O12">
        <v>779</v>
      </c>
      <c r="P12">
        <v>550</v>
      </c>
      <c r="Q12">
        <v>221</v>
      </c>
      <c r="R12">
        <v>329</v>
      </c>
    </row>
    <row r="13" spans="1:18" x14ac:dyDescent="0.2">
      <c r="A13" t="s">
        <v>1108</v>
      </c>
      <c r="E13" s="80"/>
      <c r="F13" s="24" t="s">
        <v>1109</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1112</v>
      </c>
      <c r="E14" s="80"/>
      <c r="F14" s="47" t="s">
        <v>1113</v>
      </c>
      <c r="G14" s="14">
        <v>3046</v>
      </c>
      <c r="H14" s="14">
        <v>1460</v>
      </c>
      <c r="I14" s="14">
        <v>1586</v>
      </c>
      <c r="J14">
        <v>593</v>
      </c>
      <c r="K14">
        <v>228</v>
      </c>
      <c r="L14">
        <v>365</v>
      </c>
      <c r="M14" s="14">
        <v>1087</v>
      </c>
      <c r="N14">
        <v>484</v>
      </c>
      <c r="O14">
        <v>603</v>
      </c>
      <c r="P14">
        <v>552</v>
      </c>
      <c r="Q14">
        <v>233</v>
      </c>
      <c r="R14">
        <v>319</v>
      </c>
    </row>
    <row r="15" spans="1:18" x14ac:dyDescent="0.2">
      <c r="A15" t="s">
        <v>1114</v>
      </c>
      <c r="E15" s="80"/>
      <c r="F15" s="16" t="s">
        <v>1115</v>
      </c>
      <c r="G15" s="14">
        <v>9097</v>
      </c>
      <c r="H15" s="14">
        <v>4732</v>
      </c>
      <c r="I15" s="14">
        <v>4365</v>
      </c>
      <c r="J15" s="14">
        <v>2086</v>
      </c>
      <c r="K15" s="14">
        <v>1380</v>
      </c>
      <c r="L15">
        <v>706</v>
      </c>
      <c r="M15" s="14">
        <v>3571</v>
      </c>
      <c r="N15" s="14">
        <v>1701</v>
      </c>
      <c r="O15" s="14">
        <v>1870</v>
      </c>
      <c r="P15" s="14">
        <v>1183</v>
      </c>
      <c r="Q15">
        <v>495</v>
      </c>
      <c r="R15">
        <v>688</v>
      </c>
    </row>
    <row r="16" spans="1:18" x14ac:dyDescent="0.2">
      <c r="A16" t="s">
        <v>1116</v>
      </c>
      <c r="E16" s="80"/>
      <c r="F16" s="16" t="s">
        <v>1117</v>
      </c>
      <c r="G16" s="14">
        <v>7471</v>
      </c>
      <c r="H16" s="14">
        <v>3753</v>
      </c>
      <c r="I16" s="14">
        <v>3718</v>
      </c>
      <c r="J16" s="14">
        <v>1512</v>
      </c>
      <c r="K16">
        <v>494</v>
      </c>
      <c r="L16" s="14">
        <v>1018</v>
      </c>
      <c r="M16" s="14">
        <v>2498</v>
      </c>
      <c r="N16" s="14">
        <v>1298</v>
      </c>
      <c r="O16" s="14">
        <v>1200</v>
      </c>
      <c r="P16" s="14">
        <v>1665</v>
      </c>
      <c r="Q16">
        <v>925</v>
      </c>
      <c r="R16">
        <v>740</v>
      </c>
    </row>
    <row r="17" spans="1:18" x14ac:dyDescent="0.2">
      <c r="E17" s="80"/>
      <c r="F17" s="16" t="s">
        <v>1118</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4" t="s">
        <v>1119</v>
      </c>
      <c r="B18" s="80"/>
      <c r="E18" s="80"/>
      <c r="F18" s="47" t="s">
        <v>1120</v>
      </c>
      <c r="G18" s="14">
        <v>5751</v>
      </c>
      <c r="H18" s="14">
        <v>2745</v>
      </c>
      <c r="I18" s="14">
        <v>3006</v>
      </c>
      <c r="J18" s="14">
        <v>1108</v>
      </c>
      <c r="K18">
        <v>594</v>
      </c>
      <c r="L18">
        <v>514</v>
      </c>
      <c r="M18" s="14">
        <v>1675</v>
      </c>
      <c r="N18">
        <v>812</v>
      </c>
      <c r="O18">
        <v>863</v>
      </c>
      <c r="P18" s="14">
        <v>1532</v>
      </c>
      <c r="Q18">
        <v>591</v>
      </c>
      <c r="R18">
        <v>941</v>
      </c>
    </row>
    <row r="19" spans="1:18" x14ac:dyDescent="0.2">
      <c r="A19" t="s">
        <v>1121</v>
      </c>
      <c r="B19" t="s">
        <v>1231</v>
      </c>
      <c r="E19" s="80"/>
      <c r="F19" s="16" t="s">
        <v>1123</v>
      </c>
      <c r="G19" s="14">
        <v>4680</v>
      </c>
      <c r="H19" s="14">
        <v>2458</v>
      </c>
      <c r="I19" s="14">
        <v>2222</v>
      </c>
      <c r="J19" s="14">
        <v>1167</v>
      </c>
      <c r="K19">
        <v>659</v>
      </c>
      <c r="L19">
        <v>508</v>
      </c>
      <c r="M19" s="14">
        <v>1869</v>
      </c>
      <c r="N19" s="14">
        <v>1015</v>
      </c>
      <c r="O19">
        <v>854</v>
      </c>
      <c r="P19">
        <v>610</v>
      </c>
      <c r="Q19">
        <v>285</v>
      </c>
      <c r="R19">
        <v>325</v>
      </c>
    </row>
    <row r="20" spans="1:18" x14ac:dyDescent="0.2">
      <c r="E20" s="80"/>
      <c r="F20" s="16" t="s">
        <v>1124</v>
      </c>
      <c r="G20" s="14">
        <v>5507</v>
      </c>
      <c r="H20" s="14">
        <v>2924</v>
      </c>
      <c r="I20" s="14">
        <v>2583</v>
      </c>
      <c r="J20" s="14">
        <v>1280</v>
      </c>
      <c r="K20">
        <v>818</v>
      </c>
      <c r="L20">
        <v>462</v>
      </c>
      <c r="M20" s="14">
        <v>1877</v>
      </c>
      <c r="N20" s="14">
        <v>1033</v>
      </c>
      <c r="O20">
        <v>844</v>
      </c>
      <c r="P20">
        <v>785</v>
      </c>
      <c r="Q20">
        <v>340</v>
      </c>
      <c r="R20">
        <v>445</v>
      </c>
    </row>
    <row r="21" spans="1:18" x14ac:dyDescent="0.2">
      <c r="A21" s="84" t="s">
        <v>1125</v>
      </c>
      <c r="B21" s="80"/>
      <c r="E21" s="80"/>
      <c r="F21" s="25" t="s">
        <v>1126</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1135</v>
      </c>
      <c r="B22" t="s">
        <v>1232</v>
      </c>
      <c r="E22" s="80"/>
      <c r="F22" s="47" t="s">
        <v>1137</v>
      </c>
      <c r="G22" s="14">
        <v>3696</v>
      </c>
      <c r="H22" s="14">
        <v>2000</v>
      </c>
      <c r="I22" s="14">
        <v>1696</v>
      </c>
      <c r="J22">
        <v>773</v>
      </c>
      <c r="K22">
        <v>439</v>
      </c>
      <c r="L22">
        <v>334</v>
      </c>
      <c r="M22" s="14">
        <v>1323</v>
      </c>
      <c r="N22">
        <v>694</v>
      </c>
      <c r="O22">
        <v>629</v>
      </c>
      <c r="P22">
        <v>447</v>
      </c>
      <c r="Q22">
        <v>176</v>
      </c>
      <c r="R22">
        <v>271</v>
      </c>
    </row>
    <row r="23" spans="1:18" x14ac:dyDescent="0.2">
      <c r="E23" s="80"/>
      <c r="F23" s="25" t="s">
        <v>1146</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80"/>
      <c r="F24" s="25" t="s">
        <v>1150</v>
      </c>
      <c r="G24" s="14">
        <v>4648</v>
      </c>
      <c r="H24" s="14">
        <v>2246</v>
      </c>
      <c r="I24" s="14">
        <v>2402</v>
      </c>
      <c r="J24" s="14">
        <v>1277</v>
      </c>
      <c r="K24">
        <v>496</v>
      </c>
      <c r="L24">
        <v>781</v>
      </c>
      <c r="M24" s="14">
        <v>1806</v>
      </c>
      <c r="N24">
        <v>841</v>
      </c>
      <c r="O24">
        <v>965</v>
      </c>
      <c r="P24">
        <v>524</v>
      </c>
      <c r="Q24">
        <v>332</v>
      </c>
      <c r="R24">
        <v>192</v>
      </c>
    </row>
    <row r="25" spans="1:18" x14ac:dyDescent="0.2">
      <c r="E25" s="80"/>
      <c r="F25" s="49" t="s">
        <v>1154</v>
      </c>
      <c r="G25">
        <v>684</v>
      </c>
      <c r="H25">
        <v>282</v>
      </c>
      <c r="I25">
        <v>402</v>
      </c>
      <c r="J25">
        <v>222</v>
      </c>
      <c r="K25">
        <v>61</v>
      </c>
      <c r="L25">
        <v>161</v>
      </c>
      <c r="M25">
        <v>278</v>
      </c>
      <c r="N25">
        <v>114</v>
      </c>
      <c r="O25">
        <v>164</v>
      </c>
      <c r="P25">
        <v>79</v>
      </c>
      <c r="Q25">
        <v>38</v>
      </c>
      <c r="R25">
        <v>41</v>
      </c>
    </row>
    <row r="26" spans="1:18" x14ac:dyDescent="0.2">
      <c r="E26" s="80"/>
      <c r="F26" s="27" t="s">
        <v>1158</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2"/>
      <c r="B27" s="80"/>
      <c r="E27" s="80"/>
      <c r="F27" s="47" t="s">
        <v>1162</v>
      </c>
      <c r="G27" s="14">
        <v>2089</v>
      </c>
      <c r="H27">
        <v>877</v>
      </c>
      <c r="I27" s="14">
        <v>1212</v>
      </c>
      <c r="J27">
        <v>598</v>
      </c>
      <c r="K27">
        <v>232</v>
      </c>
      <c r="L27">
        <v>366</v>
      </c>
      <c r="M27">
        <v>839</v>
      </c>
      <c r="N27">
        <v>399</v>
      </c>
      <c r="O27">
        <v>440</v>
      </c>
      <c r="P27">
        <v>363</v>
      </c>
      <c r="Q27">
        <v>117</v>
      </c>
      <c r="R27">
        <v>246</v>
      </c>
    </row>
    <row r="28" spans="1:18" x14ac:dyDescent="0.2">
      <c r="E28" s="80"/>
      <c r="F28" s="47" t="s">
        <v>1164</v>
      </c>
      <c r="G28" s="14">
        <v>9466</v>
      </c>
      <c r="H28" s="14">
        <v>4473</v>
      </c>
      <c r="I28" s="14">
        <v>4993</v>
      </c>
      <c r="J28" s="14">
        <v>2552</v>
      </c>
      <c r="K28" s="14">
        <v>1325</v>
      </c>
      <c r="L28" s="14">
        <v>1227</v>
      </c>
      <c r="M28" s="14">
        <v>3867</v>
      </c>
      <c r="N28" s="14">
        <v>1767</v>
      </c>
      <c r="O28" s="14">
        <v>2100</v>
      </c>
      <c r="P28">
        <v>950</v>
      </c>
      <c r="Q28">
        <v>344</v>
      </c>
      <c r="R28">
        <v>606</v>
      </c>
    </row>
    <row r="29" spans="1:18" x14ac:dyDescent="0.2">
      <c r="E29" s="80"/>
      <c r="F29" s="25" t="s">
        <v>1166</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80"/>
      <c r="F30" s="47" t="s">
        <v>1168</v>
      </c>
      <c r="G30" s="14">
        <v>3147</v>
      </c>
      <c r="H30" s="14">
        <v>1451</v>
      </c>
      <c r="I30" s="14">
        <v>1696</v>
      </c>
      <c r="J30">
        <v>507</v>
      </c>
      <c r="K30">
        <v>202</v>
      </c>
      <c r="L30">
        <v>305</v>
      </c>
      <c r="M30" s="14">
        <v>1094</v>
      </c>
      <c r="N30">
        <v>626</v>
      </c>
      <c r="O30">
        <v>468</v>
      </c>
      <c r="P30">
        <v>660</v>
      </c>
      <c r="Q30">
        <v>273</v>
      </c>
      <c r="R30">
        <v>387</v>
      </c>
    </row>
    <row r="31" spans="1:18" x14ac:dyDescent="0.2">
      <c r="E31" s="80"/>
      <c r="F31" s="47" t="s">
        <v>1170</v>
      </c>
      <c r="G31" s="14">
        <v>3800</v>
      </c>
      <c r="H31" s="14">
        <v>1722</v>
      </c>
      <c r="I31" s="14">
        <v>2078</v>
      </c>
      <c r="J31">
        <v>962</v>
      </c>
      <c r="K31">
        <v>434</v>
      </c>
      <c r="L31">
        <v>528</v>
      </c>
      <c r="M31" s="14">
        <v>1407</v>
      </c>
      <c r="N31">
        <v>679</v>
      </c>
      <c r="O31">
        <v>728</v>
      </c>
      <c r="P31">
        <v>553</v>
      </c>
      <c r="Q31">
        <v>186</v>
      </c>
      <c r="R31">
        <v>367</v>
      </c>
    </row>
    <row r="32" spans="1:18" x14ac:dyDescent="0.2">
      <c r="E32" s="80"/>
      <c r="F32" s="47" t="s">
        <v>1172</v>
      </c>
      <c r="G32" s="14">
        <v>6871</v>
      </c>
      <c r="H32" s="14">
        <v>3498</v>
      </c>
      <c r="I32" s="14">
        <v>3373</v>
      </c>
      <c r="J32" s="14">
        <v>1664</v>
      </c>
      <c r="K32">
        <v>868</v>
      </c>
      <c r="L32">
        <v>796</v>
      </c>
      <c r="M32" s="14">
        <v>2710</v>
      </c>
      <c r="N32" s="14">
        <v>1279</v>
      </c>
      <c r="O32" s="14">
        <v>1431</v>
      </c>
      <c r="P32">
        <v>816</v>
      </c>
      <c r="Q32">
        <v>337</v>
      </c>
      <c r="R32">
        <v>479</v>
      </c>
    </row>
    <row r="33" spans="5:18" x14ac:dyDescent="0.2">
      <c r="E33" s="80"/>
      <c r="F33" s="16" t="s">
        <v>1174</v>
      </c>
      <c r="G33" s="14">
        <v>6500</v>
      </c>
      <c r="H33" s="14">
        <v>3897</v>
      </c>
      <c r="I33" s="50">
        <v>2603</v>
      </c>
      <c r="J33" s="14">
        <v>1080</v>
      </c>
      <c r="K33">
        <v>541</v>
      </c>
      <c r="L33">
        <v>539</v>
      </c>
      <c r="M33" s="14">
        <v>2476</v>
      </c>
      <c r="N33" s="14">
        <v>1540</v>
      </c>
      <c r="O33">
        <v>936</v>
      </c>
      <c r="P33" s="14">
        <v>1079</v>
      </c>
      <c r="Q33">
        <v>540</v>
      </c>
      <c r="R33">
        <v>539</v>
      </c>
    </row>
    <row r="34" spans="5:18" x14ac:dyDescent="0.2">
      <c r="E34" s="80"/>
      <c r="F34" s="47" t="s">
        <v>1178</v>
      </c>
      <c r="G34" s="14">
        <v>1210</v>
      </c>
      <c r="H34">
        <v>623</v>
      </c>
      <c r="I34" s="21">
        <v>587</v>
      </c>
      <c r="J34">
        <v>353</v>
      </c>
      <c r="K34">
        <v>148</v>
      </c>
      <c r="L34">
        <v>205</v>
      </c>
      <c r="M34">
        <v>464</v>
      </c>
      <c r="N34">
        <v>267</v>
      </c>
      <c r="O34">
        <v>197</v>
      </c>
      <c r="P34">
        <v>237</v>
      </c>
      <c r="Q34">
        <v>102</v>
      </c>
      <c r="R34">
        <v>135</v>
      </c>
    </row>
    <row r="35" spans="5:18" x14ac:dyDescent="0.2">
      <c r="E35" s="80"/>
      <c r="F35" s="25" t="s">
        <v>1180</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80"/>
      <c r="F36" s="25" t="s">
        <v>1182</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80"/>
      <c r="F37" s="25" t="s">
        <v>1184</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80"/>
      <c r="F38" s="25" t="s">
        <v>1186</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80"/>
      <c r="F39" s="49" t="s">
        <v>1188</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80"/>
      <c r="F40" s="26" t="s">
        <v>1191</v>
      </c>
      <c r="G40" s="14">
        <v>8709</v>
      </c>
      <c r="H40" s="14">
        <v>4267</v>
      </c>
      <c r="I40" s="14">
        <v>4442</v>
      </c>
      <c r="J40" s="14">
        <v>1809</v>
      </c>
      <c r="K40">
        <v>875</v>
      </c>
      <c r="L40">
        <v>934</v>
      </c>
      <c r="M40" s="14">
        <v>3614</v>
      </c>
      <c r="N40" s="14">
        <v>1882</v>
      </c>
      <c r="O40" s="14">
        <v>1732</v>
      </c>
      <c r="P40" s="14">
        <v>1615</v>
      </c>
      <c r="Q40">
        <v>631</v>
      </c>
      <c r="R40">
        <v>984</v>
      </c>
    </row>
    <row r="41" spans="5:18" x14ac:dyDescent="0.2">
      <c r="E41" s="80"/>
      <c r="F41" s="16" t="s">
        <v>1195</v>
      </c>
      <c r="G41" s="14">
        <v>3765</v>
      </c>
      <c r="H41" s="14">
        <v>1975</v>
      </c>
      <c r="I41" s="14">
        <v>1790</v>
      </c>
      <c r="J41">
        <v>702</v>
      </c>
      <c r="K41">
        <v>360</v>
      </c>
      <c r="L41">
        <v>342</v>
      </c>
      <c r="M41" s="14">
        <v>1099</v>
      </c>
      <c r="N41">
        <v>600</v>
      </c>
      <c r="O41">
        <v>499</v>
      </c>
      <c r="P41">
        <v>869</v>
      </c>
      <c r="Q41">
        <v>398</v>
      </c>
      <c r="R41">
        <v>471</v>
      </c>
    </row>
    <row r="42" spans="5:18" x14ac:dyDescent="0.2">
      <c r="E42" s="80"/>
      <c r="F42" s="47" t="s">
        <v>1199</v>
      </c>
      <c r="G42" s="14">
        <v>3083</v>
      </c>
      <c r="H42" s="14">
        <v>1546</v>
      </c>
      <c r="I42" s="14">
        <v>1537</v>
      </c>
      <c r="J42">
        <v>620</v>
      </c>
      <c r="K42">
        <v>302</v>
      </c>
      <c r="L42">
        <v>318</v>
      </c>
      <c r="M42">
        <v>998</v>
      </c>
      <c r="N42">
        <v>556</v>
      </c>
      <c r="O42">
        <v>442</v>
      </c>
      <c r="P42">
        <v>692</v>
      </c>
      <c r="Q42">
        <v>304</v>
      </c>
      <c r="R42">
        <v>388</v>
      </c>
    </row>
    <row r="43" spans="5:18" x14ac:dyDescent="0.2">
      <c r="E43" s="80"/>
      <c r="F43" s="47" t="s">
        <v>1200</v>
      </c>
      <c r="G43">
        <v>682</v>
      </c>
      <c r="H43">
        <v>429</v>
      </c>
      <c r="I43">
        <v>253</v>
      </c>
      <c r="J43">
        <v>82</v>
      </c>
      <c r="K43">
        <v>58</v>
      </c>
      <c r="L43">
        <v>24</v>
      </c>
      <c r="M43">
        <v>101</v>
      </c>
      <c r="N43">
        <v>44</v>
      </c>
      <c r="O43">
        <v>57</v>
      </c>
      <c r="P43">
        <v>177</v>
      </c>
      <c r="Q43">
        <v>94</v>
      </c>
      <c r="R43">
        <v>83</v>
      </c>
    </row>
    <row r="44" spans="5:18" x14ac:dyDescent="0.2">
      <c r="E44" s="80"/>
      <c r="F44" s="16" t="s">
        <v>1201</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80"/>
      <c r="F45" s="16" t="s">
        <v>1202</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80"/>
      <c r="F46" s="47" t="s">
        <v>1203</v>
      </c>
      <c r="G46" s="14">
        <v>2915</v>
      </c>
      <c r="H46" s="14">
        <v>1566</v>
      </c>
      <c r="I46" s="14">
        <v>1349</v>
      </c>
      <c r="J46">
        <v>620</v>
      </c>
      <c r="K46">
        <v>413</v>
      </c>
      <c r="L46">
        <v>207</v>
      </c>
      <c r="M46" s="14">
        <v>1251</v>
      </c>
      <c r="N46">
        <v>677</v>
      </c>
      <c r="O46">
        <v>574</v>
      </c>
      <c r="P46">
        <v>442</v>
      </c>
      <c r="Q46">
        <v>188</v>
      </c>
      <c r="R46">
        <v>254</v>
      </c>
    </row>
    <row r="47" spans="5:18" x14ac:dyDescent="0.2">
      <c r="E47" s="80"/>
      <c r="F47" s="47" t="s">
        <v>1204</v>
      </c>
      <c r="G47" s="14">
        <v>3022</v>
      </c>
      <c r="H47" s="14">
        <v>1471</v>
      </c>
      <c r="I47" s="14">
        <v>1551</v>
      </c>
      <c r="J47">
        <v>529</v>
      </c>
      <c r="K47">
        <v>270</v>
      </c>
      <c r="L47">
        <v>259</v>
      </c>
      <c r="M47" s="14">
        <v>1225</v>
      </c>
      <c r="N47">
        <v>520</v>
      </c>
      <c r="O47">
        <v>705</v>
      </c>
      <c r="P47">
        <v>632</v>
      </c>
      <c r="Q47">
        <v>359</v>
      </c>
      <c r="R47">
        <v>273</v>
      </c>
    </row>
    <row r="48" spans="5:18" x14ac:dyDescent="0.2">
      <c r="E48" s="80"/>
      <c r="F48" s="47" t="s">
        <v>1205</v>
      </c>
      <c r="G48" s="14">
        <v>6625</v>
      </c>
      <c r="H48" s="14">
        <v>2921</v>
      </c>
      <c r="I48" s="14">
        <v>3704</v>
      </c>
      <c r="J48" s="14">
        <v>1274</v>
      </c>
      <c r="K48">
        <v>566</v>
      </c>
      <c r="L48">
        <v>708</v>
      </c>
      <c r="M48" s="14">
        <v>2054</v>
      </c>
      <c r="N48" s="14">
        <v>1005</v>
      </c>
      <c r="O48" s="14">
        <v>1049</v>
      </c>
      <c r="P48" s="14">
        <v>1808</v>
      </c>
      <c r="Q48">
        <v>682</v>
      </c>
      <c r="R48" s="14">
        <v>1126</v>
      </c>
    </row>
    <row r="49" spans="5:18" x14ac:dyDescent="0.2">
      <c r="E49" s="80"/>
      <c r="F49" s="16" t="s">
        <v>1206</v>
      </c>
      <c r="G49" s="14">
        <v>7493</v>
      </c>
      <c r="H49" s="14">
        <v>3585</v>
      </c>
      <c r="I49" s="14">
        <v>3908</v>
      </c>
      <c r="J49" s="14">
        <v>1726</v>
      </c>
      <c r="K49">
        <v>726</v>
      </c>
      <c r="L49" s="14">
        <v>1000</v>
      </c>
      <c r="M49" s="14">
        <v>2794</v>
      </c>
      <c r="N49" s="14">
        <v>1326</v>
      </c>
      <c r="O49" s="14">
        <v>1468</v>
      </c>
      <c r="P49" s="14">
        <v>1043</v>
      </c>
      <c r="Q49">
        <v>584</v>
      </c>
      <c r="R49">
        <v>459</v>
      </c>
    </row>
    <row r="50" spans="5:18" x14ac:dyDescent="0.2">
      <c r="E50" s="80"/>
      <c r="F50" s="16" t="s">
        <v>1207</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80"/>
      <c r="F51" s="47" t="s">
        <v>1162</v>
      </c>
      <c r="G51">
        <v>754</v>
      </c>
      <c r="H51">
        <v>337</v>
      </c>
      <c r="I51">
        <v>417</v>
      </c>
      <c r="J51">
        <v>149</v>
      </c>
      <c r="K51">
        <v>103</v>
      </c>
      <c r="L51">
        <v>46</v>
      </c>
      <c r="M51">
        <v>250</v>
      </c>
      <c r="N51">
        <v>114</v>
      </c>
      <c r="O51">
        <v>136</v>
      </c>
      <c r="P51">
        <v>61</v>
      </c>
      <c r="Q51">
        <v>38</v>
      </c>
      <c r="R51">
        <v>23</v>
      </c>
    </row>
    <row r="52" spans="5:18" x14ac:dyDescent="0.2">
      <c r="E52" s="80"/>
      <c r="F52" s="47" t="s">
        <v>1208</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1077</v>
      </c>
      <c r="B1" s="79" t="s">
        <v>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tbl-pop-race-ethnicity</v>
      </c>
    </row>
    <row r="4" spans="1:17" x14ac:dyDescent="0.2">
      <c r="A4" s="16" t="s">
        <v>7</v>
      </c>
      <c r="B4" t="str">
        <f>IF($B$1="","",_xlfn.XLOOKUP($B$1,Master!$F$2:$F$321,Master!$H$2:$H$321,""))</f>
        <v>fig-pop-race-ethnicity</v>
      </c>
      <c r="E4" s="8"/>
      <c r="F4" s="10" t="s">
        <v>1009</v>
      </c>
      <c r="G4" s="10" t="s">
        <v>973</v>
      </c>
      <c r="H4" s="10" t="s">
        <v>973</v>
      </c>
      <c r="I4" s="10" t="s">
        <v>973</v>
      </c>
      <c r="J4" s="10" t="s">
        <v>973</v>
      </c>
      <c r="K4" s="10" t="s">
        <v>973</v>
      </c>
      <c r="L4" s="10" t="s">
        <v>973</v>
      </c>
      <c r="M4" s="10" t="s">
        <v>973</v>
      </c>
      <c r="N4" s="10" t="s">
        <v>973</v>
      </c>
      <c r="O4" s="10" t="s">
        <v>973</v>
      </c>
      <c r="P4" s="10" t="s">
        <v>973</v>
      </c>
      <c r="Q4" s="10"/>
    </row>
    <row r="5" spans="1:17" x14ac:dyDescent="0.2">
      <c r="A5" s="84" t="s">
        <v>1081</v>
      </c>
      <c r="B5" s="80"/>
      <c r="E5" s="83" t="s">
        <v>1082</v>
      </c>
      <c r="F5" t="s">
        <v>1083</v>
      </c>
      <c r="G5" s="17" t="s">
        <v>1233</v>
      </c>
      <c r="H5" s="17" t="s">
        <v>1234</v>
      </c>
      <c r="I5" s="17" t="s">
        <v>1235</v>
      </c>
      <c r="J5" s="17" t="s">
        <v>1236</v>
      </c>
      <c r="K5" s="17" t="s">
        <v>1237</v>
      </c>
      <c r="L5" s="17" t="s">
        <v>1238</v>
      </c>
      <c r="M5" s="17" t="s">
        <v>1239</v>
      </c>
      <c r="N5" s="17" t="s">
        <v>1240</v>
      </c>
      <c r="O5" s="17" t="s">
        <v>1241</v>
      </c>
      <c r="P5" s="17" t="s">
        <v>1242</v>
      </c>
    </row>
    <row r="6" spans="1:17" ht="15" customHeight="1" x14ac:dyDescent="0.2">
      <c r="A6" t="s">
        <v>1088</v>
      </c>
      <c r="B6" t="b">
        <v>0</v>
      </c>
      <c r="E6" s="80"/>
      <c r="F6" t="s">
        <v>1096</v>
      </c>
      <c r="G6" s="28">
        <v>401310</v>
      </c>
      <c r="H6" s="28">
        <v>248085</v>
      </c>
      <c r="I6" s="28">
        <v>45543</v>
      </c>
      <c r="J6" s="28">
        <v>2949</v>
      </c>
      <c r="K6" s="28">
        <v>12025</v>
      </c>
      <c r="L6" s="17">
        <v>185</v>
      </c>
      <c r="M6" s="28">
        <v>52023</v>
      </c>
      <c r="N6" s="28">
        <v>40500</v>
      </c>
      <c r="O6" s="28">
        <v>89744</v>
      </c>
      <c r="P6" s="28">
        <v>311566</v>
      </c>
    </row>
    <row r="7" spans="1:17" ht="15.75" customHeight="1" x14ac:dyDescent="0.2">
      <c r="E7" s="80"/>
      <c r="F7" t="s">
        <v>1097</v>
      </c>
      <c r="G7" s="28">
        <v>18811</v>
      </c>
      <c r="H7" s="28">
        <v>12738</v>
      </c>
      <c r="I7" s="28">
        <v>1539</v>
      </c>
      <c r="J7" s="17">
        <v>121</v>
      </c>
      <c r="K7" s="17">
        <v>416</v>
      </c>
      <c r="L7" s="17">
        <v>7</v>
      </c>
      <c r="M7" s="28">
        <v>1784</v>
      </c>
      <c r="N7" s="28">
        <v>2206</v>
      </c>
      <c r="O7" s="28">
        <v>3913</v>
      </c>
      <c r="P7" s="28">
        <v>14898</v>
      </c>
    </row>
    <row r="8" spans="1:17" x14ac:dyDescent="0.2">
      <c r="E8" s="80"/>
      <c r="F8" t="s">
        <v>1099</v>
      </c>
      <c r="G8" s="28">
        <v>3973</v>
      </c>
      <c r="H8" s="28">
        <v>2786</v>
      </c>
      <c r="I8" s="17">
        <v>311</v>
      </c>
      <c r="J8" s="17">
        <v>25</v>
      </c>
      <c r="K8" s="17">
        <v>52</v>
      </c>
      <c r="L8" s="17">
        <v>5</v>
      </c>
      <c r="M8" s="17">
        <v>484</v>
      </c>
      <c r="N8" s="17">
        <v>310</v>
      </c>
      <c r="O8" s="17">
        <v>555</v>
      </c>
      <c r="P8" s="28">
        <v>3418</v>
      </c>
    </row>
    <row r="9" spans="1:17" x14ac:dyDescent="0.2">
      <c r="A9" s="84" t="s">
        <v>1098</v>
      </c>
      <c r="B9" s="80"/>
      <c r="E9" s="80"/>
      <c r="F9" t="s">
        <v>1101</v>
      </c>
      <c r="G9" s="28">
        <v>5657</v>
      </c>
      <c r="H9" s="28">
        <v>3555</v>
      </c>
      <c r="I9" s="17">
        <v>630</v>
      </c>
      <c r="J9" s="17">
        <v>26</v>
      </c>
      <c r="K9" s="17">
        <v>131</v>
      </c>
      <c r="L9" s="17">
        <v>1</v>
      </c>
      <c r="M9" s="17">
        <v>590</v>
      </c>
      <c r="N9" s="17">
        <v>724</v>
      </c>
      <c r="O9" s="28">
        <v>1466</v>
      </c>
      <c r="P9" s="28">
        <v>4191</v>
      </c>
    </row>
    <row r="10" spans="1:17" x14ac:dyDescent="0.2">
      <c r="A10" t="s">
        <v>1100</v>
      </c>
      <c r="E10" s="80"/>
      <c r="F10" t="s">
        <v>1103</v>
      </c>
      <c r="G10" s="28">
        <v>12646</v>
      </c>
      <c r="H10" s="28">
        <v>8574</v>
      </c>
      <c r="I10" s="28">
        <v>1188</v>
      </c>
      <c r="J10" s="17">
        <v>53</v>
      </c>
      <c r="K10" s="17">
        <v>513</v>
      </c>
      <c r="L10" s="17">
        <v>2</v>
      </c>
      <c r="M10" s="17">
        <v>984</v>
      </c>
      <c r="N10" s="28">
        <v>1332</v>
      </c>
      <c r="O10" s="28">
        <v>2446</v>
      </c>
      <c r="P10" s="28">
        <v>10200</v>
      </c>
    </row>
    <row r="11" spans="1:17" x14ac:dyDescent="0.2">
      <c r="A11" t="s">
        <v>1102</v>
      </c>
      <c r="E11" s="80"/>
      <c r="F11" t="s">
        <v>1105</v>
      </c>
      <c r="G11" s="28">
        <v>3993</v>
      </c>
      <c r="H11" s="28">
        <v>2287</v>
      </c>
      <c r="I11" s="17">
        <v>611</v>
      </c>
      <c r="J11" s="17">
        <v>33</v>
      </c>
      <c r="K11" s="17">
        <v>212</v>
      </c>
      <c r="L11" s="17">
        <v>2</v>
      </c>
      <c r="M11" s="17">
        <v>417</v>
      </c>
      <c r="N11" s="17">
        <v>431</v>
      </c>
      <c r="O11" s="17">
        <v>912</v>
      </c>
      <c r="P11" s="28">
        <v>3081</v>
      </c>
    </row>
    <row r="12" spans="1:17" x14ac:dyDescent="0.2">
      <c r="A12" t="s">
        <v>1104</v>
      </c>
      <c r="E12" s="80"/>
      <c r="F12" s="21" t="s">
        <v>1109</v>
      </c>
      <c r="G12" s="28">
        <v>12884</v>
      </c>
      <c r="H12" s="28">
        <v>10225</v>
      </c>
      <c r="I12" s="17">
        <v>466</v>
      </c>
      <c r="J12" s="17">
        <v>37</v>
      </c>
      <c r="K12" s="17">
        <v>412</v>
      </c>
      <c r="L12" s="17">
        <v>5</v>
      </c>
      <c r="M12" s="17">
        <v>585</v>
      </c>
      <c r="N12" s="28">
        <v>1154</v>
      </c>
      <c r="O12" s="28">
        <v>1664</v>
      </c>
      <c r="P12" s="28">
        <v>11220</v>
      </c>
    </row>
    <row r="13" spans="1:17" x14ac:dyDescent="0.2">
      <c r="A13" t="s">
        <v>1108</v>
      </c>
      <c r="E13" s="80"/>
      <c r="F13" t="s">
        <v>1113</v>
      </c>
      <c r="G13" s="28">
        <v>3075</v>
      </c>
      <c r="H13" s="28">
        <v>2598</v>
      </c>
      <c r="I13" s="17">
        <v>82</v>
      </c>
      <c r="J13" s="17">
        <v>9</v>
      </c>
      <c r="K13" s="17">
        <v>51</v>
      </c>
      <c r="L13" s="17">
        <v>3</v>
      </c>
      <c r="M13" s="17">
        <v>65</v>
      </c>
      <c r="N13" s="17">
        <v>267</v>
      </c>
      <c r="O13" s="17">
        <v>277</v>
      </c>
      <c r="P13" s="28">
        <v>2798</v>
      </c>
    </row>
    <row r="14" spans="1:17" x14ac:dyDescent="0.2">
      <c r="A14" t="s">
        <v>1112</v>
      </c>
      <c r="E14" s="80"/>
      <c r="F14" t="s">
        <v>1115</v>
      </c>
      <c r="G14" s="28">
        <v>9130</v>
      </c>
      <c r="H14" s="28">
        <v>7187</v>
      </c>
      <c r="I14" s="17">
        <v>390</v>
      </c>
      <c r="J14" s="17">
        <v>38</v>
      </c>
      <c r="K14" s="17">
        <v>152</v>
      </c>
      <c r="L14" s="17">
        <v>1</v>
      </c>
      <c r="M14" s="17">
        <v>439</v>
      </c>
      <c r="N14" s="17">
        <v>923</v>
      </c>
      <c r="O14" s="28">
        <v>1370</v>
      </c>
      <c r="P14" s="28">
        <v>7760</v>
      </c>
    </row>
    <row r="15" spans="1:17" x14ac:dyDescent="0.2">
      <c r="A15" t="s">
        <v>1114</v>
      </c>
      <c r="E15" s="80"/>
      <c r="F15" t="s">
        <v>1117</v>
      </c>
      <c r="G15" s="28">
        <v>7509</v>
      </c>
      <c r="H15" s="28">
        <v>6083</v>
      </c>
      <c r="I15" s="17">
        <v>240</v>
      </c>
      <c r="J15" s="17">
        <v>37</v>
      </c>
      <c r="K15" s="17">
        <v>334</v>
      </c>
      <c r="L15" s="17">
        <v>3</v>
      </c>
      <c r="M15" s="17">
        <v>188</v>
      </c>
      <c r="N15" s="17">
        <v>624</v>
      </c>
      <c r="O15" s="17">
        <v>657</v>
      </c>
      <c r="P15" s="28">
        <v>6852</v>
      </c>
    </row>
    <row r="16" spans="1:17" x14ac:dyDescent="0.2">
      <c r="A16" t="s">
        <v>1116</v>
      </c>
      <c r="E16" s="80"/>
      <c r="F16" t="s">
        <v>1118</v>
      </c>
      <c r="G16" s="28">
        <v>14571</v>
      </c>
      <c r="H16" s="28">
        <v>10315</v>
      </c>
      <c r="I16" s="28">
        <v>1026</v>
      </c>
      <c r="J16" s="17">
        <v>68</v>
      </c>
      <c r="K16" s="17">
        <v>491</v>
      </c>
      <c r="L16" s="17">
        <v>3</v>
      </c>
      <c r="M16" s="28">
        <v>1196</v>
      </c>
      <c r="N16" s="28">
        <v>1472</v>
      </c>
      <c r="O16" s="28">
        <v>3133</v>
      </c>
      <c r="P16" s="28">
        <v>11438</v>
      </c>
    </row>
    <row r="17" spans="1:16" x14ac:dyDescent="0.2">
      <c r="E17" s="80"/>
      <c r="F17" t="s">
        <v>1120</v>
      </c>
      <c r="G17" s="28">
        <v>5777</v>
      </c>
      <c r="H17" s="28">
        <v>4230</v>
      </c>
      <c r="I17" s="17">
        <v>303</v>
      </c>
      <c r="J17" s="17">
        <v>31</v>
      </c>
      <c r="K17" s="17">
        <v>185</v>
      </c>
      <c r="L17" s="17">
        <v>2</v>
      </c>
      <c r="M17" s="17">
        <v>509</v>
      </c>
      <c r="N17" s="17">
        <v>517</v>
      </c>
      <c r="O17" s="28">
        <v>1205</v>
      </c>
      <c r="P17" s="28">
        <v>4572</v>
      </c>
    </row>
    <row r="18" spans="1:16" x14ac:dyDescent="0.2">
      <c r="A18" s="84" t="s">
        <v>1119</v>
      </c>
      <c r="B18" s="80"/>
      <c r="E18" s="80"/>
      <c r="F18" t="s">
        <v>1123</v>
      </c>
      <c r="G18" s="28">
        <v>4689</v>
      </c>
      <c r="H18" s="28">
        <v>3828</v>
      </c>
      <c r="I18" s="17">
        <v>164</v>
      </c>
      <c r="J18" s="17">
        <v>17</v>
      </c>
      <c r="K18" s="17">
        <v>55</v>
      </c>
      <c r="L18" s="17">
        <v>0</v>
      </c>
      <c r="M18" s="17">
        <v>229</v>
      </c>
      <c r="N18" s="17">
        <v>396</v>
      </c>
      <c r="O18" s="17">
        <v>626</v>
      </c>
      <c r="P18" s="28">
        <v>4063</v>
      </c>
    </row>
    <row r="19" spans="1:16" x14ac:dyDescent="0.2">
      <c r="A19" t="s">
        <v>1121</v>
      </c>
      <c r="B19" t="s">
        <v>1211</v>
      </c>
      <c r="E19" s="80"/>
      <c r="F19" t="s">
        <v>1124</v>
      </c>
      <c r="G19" s="28">
        <v>5489</v>
      </c>
      <c r="H19" s="28">
        <v>4274</v>
      </c>
      <c r="I19" s="17">
        <v>189</v>
      </c>
      <c r="J19" s="17">
        <v>20</v>
      </c>
      <c r="K19" s="17">
        <v>204</v>
      </c>
      <c r="L19" s="17">
        <v>0</v>
      </c>
      <c r="M19" s="17">
        <v>227</v>
      </c>
      <c r="N19" s="17">
        <v>575</v>
      </c>
      <c r="O19" s="17">
        <v>797</v>
      </c>
      <c r="P19" s="28">
        <v>4692</v>
      </c>
    </row>
    <row r="20" spans="1:16" x14ac:dyDescent="0.2">
      <c r="E20" s="80"/>
      <c r="F20" s="15" t="s">
        <v>1126</v>
      </c>
      <c r="G20" s="28">
        <v>12939</v>
      </c>
      <c r="H20" s="28">
        <v>8655</v>
      </c>
      <c r="I20" s="28">
        <v>1435</v>
      </c>
      <c r="J20" s="17">
        <v>137</v>
      </c>
      <c r="K20" s="17">
        <v>613</v>
      </c>
      <c r="L20" s="17">
        <v>31</v>
      </c>
      <c r="M20" s="17">
        <v>893</v>
      </c>
      <c r="N20" s="28">
        <v>1175</v>
      </c>
      <c r="O20" s="28">
        <v>2066</v>
      </c>
      <c r="P20" s="28">
        <v>10873</v>
      </c>
    </row>
    <row r="21" spans="1:16" x14ac:dyDescent="0.2">
      <c r="A21" s="84" t="s">
        <v>1125</v>
      </c>
      <c r="B21" s="80"/>
      <c r="E21" s="80"/>
      <c r="F21" s="15" t="s">
        <v>1137</v>
      </c>
      <c r="G21" s="28">
        <v>3684</v>
      </c>
      <c r="H21" s="28">
        <v>2100</v>
      </c>
      <c r="I21" s="17">
        <v>561</v>
      </c>
      <c r="J21" s="17">
        <v>54</v>
      </c>
      <c r="K21" s="17">
        <v>110</v>
      </c>
      <c r="L21" s="17">
        <v>3</v>
      </c>
      <c r="M21" s="17">
        <v>441</v>
      </c>
      <c r="N21" s="17">
        <v>415</v>
      </c>
      <c r="O21" s="17">
        <v>947</v>
      </c>
      <c r="P21" s="28">
        <v>2737</v>
      </c>
    </row>
    <row r="22" spans="1:16" x14ac:dyDescent="0.2">
      <c r="A22" t="s">
        <v>1135</v>
      </c>
      <c r="B22" t="s">
        <v>1243</v>
      </c>
      <c r="E22" s="80"/>
      <c r="F22" s="15" t="s">
        <v>1146</v>
      </c>
      <c r="G22" s="28">
        <v>30345</v>
      </c>
      <c r="H22" s="28">
        <v>9983</v>
      </c>
      <c r="I22" s="28">
        <v>7116</v>
      </c>
      <c r="J22" s="17">
        <v>424</v>
      </c>
      <c r="K22" s="28">
        <v>1165</v>
      </c>
      <c r="L22" s="17">
        <v>14</v>
      </c>
      <c r="M22" s="28">
        <v>7284</v>
      </c>
      <c r="N22" s="28">
        <v>4359</v>
      </c>
      <c r="O22" s="28">
        <v>13243</v>
      </c>
      <c r="P22" s="28">
        <v>17102</v>
      </c>
    </row>
    <row r="23" spans="1:16" x14ac:dyDescent="0.2">
      <c r="E23" s="80"/>
      <c r="F23" s="15" t="s">
        <v>1150</v>
      </c>
      <c r="G23" s="28">
        <v>4621</v>
      </c>
      <c r="H23" s="28">
        <v>3829</v>
      </c>
      <c r="I23" s="17">
        <v>177</v>
      </c>
      <c r="J23" s="17">
        <v>8</v>
      </c>
      <c r="K23" s="17">
        <v>49</v>
      </c>
      <c r="L23" s="17">
        <v>0</v>
      </c>
      <c r="M23" s="17">
        <v>188</v>
      </c>
      <c r="N23" s="17">
        <v>370</v>
      </c>
      <c r="O23" s="17">
        <v>618</v>
      </c>
      <c r="P23" s="28">
        <v>4003</v>
      </c>
    </row>
    <row r="24" spans="1:16" x14ac:dyDescent="0.2">
      <c r="E24" s="80"/>
      <c r="F24" t="s">
        <v>1154</v>
      </c>
      <c r="G24" s="17">
        <v>592</v>
      </c>
      <c r="H24" s="17">
        <v>505</v>
      </c>
      <c r="I24" s="17">
        <v>27</v>
      </c>
      <c r="J24" s="17">
        <v>0</v>
      </c>
      <c r="K24" s="17">
        <v>4</v>
      </c>
      <c r="L24" s="17">
        <v>0</v>
      </c>
      <c r="M24" s="17">
        <v>23</v>
      </c>
      <c r="N24" s="17">
        <v>33</v>
      </c>
      <c r="O24" s="17">
        <v>53</v>
      </c>
      <c r="P24" s="17">
        <v>539</v>
      </c>
    </row>
    <row r="25" spans="1:16" x14ac:dyDescent="0.2">
      <c r="E25" s="80"/>
      <c r="F25" s="15" t="s">
        <v>1158</v>
      </c>
      <c r="G25" s="28">
        <v>21387</v>
      </c>
      <c r="H25" s="28">
        <v>13246</v>
      </c>
      <c r="I25" s="28">
        <v>1685</v>
      </c>
      <c r="J25" s="17">
        <v>137</v>
      </c>
      <c r="K25" s="28">
        <v>1221</v>
      </c>
      <c r="L25" s="17">
        <v>6</v>
      </c>
      <c r="M25" s="28">
        <v>2833</v>
      </c>
      <c r="N25" s="28">
        <v>2259</v>
      </c>
      <c r="O25" s="28">
        <v>5342</v>
      </c>
      <c r="P25" s="28">
        <v>16045</v>
      </c>
    </row>
    <row r="26" spans="1:16" x14ac:dyDescent="0.2">
      <c r="E26" s="80"/>
      <c r="F26" s="15" t="s">
        <v>1244</v>
      </c>
      <c r="G26" s="28">
        <v>2714</v>
      </c>
      <c r="H26" s="28">
        <v>1247</v>
      </c>
      <c r="I26" s="17">
        <v>495</v>
      </c>
      <c r="J26" s="17">
        <v>9</v>
      </c>
      <c r="K26" s="17">
        <v>258</v>
      </c>
      <c r="L26" s="17">
        <v>5</v>
      </c>
      <c r="M26" s="17">
        <v>364</v>
      </c>
      <c r="N26" s="17">
        <v>336</v>
      </c>
      <c r="O26" s="17">
        <v>783</v>
      </c>
      <c r="P26" s="28">
        <v>1931</v>
      </c>
    </row>
    <row r="27" spans="1:16" x14ac:dyDescent="0.2">
      <c r="A27" s="82"/>
      <c r="B27" s="80"/>
      <c r="E27" s="80"/>
      <c r="F27" s="15" t="s">
        <v>1164</v>
      </c>
      <c r="G27" s="28">
        <v>9343</v>
      </c>
      <c r="H27" s="28">
        <v>5528</v>
      </c>
      <c r="I27" s="17">
        <v>699</v>
      </c>
      <c r="J27" s="17">
        <v>64</v>
      </c>
      <c r="K27" s="17">
        <v>530</v>
      </c>
      <c r="L27" s="17">
        <v>0</v>
      </c>
      <c r="M27" s="28">
        <v>1544</v>
      </c>
      <c r="N27" s="17">
        <v>978</v>
      </c>
      <c r="O27" s="28">
        <v>2790</v>
      </c>
      <c r="P27" s="28">
        <v>6553</v>
      </c>
    </row>
    <row r="28" spans="1:16" x14ac:dyDescent="0.2">
      <c r="E28" s="80"/>
      <c r="F28" s="15" t="s">
        <v>1166</v>
      </c>
      <c r="G28" s="28">
        <v>23322</v>
      </c>
      <c r="H28" s="28">
        <v>16894</v>
      </c>
      <c r="I28" s="28">
        <v>1842</v>
      </c>
      <c r="J28" s="17">
        <v>117</v>
      </c>
      <c r="K28" s="17">
        <v>414</v>
      </c>
      <c r="L28" s="17">
        <v>6</v>
      </c>
      <c r="M28" s="28">
        <v>1562</v>
      </c>
      <c r="N28" s="28">
        <v>2487</v>
      </c>
      <c r="O28" s="28">
        <v>4320</v>
      </c>
      <c r="P28" s="28">
        <v>19002</v>
      </c>
    </row>
    <row r="29" spans="1:16" x14ac:dyDescent="0.2">
      <c r="E29" s="80"/>
      <c r="F29" s="15" t="s">
        <v>1168</v>
      </c>
      <c r="G29" s="28">
        <v>3150</v>
      </c>
      <c r="H29" s="28">
        <v>1930</v>
      </c>
      <c r="I29" s="17">
        <v>461</v>
      </c>
      <c r="J29" s="17">
        <v>11</v>
      </c>
      <c r="K29" s="17">
        <v>43</v>
      </c>
      <c r="L29" s="17">
        <v>0</v>
      </c>
      <c r="M29" s="17">
        <v>286</v>
      </c>
      <c r="N29" s="17">
        <v>419</v>
      </c>
      <c r="O29" s="17">
        <v>803</v>
      </c>
      <c r="P29" s="28">
        <v>2347</v>
      </c>
    </row>
    <row r="30" spans="1:16" x14ac:dyDescent="0.2">
      <c r="E30" s="80"/>
      <c r="F30" s="15" t="s">
        <v>1170</v>
      </c>
      <c r="G30" s="28">
        <v>3834</v>
      </c>
      <c r="H30" s="28">
        <v>2896</v>
      </c>
      <c r="I30" s="17">
        <v>275</v>
      </c>
      <c r="J30" s="17">
        <v>9</v>
      </c>
      <c r="K30" s="17">
        <v>61</v>
      </c>
      <c r="L30" s="17">
        <v>0</v>
      </c>
      <c r="M30" s="17">
        <v>181</v>
      </c>
      <c r="N30" s="17">
        <v>412</v>
      </c>
      <c r="O30" s="17">
        <v>620</v>
      </c>
      <c r="P30" s="28">
        <v>3214</v>
      </c>
    </row>
    <row r="31" spans="1:16" x14ac:dyDescent="0.2">
      <c r="E31" s="80"/>
      <c r="F31" s="15" t="s">
        <v>1172</v>
      </c>
      <c r="G31" s="28">
        <v>6818</v>
      </c>
      <c r="H31" s="28">
        <v>4533</v>
      </c>
      <c r="I31" s="17">
        <v>680</v>
      </c>
      <c r="J31" s="17">
        <v>55</v>
      </c>
      <c r="K31" s="17">
        <v>130</v>
      </c>
      <c r="L31" s="17">
        <v>5</v>
      </c>
      <c r="M31" s="17">
        <v>588</v>
      </c>
      <c r="N31" s="17">
        <v>827</v>
      </c>
      <c r="O31" s="28">
        <v>1596</v>
      </c>
      <c r="P31" s="28">
        <v>5222</v>
      </c>
    </row>
    <row r="32" spans="1:16" x14ac:dyDescent="0.2">
      <c r="E32" s="80"/>
      <c r="F32" t="s">
        <v>1174</v>
      </c>
      <c r="G32" s="28">
        <v>6537</v>
      </c>
      <c r="H32" s="28">
        <v>4474</v>
      </c>
      <c r="I32" s="17">
        <v>824</v>
      </c>
      <c r="J32" s="17">
        <v>28</v>
      </c>
      <c r="K32" s="17">
        <v>312</v>
      </c>
      <c r="L32" s="17">
        <v>0</v>
      </c>
      <c r="M32" s="17">
        <v>387</v>
      </c>
      <c r="N32" s="17">
        <v>512</v>
      </c>
      <c r="O32" s="28">
        <v>1143</v>
      </c>
      <c r="P32" s="28">
        <v>5394</v>
      </c>
    </row>
    <row r="33" spans="5:16" x14ac:dyDescent="0.2">
      <c r="E33" s="80"/>
      <c r="F33" s="15" t="s">
        <v>1178</v>
      </c>
      <c r="G33" s="17">
        <v>969</v>
      </c>
      <c r="H33" s="17">
        <v>719</v>
      </c>
      <c r="I33" s="17">
        <v>52</v>
      </c>
      <c r="J33" s="17">
        <v>3</v>
      </c>
      <c r="K33" s="17">
        <v>72</v>
      </c>
      <c r="L33" s="17">
        <v>0</v>
      </c>
      <c r="M33" s="17">
        <v>34</v>
      </c>
      <c r="N33" s="17">
        <v>89</v>
      </c>
      <c r="O33" s="17">
        <v>159</v>
      </c>
      <c r="P33" s="17">
        <v>810</v>
      </c>
    </row>
    <row r="34" spans="5:16" x14ac:dyDescent="0.2">
      <c r="E34" s="80"/>
      <c r="F34" s="15" t="s">
        <v>1180</v>
      </c>
      <c r="G34" s="28">
        <v>28856</v>
      </c>
      <c r="H34" s="28">
        <v>6554</v>
      </c>
      <c r="I34" s="28">
        <v>8167</v>
      </c>
      <c r="J34" s="17">
        <v>656</v>
      </c>
      <c r="K34" s="17">
        <v>260</v>
      </c>
      <c r="L34" s="17">
        <v>24</v>
      </c>
      <c r="M34" s="28">
        <v>9737</v>
      </c>
      <c r="N34" s="28">
        <v>3458</v>
      </c>
      <c r="O34" s="28">
        <v>15085</v>
      </c>
      <c r="P34" s="28">
        <v>13771</v>
      </c>
    </row>
    <row r="35" spans="5:16" x14ac:dyDescent="0.2">
      <c r="E35" s="80"/>
      <c r="F35" s="15" t="s">
        <v>1182</v>
      </c>
      <c r="G35" s="28">
        <v>31985</v>
      </c>
      <c r="H35" s="28">
        <v>19719</v>
      </c>
      <c r="I35" s="28">
        <v>4462</v>
      </c>
      <c r="J35" s="17">
        <v>281</v>
      </c>
      <c r="K35" s="17">
        <v>948</v>
      </c>
      <c r="L35" s="17">
        <v>5</v>
      </c>
      <c r="M35" s="28">
        <v>3084</v>
      </c>
      <c r="N35" s="28">
        <v>3486</v>
      </c>
      <c r="O35" s="28">
        <v>7066</v>
      </c>
      <c r="P35" s="28">
        <v>24919</v>
      </c>
    </row>
    <row r="36" spans="5:16" x14ac:dyDescent="0.2">
      <c r="E36" s="80"/>
      <c r="F36" s="15" t="s">
        <v>1184</v>
      </c>
      <c r="G36" s="28">
        <v>27805</v>
      </c>
      <c r="H36" s="28">
        <v>15819</v>
      </c>
      <c r="I36" s="28">
        <v>4346</v>
      </c>
      <c r="J36" s="17">
        <v>194</v>
      </c>
      <c r="K36" s="28">
        <v>1084</v>
      </c>
      <c r="L36" s="17">
        <v>21</v>
      </c>
      <c r="M36" s="28">
        <v>3109</v>
      </c>
      <c r="N36" s="28">
        <v>3232</v>
      </c>
      <c r="O36" s="28">
        <v>7100</v>
      </c>
      <c r="P36" s="28">
        <v>20705</v>
      </c>
    </row>
    <row r="37" spans="5:16" x14ac:dyDescent="0.2">
      <c r="E37" s="80"/>
      <c r="F37" s="15" t="s">
        <v>1186</v>
      </c>
      <c r="G37" s="28">
        <v>32954</v>
      </c>
      <c r="H37" s="28">
        <v>23305</v>
      </c>
      <c r="I37" s="17">
        <v>58</v>
      </c>
      <c r="J37" s="17">
        <v>20</v>
      </c>
      <c r="K37" s="17">
        <v>18</v>
      </c>
      <c r="L37" s="17">
        <v>14</v>
      </c>
      <c r="M37" s="28">
        <v>8803</v>
      </c>
      <c r="N37" s="17">
        <v>736</v>
      </c>
      <c r="O37" s="17">
        <v>465</v>
      </c>
      <c r="P37" s="28">
        <v>32489</v>
      </c>
    </row>
    <row r="38" spans="5:16" x14ac:dyDescent="0.2">
      <c r="E38" s="80"/>
      <c r="F38" t="s">
        <v>1188</v>
      </c>
      <c r="G38" s="28">
        <v>32954</v>
      </c>
      <c r="H38" s="28">
        <v>23305</v>
      </c>
      <c r="I38" s="17">
        <v>58</v>
      </c>
      <c r="J38" s="17">
        <v>20</v>
      </c>
      <c r="K38" s="17">
        <v>18</v>
      </c>
      <c r="L38" s="17">
        <v>14</v>
      </c>
      <c r="M38" s="28">
        <v>8803</v>
      </c>
      <c r="N38" s="17">
        <v>736</v>
      </c>
      <c r="O38" s="17">
        <v>465</v>
      </c>
      <c r="P38" s="28">
        <v>32489</v>
      </c>
    </row>
    <row r="39" spans="5:16" x14ac:dyDescent="0.2">
      <c r="E39" s="80"/>
      <c r="F39" t="s">
        <v>1191</v>
      </c>
      <c r="G39" s="28">
        <v>8775</v>
      </c>
      <c r="H39" s="28">
        <v>6201</v>
      </c>
      <c r="I39" s="17">
        <v>803</v>
      </c>
      <c r="J39" s="17">
        <v>47</v>
      </c>
      <c r="K39" s="17">
        <v>187</v>
      </c>
      <c r="L39" s="17">
        <v>2</v>
      </c>
      <c r="M39" s="17">
        <v>606</v>
      </c>
      <c r="N39" s="17">
        <v>929</v>
      </c>
      <c r="O39" s="28">
        <v>1311</v>
      </c>
      <c r="P39" s="28">
        <v>7464</v>
      </c>
    </row>
    <row r="40" spans="5:16" x14ac:dyDescent="0.2">
      <c r="E40" s="80"/>
      <c r="F40" t="s">
        <v>1195</v>
      </c>
      <c r="G40" s="28">
        <v>3811</v>
      </c>
      <c r="H40" s="28">
        <v>2948</v>
      </c>
      <c r="I40" s="17">
        <v>186</v>
      </c>
      <c r="J40" s="17">
        <v>3</v>
      </c>
      <c r="K40" s="17">
        <v>193</v>
      </c>
      <c r="L40" s="17">
        <v>0</v>
      </c>
      <c r="M40" s="17">
        <v>183</v>
      </c>
      <c r="N40" s="17">
        <v>298</v>
      </c>
      <c r="O40" s="17">
        <v>466</v>
      </c>
      <c r="P40" s="28">
        <v>3345</v>
      </c>
    </row>
    <row r="41" spans="5:16" x14ac:dyDescent="0.2">
      <c r="E41" s="80"/>
      <c r="F41" t="s">
        <v>1200</v>
      </c>
      <c r="G41" s="17">
        <v>645</v>
      </c>
      <c r="H41" s="17">
        <v>535</v>
      </c>
      <c r="I41" s="17">
        <v>7</v>
      </c>
      <c r="J41" s="17">
        <v>0</v>
      </c>
      <c r="K41" s="17">
        <v>47</v>
      </c>
      <c r="L41" s="17">
        <v>0</v>
      </c>
      <c r="M41" s="17">
        <v>6</v>
      </c>
      <c r="N41" s="17">
        <v>50</v>
      </c>
      <c r="O41" s="17">
        <v>41</v>
      </c>
      <c r="P41" s="17">
        <v>604</v>
      </c>
    </row>
    <row r="42" spans="5:16" x14ac:dyDescent="0.2">
      <c r="E42" s="80"/>
      <c r="F42" t="s">
        <v>1201</v>
      </c>
      <c r="G42" s="28">
        <v>30486</v>
      </c>
      <c r="H42" s="28">
        <v>14858</v>
      </c>
      <c r="I42" s="28">
        <v>6244</v>
      </c>
      <c r="J42" s="17">
        <v>250</v>
      </c>
      <c r="K42" s="28">
        <v>1320</v>
      </c>
      <c r="L42" s="17">
        <v>16</v>
      </c>
      <c r="M42" s="28">
        <v>4025</v>
      </c>
      <c r="N42" s="28">
        <v>3773</v>
      </c>
      <c r="O42" s="28">
        <v>8492</v>
      </c>
      <c r="P42" s="28">
        <v>21994</v>
      </c>
    </row>
    <row r="43" spans="5:16" x14ac:dyDescent="0.2">
      <c r="E43" s="80"/>
      <c r="F43" t="s">
        <v>1202</v>
      </c>
      <c r="G43" s="28">
        <v>32027</v>
      </c>
      <c r="H43" s="28">
        <v>25384</v>
      </c>
      <c r="I43" s="28">
        <v>1377</v>
      </c>
      <c r="J43" s="17">
        <v>141</v>
      </c>
      <c r="K43" s="17">
        <v>643</v>
      </c>
      <c r="L43" s="17">
        <v>7</v>
      </c>
      <c r="M43" s="28">
        <v>1643</v>
      </c>
      <c r="N43" s="28">
        <v>2832</v>
      </c>
      <c r="O43" s="28">
        <v>4429</v>
      </c>
      <c r="P43" s="28">
        <v>27598</v>
      </c>
    </row>
    <row r="44" spans="5:16" x14ac:dyDescent="0.2">
      <c r="E44" s="80"/>
      <c r="F44" t="s">
        <v>1203</v>
      </c>
      <c r="G44" s="28">
        <v>2888</v>
      </c>
      <c r="H44" s="28">
        <v>2116</v>
      </c>
      <c r="I44" s="17">
        <v>236</v>
      </c>
      <c r="J44" s="17">
        <v>18</v>
      </c>
      <c r="K44" s="17">
        <v>71</v>
      </c>
      <c r="L44" s="17">
        <v>0</v>
      </c>
      <c r="M44" s="17">
        <v>166</v>
      </c>
      <c r="N44" s="17">
        <v>281</v>
      </c>
      <c r="O44" s="17">
        <v>510</v>
      </c>
      <c r="P44" s="28">
        <v>2378</v>
      </c>
    </row>
    <row r="45" spans="5:16" x14ac:dyDescent="0.2">
      <c r="E45" s="80"/>
      <c r="F45" t="s">
        <v>1204</v>
      </c>
      <c r="G45" s="28">
        <v>2994</v>
      </c>
      <c r="H45" s="28">
        <v>2452</v>
      </c>
      <c r="I45" s="17">
        <v>50</v>
      </c>
      <c r="J45" s="17">
        <v>11</v>
      </c>
      <c r="K45" s="17">
        <v>41</v>
      </c>
      <c r="L45" s="17">
        <v>4</v>
      </c>
      <c r="M45" s="17">
        <v>130</v>
      </c>
      <c r="N45" s="17">
        <v>306</v>
      </c>
      <c r="O45" s="17">
        <v>413</v>
      </c>
      <c r="P45" s="28">
        <v>2581</v>
      </c>
    </row>
    <row r="46" spans="5:16" x14ac:dyDescent="0.2">
      <c r="E46" s="80"/>
      <c r="F46" t="s">
        <v>1205</v>
      </c>
      <c r="G46" s="28">
        <v>6652</v>
      </c>
      <c r="H46" s="28">
        <v>5568</v>
      </c>
      <c r="I46" s="17">
        <v>182</v>
      </c>
      <c r="J46" s="17">
        <v>36</v>
      </c>
      <c r="K46" s="17">
        <v>94</v>
      </c>
      <c r="L46" s="17">
        <v>0</v>
      </c>
      <c r="M46" s="17">
        <v>247</v>
      </c>
      <c r="N46" s="17">
        <v>525</v>
      </c>
      <c r="O46" s="17">
        <v>826</v>
      </c>
      <c r="P46" s="28">
        <v>5826</v>
      </c>
    </row>
    <row r="47" spans="5:16" x14ac:dyDescent="0.2">
      <c r="E47" s="80"/>
      <c r="F47" t="s">
        <v>1206</v>
      </c>
      <c r="G47" s="28">
        <v>7534</v>
      </c>
      <c r="H47" s="28">
        <v>5546</v>
      </c>
      <c r="I47" s="17">
        <v>498</v>
      </c>
      <c r="J47" s="17">
        <v>22</v>
      </c>
      <c r="K47" s="17">
        <v>194</v>
      </c>
      <c r="L47" s="17">
        <v>0</v>
      </c>
      <c r="M47" s="17">
        <v>567</v>
      </c>
      <c r="N47" s="17">
        <v>707</v>
      </c>
      <c r="O47" s="28">
        <v>1335</v>
      </c>
      <c r="P47" s="28">
        <v>6199</v>
      </c>
    </row>
    <row r="48" spans="5:16" x14ac:dyDescent="0.2">
      <c r="E48" s="80"/>
      <c r="F48" t="s">
        <v>1207</v>
      </c>
      <c r="G48" s="28">
        <v>12197</v>
      </c>
      <c r="H48" s="28">
        <v>7446</v>
      </c>
      <c r="I48" s="28">
        <v>1121</v>
      </c>
      <c r="J48" s="17">
        <v>93</v>
      </c>
      <c r="K48" s="17">
        <v>827</v>
      </c>
      <c r="L48" s="17">
        <v>18</v>
      </c>
      <c r="M48" s="28">
        <v>1487</v>
      </c>
      <c r="N48" s="28">
        <v>1205</v>
      </c>
      <c r="O48" s="28">
        <v>2657</v>
      </c>
      <c r="P48" s="28">
        <v>9540</v>
      </c>
    </row>
    <row r="49" spans="5:16" x14ac:dyDescent="0.2">
      <c r="E49" s="80"/>
      <c r="F49" t="s">
        <v>1208</v>
      </c>
      <c r="G49" s="28">
        <v>11526</v>
      </c>
      <c r="H49" s="28">
        <v>7226</v>
      </c>
      <c r="I49" s="17">
        <v>942</v>
      </c>
      <c r="J49" s="17">
        <v>92</v>
      </c>
      <c r="K49" s="17">
        <v>720</v>
      </c>
      <c r="L49" s="17">
        <v>15</v>
      </c>
      <c r="M49" s="28">
        <v>1389</v>
      </c>
      <c r="N49" s="28">
        <v>1142</v>
      </c>
      <c r="O49" s="28">
        <v>2458</v>
      </c>
      <c r="P49" s="28">
        <v>9068</v>
      </c>
    </row>
    <row r="50" spans="5:16" x14ac:dyDescent="0.2">
      <c r="E50" s="80"/>
    </row>
    <row r="51" spans="5:16" x14ac:dyDescent="0.2">
      <c r="E51" s="80"/>
    </row>
    <row r="52" spans="5:16" x14ac:dyDescent="0.2">
      <c r="E52" s="80"/>
    </row>
    <row r="53" spans="5:16" x14ac:dyDescent="0.2">
      <c r="E53" s="80"/>
    </row>
    <row r="54" spans="5:16" x14ac:dyDescent="0.2">
      <c r="E54" s="80"/>
    </row>
    <row r="55" spans="5:16" x14ac:dyDescent="0.2">
      <c r="E55" s="80"/>
    </row>
    <row r="56" spans="5:16" x14ac:dyDescent="0.2">
      <c r="E56" s="80"/>
    </row>
    <row r="57" spans="5:16"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1077</v>
      </c>
      <c r="B1" s="79" t="s">
        <v>36</v>
      </c>
      <c r="C1" s="80"/>
      <c r="D1" s="80"/>
      <c r="E1" s="80"/>
      <c r="F1" s="80"/>
      <c r="G1" s="80"/>
      <c r="H1" s="80"/>
      <c r="I1" s="80"/>
      <c r="J1" s="80"/>
      <c r="K1" s="80"/>
      <c r="L1" s="80"/>
      <c r="M1" s="80"/>
      <c r="N1" s="80"/>
      <c r="O1" s="80"/>
    </row>
    <row r="2" spans="1:22" x14ac:dyDescent="0.2">
      <c r="A2" s="16" t="s">
        <v>1078</v>
      </c>
      <c r="B2" t="s">
        <v>1079</v>
      </c>
    </row>
    <row r="3" spans="1:22" x14ac:dyDescent="0.2">
      <c r="A3" s="16" t="s">
        <v>1080</v>
      </c>
      <c r="B3" t="str">
        <f>IF($B$1="","",_xlfn.XLOOKUP($B$1,Master!$F$2:$F$321,Master!$G$2:$G$321,""))</f>
        <v>tbl-employed-civilians-industry</v>
      </c>
    </row>
    <row r="4" spans="1:22" x14ac:dyDescent="0.2">
      <c r="A4" s="16" t="s">
        <v>7</v>
      </c>
      <c r="B4" t="str">
        <f>IF($B$1="","",_xlfn.XLOOKUP($B$1,Master!$F$2:$F$321,Master!$H$2:$H$321,""))</f>
        <v>fig-employed-civilians-industry</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c r="S4" s="10" t="s">
        <v>973</v>
      </c>
      <c r="T4" s="10" t="s">
        <v>973</v>
      </c>
    </row>
    <row r="5" spans="1:22" x14ac:dyDescent="0.2">
      <c r="A5" s="84" t="s">
        <v>1081</v>
      </c>
      <c r="B5" s="80"/>
      <c r="E5" s="83" t="s">
        <v>1082</v>
      </c>
      <c r="F5" s="86" t="s">
        <v>1083</v>
      </c>
      <c r="G5" s="86" t="s">
        <v>1245</v>
      </c>
      <c r="H5" s="82" t="s">
        <v>1246</v>
      </c>
      <c r="I5" s="80"/>
      <c r="J5" s="80"/>
      <c r="K5" s="80"/>
      <c r="L5" s="80"/>
      <c r="M5" s="80"/>
      <c r="N5" s="80"/>
      <c r="O5" s="80"/>
      <c r="P5" s="80"/>
      <c r="Q5" s="80"/>
      <c r="R5" s="80"/>
      <c r="S5" s="80"/>
      <c r="T5" s="80"/>
    </row>
    <row r="6" spans="1:22" ht="15" customHeight="1" x14ac:dyDescent="0.2">
      <c r="A6" t="s">
        <v>1088</v>
      </c>
      <c r="B6" t="b">
        <v>1</v>
      </c>
      <c r="E6" s="80"/>
      <c r="F6" s="80"/>
      <c r="G6" s="80"/>
      <c r="H6" s="35" t="s">
        <v>1247</v>
      </c>
      <c r="I6" s="35" t="s">
        <v>1248</v>
      </c>
      <c r="J6" s="35" t="s">
        <v>1249</v>
      </c>
      <c r="K6" s="35" t="s">
        <v>1250</v>
      </c>
      <c r="L6" s="35" t="s">
        <v>1251</v>
      </c>
      <c r="M6" s="35" t="s">
        <v>1252</v>
      </c>
      <c r="N6" s="35" t="s">
        <v>1253</v>
      </c>
      <c r="O6" s="35" t="s">
        <v>1254</v>
      </c>
      <c r="P6" s="35" t="s">
        <v>1255</v>
      </c>
      <c r="Q6" s="35" t="s">
        <v>1256</v>
      </c>
      <c r="R6" s="35" t="s">
        <v>1257</v>
      </c>
      <c r="S6" s="35" t="s">
        <v>1258</v>
      </c>
      <c r="T6" s="35" t="s">
        <v>1259</v>
      </c>
      <c r="V6" s="15"/>
    </row>
    <row r="7" spans="1:22" ht="15.75" customHeight="1" x14ac:dyDescent="0.2">
      <c r="E7" s="80"/>
      <c r="F7" s="16" t="s">
        <v>1096</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80"/>
      <c r="F8" s="16" t="s">
        <v>1097</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4" t="s">
        <v>1098</v>
      </c>
      <c r="B9" s="80"/>
      <c r="E9" s="80"/>
      <c r="F9" s="47" t="s">
        <v>1099</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1100</v>
      </c>
      <c r="E10" s="80"/>
      <c r="F10" s="47" t="s">
        <v>1101</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1102</v>
      </c>
      <c r="E11" s="80"/>
      <c r="F11" s="16" t="s">
        <v>1103</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1104</v>
      </c>
      <c r="E12" s="80"/>
      <c r="F12" s="49" t="s">
        <v>1105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1108</v>
      </c>
      <c r="E13" s="80"/>
      <c r="F13" s="24" t="s">
        <v>1109</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1112</v>
      </c>
      <c r="E14" s="80"/>
      <c r="F14" s="47" t="s">
        <v>1113</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1114</v>
      </c>
      <c r="E15" s="80"/>
      <c r="F15" s="16" t="s">
        <v>1115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1116</v>
      </c>
      <c r="E16" s="80"/>
      <c r="F16" s="16" t="s">
        <v>1117</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80"/>
      <c r="F17" s="16" t="s">
        <v>1118</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4" t="s">
        <v>1119</v>
      </c>
      <c r="B18" s="80"/>
      <c r="E18" s="80"/>
      <c r="F18" s="47" t="s">
        <v>1120</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1121</v>
      </c>
      <c r="B19" t="s">
        <v>1260</v>
      </c>
      <c r="E19" s="80"/>
      <c r="F19" s="16" t="s">
        <v>1123</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80"/>
      <c r="F20" s="16" t="s">
        <v>1124</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2" t="s">
        <v>1125</v>
      </c>
      <c r="B21" s="80"/>
      <c r="E21" s="80"/>
      <c r="F21" s="25" t="s">
        <v>1126</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1135</v>
      </c>
      <c r="B22" t="s">
        <v>1261</v>
      </c>
      <c r="E22" s="80"/>
      <c r="F22" s="47" t="s">
        <v>1137</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80"/>
      <c r="F23" s="25" t="s">
        <v>1146</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80"/>
      <c r="F24" s="25" t="s">
        <v>1150</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80"/>
      <c r="F25" s="49" t="s">
        <v>1154</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80"/>
      <c r="F26" s="27" t="s">
        <v>1158</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80"/>
      <c r="F27" s="47" t="s">
        <v>1162</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80"/>
      <c r="F28" s="47" t="s">
        <v>1164</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80"/>
      <c r="F29" s="25" t="s">
        <v>1166</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80"/>
      <c r="F30" s="47" t="s">
        <v>1168</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80"/>
      <c r="F31" s="47" t="s">
        <v>1170</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80"/>
      <c r="F32" s="47" t="s">
        <v>1172</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80"/>
      <c r="F33" s="16" t="s">
        <v>1174</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80"/>
      <c r="F34" s="47" t="s">
        <v>1178</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80"/>
      <c r="F35" s="25" t="s">
        <v>1180</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80"/>
      <c r="F36" s="25" t="s">
        <v>1182</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80"/>
      <c r="F37" s="25" t="s">
        <v>1184</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80"/>
      <c r="F38" s="25" t="s">
        <v>1186</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80"/>
      <c r="F39" s="49" t="s">
        <v>1188</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80"/>
      <c r="F40" s="26" t="s">
        <v>1191</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80"/>
      <c r="F41" s="16" t="s">
        <v>1195</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80"/>
      <c r="F42" s="47" t="s">
        <v>1199</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80"/>
      <c r="F43" s="47" t="s">
        <v>1200</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80"/>
      <c r="F44" s="16" t="s">
        <v>1201</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80"/>
      <c r="F45" s="16" t="s">
        <v>1202</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80"/>
      <c r="F46" s="47" t="s">
        <v>1203</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80"/>
      <c r="F47" s="47" t="s">
        <v>1204</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80"/>
      <c r="F48" s="47" t="s">
        <v>1205</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80"/>
      <c r="F49" s="16" t="s">
        <v>1206</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80"/>
      <c r="F50" s="16" t="s">
        <v>1207</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80"/>
      <c r="F51" s="47" t="s">
        <v>1162</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80"/>
      <c r="F52" s="47" t="s">
        <v>1208</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80"/>
    </row>
    <row r="54" spans="5:22" x14ac:dyDescent="0.2">
      <c r="E54" s="80"/>
    </row>
    <row r="55" spans="5:22" x14ac:dyDescent="0.2">
      <c r="E55" s="80"/>
    </row>
    <row r="56" spans="5:22" x14ac:dyDescent="0.2">
      <c r="E56" s="80"/>
    </row>
    <row r="57" spans="5:22" x14ac:dyDescent="0.2">
      <c r="E57" s="80"/>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1077</v>
      </c>
      <c r="B1" s="79" t="s">
        <v>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tbl-employed-civilian-occupations</v>
      </c>
    </row>
    <row r="4" spans="1:17" x14ac:dyDescent="0.2">
      <c r="A4" s="16" t="s">
        <v>7</v>
      </c>
      <c r="B4" t="str">
        <f>IF($B$1="","",_xlfn.XLOOKUP($B$1,Master!$F$2:$F$321,Master!$H$2:$H$321,""))</f>
        <v>fig-employed-civilian-occupations</v>
      </c>
      <c r="E4" s="8"/>
      <c r="F4" s="10" t="s">
        <v>1009</v>
      </c>
      <c r="G4" s="10" t="s">
        <v>973</v>
      </c>
      <c r="H4" s="10" t="s">
        <v>973</v>
      </c>
      <c r="I4" s="10" t="s">
        <v>973</v>
      </c>
      <c r="J4" s="10" t="s">
        <v>973</v>
      </c>
      <c r="K4" s="10" t="s">
        <v>973</v>
      </c>
      <c r="L4" s="10" t="s">
        <v>973</v>
      </c>
      <c r="M4" s="10"/>
      <c r="N4" s="10"/>
      <c r="O4" s="10"/>
      <c r="P4" s="10"/>
      <c r="Q4" s="10"/>
    </row>
    <row r="5" spans="1:17" x14ac:dyDescent="0.2">
      <c r="A5" s="84" t="s">
        <v>1081</v>
      </c>
      <c r="B5" s="80"/>
      <c r="E5" s="83" t="s">
        <v>1082</v>
      </c>
      <c r="F5" s="81" t="s">
        <v>1083</v>
      </c>
      <c r="G5" s="81" t="s">
        <v>1245</v>
      </c>
      <c r="H5" s="81" t="s">
        <v>1262</v>
      </c>
      <c r="I5" s="80"/>
      <c r="J5" s="80"/>
      <c r="K5" s="80"/>
      <c r="L5" s="80"/>
    </row>
    <row r="6" spans="1:17" ht="15" customHeight="1" x14ac:dyDescent="0.2">
      <c r="A6" t="s">
        <v>1088</v>
      </c>
      <c r="B6" t="b">
        <v>1</v>
      </c>
      <c r="E6" s="80"/>
      <c r="F6" s="80"/>
      <c r="G6" s="80"/>
      <c r="H6" s="17" t="s">
        <v>1263</v>
      </c>
      <c r="I6" s="17" t="s">
        <v>1264</v>
      </c>
      <c r="J6" s="17" t="s">
        <v>1265</v>
      </c>
      <c r="K6" s="17" t="s">
        <v>1266</v>
      </c>
      <c r="L6" s="17" t="s">
        <v>1267</v>
      </c>
    </row>
    <row r="7" spans="1:17" ht="15.75" customHeight="1" x14ac:dyDescent="0.2">
      <c r="E7" s="80"/>
      <c r="F7" s="16" t="s">
        <v>1096</v>
      </c>
      <c r="G7" s="28">
        <v>184167</v>
      </c>
      <c r="H7" s="28">
        <v>74036</v>
      </c>
      <c r="I7" s="28">
        <v>32806</v>
      </c>
      <c r="J7" s="28">
        <v>40121</v>
      </c>
      <c r="K7" s="28">
        <v>16708</v>
      </c>
      <c r="L7" s="28">
        <v>20496</v>
      </c>
      <c r="M7" s="15"/>
      <c r="N7" s="15"/>
      <c r="O7" s="15"/>
    </row>
    <row r="8" spans="1:17" x14ac:dyDescent="0.2">
      <c r="E8" s="80"/>
      <c r="F8" s="16" t="s">
        <v>1097</v>
      </c>
      <c r="G8" s="28">
        <v>8167</v>
      </c>
      <c r="H8" s="28">
        <v>3370</v>
      </c>
      <c r="I8" s="28">
        <v>1503</v>
      </c>
      <c r="J8" s="28">
        <v>1872</v>
      </c>
      <c r="K8" s="17">
        <v>950</v>
      </c>
      <c r="L8" s="17">
        <v>472</v>
      </c>
      <c r="M8" s="15"/>
      <c r="N8" s="15"/>
      <c r="O8" s="15"/>
    </row>
    <row r="9" spans="1:17" x14ac:dyDescent="0.2">
      <c r="A9" s="84" t="s">
        <v>1098</v>
      </c>
      <c r="B9" s="80"/>
      <c r="E9" s="80"/>
      <c r="F9" s="47" t="s">
        <v>1099</v>
      </c>
      <c r="G9" s="28">
        <v>1268</v>
      </c>
      <c r="H9" s="17">
        <v>550</v>
      </c>
      <c r="I9" s="17">
        <v>194</v>
      </c>
      <c r="J9" s="17">
        <v>339</v>
      </c>
      <c r="K9" s="17">
        <v>118</v>
      </c>
      <c r="L9" s="17">
        <v>67</v>
      </c>
      <c r="M9" s="15"/>
      <c r="N9" s="15"/>
      <c r="O9" s="15"/>
    </row>
    <row r="10" spans="1:17" x14ac:dyDescent="0.2">
      <c r="A10" t="s">
        <v>1100</v>
      </c>
      <c r="E10" s="80"/>
      <c r="F10" s="47" t="s">
        <v>1101</v>
      </c>
      <c r="G10" s="28">
        <v>2827</v>
      </c>
      <c r="H10" s="28">
        <v>1117</v>
      </c>
      <c r="I10" s="17">
        <v>695</v>
      </c>
      <c r="J10" s="17">
        <v>695</v>
      </c>
      <c r="K10" s="17">
        <v>195</v>
      </c>
      <c r="L10" s="17">
        <v>125</v>
      </c>
    </row>
    <row r="11" spans="1:17" x14ac:dyDescent="0.2">
      <c r="A11" t="s">
        <v>1102</v>
      </c>
      <c r="E11" s="80"/>
      <c r="F11" s="16" t="s">
        <v>1103</v>
      </c>
      <c r="G11" s="28">
        <v>6888</v>
      </c>
      <c r="H11" s="28">
        <v>3206</v>
      </c>
      <c r="I11" s="17">
        <v>741</v>
      </c>
      <c r="J11" s="28">
        <v>1792</v>
      </c>
      <c r="K11" s="17">
        <v>447</v>
      </c>
      <c r="L11" s="17">
        <v>702</v>
      </c>
      <c r="M11" s="17"/>
      <c r="N11" s="17"/>
    </row>
    <row r="12" spans="1:17" x14ac:dyDescent="0.2">
      <c r="A12" t="s">
        <v>1104</v>
      </c>
      <c r="E12" s="80"/>
      <c r="F12" s="48" t="s">
        <v>1105</v>
      </c>
      <c r="G12" s="28">
        <v>2488</v>
      </c>
      <c r="H12" s="17">
        <v>927</v>
      </c>
      <c r="I12" s="17">
        <v>295</v>
      </c>
      <c r="J12" s="17">
        <v>824</v>
      </c>
      <c r="K12" s="17">
        <v>125</v>
      </c>
      <c r="L12" s="17">
        <v>317</v>
      </c>
    </row>
    <row r="13" spans="1:17" x14ac:dyDescent="0.2">
      <c r="A13" t="s">
        <v>1108</v>
      </c>
      <c r="E13" s="80"/>
      <c r="F13" s="16" t="s">
        <v>1109</v>
      </c>
      <c r="G13" s="28">
        <v>6425</v>
      </c>
      <c r="H13" s="28">
        <v>3459</v>
      </c>
      <c r="I13" s="17">
        <v>930</v>
      </c>
      <c r="J13" s="28">
        <v>1116</v>
      </c>
      <c r="K13" s="17">
        <v>522</v>
      </c>
      <c r="L13" s="17">
        <v>398</v>
      </c>
    </row>
    <row r="14" spans="1:17" x14ac:dyDescent="0.2">
      <c r="A14" t="s">
        <v>1112</v>
      </c>
      <c r="E14" s="80"/>
      <c r="F14" s="47" t="s">
        <v>1113</v>
      </c>
      <c r="G14" s="28">
        <v>1656</v>
      </c>
      <c r="H14" s="17">
        <v>885</v>
      </c>
      <c r="I14" s="17">
        <v>259</v>
      </c>
      <c r="J14" s="17">
        <v>276</v>
      </c>
      <c r="K14" s="17">
        <v>83</v>
      </c>
      <c r="L14" s="17">
        <v>153</v>
      </c>
    </row>
    <row r="15" spans="1:17" x14ac:dyDescent="0.2">
      <c r="A15" t="s">
        <v>1114</v>
      </c>
      <c r="E15" s="80"/>
      <c r="F15" s="16" t="s">
        <v>1115</v>
      </c>
      <c r="G15" s="28">
        <v>5000</v>
      </c>
      <c r="H15" s="28">
        <v>2041</v>
      </c>
      <c r="I15" s="17">
        <v>842</v>
      </c>
      <c r="J15" s="28">
        <v>1090</v>
      </c>
      <c r="K15" s="17">
        <v>588</v>
      </c>
      <c r="L15" s="17">
        <v>439</v>
      </c>
    </row>
    <row r="16" spans="1:17" x14ac:dyDescent="0.2">
      <c r="A16" t="s">
        <v>1116</v>
      </c>
      <c r="E16" s="80"/>
      <c r="F16" s="16" t="s">
        <v>1117</v>
      </c>
      <c r="G16" s="28">
        <v>3207</v>
      </c>
      <c r="H16" s="17">
        <v>915</v>
      </c>
      <c r="I16" s="17">
        <v>505</v>
      </c>
      <c r="J16" s="28">
        <v>1094</v>
      </c>
      <c r="K16" s="17">
        <v>267</v>
      </c>
      <c r="L16" s="17">
        <v>426</v>
      </c>
    </row>
    <row r="17" spans="1:12" x14ac:dyDescent="0.2">
      <c r="E17" s="80"/>
      <c r="F17" s="16" t="s">
        <v>1118</v>
      </c>
      <c r="G17" s="28">
        <v>6373</v>
      </c>
      <c r="H17" s="28">
        <v>3107</v>
      </c>
      <c r="I17" s="17">
        <v>948</v>
      </c>
      <c r="J17" s="28">
        <v>1322</v>
      </c>
      <c r="K17" s="17">
        <v>558</v>
      </c>
      <c r="L17" s="17">
        <v>438</v>
      </c>
    </row>
    <row r="18" spans="1:12" x14ac:dyDescent="0.2">
      <c r="A18" s="84" t="s">
        <v>1119</v>
      </c>
      <c r="B18" s="80"/>
      <c r="E18" s="80"/>
      <c r="F18" s="47" t="s">
        <v>1120</v>
      </c>
      <c r="G18" s="28">
        <v>2703</v>
      </c>
      <c r="H18" s="28">
        <v>1151</v>
      </c>
      <c r="I18" s="17">
        <v>600</v>
      </c>
      <c r="J18" s="17">
        <v>486</v>
      </c>
      <c r="K18" s="17">
        <v>199</v>
      </c>
      <c r="L18" s="17">
        <v>267</v>
      </c>
    </row>
    <row r="19" spans="1:12" x14ac:dyDescent="0.2">
      <c r="A19" t="s">
        <v>1121</v>
      </c>
      <c r="B19" t="s">
        <v>1268</v>
      </c>
      <c r="E19" s="80"/>
      <c r="F19" s="16" t="s">
        <v>1123</v>
      </c>
      <c r="G19" s="28">
        <v>2563</v>
      </c>
      <c r="H19" s="28">
        <v>1131</v>
      </c>
      <c r="I19" s="17">
        <v>450</v>
      </c>
      <c r="J19" s="17">
        <v>410</v>
      </c>
      <c r="K19" s="17">
        <v>182</v>
      </c>
      <c r="L19" s="17">
        <v>390</v>
      </c>
    </row>
    <row r="20" spans="1:12" x14ac:dyDescent="0.2">
      <c r="E20" s="80"/>
      <c r="F20" s="25" t="s">
        <v>1124</v>
      </c>
      <c r="G20" s="28">
        <v>2495</v>
      </c>
      <c r="H20" s="17">
        <v>998</v>
      </c>
      <c r="I20" s="17">
        <v>421</v>
      </c>
      <c r="J20" s="17">
        <v>408</v>
      </c>
      <c r="K20" s="17">
        <v>450</v>
      </c>
      <c r="L20" s="17">
        <v>218</v>
      </c>
    </row>
    <row r="21" spans="1:12" x14ac:dyDescent="0.2">
      <c r="A21" s="82" t="s">
        <v>1125</v>
      </c>
      <c r="B21" s="80"/>
      <c r="E21" s="80"/>
      <c r="F21" s="25" t="s">
        <v>1126</v>
      </c>
      <c r="G21" s="28">
        <v>4373</v>
      </c>
      <c r="H21" s="28">
        <v>1906</v>
      </c>
      <c r="I21" s="17">
        <v>661</v>
      </c>
      <c r="J21" s="17">
        <v>934</v>
      </c>
      <c r="K21" s="17">
        <v>325</v>
      </c>
      <c r="L21" s="17">
        <v>547</v>
      </c>
    </row>
    <row r="22" spans="1:12" x14ac:dyDescent="0.2">
      <c r="A22" t="s">
        <v>1135</v>
      </c>
      <c r="B22" t="s">
        <v>1269</v>
      </c>
      <c r="E22" s="80"/>
      <c r="F22" s="47" t="s">
        <v>1137</v>
      </c>
      <c r="G22" s="28">
        <v>1770</v>
      </c>
      <c r="H22" s="17">
        <v>809</v>
      </c>
      <c r="I22" s="17">
        <v>321</v>
      </c>
      <c r="J22" s="17">
        <v>245</v>
      </c>
      <c r="K22" s="17">
        <v>146</v>
      </c>
      <c r="L22" s="17">
        <v>249</v>
      </c>
    </row>
    <row r="23" spans="1:12" x14ac:dyDescent="0.2">
      <c r="E23" s="80"/>
      <c r="F23" s="25" t="s">
        <v>1146</v>
      </c>
      <c r="G23" s="28">
        <v>13664</v>
      </c>
      <c r="H23" s="28">
        <v>4662</v>
      </c>
      <c r="I23" s="28">
        <v>2868</v>
      </c>
      <c r="J23" s="28">
        <v>3059</v>
      </c>
      <c r="K23" s="28">
        <v>1397</v>
      </c>
      <c r="L23" s="28">
        <v>1678</v>
      </c>
    </row>
    <row r="24" spans="1:12" x14ac:dyDescent="0.2">
      <c r="E24" s="80"/>
      <c r="F24" s="16" t="s">
        <v>1150</v>
      </c>
      <c r="G24" s="28">
        <v>2456</v>
      </c>
      <c r="H24" s="28">
        <v>1153</v>
      </c>
      <c r="I24" s="17">
        <v>384</v>
      </c>
      <c r="J24" s="17">
        <v>617</v>
      </c>
      <c r="K24" s="17">
        <v>110</v>
      </c>
      <c r="L24" s="17">
        <v>192</v>
      </c>
    </row>
    <row r="25" spans="1:12" x14ac:dyDescent="0.2">
      <c r="E25" s="80"/>
      <c r="F25" s="47" t="s">
        <v>1154</v>
      </c>
      <c r="G25" s="17">
        <v>368</v>
      </c>
      <c r="H25" s="17">
        <v>180</v>
      </c>
      <c r="I25" s="17">
        <v>15</v>
      </c>
      <c r="J25" s="17">
        <v>84</v>
      </c>
      <c r="K25" s="17">
        <v>38</v>
      </c>
      <c r="L25" s="17">
        <v>51</v>
      </c>
    </row>
    <row r="26" spans="1:12" x14ac:dyDescent="0.2">
      <c r="E26" s="80"/>
      <c r="F26" s="25" t="s">
        <v>1158</v>
      </c>
      <c r="G26" s="28">
        <v>10354</v>
      </c>
      <c r="H26" s="28">
        <v>4355</v>
      </c>
      <c r="I26" s="28">
        <v>2184</v>
      </c>
      <c r="J26" s="28">
        <v>1856</v>
      </c>
      <c r="K26" s="17">
        <v>932</v>
      </c>
      <c r="L26" s="28">
        <v>1027</v>
      </c>
    </row>
    <row r="27" spans="1:12" x14ac:dyDescent="0.2">
      <c r="A27" s="82"/>
      <c r="B27" s="80"/>
      <c r="E27" s="80"/>
      <c r="F27" s="47" t="s">
        <v>1270</v>
      </c>
      <c r="G27" s="28">
        <v>1052</v>
      </c>
      <c r="H27" s="17">
        <v>517</v>
      </c>
      <c r="I27" s="17">
        <v>198</v>
      </c>
      <c r="J27" s="17">
        <v>154</v>
      </c>
      <c r="K27" s="17">
        <v>103</v>
      </c>
      <c r="L27" s="17">
        <v>80</v>
      </c>
    </row>
    <row r="28" spans="1:12" x14ac:dyDescent="0.2">
      <c r="E28" s="80"/>
      <c r="F28" s="47" t="s">
        <v>1164</v>
      </c>
      <c r="G28" s="28">
        <v>4852</v>
      </c>
      <c r="H28" s="28">
        <v>1998</v>
      </c>
      <c r="I28" s="28">
        <v>1004</v>
      </c>
      <c r="J28" s="17">
        <v>862</v>
      </c>
      <c r="K28" s="17">
        <v>421</v>
      </c>
      <c r="L28" s="17">
        <v>567</v>
      </c>
    </row>
    <row r="29" spans="1:12" x14ac:dyDescent="0.2">
      <c r="E29" s="80"/>
      <c r="F29" s="25" t="s">
        <v>1166</v>
      </c>
      <c r="G29" s="28">
        <v>11292</v>
      </c>
      <c r="H29" s="28">
        <v>4115</v>
      </c>
      <c r="I29" s="28">
        <v>1900</v>
      </c>
      <c r="J29" s="28">
        <v>2529</v>
      </c>
      <c r="K29" s="28">
        <v>1318</v>
      </c>
      <c r="L29" s="28">
        <v>1430</v>
      </c>
    </row>
    <row r="30" spans="1:12" x14ac:dyDescent="0.2">
      <c r="E30" s="80"/>
      <c r="F30" s="47" t="s">
        <v>1168</v>
      </c>
      <c r="G30" s="28">
        <v>1807</v>
      </c>
      <c r="H30" s="17">
        <v>474</v>
      </c>
      <c r="I30" s="17">
        <v>342</v>
      </c>
      <c r="J30" s="17">
        <v>527</v>
      </c>
      <c r="K30" s="17">
        <v>144</v>
      </c>
      <c r="L30" s="17">
        <v>320</v>
      </c>
    </row>
    <row r="31" spans="1:12" x14ac:dyDescent="0.2">
      <c r="E31" s="80"/>
      <c r="F31" s="47" t="s">
        <v>1170</v>
      </c>
      <c r="G31" s="28">
        <v>1871</v>
      </c>
      <c r="H31" s="17">
        <v>759</v>
      </c>
      <c r="I31" s="17">
        <v>309</v>
      </c>
      <c r="J31" s="17">
        <v>423</v>
      </c>
      <c r="K31" s="17">
        <v>163</v>
      </c>
      <c r="L31" s="17">
        <v>217</v>
      </c>
    </row>
    <row r="32" spans="1:12" x14ac:dyDescent="0.2">
      <c r="E32" s="80"/>
      <c r="F32" s="47" t="s">
        <v>1172</v>
      </c>
      <c r="G32" s="28">
        <v>3220</v>
      </c>
      <c r="H32" s="28">
        <v>1261</v>
      </c>
      <c r="I32" s="17">
        <v>513</v>
      </c>
      <c r="J32" s="17">
        <v>676</v>
      </c>
      <c r="K32" s="17">
        <v>460</v>
      </c>
      <c r="L32" s="17">
        <v>310</v>
      </c>
    </row>
    <row r="33" spans="5:12" x14ac:dyDescent="0.2">
      <c r="E33" s="80"/>
      <c r="F33" s="25" t="s">
        <v>1174</v>
      </c>
      <c r="G33" s="28">
        <v>2690</v>
      </c>
      <c r="H33" s="28">
        <v>1109</v>
      </c>
      <c r="I33" s="17">
        <v>454</v>
      </c>
      <c r="J33" s="17">
        <v>467</v>
      </c>
      <c r="K33" s="17">
        <v>264</v>
      </c>
      <c r="L33" s="17">
        <v>396</v>
      </c>
    </row>
    <row r="34" spans="5:12" x14ac:dyDescent="0.2">
      <c r="E34" s="80"/>
      <c r="F34" s="47" t="s">
        <v>1178</v>
      </c>
      <c r="G34" s="17">
        <v>500</v>
      </c>
      <c r="H34" s="17">
        <v>183</v>
      </c>
      <c r="I34" s="17">
        <v>69</v>
      </c>
      <c r="J34" s="17">
        <v>78</v>
      </c>
      <c r="K34" s="17">
        <v>114</v>
      </c>
      <c r="L34" s="17">
        <v>56</v>
      </c>
    </row>
    <row r="35" spans="5:12" x14ac:dyDescent="0.2">
      <c r="E35" s="80"/>
      <c r="F35" s="25" t="s">
        <v>1180</v>
      </c>
      <c r="G35" s="28">
        <v>12879</v>
      </c>
      <c r="H35" s="28">
        <v>3048</v>
      </c>
      <c r="I35" s="28">
        <v>3600</v>
      </c>
      <c r="J35" s="28">
        <v>2910</v>
      </c>
      <c r="K35" s="28">
        <v>1068</v>
      </c>
      <c r="L35" s="28">
        <v>2253</v>
      </c>
    </row>
    <row r="36" spans="5:12" x14ac:dyDescent="0.2">
      <c r="E36" s="80"/>
      <c r="F36" s="25" t="s">
        <v>1182</v>
      </c>
      <c r="G36" s="28">
        <v>15856</v>
      </c>
      <c r="H36" s="28">
        <v>6887</v>
      </c>
      <c r="I36" s="28">
        <v>3067</v>
      </c>
      <c r="J36" s="28">
        <v>2789</v>
      </c>
      <c r="K36" s="28">
        <v>1373</v>
      </c>
      <c r="L36" s="28">
        <v>1740</v>
      </c>
    </row>
    <row r="37" spans="5:12" x14ac:dyDescent="0.2">
      <c r="E37" s="80"/>
      <c r="F37" s="25" t="s">
        <v>1184</v>
      </c>
      <c r="G37" s="28">
        <v>13668</v>
      </c>
      <c r="H37" s="28">
        <v>5591</v>
      </c>
      <c r="I37" s="28">
        <v>2204</v>
      </c>
      <c r="J37" s="28">
        <v>3232</v>
      </c>
      <c r="K37" s="28">
        <v>1162</v>
      </c>
      <c r="L37" s="28">
        <v>1479</v>
      </c>
    </row>
    <row r="38" spans="5:12" x14ac:dyDescent="0.2">
      <c r="E38" s="80"/>
      <c r="F38" s="16" t="s">
        <v>1186</v>
      </c>
      <c r="G38" s="28">
        <v>8525</v>
      </c>
      <c r="H38" s="28">
        <v>3441</v>
      </c>
      <c r="I38" s="17">
        <v>711</v>
      </c>
      <c r="J38" s="28">
        <v>3170</v>
      </c>
      <c r="K38" s="17">
        <v>569</v>
      </c>
      <c r="L38" s="17">
        <v>634</v>
      </c>
    </row>
    <row r="39" spans="5:12" x14ac:dyDescent="0.2">
      <c r="E39" s="80"/>
      <c r="F39" s="47" t="s">
        <v>1188</v>
      </c>
      <c r="G39" s="28">
        <v>8525</v>
      </c>
      <c r="H39" s="28">
        <v>3441</v>
      </c>
      <c r="I39" s="17">
        <v>711</v>
      </c>
      <c r="J39" s="28">
        <v>3170</v>
      </c>
      <c r="K39" s="17">
        <v>569</v>
      </c>
      <c r="L39" s="17">
        <v>634</v>
      </c>
    </row>
    <row r="40" spans="5:12" x14ac:dyDescent="0.2">
      <c r="E40" s="80"/>
      <c r="F40" s="16" t="s">
        <v>1191</v>
      </c>
      <c r="G40" s="28">
        <v>3697</v>
      </c>
      <c r="H40" s="17">
        <v>796</v>
      </c>
      <c r="I40" s="17">
        <v>609</v>
      </c>
      <c r="J40" s="17">
        <v>938</v>
      </c>
      <c r="K40" s="17">
        <v>586</v>
      </c>
      <c r="L40" s="17">
        <v>768</v>
      </c>
    </row>
    <row r="41" spans="5:12" x14ac:dyDescent="0.2">
      <c r="E41" s="80"/>
      <c r="F41" s="16" t="s">
        <v>1195</v>
      </c>
      <c r="G41" s="28">
        <v>1883</v>
      </c>
      <c r="H41" s="17">
        <v>981</v>
      </c>
      <c r="I41" s="17">
        <v>348</v>
      </c>
      <c r="J41" s="17">
        <v>383</v>
      </c>
      <c r="K41" s="17">
        <v>125</v>
      </c>
      <c r="L41" s="17">
        <v>46</v>
      </c>
    </row>
    <row r="42" spans="5:12" x14ac:dyDescent="0.2">
      <c r="E42" s="80"/>
      <c r="F42" s="47" t="s">
        <v>1199</v>
      </c>
      <c r="G42" s="28">
        <v>1494</v>
      </c>
      <c r="H42" s="17">
        <v>687</v>
      </c>
      <c r="I42" s="17">
        <v>332</v>
      </c>
      <c r="J42" s="17">
        <v>311</v>
      </c>
      <c r="K42" s="17">
        <v>121</v>
      </c>
      <c r="L42" s="17">
        <v>43</v>
      </c>
    </row>
    <row r="43" spans="5:12" x14ac:dyDescent="0.2">
      <c r="E43" s="80"/>
      <c r="F43" s="47" t="s">
        <v>1200</v>
      </c>
      <c r="G43" s="17">
        <v>389</v>
      </c>
      <c r="H43" s="17">
        <v>294</v>
      </c>
      <c r="I43" s="17">
        <v>16</v>
      </c>
      <c r="J43" s="17">
        <v>72</v>
      </c>
      <c r="K43" s="17">
        <v>4</v>
      </c>
      <c r="L43" s="17">
        <v>3</v>
      </c>
    </row>
    <row r="44" spans="5:12" x14ac:dyDescent="0.2">
      <c r="E44" s="80"/>
      <c r="F44" s="16" t="s">
        <v>1201</v>
      </c>
      <c r="G44" s="28">
        <v>15847</v>
      </c>
      <c r="H44" s="28">
        <v>5564</v>
      </c>
      <c r="I44" s="28">
        <v>3392</v>
      </c>
      <c r="J44" s="28">
        <v>3384</v>
      </c>
      <c r="K44" s="28">
        <v>1248</v>
      </c>
      <c r="L44" s="28">
        <v>2259</v>
      </c>
    </row>
    <row r="45" spans="5:12" x14ac:dyDescent="0.2">
      <c r="E45" s="80"/>
      <c r="F45" s="16" t="s">
        <v>1202</v>
      </c>
      <c r="G45" s="28">
        <v>16321</v>
      </c>
      <c r="H45" s="28">
        <v>7489</v>
      </c>
      <c r="I45" s="28">
        <v>2753</v>
      </c>
      <c r="J45" s="28">
        <v>2990</v>
      </c>
      <c r="K45" s="28">
        <v>1566</v>
      </c>
      <c r="L45" s="28">
        <v>1523</v>
      </c>
    </row>
    <row r="46" spans="5:12" x14ac:dyDescent="0.2">
      <c r="E46" s="80"/>
      <c r="F46" s="47" t="s">
        <v>1203</v>
      </c>
      <c r="G46" s="28">
        <v>1510</v>
      </c>
      <c r="H46" s="17">
        <v>542</v>
      </c>
      <c r="I46" s="17">
        <v>201</v>
      </c>
      <c r="J46" s="17">
        <v>342</v>
      </c>
      <c r="K46" s="17">
        <v>215</v>
      </c>
      <c r="L46" s="17">
        <v>210</v>
      </c>
    </row>
    <row r="47" spans="5:12" x14ac:dyDescent="0.2">
      <c r="E47" s="80"/>
      <c r="F47" s="47" t="s">
        <v>1204</v>
      </c>
      <c r="G47" s="28">
        <v>1398</v>
      </c>
      <c r="H47" s="17">
        <v>526</v>
      </c>
      <c r="I47" s="17">
        <v>297</v>
      </c>
      <c r="J47" s="17">
        <v>201</v>
      </c>
      <c r="K47" s="17">
        <v>219</v>
      </c>
      <c r="L47" s="17">
        <v>155</v>
      </c>
    </row>
    <row r="48" spans="5:12" x14ac:dyDescent="0.2">
      <c r="E48" s="80"/>
      <c r="F48" s="47" t="s">
        <v>1205</v>
      </c>
      <c r="G48" s="28">
        <v>3121</v>
      </c>
      <c r="H48" s="28">
        <v>1566</v>
      </c>
      <c r="I48" s="17">
        <v>557</v>
      </c>
      <c r="J48" s="17">
        <v>490</v>
      </c>
      <c r="K48" s="17">
        <v>313</v>
      </c>
      <c r="L48" s="17">
        <v>195</v>
      </c>
    </row>
    <row r="49" spans="5:12" x14ac:dyDescent="0.2">
      <c r="E49" s="80"/>
      <c r="F49" s="16" t="s">
        <v>1206</v>
      </c>
      <c r="G49" s="28">
        <v>3790</v>
      </c>
      <c r="H49" s="28">
        <v>1747</v>
      </c>
      <c r="I49" s="17">
        <v>574</v>
      </c>
      <c r="J49" s="17">
        <v>749</v>
      </c>
      <c r="K49" s="17">
        <v>308</v>
      </c>
      <c r="L49" s="17">
        <v>412</v>
      </c>
    </row>
    <row r="50" spans="5:12" x14ac:dyDescent="0.2">
      <c r="E50" s="80"/>
      <c r="F50" s="16" t="s">
        <v>1207</v>
      </c>
      <c r="G50" s="28">
        <v>5754</v>
      </c>
      <c r="H50" s="28">
        <v>2965</v>
      </c>
      <c r="I50" s="17">
        <v>757</v>
      </c>
      <c r="J50" s="28">
        <v>1010</v>
      </c>
      <c r="K50" s="17">
        <v>393</v>
      </c>
      <c r="L50" s="17">
        <v>629</v>
      </c>
    </row>
    <row r="51" spans="5:12" x14ac:dyDescent="0.2">
      <c r="E51" s="80"/>
      <c r="F51" s="47" t="s">
        <v>1270</v>
      </c>
      <c r="G51" s="17">
        <v>466</v>
      </c>
      <c r="H51" s="17">
        <v>114</v>
      </c>
      <c r="I51" s="17">
        <v>65</v>
      </c>
      <c r="J51" s="17">
        <v>262</v>
      </c>
      <c r="K51" s="17">
        <v>0</v>
      </c>
      <c r="L51" s="17">
        <v>25</v>
      </c>
    </row>
    <row r="52" spans="5:12" x14ac:dyDescent="0.2">
      <c r="E52" s="80"/>
      <c r="F52" s="47" t="s">
        <v>1208</v>
      </c>
      <c r="G52" s="28">
        <v>5288</v>
      </c>
      <c r="H52" s="28">
        <v>2851</v>
      </c>
      <c r="I52" s="17">
        <v>692</v>
      </c>
      <c r="J52" s="17">
        <v>748</v>
      </c>
      <c r="K52" s="17">
        <v>393</v>
      </c>
      <c r="L52" s="17">
        <v>604</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M15" sqref="M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1077</v>
      </c>
      <c r="B1" s="79" t="s">
        <v>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tbl-all-cause-mortal-rate-age-zip-code-rande</v>
      </c>
    </row>
    <row r="4" spans="1:17" x14ac:dyDescent="0.2">
      <c r="A4" s="16" t="s">
        <v>7</v>
      </c>
      <c r="B4" t="str">
        <f>IF($B$1="","",_xlfn.XLOOKUP($B$1,Master!$F$2:$F$321,Master!$H$2:$H$321,""))</f>
        <v>fig-all-cause-mortal-rate-age-zip-code-rande</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4" t="s">
        <v>1081</v>
      </c>
      <c r="B5" s="80"/>
      <c r="E5" s="83" t="s">
        <v>1082</v>
      </c>
      <c r="F5" s="82"/>
      <c r="G5" s="82">
        <v>2020</v>
      </c>
      <c r="H5" s="80"/>
      <c r="I5" s="82">
        <v>2021</v>
      </c>
      <c r="J5" s="80"/>
      <c r="K5" s="82">
        <v>2022</v>
      </c>
      <c r="L5" s="80"/>
      <c r="M5" s="82">
        <v>2023</v>
      </c>
      <c r="N5" s="80"/>
      <c r="O5" s="82"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t="s">
        <v>1274</v>
      </c>
      <c r="P6" t="s">
        <v>1275</v>
      </c>
    </row>
    <row r="7" spans="1:17" ht="15.75" customHeight="1" x14ac:dyDescent="0.2">
      <c r="E7" s="80"/>
      <c r="F7" t="s">
        <v>1089</v>
      </c>
      <c r="G7" s="23">
        <v>3392</v>
      </c>
      <c r="H7" s="15">
        <v>887.8</v>
      </c>
      <c r="I7" s="23">
        <v>3020</v>
      </c>
      <c r="J7" s="15">
        <v>758.3</v>
      </c>
      <c r="K7" s="23">
        <v>3077</v>
      </c>
      <c r="L7" s="15">
        <v>766.9</v>
      </c>
      <c r="M7" s="23">
        <v>2860</v>
      </c>
      <c r="N7" s="15">
        <v>708.2</v>
      </c>
      <c r="O7" s="23">
        <v>12349</v>
      </c>
      <c r="P7">
        <v>780.3</v>
      </c>
    </row>
    <row r="8" spans="1:17" x14ac:dyDescent="0.2">
      <c r="E8" s="80"/>
      <c r="F8" s="82" t="s">
        <v>1276</v>
      </c>
      <c r="G8" s="80"/>
      <c r="H8" s="80"/>
      <c r="I8" s="80"/>
      <c r="J8" s="80"/>
      <c r="K8" s="80"/>
      <c r="L8" s="80"/>
      <c r="M8" s="80"/>
      <c r="N8" s="80"/>
      <c r="O8" s="80"/>
      <c r="P8" s="80"/>
    </row>
    <row r="9" spans="1:17" x14ac:dyDescent="0.2">
      <c r="A9" s="84" t="s">
        <v>1098</v>
      </c>
      <c r="B9" s="80"/>
      <c r="E9" s="80"/>
      <c r="F9" s="15" t="s">
        <v>1277</v>
      </c>
      <c r="G9" s="15">
        <v>16</v>
      </c>
      <c r="H9">
        <v>332.8</v>
      </c>
      <c r="I9">
        <v>18</v>
      </c>
      <c r="J9">
        <v>351.2</v>
      </c>
      <c r="K9">
        <v>15</v>
      </c>
      <c r="L9">
        <v>302.10000000000002</v>
      </c>
      <c r="M9">
        <v>17</v>
      </c>
      <c r="N9">
        <v>323.60000000000002</v>
      </c>
      <c r="O9">
        <v>66</v>
      </c>
      <c r="P9">
        <v>327.39999999999998</v>
      </c>
    </row>
    <row r="10" spans="1:17" x14ac:dyDescent="0.2">
      <c r="A10" t="s">
        <v>1100</v>
      </c>
      <c r="E10" s="80"/>
      <c r="F10" s="38" t="s">
        <v>1278</v>
      </c>
      <c r="G10" s="15">
        <v>9</v>
      </c>
      <c r="H10" s="15">
        <v>19.2</v>
      </c>
      <c r="I10" s="15">
        <v>8</v>
      </c>
      <c r="J10" s="17">
        <v>16.3</v>
      </c>
      <c r="K10" s="17">
        <v>7</v>
      </c>
      <c r="L10" s="17">
        <v>14.5</v>
      </c>
      <c r="M10" s="17">
        <v>13</v>
      </c>
      <c r="N10" s="17">
        <v>26.2</v>
      </c>
      <c r="O10">
        <v>37</v>
      </c>
      <c r="P10">
        <v>19.100000000000001</v>
      </c>
    </row>
    <row r="11" spans="1:17" x14ac:dyDescent="0.2">
      <c r="A11" t="s">
        <v>1102</v>
      </c>
      <c r="E11" s="80"/>
      <c r="F11" s="13" t="s">
        <v>1279</v>
      </c>
      <c r="G11" s="17">
        <v>13</v>
      </c>
      <c r="H11" s="17">
        <v>22.7</v>
      </c>
      <c r="I11" s="15">
        <v>8</v>
      </c>
      <c r="J11" s="15">
        <v>13.3</v>
      </c>
      <c r="K11" s="15">
        <v>9</v>
      </c>
      <c r="L11" s="15">
        <v>14.5</v>
      </c>
      <c r="M11">
        <v>6</v>
      </c>
      <c r="N11">
        <v>9.6999999999999993</v>
      </c>
      <c r="O11">
        <v>36</v>
      </c>
      <c r="P11">
        <v>15.1</v>
      </c>
    </row>
    <row r="12" spans="1:17" x14ac:dyDescent="0.2">
      <c r="A12" t="s">
        <v>1104</v>
      </c>
      <c r="E12" s="80"/>
      <c r="F12" s="15" t="s">
        <v>1280</v>
      </c>
      <c r="G12">
        <v>28</v>
      </c>
      <c r="H12">
        <v>98.2</v>
      </c>
      <c r="I12">
        <v>21</v>
      </c>
      <c r="J12">
        <v>72</v>
      </c>
      <c r="K12">
        <v>26</v>
      </c>
      <c r="L12">
        <v>87.7</v>
      </c>
      <c r="M12">
        <v>11</v>
      </c>
      <c r="N12">
        <v>38.4</v>
      </c>
      <c r="O12">
        <v>86</v>
      </c>
      <c r="P12">
        <v>74.099999999999994</v>
      </c>
    </row>
    <row r="13" spans="1:17" x14ac:dyDescent="0.2">
      <c r="A13" t="s">
        <v>1108</v>
      </c>
      <c r="E13" s="80"/>
      <c r="F13" s="15" t="s">
        <v>1281</v>
      </c>
      <c r="G13">
        <v>73</v>
      </c>
      <c r="H13">
        <v>162.6</v>
      </c>
      <c r="I13">
        <v>57</v>
      </c>
      <c r="J13">
        <v>122.3</v>
      </c>
      <c r="K13">
        <v>56</v>
      </c>
      <c r="L13">
        <v>118.2</v>
      </c>
      <c r="M13">
        <v>48</v>
      </c>
      <c r="N13">
        <v>100.2</v>
      </c>
      <c r="O13">
        <v>234</v>
      </c>
      <c r="P13">
        <v>125.8</v>
      </c>
    </row>
    <row r="14" spans="1:17" x14ac:dyDescent="0.2">
      <c r="A14" t="s">
        <v>1112</v>
      </c>
      <c r="E14" s="80"/>
      <c r="F14" s="15" t="s">
        <v>1282</v>
      </c>
      <c r="G14">
        <v>98</v>
      </c>
      <c r="H14">
        <v>216.7</v>
      </c>
      <c r="I14">
        <v>101</v>
      </c>
      <c r="J14">
        <v>211.6</v>
      </c>
      <c r="K14">
        <v>87</v>
      </c>
      <c r="L14">
        <v>178.6</v>
      </c>
      <c r="M14">
        <v>87</v>
      </c>
      <c r="N14">
        <v>174.9</v>
      </c>
      <c r="O14">
        <v>373</v>
      </c>
      <c r="P14">
        <v>195.5</v>
      </c>
    </row>
    <row r="15" spans="1:17" x14ac:dyDescent="0.2">
      <c r="A15" t="s">
        <v>1114</v>
      </c>
      <c r="E15" s="80"/>
      <c r="F15" s="15" t="s">
        <v>1283</v>
      </c>
      <c r="G15">
        <v>174</v>
      </c>
      <c r="H15">
        <v>332.3</v>
      </c>
      <c r="I15">
        <v>192</v>
      </c>
      <c r="J15">
        <v>359.8</v>
      </c>
      <c r="K15">
        <v>159</v>
      </c>
      <c r="L15">
        <v>303.7</v>
      </c>
      <c r="M15">
        <v>150</v>
      </c>
      <c r="N15">
        <v>291.2</v>
      </c>
      <c r="O15">
        <v>675</v>
      </c>
      <c r="P15">
        <v>321.7</v>
      </c>
    </row>
    <row r="16" spans="1:17" x14ac:dyDescent="0.2">
      <c r="A16" t="s">
        <v>1116</v>
      </c>
      <c r="E16" s="80"/>
      <c r="F16" s="15" t="s">
        <v>1284</v>
      </c>
      <c r="G16">
        <v>395</v>
      </c>
      <c r="H16">
        <v>811.1</v>
      </c>
      <c r="I16">
        <v>392</v>
      </c>
      <c r="J16">
        <v>762.7</v>
      </c>
      <c r="K16">
        <v>392</v>
      </c>
      <c r="L16">
        <v>765.9</v>
      </c>
      <c r="M16">
        <v>344</v>
      </c>
      <c r="N16">
        <v>667.8</v>
      </c>
      <c r="O16" s="14">
        <v>1523</v>
      </c>
      <c r="P16">
        <v>751.9</v>
      </c>
    </row>
    <row r="17" spans="1:16" x14ac:dyDescent="0.2">
      <c r="E17" s="80"/>
      <c r="F17" s="15" t="s">
        <v>1285</v>
      </c>
      <c r="G17">
        <v>663</v>
      </c>
      <c r="H17" s="36">
        <v>2102.6</v>
      </c>
      <c r="I17">
        <v>599</v>
      </c>
      <c r="J17" s="36">
        <v>1789.7</v>
      </c>
      <c r="K17">
        <v>620</v>
      </c>
      <c r="L17" s="36">
        <v>1831.6</v>
      </c>
      <c r="M17">
        <v>546</v>
      </c>
      <c r="N17" s="36">
        <v>1567.2</v>
      </c>
      <c r="O17" s="14">
        <v>2428</v>
      </c>
      <c r="P17" s="36">
        <v>1822.7</v>
      </c>
    </row>
    <row r="18" spans="1:16" x14ac:dyDescent="0.2">
      <c r="A18" s="84" t="s">
        <v>1119</v>
      </c>
      <c r="B18" s="80"/>
      <c r="E18" s="80"/>
      <c r="F18" s="15" t="s">
        <v>1286</v>
      </c>
      <c r="G18">
        <v>788</v>
      </c>
      <c r="H18" s="36">
        <v>5344.2</v>
      </c>
      <c r="I18">
        <v>728</v>
      </c>
      <c r="J18" s="36">
        <v>4770.6000000000004</v>
      </c>
      <c r="K18">
        <v>790</v>
      </c>
      <c r="L18" s="36">
        <v>4986.1000000000004</v>
      </c>
      <c r="M18">
        <v>752</v>
      </c>
      <c r="N18" s="36">
        <v>4586.2</v>
      </c>
      <c r="O18" s="14">
        <v>3058</v>
      </c>
      <c r="P18" s="36">
        <v>4921.8</v>
      </c>
    </row>
    <row r="19" spans="1:16" x14ac:dyDescent="0.2">
      <c r="A19" t="s">
        <v>1121</v>
      </c>
      <c r="B19" t="s">
        <v>1287</v>
      </c>
      <c r="E19" s="80"/>
      <c r="F19" s="15" t="s">
        <v>1288</v>
      </c>
      <c r="G19" s="23">
        <v>1135</v>
      </c>
      <c r="H19" s="30">
        <v>15876.3</v>
      </c>
      <c r="I19">
        <v>896</v>
      </c>
      <c r="J19" s="36">
        <v>13151.3</v>
      </c>
      <c r="K19">
        <v>916</v>
      </c>
      <c r="L19" s="36">
        <v>13048.4</v>
      </c>
      <c r="M19">
        <v>886</v>
      </c>
      <c r="N19" s="36">
        <v>13206.1</v>
      </c>
      <c r="O19" s="14">
        <v>3833</v>
      </c>
      <c r="P19" s="36">
        <v>13820.6</v>
      </c>
    </row>
    <row r="20" spans="1:16" x14ac:dyDescent="0.2">
      <c r="E20" s="80"/>
      <c r="F20" s="82" t="s">
        <v>1289</v>
      </c>
      <c r="G20" s="80"/>
      <c r="H20" s="80"/>
      <c r="I20" s="80"/>
      <c r="J20" s="80"/>
      <c r="K20" s="80"/>
      <c r="L20" s="80"/>
      <c r="M20" s="80"/>
      <c r="N20" s="80"/>
      <c r="O20" s="80"/>
      <c r="P20" s="80"/>
    </row>
    <row r="21" spans="1:16" x14ac:dyDescent="0.2">
      <c r="A21" s="82" t="s">
        <v>1125</v>
      </c>
      <c r="B21" s="80"/>
      <c r="E21" s="80"/>
      <c r="F21" s="15" t="s">
        <v>1290</v>
      </c>
      <c r="G21" s="23">
        <v>2626</v>
      </c>
      <c r="H21" s="30">
        <v>1088.8</v>
      </c>
      <c r="I21" s="14">
        <v>2347</v>
      </c>
      <c r="J21">
        <v>946.8</v>
      </c>
      <c r="K21" s="14">
        <v>2393</v>
      </c>
      <c r="L21">
        <v>986.2</v>
      </c>
      <c r="M21" s="14">
        <v>2255</v>
      </c>
      <c r="N21" s="36">
        <v>2249</v>
      </c>
      <c r="O21" s="14">
        <v>9621</v>
      </c>
      <c r="P21" s="36">
        <v>1317.7</v>
      </c>
    </row>
    <row r="22" spans="1:16" x14ac:dyDescent="0.2">
      <c r="A22" t="s">
        <v>1135</v>
      </c>
      <c r="B22" t="s">
        <v>1291</v>
      </c>
      <c r="E22" s="80"/>
      <c r="F22" s="15" t="s">
        <v>1292</v>
      </c>
      <c r="G22" s="15">
        <v>310</v>
      </c>
      <c r="H22" s="15">
        <v>806.2</v>
      </c>
      <c r="I22">
        <v>277</v>
      </c>
      <c r="J22">
        <v>697.2</v>
      </c>
      <c r="K22">
        <v>290</v>
      </c>
      <c r="L22">
        <v>691.4</v>
      </c>
      <c r="M22">
        <v>265</v>
      </c>
      <c r="N22">
        <v>259</v>
      </c>
      <c r="O22" s="14">
        <v>1142</v>
      </c>
      <c r="P22">
        <v>613.4</v>
      </c>
    </row>
    <row r="23" spans="1:16" x14ac:dyDescent="0.2">
      <c r="E23" s="80"/>
      <c r="F23" t="s">
        <v>1293</v>
      </c>
      <c r="G23">
        <v>376</v>
      </c>
      <c r="H23">
        <v>468.5</v>
      </c>
      <c r="I23">
        <v>310</v>
      </c>
      <c r="J23">
        <v>363.2</v>
      </c>
      <c r="K23">
        <v>305</v>
      </c>
      <c r="L23">
        <v>340.8</v>
      </c>
      <c r="M23">
        <v>267</v>
      </c>
      <c r="N23">
        <v>267</v>
      </c>
      <c r="O23" s="14">
        <v>1258</v>
      </c>
      <c r="P23">
        <v>359.9</v>
      </c>
    </row>
    <row r="24" spans="1:16" x14ac:dyDescent="0.2">
      <c r="E24" s="80"/>
      <c r="F24" s="15" t="s">
        <v>1015</v>
      </c>
      <c r="G24" s="15">
        <v>80</v>
      </c>
      <c r="H24" s="15">
        <v>360.6</v>
      </c>
      <c r="I24">
        <v>86</v>
      </c>
      <c r="J24">
        <v>339.7</v>
      </c>
      <c r="K24">
        <v>89</v>
      </c>
      <c r="L24">
        <v>327.7</v>
      </c>
      <c r="M24">
        <v>73</v>
      </c>
      <c r="N24">
        <v>85</v>
      </c>
      <c r="O24">
        <v>328</v>
      </c>
      <c r="P24">
        <v>278.3</v>
      </c>
    </row>
    <row r="25" spans="1:16" x14ac:dyDescent="0.2">
      <c r="E25" s="80"/>
      <c r="F25" s="82" t="s">
        <v>1294</v>
      </c>
      <c r="G25" s="80"/>
      <c r="H25" s="80"/>
      <c r="I25" s="80"/>
      <c r="J25" s="80"/>
      <c r="K25" s="80"/>
      <c r="L25" s="80"/>
      <c r="M25" s="80"/>
      <c r="N25" s="80"/>
      <c r="O25" s="80"/>
      <c r="P25" s="80"/>
    </row>
    <row r="26" spans="1:16" x14ac:dyDescent="0.2">
      <c r="E26" s="80"/>
      <c r="F26" s="15">
        <v>10940</v>
      </c>
      <c r="G26" s="15">
        <v>512</v>
      </c>
      <c r="H26" s="30">
        <v>1035.8</v>
      </c>
      <c r="I26">
        <v>496</v>
      </c>
      <c r="J26">
        <v>973.8</v>
      </c>
      <c r="K26">
        <v>480</v>
      </c>
      <c r="L26">
        <v>925.7</v>
      </c>
      <c r="M26">
        <v>430</v>
      </c>
      <c r="N26">
        <v>809.8</v>
      </c>
      <c r="O26" s="14">
        <v>1918</v>
      </c>
      <c r="P26">
        <v>936.3</v>
      </c>
    </row>
    <row r="27" spans="1:16" x14ac:dyDescent="0.2">
      <c r="A27" s="82"/>
      <c r="B27" s="80"/>
      <c r="E27" s="80"/>
      <c r="F27" s="15">
        <v>10950</v>
      </c>
      <c r="G27" s="15">
        <v>226</v>
      </c>
      <c r="H27" s="30">
        <v>1688.6</v>
      </c>
      <c r="I27">
        <v>167</v>
      </c>
      <c r="J27" s="36">
        <v>1158.5</v>
      </c>
      <c r="K27">
        <v>194</v>
      </c>
      <c r="L27" s="36">
        <v>1337.7</v>
      </c>
      <c r="M27">
        <v>163</v>
      </c>
      <c r="N27" s="36">
        <v>1104.3</v>
      </c>
      <c r="O27">
        <v>750</v>
      </c>
      <c r="P27" s="36">
        <v>1322.3</v>
      </c>
    </row>
    <row r="28" spans="1:16" x14ac:dyDescent="0.2">
      <c r="E28" s="80"/>
      <c r="F28" s="15">
        <v>12550</v>
      </c>
      <c r="G28" s="15">
        <v>561</v>
      </c>
      <c r="H28" s="30">
        <v>2103.9</v>
      </c>
      <c r="I28">
        <v>459</v>
      </c>
      <c r="J28" s="36">
        <v>1712.3</v>
      </c>
      <c r="K28">
        <v>468</v>
      </c>
      <c r="L28" s="36">
        <v>1707.5</v>
      </c>
      <c r="M28">
        <v>406</v>
      </c>
      <c r="N28" s="36">
        <v>1487.2</v>
      </c>
      <c r="O28" s="14">
        <v>1894</v>
      </c>
      <c r="P28" s="36">
        <v>1752.7</v>
      </c>
    </row>
    <row r="29" spans="1:16" x14ac:dyDescent="0.2">
      <c r="E29" s="80"/>
      <c r="F29" s="15">
        <v>12771</v>
      </c>
      <c r="G29" s="15">
        <v>139</v>
      </c>
      <c r="H29" s="15">
        <v>964.7</v>
      </c>
      <c r="I29">
        <v>169</v>
      </c>
      <c r="J29" s="36">
        <v>1138.8</v>
      </c>
      <c r="K29">
        <v>166</v>
      </c>
      <c r="L29" s="36">
        <v>1148.5</v>
      </c>
      <c r="M29">
        <v>157</v>
      </c>
      <c r="N29" s="36">
        <v>1094.5</v>
      </c>
      <c r="O29">
        <v>631</v>
      </c>
      <c r="P29" s="14">
        <v>1086</v>
      </c>
    </row>
    <row r="30" spans="1:16" x14ac:dyDescent="0.2">
      <c r="E30" s="80"/>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tbl-all-cause-mortal-aar-rande</v>
      </c>
    </row>
    <row r="4" spans="1:17" x14ac:dyDescent="0.2">
      <c r="A4" s="16" t="s">
        <v>7</v>
      </c>
      <c r="B4" t="str">
        <f>IF($B$1="","",_xlfn.XLOOKUP($B$1,Master!$F$2:$F$321,Master!$H$2:$H$321,""))</f>
        <v>fig-all-cause-mortal-aar-rande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781</v>
      </c>
      <c r="H6" s="15">
        <v>790.7</v>
      </c>
      <c r="I6" s="15">
        <v>820.7</v>
      </c>
      <c r="J6" s="15">
        <v>487.8</v>
      </c>
      <c r="K6" s="15">
        <v>654.70000000000005</v>
      </c>
      <c r="L6" s="15"/>
      <c r="M6" s="15"/>
      <c r="N6" s="15"/>
      <c r="O6" s="15"/>
    </row>
    <row r="7" spans="1:17" ht="15.75" customHeight="1" x14ac:dyDescent="0.2">
      <c r="E7" s="80"/>
      <c r="F7" t="s">
        <v>1298</v>
      </c>
      <c r="G7" s="15">
        <v>773</v>
      </c>
      <c r="H7" s="15">
        <v>772.2</v>
      </c>
      <c r="I7" s="15">
        <v>945</v>
      </c>
      <c r="J7" s="15">
        <v>413.7</v>
      </c>
      <c r="K7" s="15">
        <v>594.1</v>
      </c>
      <c r="L7" s="15"/>
      <c r="M7" s="15"/>
      <c r="N7" s="15"/>
      <c r="O7" s="15"/>
    </row>
    <row r="8" spans="1:17" x14ac:dyDescent="0.2">
      <c r="E8" s="80"/>
      <c r="F8" t="s">
        <v>1299</v>
      </c>
      <c r="G8" s="15">
        <v>735</v>
      </c>
      <c r="H8" s="15">
        <v>728.3</v>
      </c>
      <c r="I8" s="15">
        <v>871.2</v>
      </c>
      <c r="J8" s="15">
        <v>436.7</v>
      </c>
      <c r="K8" s="15">
        <v>649.29999999999995</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1301</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1302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tbl-all-cause-mortal-rate-ZIP</v>
      </c>
    </row>
    <row r="4" spans="1:17" x14ac:dyDescent="0.2">
      <c r="A4" s="16" t="s">
        <v>7</v>
      </c>
      <c r="B4" t="str">
        <f>IF($B$1="","",_xlfn.XLOOKUP($B$1,Master!$F$2:$F$321,Master!$H$2:$H$321,""))</f>
        <v>fig-all-cause-mortal-rate-ZIP</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v>10940</v>
      </c>
      <c r="H5">
        <v>10950</v>
      </c>
      <c r="I5">
        <v>12550</v>
      </c>
      <c r="J5">
        <v>12771</v>
      </c>
    </row>
    <row r="6" spans="1:17" ht="15" customHeight="1" x14ac:dyDescent="0.2">
      <c r="A6" t="s">
        <v>1088</v>
      </c>
      <c r="B6" t="b">
        <v>0</v>
      </c>
      <c r="E6" s="80"/>
      <c r="F6">
        <v>2020</v>
      </c>
      <c r="G6" s="30">
        <v>1035.8</v>
      </c>
      <c r="H6" s="30">
        <v>1688.6</v>
      </c>
      <c r="I6" s="30">
        <v>2103.9</v>
      </c>
      <c r="J6" s="15">
        <v>964.7</v>
      </c>
      <c r="K6" s="15"/>
      <c r="L6" s="15"/>
      <c r="M6" s="15"/>
      <c r="N6" s="15"/>
      <c r="O6" s="15"/>
    </row>
    <row r="7" spans="1:17" ht="15.75" customHeight="1" x14ac:dyDescent="0.2">
      <c r="E7" s="80"/>
      <c r="F7">
        <v>2021</v>
      </c>
      <c r="G7" s="15">
        <v>973.8</v>
      </c>
      <c r="H7" s="30">
        <v>1158.5</v>
      </c>
      <c r="I7" s="30">
        <v>1712.3</v>
      </c>
      <c r="J7" s="30">
        <v>1138.8</v>
      </c>
      <c r="K7" s="15"/>
      <c r="L7" s="15"/>
      <c r="M7" s="15"/>
      <c r="N7" s="15"/>
      <c r="O7" s="15"/>
    </row>
    <row r="8" spans="1:17" x14ac:dyDescent="0.2">
      <c r="E8" s="80"/>
      <c r="F8">
        <v>2022</v>
      </c>
      <c r="G8" s="15">
        <v>925.7</v>
      </c>
      <c r="H8" s="30">
        <v>1337.7</v>
      </c>
      <c r="I8" s="30">
        <v>1707.5</v>
      </c>
      <c r="J8" s="30">
        <v>1148.5</v>
      </c>
      <c r="K8" s="15"/>
      <c r="L8" s="15"/>
      <c r="M8" s="15"/>
      <c r="N8" s="15"/>
      <c r="O8" s="15"/>
    </row>
    <row r="9" spans="1:17" x14ac:dyDescent="0.2">
      <c r="A9" s="84" t="s">
        <v>1098</v>
      </c>
      <c r="B9" s="80"/>
      <c r="E9" s="80"/>
      <c r="F9">
        <v>2023</v>
      </c>
      <c r="G9" s="15">
        <v>809.8</v>
      </c>
      <c r="H9" s="30">
        <v>1104.3</v>
      </c>
      <c r="I9" s="30">
        <v>1487.2</v>
      </c>
      <c r="J9" s="30">
        <v>1094.5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tbl-all-cause-mortal-aar-sex</v>
      </c>
    </row>
    <row r="4" spans="1:17" x14ac:dyDescent="0.2">
      <c r="A4" s="16" t="s">
        <v>7</v>
      </c>
      <c r="B4" t="str">
        <f>IF($B$1="","",_xlfn.XLOOKUP($B$1,Master!$F$2:$F$321,Master!$H$2:$H$321,""))</f>
        <v>fig-all-cause-mortal-aar-sex</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982.2</v>
      </c>
      <c r="H6" s="15">
        <v>842.9</v>
      </c>
      <c r="I6" s="15">
        <v>827.9</v>
      </c>
      <c r="J6" s="15">
        <v>767.5</v>
      </c>
      <c r="K6" s="15"/>
      <c r="L6" s="15"/>
      <c r="M6" s="15"/>
      <c r="N6" s="15"/>
      <c r="O6" s="15"/>
    </row>
    <row r="7" spans="1:17" ht="15.75" customHeight="1" x14ac:dyDescent="0.2">
      <c r="E7" s="80"/>
      <c r="F7" t="s">
        <v>1306</v>
      </c>
      <c r="G7" s="15">
        <v>680.7</v>
      </c>
      <c r="H7" s="15">
        <v>609.20000000000005</v>
      </c>
      <c r="I7" s="15">
        <v>616.29999999999995</v>
      </c>
      <c r="J7" s="15">
        <v>582.79999999999995</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1086</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1307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1077</v>
      </c>
      <c r="B1" s="79" t="s">
        <v>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tbl-top-five-leading-death-count-aar</v>
      </c>
    </row>
    <row r="4" spans="1:17" x14ac:dyDescent="0.2">
      <c r="A4" s="16" t="s">
        <v>7</v>
      </c>
      <c r="B4" t="str">
        <f>IF($B$1="","",_xlfn.XLOOKUP($B$1,Master!$F$2:$F$321,Master!$H$2:$H$321,""))</f>
        <v>fig-top-five-leading-death-count-aar</v>
      </c>
      <c r="E4" s="8"/>
      <c r="F4" s="10" t="s">
        <v>968</v>
      </c>
      <c r="G4" s="10" t="s">
        <v>979</v>
      </c>
      <c r="H4" s="87" t="s">
        <v>979</v>
      </c>
      <c r="I4" s="80"/>
      <c r="J4" s="87" t="s">
        <v>979</v>
      </c>
      <c r="K4" s="80"/>
      <c r="L4" s="87" t="s">
        <v>979</v>
      </c>
      <c r="M4" s="80"/>
      <c r="N4" s="87" t="s">
        <v>979</v>
      </c>
      <c r="O4" s="80"/>
      <c r="P4" s="87" t="s">
        <v>979</v>
      </c>
      <c r="Q4" s="80"/>
    </row>
    <row r="5" spans="1:17" x14ac:dyDescent="0.2">
      <c r="A5" s="84" t="s">
        <v>1081</v>
      </c>
      <c r="B5" s="80"/>
      <c r="E5" s="83" t="s">
        <v>1082</v>
      </c>
      <c r="F5" s="82" t="s">
        <v>1308</v>
      </c>
      <c r="G5" s="80"/>
      <c r="H5" s="82" t="s">
        <v>1309</v>
      </c>
      <c r="I5" s="80"/>
      <c r="J5" s="82" t="s">
        <v>1310</v>
      </c>
      <c r="K5" s="80"/>
      <c r="L5" s="82" t="s">
        <v>1311</v>
      </c>
      <c r="M5" s="80"/>
      <c r="N5" s="82" t="s">
        <v>1312</v>
      </c>
      <c r="O5" s="80"/>
      <c r="P5" s="82" t="s">
        <v>1313</v>
      </c>
      <c r="Q5" s="80"/>
    </row>
    <row r="6" spans="1:17" ht="15" customHeight="1" x14ac:dyDescent="0.2">
      <c r="A6" t="s">
        <v>1088</v>
      </c>
      <c r="B6" t="b">
        <v>1</v>
      </c>
      <c r="E6" s="80"/>
      <c r="F6" s="82" t="s">
        <v>1096</v>
      </c>
      <c r="G6" s="80"/>
      <c r="H6" s="82" t="s">
        <v>1314</v>
      </c>
      <c r="I6" s="80"/>
      <c r="J6" s="82" t="s">
        <v>1315</v>
      </c>
      <c r="K6" s="80"/>
      <c r="L6" s="82" t="s">
        <v>1316</v>
      </c>
      <c r="M6" s="80"/>
      <c r="N6" s="82" t="s">
        <v>1317</v>
      </c>
      <c r="O6" s="80"/>
      <c r="P6" s="82" t="s">
        <v>1318</v>
      </c>
      <c r="Q6" s="80"/>
    </row>
    <row r="7" spans="1:17" ht="15.75" customHeight="1" x14ac:dyDescent="0.2">
      <c r="E7" s="80"/>
      <c r="F7" t="s">
        <v>1</v>
      </c>
      <c r="G7" s="23">
        <v>3222</v>
      </c>
      <c r="H7" s="82">
        <v>653</v>
      </c>
      <c r="I7" s="80"/>
      <c r="J7" s="82">
        <v>609</v>
      </c>
      <c r="K7" s="80"/>
      <c r="L7" s="82">
        <v>253</v>
      </c>
      <c r="M7" s="80"/>
      <c r="N7" s="82">
        <v>231</v>
      </c>
      <c r="O7" s="80"/>
      <c r="P7" s="82">
        <v>125</v>
      </c>
      <c r="Q7" s="80"/>
    </row>
    <row r="8" spans="1:17" x14ac:dyDescent="0.2">
      <c r="E8" s="80"/>
      <c r="F8" t="s">
        <v>1273</v>
      </c>
      <c r="G8" s="15">
        <v>745.2</v>
      </c>
      <c r="H8" s="82">
        <v>150.6</v>
      </c>
      <c r="I8" s="80"/>
      <c r="J8" s="82">
        <v>132.4</v>
      </c>
      <c r="K8" s="80"/>
      <c r="L8" s="82">
        <v>62.2</v>
      </c>
      <c r="M8" s="80"/>
      <c r="N8" s="82">
        <v>53.4</v>
      </c>
      <c r="O8" s="80"/>
      <c r="P8" s="82">
        <v>29.6</v>
      </c>
      <c r="Q8" s="80"/>
    </row>
    <row r="9" spans="1:17" x14ac:dyDescent="0.2">
      <c r="A9" s="84" t="s">
        <v>1098</v>
      </c>
      <c r="B9" s="80"/>
      <c r="E9" s="80"/>
      <c r="F9" s="82" t="s">
        <v>1319</v>
      </c>
      <c r="G9" s="80"/>
      <c r="H9" s="82" t="s">
        <v>1314</v>
      </c>
      <c r="I9" s="80"/>
      <c r="J9" s="82" t="s">
        <v>1315</v>
      </c>
      <c r="K9" s="80"/>
      <c r="L9" s="82" t="s">
        <v>1317</v>
      </c>
      <c r="M9" s="80"/>
      <c r="N9" s="82" t="s">
        <v>1316</v>
      </c>
      <c r="O9" s="80"/>
      <c r="P9" s="82" t="s">
        <v>1318</v>
      </c>
      <c r="Q9" s="80"/>
    </row>
    <row r="10" spans="1:17" x14ac:dyDescent="0.2">
      <c r="A10" t="s">
        <v>1100</v>
      </c>
      <c r="E10" s="80"/>
      <c r="F10" t="s">
        <v>1</v>
      </c>
      <c r="G10" s="23">
        <v>113465</v>
      </c>
      <c r="H10" s="88">
        <v>26215</v>
      </c>
      <c r="I10" s="80"/>
      <c r="J10" s="88">
        <v>21762</v>
      </c>
      <c r="K10" s="80"/>
      <c r="L10" s="88">
        <v>6666</v>
      </c>
      <c r="M10" s="80"/>
      <c r="N10" s="88">
        <v>6666</v>
      </c>
      <c r="O10" s="80"/>
      <c r="P10" s="88">
        <v>4602</v>
      </c>
      <c r="Q10" s="80"/>
    </row>
    <row r="11" spans="1:17" x14ac:dyDescent="0.2">
      <c r="A11" t="s">
        <v>1102</v>
      </c>
      <c r="E11" s="80"/>
      <c r="F11" t="s">
        <v>1273</v>
      </c>
      <c r="G11" s="15">
        <v>744</v>
      </c>
      <c r="H11" s="82">
        <v>166.4</v>
      </c>
      <c r="I11" s="80"/>
      <c r="J11" s="82">
        <v>137.30000000000001</v>
      </c>
      <c r="K11" s="80"/>
      <c r="L11" s="81">
        <v>54.8</v>
      </c>
      <c r="M11" s="80"/>
      <c r="N11" s="81">
        <v>42.3</v>
      </c>
      <c r="O11" s="80"/>
      <c r="P11" s="81">
        <v>28.8</v>
      </c>
      <c r="Q11" s="80"/>
    </row>
    <row r="12" spans="1:17" x14ac:dyDescent="0.2">
      <c r="A12" t="s">
        <v>1104</v>
      </c>
      <c r="E12" s="80"/>
      <c r="F12" s="82" t="s">
        <v>1299</v>
      </c>
      <c r="G12" s="80"/>
      <c r="H12" s="82" t="s">
        <v>1314</v>
      </c>
      <c r="I12" s="80"/>
      <c r="J12" s="82" t="s">
        <v>1315</v>
      </c>
      <c r="K12" s="80"/>
      <c r="L12" s="82" t="s">
        <v>1317</v>
      </c>
      <c r="M12" s="80"/>
      <c r="N12" s="82" t="s">
        <v>1316</v>
      </c>
      <c r="O12" s="80"/>
      <c r="P12" s="89" t="s">
        <v>1320</v>
      </c>
      <c r="Q12" s="80"/>
    </row>
    <row r="13" spans="1:17" x14ac:dyDescent="0.2">
      <c r="A13" t="s">
        <v>1108</v>
      </c>
      <c r="E13" s="80"/>
      <c r="F13" t="s">
        <v>1</v>
      </c>
      <c r="G13" s="14">
        <v>173986</v>
      </c>
      <c r="H13" s="88">
        <v>43166</v>
      </c>
      <c r="I13" s="80"/>
      <c r="J13" s="88">
        <v>32584</v>
      </c>
      <c r="K13" s="80"/>
      <c r="L13" s="88">
        <v>11174</v>
      </c>
      <c r="M13" s="80"/>
      <c r="N13" s="88">
        <v>10820</v>
      </c>
      <c r="O13" s="80"/>
      <c r="P13" s="88">
        <v>6574</v>
      </c>
      <c r="Q13" s="80"/>
    </row>
    <row r="14" spans="1:17" x14ac:dyDescent="0.2">
      <c r="A14" t="s">
        <v>1112</v>
      </c>
      <c r="E14" s="80"/>
      <c r="F14" t="s">
        <v>1273</v>
      </c>
      <c r="G14">
        <v>679.6</v>
      </c>
      <c r="H14" s="82">
        <v>163.69999999999999</v>
      </c>
      <c r="I14" s="80"/>
      <c r="J14" s="82">
        <v>123.7</v>
      </c>
      <c r="K14" s="80"/>
      <c r="L14" s="82">
        <v>42.7</v>
      </c>
      <c r="M14" s="80"/>
      <c r="N14" s="82">
        <v>50.6</v>
      </c>
      <c r="O14" s="80"/>
      <c r="P14" s="82">
        <v>25.1</v>
      </c>
      <c r="Q14" s="80"/>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B19" t="s">
        <v>1321</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1322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66">
    <mergeCell ref="P4:Q4"/>
    <mergeCell ref="L7:M7"/>
    <mergeCell ref="N11:O11"/>
    <mergeCell ref="J5:K5"/>
    <mergeCell ref="N7:O7"/>
    <mergeCell ref="N4:O4"/>
    <mergeCell ref="N5:O5"/>
    <mergeCell ref="P5:Q5"/>
    <mergeCell ref="J14:K14"/>
    <mergeCell ref="J10:K10"/>
    <mergeCell ref="P10:Q10"/>
    <mergeCell ref="F6:G6"/>
    <mergeCell ref="P9:Q9"/>
    <mergeCell ref="F12:G12"/>
    <mergeCell ref="N12:O12"/>
    <mergeCell ref="P6:Q6"/>
    <mergeCell ref="P13:Q13"/>
    <mergeCell ref="P12:Q12"/>
    <mergeCell ref="P14:Q14"/>
    <mergeCell ref="P8:Q8"/>
    <mergeCell ref="P11:Q11"/>
    <mergeCell ref="P7:Q7"/>
    <mergeCell ref="N6:O6"/>
    <mergeCell ref="H4:I4"/>
    <mergeCell ref="J13:K13"/>
    <mergeCell ref="H9:I9"/>
    <mergeCell ref="L13:M13"/>
    <mergeCell ref="J9:K9"/>
    <mergeCell ref="L12:M12"/>
    <mergeCell ref="H6:I6"/>
    <mergeCell ref="J6:K6"/>
    <mergeCell ref="H10:I10"/>
    <mergeCell ref="L5:M5"/>
    <mergeCell ref="L6:M6"/>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H5:I5"/>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tbl-number-deaths-leading-sex</v>
      </c>
    </row>
    <row r="4" spans="1:17" x14ac:dyDescent="0.2">
      <c r="A4" s="16" t="s">
        <v>7</v>
      </c>
      <c r="B4" t="str">
        <f>IF($B$1="","",_xlfn.XLOOKUP($B$1,Master!$F$2:$F$321,Master!$H$2:$H$321,""))</f>
        <v>fig-number-deaths-leading-sex</v>
      </c>
      <c r="E4" s="8"/>
      <c r="F4" s="10" t="s">
        <v>968</v>
      </c>
      <c r="G4" s="10" t="s">
        <v>973</v>
      </c>
      <c r="H4" s="10" t="s">
        <v>973</v>
      </c>
      <c r="I4" s="10" t="s">
        <v>973</v>
      </c>
      <c r="J4" s="10"/>
      <c r="K4" s="10"/>
      <c r="L4" s="10"/>
      <c r="M4" s="10"/>
      <c r="N4" s="10"/>
      <c r="O4" s="10"/>
      <c r="P4" s="10"/>
      <c r="Q4" s="10"/>
    </row>
    <row r="5" spans="1:17" x14ac:dyDescent="0.2">
      <c r="A5" s="84" t="s">
        <v>1081</v>
      </c>
      <c r="B5" s="80"/>
      <c r="E5" s="83" t="s">
        <v>1082</v>
      </c>
      <c r="F5" s="81" t="s">
        <v>1323</v>
      </c>
      <c r="G5" s="82" t="s">
        <v>1324</v>
      </c>
      <c r="H5" s="80"/>
      <c r="I5" s="80"/>
    </row>
    <row r="6" spans="1:17" ht="15" customHeight="1" x14ac:dyDescent="0.2">
      <c r="A6" t="s">
        <v>1088</v>
      </c>
      <c r="B6" t="b">
        <v>1</v>
      </c>
      <c r="E6" s="80"/>
      <c r="F6" s="80"/>
      <c r="G6" t="s">
        <v>1094</v>
      </c>
      <c r="H6" t="s">
        <v>1095</v>
      </c>
      <c r="I6" t="s">
        <v>1089</v>
      </c>
      <c r="J6" s="15"/>
      <c r="K6" s="15"/>
      <c r="L6" s="15"/>
      <c r="M6" s="15"/>
      <c r="N6" s="15"/>
      <c r="O6" s="15"/>
    </row>
    <row r="7" spans="1:17" ht="15.75" customHeight="1" x14ac:dyDescent="0.2">
      <c r="E7" s="80"/>
      <c r="F7" s="16" t="s">
        <v>1325</v>
      </c>
      <c r="G7" s="23">
        <v>6235</v>
      </c>
      <c r="H7" s="23">
        <v>6114</v>
      </c>
      <c r="I7" s="23">
        <v>12349</v>
      </c>
      <c r="J7" s="15"/>
      <c r="K7" s="15"/>
      <c r="L7" s="15"/>
      <c r="M7" s="15"/>
      <c r="N7" s="15"/>
      <c r="O7" s="15"/>
    </row>
    <row r="8" spans="1:17" x14ac:dyDescent="0.2">
      <c r="E8" s="80"/>
      <c r="F8" s="47" t="s">
        <v>1326</v>
      </c>
      <c r="G8" s="23">
        <v>1409</v>
      </c>
      <c r="H8" s="23">
        <v>1214</v>
      </c>
      <c r="I8" s="23">
        <v>2623</v>
      </c>
      <c r="J8" s="15"/>
      <c r="K8" s="15"/>
      <c r="L8" s="15"/>
      <c r="M8" s="15"/>
      <c r="N8" s="15"/>
      <c r="O8" s="15"/>
    </row>
    <row r="9" spans="1:17" x14ac:dyDescent="0.2">
      <c r="A9" s="84" t="s">
        <v>1098</v>
      </c>
      <c r="B9" s="80"/>
      <c r="E9" s="80"/>
      <c r="F9" s="47" t="s">
        <v>1327</v>
      </c>
      <c r="G9" s="23">
        <v>1165</v>
      </c>
      <c r="H9" s="23">
        <v>1217</v>
      </c>
      <c r="I9" s="23">
        <v>2382</v>
      </c>
      <c r="J9" s="15"/>
      <c r="K9" s="15"/>
      <c r="L9" s="15"/>
      <c r="M9" s="15"/>
      <c r="N9" s="15"/>
      <c r="O9" s="15"/>
    </row>
    <row r="10" spans="1:17" x14ac:dyDescent="0.2">
      <c r="A10" t="s">
        <v>1100</v>
      </c>
      <c r="E10" s="80"/>
      <c r="F10" s="47" t="s">
        <v>1316</v>
      </c>
      <c r="G10" s="15">
        <v>793</v>
      </c>
      <c r="H10" s="15">
        <v>366</v>
      </c>
      <c r="I10" s="23">
        <v>1159</v>
      </c>
    </row>
    <row r="11" spans="1:17" x14ac:dyDescent="0.2">
      <c r="A11" t="s">
        <v>1102</v>
      </c>
      <c r="E11" s="80"/>
      <c r="F11" s="48" t="s">
        <v>1328</v>
      </c>
      <c r="G11" s="17">
        <v>222</v>
      </c>
      <c r="H11" s="17">
        <v>271</v>
      </c>
      <c r="I11" s="15">
        <v>493</v>
      </c>
      <c r="J11" s="17"/>
      <c r="K11" s="17"/>
      <c r="L11" s="17"/>
      <c r="M11" s="17"/>
      <c r="N11" s="17"/>
    </row>
    <row r="12" spans="1:17" x14ac:dyDescent="0.2">
      <c r="A12" t="s">
        <v>1104</v>
      </c>
      <c r="E12" s="80"/>
      <c r="F12" s="47" t="s">
        <v>1329</v>
      </c>
      <c r="G12" s="15">
        <v>176</v>
      </c>
      <c r="H12" s="15">
        <v>236</v>
      </c>
      <c r="I12" s="15">
        <v>412</v>
      </c>
      <c r="J12" s="15"/>
      <c r="K12" s="15"/>
      <c r="L12" s="15"/>
    </row>
    <row r="13" spans="1:17" x14ac:dyDescent="0.2">
      <c r="A13" t="s">
        <v>1108</v>
      </c>
      <c r="E13" s="80"/>
      <c r="F13" s="47" t="s">
        <v>1330</v>
      </c>
      <c r="G13" s="15">
        <v>106</v>
      </c>
      <c r="H13" s="15">
        <v>292</v>
      </c>
      <c r="I13" s="15">
        <v>398</v>
      </c>
    </row>
    <row r="14" spans="1:17" x14ac:dyDescent="0.2">
      <c r="A14" t="s">
        <v>1112</v>
      </c>
      <c r="E14" s="80"/>
      <c r="F14" s="47" t="s">
        <v>1331</v>
      </c>
      <c r="G14" s="15">
        <v>155</v>
      </c>
      <c r="H14" s="15">
        <v>146</v>
      </c>
      <c r="I14" s="15">
        <v>301</v>
      </c>
    </row>
    <row r="15" spans="1:17" x14ac:dyDescent="0.2">
      <c r="A15" t="s">
        <v>1114</v>
      </c>
      <c r="E15" s="80"/>
      <c r="F15" s="47" t="s">
        <v>1332</v>
      </c>
      <c r="G15" s="15">
        <v>136</v>
      </c>
      <c r="H15" s="15">
        <v>109</v>
      </c>
      <c r="I15" s="15">
        <v>245</v>
      </c>
    </row>
    <row r="16" spans="1:17" x14ac:dyDescent="0.2">
      <c r="A16" t="s">
        <v>1116</v>
      </c>
      <c r="E16" s="80"/>
      <c r="F16" s="47" t="s">
        <v>1333</v>
      </c>
      <c r="G16" s="15">
        <v>128</v>
      </c>
      <c r="H16" s="15">
        <v>135</v>
      </c>
      <c r="I16" s="15">
        <v>263</v>
      </c>
    </row>
    <row r="17" spans="1:11" x14ac:dyDescent="0.2">
      <c r="E17" s="80"/>
      <c r="F17" s="47" t="s">
        <v>1334</v>
      </c>
      <c r="G17" s="15">
        <v>185</v>
      </c>
      <c r="H17" s="15">
        <v>42</v>
      </c>
      <c r="I17" s="15">
        <v>227</v>
      </c>
    </row>
    <row r="18" spans="1:11" x14ac:dyDescent="0.2">
      <c r="A18" s="84" t="s">
        <v>1119</v>
      </c>
      <c r="B18" s="80"/>
      <c r="E18" s="80"/>
      <c r="F18" s="47" t="s">
        <v>1335</v>
      </c>
      <c r="G18" s="15">
        <v>84</v>
      </c>
      <c r="H18" s="15">
        <v>39</v>
      </c>
      <c r="I18" s="15">
        <v>123</v>
      </c>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1291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tbl-premature-deaths-rande</v>
      </c>
    </row>
    <row r="4" spans="1:17" x14ac:dyDescent="0.2">
      <c r="A4" s="16" t="s">
        <v>7</v>
      </c>
      <c r="B4" t="str">
        <f>IF($B$1="","",_xlfn.XLOOKUP($B$1,Master!$F$2:$F$321,Master!$H$2:$H$321,""))</f>
        <v>fig-premature-deaths-rande</v>
      </c>
      <c r="E4" s="8"/>
      <c r="F4" s="10" t="s">
        <v>968</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45.8</v>
      </c>
      <c r="H6" s="15">
        <v>41.3</v>
      </c>
      <c r="I6" s="15">
        <v>63.4</v>
      </c>
      <c r="J6" s="15">
        <v>61.3</v>
      </c>
      <c r="K6" s="15">
        <v>57.9</v>
      </c>
      <c r="L6" s="15"/>
      <c r="M6" s="15"/>
      <c r="N6" s="15"/>
      <c r="O6" s="15"/>
    </row>
    <row r="7" spans="1:17" ht="15.75" customHeight="1" x14ac:dyDescent="0.2">
      <c r="E7" s="80"/>
      <c r="F7" t="s">
        <v>1298</v>
      </c>
      <c r="G7" s="15">
        <v>40.799999999999997</v>
      </c>
      <c r="H7" s="15">
        <v>37.299999999999997</v>
      </c>
      <c r="I7" s="15">
        <v>61.6</v>
      </c>
      <c r="J7" s="15">
        <v>46.5</v>
      </c>
      <c r="K7" s="15">
        <v>60.8</v>
      </c>
      <c r="L7" s="15"/>
      <c r="M7" s="15"/>
      <c r="N7" s="15"/>
      <c r="O7" s="15"/>
    </row>
    <row r="8" spans="1:17" x14ac:dyDescent="0.2">
      <c r="E8" s="80"/>
      <c r="F8" t="s">
        <v>1299</v>
      </c>
      <c r="G8" s="15">
        <v>42.9</v>
      </c>
      <c r="H8" s="15">
        <v>36.6</v>
      </c>
      <c r="I8" s="15">
        <v>58.6</v>
      </c>
      <c r="J8" s="15">
        <v>42.9</v>
      </c>
      <c r="K8" s="15">
        <v>55</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1336</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1337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1077</v>
      </c>
      <c r="B1" s="79" t="s">
        <v>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tbl-income-poverty-gini</v>
      </c>
    </row>
    <row r="4" spans="1:17" x14ac:dyDescent="0.2">
      <c r="A4" s="16" t="s">
        <v>7</v>
      </c>
      <c r="B4" t="str">
        <f>IF($B$1="","",_xlfn.XLOOKUP($B$1,Master!$F$2:$F$321,Master!$H$2:$H$321,""))</f>
        <v>fig-income-poverty-gini</v>
      </c>
      <c r="E4" s="8"/>
      <c r="F4" s="10" t="s">
        <v>968</v>
      </c>
      <c r="G4" s="10" t="s">
        <v>973</v>
      </c>
      <c r="H4" s="10" t="s">
        <v>989</v>
      </c>
      <c r="I4" s="10" t="s">
        <v>973</v>
      </c>
      <c r="J4" s="10" t="s">
        <v>979</v>
      </c>
      <c r="K4" s="10" t="s">
        <v>973</v>
      </c>
      <c r="L4" s="10" t="s">
        <v>979</v>
      </c>
      <c r="M4" s="10" t="s">
        <v>973</v>
      </c>
      <c r="N4" s="10" t="s">
        <v>979</v>
      </c>
      <c r="O4" s="10" t="s">
        <v>984</v>
      </c>
      <c r="P4" s="10"/>
      <c r="Q4" s="10"/>
    </row>
    <row r="5" spans="1:17" x14ac:dyDescent="0.2">
      <c r="A5" s="84" t="s">
        <v>1081</v>
      </c>
      <c r="B5" s="80"/>
      <c r="E5" s="83" t="s">
        <v>1082</v>
      </c>
      <c r="F5" s="85" t="s">
        <v>1083</v>
      </c>
      <c r="G5" s="90" t="s">
        <v>1338</v>
      </c>
      <c r="H5" s="90" t="s">
        <v>1339</v>
      </c>
      <c r="I5" s="85" t="s">
        <v>1340</v>
      </c>
      <c r="J5" s="80"/>
      <c r="K5" s="85" t="s">
        <v>1341</v>
      </c>
      <c r="L5" s="80"/>
      <c r="M5" s="85" t="s">
        <v>1342</v>
      </c>
      <c r="N5" s="80"/>
      <c r="O5" s="85" t="s">
        <v>1343</v>
      </c>
    </row>
    <row r="6" spans="1:17" x14ac:dyDescent="0.2">
      <c r="A6" t="s">
        <v>1088</v>
      </c>
      <c r="B6" t="b">
        <v>1</v>
      </c>
      <c r="E6" s="80"/>
      <c r="F6" s="80"/>
      <c r="G6" s="80"/>
      <c r="H6" s="80"/>
      <c r="I6" s="60" t="s">
        <v>1272</v>
      </c>
      <c r="J6" s="60" t="s">
        <v>1344</v>
      </c>
      <c r="K6" s="60" t="s">
        <v>1272</v>
      </c>
      <c r="L6" s="60" t="s">
        <v>1344</v>
      </c>
      <c r="M6" s="60" t="s">
        <v>1272</v>
      </c>
      <c r="N6" s="60" t="s">
        <v>1344</v>
      </c>
      <c r="O6" s="80"/>
    </row>
    <row r="7" spans="1:17" ht="15.75" customHeight="1" x14ac:dyDescent="0.2">
      <c r="E7" s="80"/>
      <c r="F7" s="16" t="s">
        <v>1096</v>
      </c>
      <c r="G7" s="28">
        <v>137311</v>
      </c>
      <c r="H7" s="41">
        <v>96497</v>
      </c>
      <c r="I7" s="28">
        <v>21753</v>
      </c>
      <c r="J7" s="17">
        <v>15.8</v>
      </c>
      <c r="K7" s="28">
        <v>35627</v>
      </c>
      <c r="L7" s="17">
        <v>25.9</v>
      </c>
      <c r="M7" s="28">
        <v>39482</v>
      </c>
      <c r="N7" s="17">
        <v>28.8</v>
      </c>
      <c r="O7" s="17">
        <v>0.44</v>
      </c>
    </row>
    <row r="8" spans="1:17" x14ac:dyDescent="0.2">
      <c r="E8" s="80"/>
      <c r="F8" s="16" t="s">
        <v>1097</v>
      </c>
      <c r="G8" s="28">
        <v>6149</v>
      </c>
      <c r="H8" s="41">
        <v>100763</v>
      </c>
      <c r="I8" s="17">
        <v>805</v>
      </c>
      <c r="J8" s="17">
        <v>13.1</v>
      </c>
      <c r="K8" s="28">
        <v>1399</v>
      </c>
      <c r="L8" s="17">
        <v>22.8</v>
      </c>
      <c r="M8" s="28">
        <v>1825</v>
      </c>
      <c r="N8" s="17">
        <v>29.7</v>
      </c>
      <c r="O8" s="17">
        <v>0.41</v>
      </c>
    </row>
    <row r="9" spans="1:17" x14ac:dyDescent="0.2">
      <c r="A9" s="84" t="s">
        <v>1098</v>
      </c>
      <c r="B9" s="80"/>
      <c r="E9" s="80"/>
      <c r="F9" s="47" t="s">
        <v>1099</v>
      </c>
      <c r="G9" s="28">
        <v>1173</v>
      </c>
      <c r="H9" s="41">
        <v>68958</v>
      </c>
      <c r="I9" s="17">
        <v>158</v>
      </c>
      <c r="J9" s="17">
        <v>13.5</v>
      </c>
      <c r="K9" s="17">
        <v>374</v>
      </c>
      <c r="L9" s="17">
        <v>31.9</v>
      </c>
      <c r="M9" s="17">
        <v>142</v>
      </c>
      <c r="N9" s="17">
        <v>12.1</v>
      </c>
      <c r="O9" s="17">
        <v>0.39</v>
      </c>
    </row>
    <row r="10" spans="1:17" x14ac:dyDescent="0.2">
      <c r="A10" t="s">
        <v>1100</v>
      </c>
      <c r="E10" s="80"/>
      <c r="F10" s="47" t="s">
        <v>1101</v>
      </c>
      <c r="G10" s="28">
        <v>2106</v>
      </c>
      <c r="H10" s="41">
        <v>101080</v>
      </c>
      <c r="I10" s="17">
        <v>370</v>
      </c>
      <c r="J10" s="17">
        <v>17.600000000000001</v>
      </c>
      <c r="K10" s="17">
        <v>553</v>
      </c>
      <c r="L10" s="17">
        <v>26.3</v>
      </c>
      <c r="M10" s="17">
        <v>590</v>
      </c>
      <c r="N10" s="17">
        <v>28</v>
      </c>
      <c r="O10" s="17">
        <v>0.47</v>
      </c>
    </row>
    <row r="11" spans="1:17" x14ac:dyDescent="0.2">
      <c r="A11" t="s">
        <v>1102</v>
      </c>
      <c r="E11" s="80"/>
      <c r="F11" s="16" t="s">
        <v>1103</v>
      </c>
      <c r="G11" s="28">
        <v>4458</v>
      </c>
      <c r="H11" s="41">
        <v>146893</v>
      </c>
      <c r="I11" s="17">
        <v>357</v>
      </c>
      <c r="J11" s="17">
        <v>8</v>
      </c>
      <c r="K11" s="17">
        <v>692</v>
      </c>
      <c r="L11" s="17">
        <v>15.5</v>
      </c>
      <c r="M11" s="28">
        <v>2183</v>
      </c>
      <c r="N11" s="17">
        <v>48.9</v>
      </c>
      <c r="O11" s="17">
        <v>0.38</v>
      </c>
    </row>
    <row r="12" spans="1:17" x14ac:dyDescent="0.2">
      <c r="A12" t="s">
        <v>1104</v>
      </c>
      <c r="E12" s="80"/>
      <c r="F12" s="48" t="s">
        <v>1105</v>
      </c>
      <c r="G12" s="28">
        <v>1560</v>
      </c>
      <c r="H12" s="41">
        <v>97250</v>
      </c>
      <c r="I12" s="17">
        <v>260</v>
      </c>
      <c r="J12" s="17">
        <v>16.7</v>
      </c>
      <c r="K12" s="17">
        <v>377</v>
      </c>
      <c r="L12" s="17">
        <v>24.2</v>
      </c>
      <c r="M12" s="17">
        <v>563</v>
      </c>
      <c r="N12" s="17">
        <v>36.1</v>
      </c>
      <c r="O12" s="17">
        <v>0.38</v>
      </c>
    </row>
    <row r="13" spans="1:17" x14ac:dyDescent="0.2">
      <c r="A13" t="s">
        <v>1108</v>
      </c>
      <c r="E13" s="80"/>
      <c r="F13" s="16" t="s">
        <v>1109</v>
      </c>
      <c r="G13" s="28">
        <v>5023</v>
      </c>
      <c r="H13" s="41">
        <v>118639</v>
      </c>
      <c r="I13" s="17">
        <v>459</v>
      </c>
      <c r="J13" s="17">
        <v>9.1</v>
      </c>
      <c r="K13" s="17">
        <v>773</v>
      </c>
      <c r="L13" s="17">
        <v>15.4</v>
      </c>
      <c r="M13" s="28">
        <v>1879</v>
      </c>
      <c r="N13" s="17">
        <v>37.4</v>
      </c>
      <c r="O13" s="17">
        <v>0.38</v>
      </c>
    </row>
    <row r="14" spans="1:17" x14ac:dyDescent="0.2">
      <c r="A14" t="s">
        <v>1112</v>
      </c>
      <c r="E14" s="80"/>
      <c r="F14" s="47" t="s">
        <v>1113</v>
      </c>
      <c r="G14" s="28">
        <v>1230</v>
      </c>
      <c r="H14" s="41">
        <v>150288</v>
      </c>
      <c r="I14" s="17">
        <v>79</v>
      </c>
      <c r="J14" s="17">
        <v>6.4</v>
      </c>
      <c r="K14" s="17">
        <v>143</v>
      </c>
      <c r="L14" s="17">
        <v>11.6</v>
      </c>
      <c r="M14" s="17">
        <v>627</v>
      </c>
      <c r="N14" s="17">
        <v>51</v>
      </c>
      <c r="O14" s="17">
        <v>0.36</v>
      </c>
    </row>
    <row r="15" spans="1:17" x14ac:dyDescent="0.2">
      <c r="A15" t="s">
        <v>1114</v>
      </c>
      <c r="E15" s="80"/>
      <c r="F15" s="25" t="s">
        <v>1115</v>
      </c>
      <c r="G15" s="28">
        <v>3001</v>
      </c>
      <c r="H15" s="41">
        <v>130656</v>
      </c>
      <c r="I15" s="17">
        <v>277</v>
      </c>
      <c r="J15" s="17">
        <v>9.1999999999999993</v>
      </c>
      <c r="K15" s="17">
        <v>448</v>
      </c>
      <c r="L15" s="17">
        <v>14.9</v>
      </c>
      <c r="M15" s="28">
        <v>1246</v>
      </c>
      <c r="N15" s="17">
        <v>41.5</v>
      </c>
      <c r="O15" s="17">
        <v>0.43</v>
      </c>
    </row>
    <row r="16" spans="1:17" x14ac:dyDescent="0.2">
      <c r="A16" t="s">
        <v>1116</v>
      </c>
      <c r="E16" s="80"/>
      <c r="F16" s="25" t="s">
        <v>1117</v>
      </c>
      <c r="G16" s="28">
        <v>2993</v>
      </c>
      <c r="H16" s="41">
        <v>72164</v>
      </c>
      <c r="I16" s="17">
        <v>421</v>
      </c>
      <c r="J16" s="17">
        <v>14.1</v>
      </c>
      <c r="K16" s="17">
        <v>834</v>
      </c>
      <c r="L16" s="17">
        <v>27.9</v>
      </c>
      <c r="M16" s="17">
        <v>448</v>
      </c>
      <c r="N16" s="17">
        <v>14.9</v>
      </c>
      <c r="O16" s="17">
        <v>0.4</v>
      </c>
    </row>
    <row r="17" spans="1:15" x14ac:dyDescent="0.2">
      <c r="E17" s="80"/>
      <c r="F17" s="25" t="s">
        <v>1118</v>
      </c>
      <c r="G17" s="28">
        <v>4861</v>
      </c>
      <c r="H17" s="41">
        <v>117817</v>
      </c>
      <c r="I17" s="17">
        <v>626</v>
      </c>
      <c r="J17" s="17">
        <v>12.9</v>
      </c>
      <c r="K17" s="28">
        <v>1031</v>
      </c>
      <c r="L17" s="17">
        <v>21.2</v>
      </c>
      <c r="M17" s="28">
        <v>1895</v>
      </c>
      <c r="N17" s="17">
        <v>38.9</v>
      </c>
      <c r="O17" s="17">
        <v>0.47</v>
      </c>
    </row>
    <row r="18" spans="1:15" x14ac:dyDescent="0.2">
      <c r="A18" s="84" t="s">
        <v>1119</v>
      </c>
      <c r="B18" s="80"/>
      <c r="E18" s="80"/>
      <c r="F18" s="47" t="s">
        <v>1120</v>
      </c>
      <c r="G18" s="28">
        <v>2350</v>
      </c>
      <c r="H18" s="41">
        <v>99464</v>
      </c>
      <c r="I18" s="17">
        <v>436</v>
      </c>
      <c r="J18" s="17">
        <v>18.600000000000001</v>
      </c>
      <c r="K18" s="17">
        <v>653</v>
      </c>
      <c r="L18" s="17">
        <v>27.8</v>
      </c>
      <c r="M18" s="17">
        <v>730</v>
      </c>
      <c r="N18" s="17">
        <v>31.1</v>
      </c>
      <c r="O18" s="17">
        <v>0.49</v>
      </c>
    </row>
    <row r="19" spans="1:15" x14ac:dyDescent="0.2">
      <c r="A19" t="s">
        <v>1121</v>
      </c>
      <c r="B19" t="s">
        <v>1345</v>
      </c>
      <c r="E19" s="80"/>
      <c r="F19" s="16" t="s">
        <v>1123</v>
      </c>
      <c r="G19" s="28">
        <v>1645</v>
      </c>
      <c r="H19" s="41">
        <v>130938</v>
      </c>
      <c r="I19" s="17">
        <v>66</v>
      </c>
      <c r="J19" s="17">
        <v>4</v>
      </c>
      <c r="K19" s="17">
        <v>196</v>
      </c>
      <c r="L19" s="17">
        <v>11.9</v>
      </c>
      <c r="M19" s="17">
        <v>594</v>
      </c>
      <c r="N19" s="17">
        <v>36.1</v>
      </c>
      <c r="O19" s="17">
        <v>0.33</v>
      </c>
    </row>
    <row r="20" spans="1:15" x14ac:dyDescent="0.2">
      <c r="E20" s="80"/>
      <c r="F20" s="16" t="s">
        <v>1124</v>
      </c>
      <c r="G20" s="28">
        <v>1745</v>
      </c>
      <c r="H20" s="41">
        <v>113267</v>
      </c>
      <c r="I20" s="17">
        <v>171</v>
      </c>
      <c r="J20" s="17">
        <v>9.8000000000000007</v>
      </c>
      <c r="K20" s="17">
        <v>310</v>
      </c>
      <c r="L20" s="17">
        <v>17.8</v>
      </c>
      <c r="M20" s="17">
        <v>632</v>
      </c>
      <c r="N20" s="17">
        <v>36.200000000000003</v>
      </c>
      <c r="O20" s="17">
        <v>0.42</v>
      </c>
    </row>
    <row r="21" spans="1:15" x14ac:dyDescent="0.2">
      <c r="A21" s="82" t="s">
        <v>1125</v>
      </c>
      <c r="B21" s="80"/>
      <c r="E21" s="80"/>
      <c r="F21" s="16" t="s">
        <v>1126</v>
      </c>
      <c r="G21" s="28">
        <v>3938</v>
      </c>
      <c r="H21" s="41">
        <v>111786</v>
      </c>
      <c r="I21" s="17">
        <v>367</v>
      </c>
      <c r="J21" s="17">
        <v>9.3000000000000007</v>
      </c>
      <c r="K21" s="17">
        <v>833</v>
      </c>
      <c r="L21" s="17">
        <v>21.2</v>
      </c>
      <c r="M21" s="28">
        <v>1218</v>
      </c>
      <c r="N21" s="17">
        <v>30.9</v>
      </c>
      <c r="O21" s="17">
        <v>0.37</v>
      </c>
    </row>
    <row r="22" spans="1:15" x14ac:dyDescent="0.2">
      <c r="A22" t="s">
        <v>1135</v>
      </c>
      <c r="B22" t="s">
        <v>1346</v>
      </c>
      <c r="E22" s="80"/>
      <c r="F22" s="47" t="s">
        <v>1137</v>
      </c>
      <c r="G22" s="28">
        <v>1648</v>
      </c>
      <c r="H22" s="41">
        <v>107500</v>
      </c>
      <c r="I22" s="17">
        <v>221</v>
      </c>
      <c r="J22" s="17">
        <v>13.4</v>
      </c>
      <c r="K22" s="17">
        <v>500</v>
      </c>
      <c r="L22" s="17">
        <v>30.3</v>
      </c>
      <c r="M22" s="17">
        <v>393</v>
      </c>
      <c r="N22" s="17">
        <v>23.8</v>
      </c>
      <c r="O22" s="17">
        <v>0.39</v>
      </c>
    </row>
    <row r="23" spans="1:15" x14ac:dyDescent="0.2">
      <c r="E23" s="80"/>
      <c r="F23" s="16" t="s">
        <v>1146</v>
      </c>
      <c r="G23" s="28">
        <v>10182</v>
      </c>
      <c r="H23" s="41">
        <v>77174</v>
      </c>
      <c r="I23" s="28">
        <v>2209</v>
      </c>
      <c r="J23" s="17">
        <v>21.7</v>
      </c>
      <c r="K23" s="28">
        <v>3329</v>
      </c>
      <c r="L23" s="17">
        <v>32.700000000000003</v>
      </c>
      <c r="M23" s="28">
        <v>2002</v>
      </c>
      <c r="N23" s="17">
        <v>19.600000000000001</v>
      </c>
      <c r="O23" s="17">
        <v>0.44</v>
      </c>
    </row>
    <row r="24" spans="1:15" x14ac:dyDescent="0.2">
      <c r="E24" s="80"/>
      <c r="F24" s="16" t="s">
        <v>1150</v>
      </c>
      <c r="G24" s="28">
        <v>1526</v>
      </c>
      <c r="H24" s="41">
        <v>114048</v>
      </c>
      <c r="I24" s="17">
        <v>105</v>
      </c>
      <c r="J24" s="17">
        <v>6.9</v>
      </c>
      <c r="K24" s="17">
        <v>217</v>
      </c>
      <c r="L24" s="17">
        <v>14.2</v>
      </c>
      <c r="M24" s="17">
        <v>464</v>
      </c>
      <c r="N24" s="17">
        <v>30.4</v>
      </c>
      <c r="O24" s="17">
        <v>0.37</v>
      </c>
    </row>
    <row r="25" spans="1:15" x14ac:dyDescent="0.2">
      <c r="E25" s="80"/>
      <c r="F25" s="47" t="s">
        <v>1154</v>
      </c>
      <c r="G25" s="17">
        <v>222</v>
      </c>
      <c r="H25" s="41">
        <v>104615</v>
      </c>
      <c r="I25" s="17">
        <v>3</v>
      </c>
      <c r="J25" s="17">
        <v>1.4</v>
      </c>
      <c r="K25" s="17">
        <v>29</v>
      </c>
      <c r="L25" s="17">
        <v>13.1</v>
      </c>
      <c r="M25" s="17">
        <v>59</v>
      </c>
      <c r="N25" s="17">
        <v>26.6</v>
      </c>
      <c r="O25" s="17">
        <v>0.42</v>
      </c>
    </row>
    <row r="26" spans="1:15" x14ac:dyDescent="0.2">
      <c r="E26" s="80"/>
      <c r="F26" s="16" t="s">
        <v>1158</v>
      </c>
      <c r="G26" s="28">
        <v>6855</v>
      </c>
      <c r="H26" s="41">
        <v>116019</v>
      </c>
      <c r="I26" s="17">
        <v>625</v>
      </c>
      <c r="J26" s="17">
        <v>9.1</v>
      </c>
      <c r="K26" s="28">
        <v>1105</v>
      </c>
      <c r="L26" s="17">
        <v>16.100000000000001</v>
      </c>
      <c r="M26" s="28">
        <v>2522</v>
      </c>
      <c r="N26" s="17">
        <v>36.799999999999997</v>
      </c>
      <c r="O26" s="17">
        <v>0.39</v>
      </c>
    </row>
    <row r="27" spans="1:15" x14ac:dyDescent="0.2">
      <c r="A27" s="82"/>
      <c r="B27" s="80"/>
      <c r="E27" s="80"/>
      <c r="F27" s="47" t="s">
        <v>1162</v>
      </c>
      <c r="G27" s="17">
        <v>792</v>
      </c>
      <c r="H27" s="41">
        <v>95324</v>
      </c>
      <c r="I27" s="17">
        <v>93</v>
      </c>
      <c r="J27" s="17">
        <v>11.7</v>
      </c>
      <c r="K27" s="17">
        <v>209</v>
      </c>
      <c r="L27" s="17">
        <v>26.4</v>
      </c>
      <c r="M27" s="17">
        <v>186</v>
      </c>
      <c r="N27" s="17">
        <v>23.5</v>
      </c>
      <c r="O27" s="17">
        <v>0.38</v>
      </c>
    </row>
    <row r="28" spans="1:15" x14ac:dyDescent="0.2">
      <c r="E28" s="80"/>
      <c r="F28" s="47" t="s">
        <v>1164</v>
      </c>
      <c r="G28" s="28">
        <v>2886</v>
      </c>
      <c r="H28" s="41">
        <v>110806</v>
      </c>
      <c r="I28" s="17">
        <v>283</v>
      </c>
      <c r="J28" s="17">
        <v>9.8000000000000007</v>
      </c>
      <c r="K28" s="17">
        <v>487</v>
      </c>
      <c r="L28" s="17">
        <v>16.899999999999999</v>
      </c>
      <c r="M28" s="28">
        <v>1000</v>
      </c>
      <c r="N28" s="17">
        <v>34.700000000000003</v>
      </c>
      <c r="O28" s="17">
        <v>0.36</v>
      </c>
    </row>
    <row r="29" spans="1:15" x14ac:dyDescent="0.2">
      <c r="E29" s="80"/>
      <c r="F29" s="16" t="s">
        <v>1166</v>
      </c>
      <c r="G29" s="28">
        <v>8306</v>
      </c>
      <c r="H29" s="41">
        <v>98360</v>
      </c>
      <c r="I29" s="28">
        <v>1411</v>
      </c>
      <c r="J29" s="17">
        <v>17</v>
      </c>
      <c r="K29" s="28">
        <v>2113</v>
      </c>
      <c r="L29" s="17">
        <v>25.4</v>
      </c>
      <c r="M29" s="28">
        <v>2318</v>
      </c>
      <c r="N29" s="17">
        <v>27.9</v>
      </c>
      <c r="O29" s="17">
        <v>0.42</v>
      </c>
    </row>
    <row r="30" spans="1:15" x14ac:dyDescent="0.2">
      <c r="E30" s="80"/>
      <c r="F30" s="47" t="s">
        <v>1168</v>
      </c>
      <c r="G30" s="28">
        <v>1401</v>
      </c>
      <c r="H30" s="41">
        <v>89293</v>
      </c>
      <c r="I30" s="17">
        <v>279</v>
      </c>
      <c r="J30" s="17">
        <v>19.899999999999999</v>
      </c>
      <c r="K30" s="17">
        <v>417</v>
      </c>
      <c r="L30" s="17">
        <v>29.8</v>
      </c>
      <c r="M30" s="17">
        <v>225</v>
      </c>
      <c r="N30" s="17">
        <v>16.100000000000001</v>
      </c>
      <c r="O30" s="17">
        <v>0.39</v>
      </c>
    </row>
    <row r="31" spans="1:15" x14ac:dyDescent="0.2">
      <c r="E31" s="80"/>
      <c r="F31" s="47" t="s">
        <v>1170</v>
      </c>
      <c r="G31" s="28">
        <v>1535</v>
      </c>
      <c r="H31" s="41">
        <v>88348</v>
      </c>
      <c r="I31" s="17">
        <v>286</v>
      </c>
      <c r="J31" s="17">
        <v>18.600000000000001</v>
      </c>
      <c r="K31" s="17">
        <v>414</v>
      </c>
      <c r="L31" s="17">
        <v>27</v>
      </c>
      <c r="M31" s="17">
        <v>404</v>
      </c>
      <c r="N31" s="17">
        <v>26.3</v>
      </c>
      <c r="O31" s="17">
        <v>0.44</v>
      </c>
    </row>
    <row r="32" spans="1:15" x14ac:dyDescent="0.2">
      <c r="E32" s="80"/>
      <c r="F32" s="47" t="s">
        <v>1172</v>
      </c>
      <c r="G32" s="28">
        <v>2621</v>
      </c>
      <c r="H32" s="41">
        <v>89652</v>
      </c>
      <c r="I32" s="17">
        <v>650</v>
      </c>
      <c r="J32" s="17">
        <v>24.8</v>
      </c>
      <c r="K32" s="17">
        <v>860</v>
      </c>
      <c r="L32" s="17">
        <v>32.799999999999997</v>
      </c>
      <c r="M32" s="17">
        <v>578</v>
      </c>
      <c r="N32" s="17">
        <v>22.1</v>
      </c>
      <c r="O32" s="17">
        <v>0.44</v>
      </c>
    </row>
    <row r="33" spans="5:15" x14ac:dyDescent="0.2">
      <c r="E33" s="80"/>
      <c r="F33" s="16" t="s">
        <v>1174</v>
      </c>
      <c r="G33" s="28">
        <v>2094</v>
      </c>
      <c r="H33" s="41">
        <v>95833</v>
      </c>
      <c r="I33" s="17">
        <v>336</v>
      </c>
      <c r="J33" s="17">
        <v>16</v>
      </c>
      <c r="K33" s="17">
        <v>581</v>
      </c>
      <c r="L33" s="17">
        <v>27.7</v>
      </c>
      <c r="M33" s="17">
        <v>626</v>
      </c>
      <c r="N33" s="17">
        <v>29.9</v>
      </c>
      <c r="O33" s="17">
        <v>0.45</v>
      </c>
    </row>
    <row r="34" spans="5:15" x14ac:dyDescent="0.2">
      <c r="E34" s="80"/>
      <c r="F34" t="s">
        <v>1178</v>
      </c>
      <c r="G34" s="17">
        <v>439</v>
      </c>
      <c r="H34" s="41">
        <v>80625</v>
      </c>
      <c r="I34" s="17">
        <v>46</v>
      </c>
      <c r="J34" s="17">
        <v>10.5</v>
      </c>
      <c r="K34" s="17">
        <v>95</v>
      </c>
      <c r="L34" s="17">
        <v>21.6</v>
      </c>
      <c r="M34" s="17">
        <v>66</v>
      </c>
      <c r="N34" s="17">
        <v>15</v>
      </c>
      <c r="O34" s="17">
        <v>0.42</v>
      </c>
    </row>
    <row r="35" spans="5:15" x14ac:dyDescent="0.2">
      <c r="E35" s="80"/>
      <c r="F35" s="16" t="s">
        <v>1180</v>
      </c>
      <c r="G35" s="28">
        <v>10335</v>
      </c>
      <c r="H35" s="41">
        <v>51006</v>
      </c>
      <c r="I35" s="28">
        <v>3526</v>
      </c>
      <c r="J35" s="17">
        <v>34.1</v>
      </c>
      <c r="K35" s="28">
        <v>4991</v>
      </c>
      <c r="L35" s="17">
        <v>48.3</v>
      </c>
      <c r="M35" s="28">
        <v>1271</v>
      </c>
      <c r="N35" s="17">
        <v>12.3</v>
      </c>
      <c r="O35" s="17">
        <v>0.51</v>
      </c>
    </row>
    <row r="36" spans="5:15" x14ac:dyDescent="0.2">
      <c r="E36" s="80"/>
      <c r="F36" s="16" t="s">
        <v>1182</v>
      </c>
      <c r="G36" s="28">
        <v>11553</v>
      </c>
      <c r="H36" s="41">
        <v>105892</v>
      </c>
      <c r="I36" s="28">
        <v>1101</v>
      </c>
      <c r="J36" s="17">
        <v>9.5</v>
      </c>
      <c r="K36" s="28">
        <v>2172</v>
      </c>
      <c r="L36" s="17">
        <v>18.8</v>
      </c>
      <c r="M36" s="28">
        <v>3334</v>
      </c>
      <c r="N36" s="17">
        <v>28.9</v>
      </c>
      <c r="O36" s="17">
        <v>0.39</v>
      </c>
    </row>
    <row r="37" spans="5:15" x14ac:dyDescent="0.2">
      <c r="E37" s="80"/>
      <c r="F37" s="16" t="s">
        <v>1184</v>
      </c>
      <c r="G37" s="28">
        <v>10763</v>
      </c>
      <c r="H37" s="41">
        <v>95950</v>
      </c>
      <c r="I37" s="28">
        <v>1475</v>
      </c>
      <c r="J37" s="17">
        <v>13.7</v>
      </c>
      <c r="K37" s="28">
        <v>2920</v>
      </c>
      <c r="L37" s="17">
        <v>27.1</v>
      </c>
      <c r="M37" s="28">
        <v>3265</v>
      </c>
      <c r="N37" s="17">
        <v>30.3</v>
      </c>
      <c r="O37" s="17">
        <v>0.44</v>
      </c>
    </row>
    <row r="38" spans="5:15" x14ac:dyDescent="0.2">
      <c r="E38" s="80"/>
      <c r="F38" s="16" t="s">
        <v>1186</v>
      </c>
      <c r="G38" s="28">
        <v>6869</v>
      </c>
      <c r="H38" s="41">
        <v>43171</v>
      </c>
      <c r="I38" s="28">
        <v>2432</v>
      </c>
      <c r="J38" s="17">
        <v>35.4</v>
      </c>
      <c r="K38" s="28">
        <v>3831</v>
      </c>
      <c r="L38" s="17">
        <v>55.8</v>
      </c>
      <c r="M38" s="17">
        <v>691</v>
      </c>
      <c r="N38" s="17">
        <v>10.1</v>
      </c>
      <c r="O38" s="17">
        <v>0.49</v>
      </c>
    </row>
    <row r="39" spans="5:15" x14ac:dyDescent="0.2">
      <c r="E39" s="80"/>
      <c r="F39" s="47" t="s">
        <v>1188</v>
      </c>
      <c r="G39" s="28">
        <v>6869</v>
      </c>
      <c r="H39" s="41">
        <v>43171</v>
      </c>
      <c r="I39" s="28">
        <v>2432</v>
      </c>
      <c r="J39" s="17">
        <v>35.4</v>
      </c>
      <c r="K39" s="28">
        <v>3831</v>
      </c>
      <c r="L39" s="17">
        <v>55.8</v>
      </c>
      <c r="M39" s="17">
        <v>691</v>
      </c>
      <c r="N39" s="17">
        <v>10.1</v>
      </c>
      <c r="O39" s="17">
        <v>0.49</v>
      </c>
    </row>
    <row r="40" spans="5:15" x14ac:dyDescent="0.2">
      <c r="E40" s="80"/>
      <c r="F40" s="16" t="s">
        <v>1191</v>
      </c>
      <c r="G40" s="28">
        <v>3533</v>
      </c>
      <c r="H40" s="41">
        <v>50721</v>
      </c>
      <c r="I40" s="28">
        <v>1254</v>
      </c>
      <c r="J40" s="17">
        <v>35.5</v>
      </c>
      <c r="K40" s="28">
        <v>1729</v>
      </c>
      <c r="L40" s="17">
        <v>48.9</v>
      </c>
      <c r="M40" s="17">
        <v>267</v>
      </c>
      <c r="N40" s="17">
        <v>7.6</v>
      </c>
      <c r="O40" s="17">
        <v>0.45</v>
      </c>
    </row>
    <row r="41" spans="5:15" x14ac:dyDescent="0.2">
      <c r="E41" s="80"/>
      <c r="F41" s="16" t="s">
        <v>1195</v>
      </c>
      <c r="G41" s="28">
        <v>1539</v>
      </c>
      <c r="H41" s="41">
        <v>140938</v>
      </c>
      <c r="I41" s="17">
        <v>147</v>
      </c>
      <c r="J41" s="17">
        <v>9.6</v>
      </c>
      <c r="K41" s="17">
        <v>281</v>
      </c>
      <c r="L41" s="17">
        <v>18.3</v>
      </c>
      <c r="M41" s="17">
        <v>861</v>
      </c>
      <c r="N41" s="17">
        <v>55.9</v>
      </c>
      <c r="O41" s="17">
        <v>0.56999999999999995</v>
      </c>
    </row>
    <row r="42" spans="5:15" x14ac:dyDescent="0.2">
      <c r="E42" s="80"/>
      <c r="F42" s="47" t="s">
        <v>1199</v>
      </c>
      <c r="G42" s="28">
        <v>1151</v>
      </c>
      <c r="H42" s="41">
        <v>118317</v>
      </c>
      <c r="I42" s="17">
        <v>130</v>
      </c>
      <c r="J42" s="17">
        <v>11.3</v>
      </c>
      <c r="K42" s="17">
        <v>255</v>
      </c>
      <c r="L42" s="17">
        <v>22.2</v>
      </c>
      <c r="M42" s="17">
        <v>461</v>
      </c>
      <c r="N42" s="17">
        <v>40.1</v>
      </c>
      <c r="O42" s="17">
        <v>0.47</v>
      </c>
    </row>
    <row r="43" spans="5:15" x14ac:dyDescent="0.2">
      <c r="E43" s="80"/>
      <c r="F43" s="47" t="s">
        <v>1200</v>
      </c>
      <c r="G43" s="17">
        <v>388</v>
      </c>
      <c r="H43" s="17" t="s">
        <v>1347</v>
      </c>
      <c r="I43" s="17">
        <v>15</v>
      </c>
      <c r="J43" s="17">
        <v>3.9</v>
      </c>
      <c r="K43" s="17">
        <v>24</v>
      </c>
      <c r="L43" s="17">
        <v>6.2</v>
      </c>
      <c r="M43" s="17">
        <v>290</v>
      </c>
      <c r="N43" s="17">
        <v>74.7</v>
      </c>
      <c r="O43" s="17">
        <v>0.44</v>
      </c>
    </row>
    <row r="44" spans="5:15" x14ac:dyDescent="0.2">
      <c r="E44" s="80"/>
      <c r="F44" s="16" t="s">
        <v>1201</v>
      </c>
      <c r="G44" s="28">
        <v>11910</v>
      </c>
      <c r="H44" s="41">
        <v>94002</v>
      </c>
      <c r="I44" s="28">
        <v>1746</v>
      </c>
      <c r="J44" s="17">
        <v>14.7</v>
      </c>
      <c r="K44" s="28">
        <v>2669</v>
      </c>
      <c r="L44" s="17">
        <v>22.4</v>
      </c>
      <c r="M44" s="28">
        <v>2560</v>
      </c>
      <c r="N44" s="17">
        <v>21.5</v>
      </c>
      <c r="O44" s="17">
        <v>0.39</v>
      </c>
    </row>
    <row r="45" spans="5:15" x14ac:dyDescent="0.2">
      <c r="E45" s="80"/>
      <c r="F45" s="16" t="s">
        <v>1202</v>
      </c>
      <c r="G45" s="28">
        <v>11743</v>
      </c>
      <c r="H45" s="41">
        <v>117680</v>
      </c>
      <c r="I45" s="28">
        <v>1362</v>
      </c>
      <c r="J45" s="17">
        <v>11.6</v>
      </c>
      <c r="K45" s="28">
        <v>2244</v>
      </c>
      <c r="L45" s="17">
        <v>19.100000000000001</v>
      </c>
      <c r="M45" s="28">
        <v>4501</v>
      </c>
      <c r="N45" s="17">
        <v>38.299999999999997</v>
      </c>
      <c r="O45" s="17">
        <v>0.42</v>
      </c>
    </row>
    <row r="46" spans="5:15" x14ac:dyDescent="0.2">
      <c r="E46" s="80"/>
      <c r="F46" s="47" t="s">
        <v>1203</v>
      </c>
      <c r="G46" s="17">
        <v>936</v>
      </c>
      <c r="H46" s="41">
        <v>117083</v>
      </c>
      <c r="I46" s="17">
        <v>88</v>
      </c>
      <c r="J46" s="17">
        <v>9.4</v>
      </c>
      <c r="K46" s="17">
        <v>127</v>
      </c>
      <c r="L46" s="17">
        <v>13.6</v>
      </c>
      <c r="M46" s="17">
        <v>247</v>
      </c>
      <c r="N46" s="17">
        <v>26.4</v>
      </c>
      <c r="O46" s="17">
        <v>0.34</v>
      </c>
    </row>
    <row r="47" spans="5:15" x14ac:dyDescent="0.2">
      <c r="E47" s="80"/>
      <c r="F47" s="47" t="s">
        <v>1204</v>
      </c>
      <c r="G47" s="28">
        <v>1181</v>
      </c>
      <c r="H47" s="41">
        <v>80240</v>
      </c>
      <c r="I47" s="17">
        <v>169</v>
      </c>
      <c r="J47" s="17">
        <v>14.3</v>
      </c>
      <c r="K47" s="17">
        <v>275</v>
      </c>
      <c r="L47" s="17">
        <v>23.3</v>
      </c>
      <c r="M47" s="17">
        <v>223</v>
      </c>
      <c r="N47" s="17">
        <v>18.899999999999999</v>
      </c>
      <c r="O47" s="17">
        <v>0.4</v>
      </c>
    </row>
    <row r="48" spans="5:15" x14ac:dyDescent="0.2">
      <c r="E48" s="80"/>
      <c r="F48" s="47" t="s">
        <v>1205</v>
      </c>
      <c r="G48" s="28">
        <v>2998</v>
      </c>
      <c r="H48" s="41">
        <v>81250</v>
      </c>
      <c r="I48" s="17">
        <v>792</v>
      </c>
      <c r="J48" s="17">
        <v>26.4</v>
      </c>
      <c r="K48" s="28">
        <v>1170</v>
      </c>
      <c r="L48" s="17">
        <v>39</v>
      </c>
      <c r="M48" s="17">
        <v>800</v>
      </c>
      <c r="N48" s="17">
        <v>26.7</v>
      </c>
      <c r="O48" s="17">
        <v>0.48</v>
      </c>
    </row>
    <row r="49" spans="5:15" x14ac:dyDescent="0.2">
      <c r="E49" s="80"/>
      <c r="F49" s="16" t="s">
        <v>1206</v>
      </c>
      <c r="G49" s="28">
        <v>2468</v>
      </c>
      <c r="H49" s="41">
        <v>150000</v>
      </c>
      <c r="I49" s="17">
        <v>196</v>
      </c>
      <c r="J49" s="17">
        <v>7.9</v>
      </c>
      <c r="K49" s="17">
        <v>429</v>
      </c>
      <c r="L49" s="17">
        <v>17.399999999999999</v>
      </c>
      <c r="M49" s="28">
        <v>1234</v>
      </c>
      <c r="N49" s="17">
        <v>50</v>
      </c>
      <c r="O49" s="17">
        <v>0.38</v>
      </c>
    </row>
    <row r="50" spans="5:15" x14ac:dyDescent="0.2">
      <c r="E50" s="80"/>
      <c r="F50" s="16" t="s">
        <v>1207</v>
      </c>
      <c r="G50" s="28">
        <v>3822</v>
      </c>
      <c r="H50" s="41">
        <v>133953</v>
      </c>
      <c r="I50" s="17">
        <v>279</v>
      </c>
      <c r="J50" s="17">
        <v>7.3</v>
      </c>
      <c r="K50" s="17">
        <v>498</v>
      </c>
      <c r="L50" s="17">
        <v>13</v>
      </c>
      <c r="M50" s="28">
        <v>1746</v>
      </c>
      <c r="N50" s="17">
        <v>45.6</v>
      </c>
      <c r="O50" s="17">
        <v>0.38</v>
      </c>
    </row>
    <row r="51" spans="5:15" x14ac:dyDescent="0.2">
      <c r="E51" s="80"/>
      <c r="F51" s="47" t="s">
        <v>1162</v>
      </c>
      <c r="G51" s="17">
        <v>259</v>
      </c>
      <c r="H51" s="41">
        <v>95324</v>
      </c>
      <c r="I51" s="17">
        <v>39</v>
      </c>
      <c r="J51" s="17">
        <v>15.1</v>
      </c>
      <c r="K51" s="17">
        <v>43</v>
      </c>
      <c r="L51" s="17">
        <v>16.600000000000001</v>
      </c>
      <c r="M51" s="17">
        <v>40</v>
      </c>
      <c r="N51" s="17">
        <v>15.4</v>
      </c>
      <c r="O51" s="17">
        <v>0.38</v>
      </c>
    </row>
    <row r="52" spans="5:15" x14ac:dyDescent="0.2">
      <c r="E52" s="80"/>
      <c r="F52" s="47" t="s">
        <v>1208</v>
      </c>
      <c r="G52" s="28">
        <v>3563</v>
      </c>
      <c r="H52" s="41">
        <v>141607</v>
      </c>
      <c r="I52" s="17">
        <v>240</v>
      </c>
      <c r="J52" s="17">
        <v>6.7</v>
      </c>
      <c r="K52" s="17">
        <v>455</v>
      </c>
      <c r="L52" s="17">
        <v>12.8</v>
      </c>
      <c r="M52" s="28">
        <v>1706</v>
      </c>
      <c r="N52" s="17">
        <v>47.9</v>
      </c>
      <c r="O52" s="17">
        <v>0.37</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1077</v>
      </c>
      <c r="B1" s="79" t="s">
        <v>69</v>
      </c>
      <c r="C1" s="80"/>
      <c r="D1" s="80"/>
      <c r="E1" s="80"/>
      <c r="F1" s="80"/>
      <c r="G1" s="80"/>
      <c r="H1" s="80"/>
      <c r="I1" s="80"/>
      <c r="J1" s="80"/>
      <c r="K1" s="80"/>
      <c r="L1" s="80"/>
      <c r="M1" s="80"/>
      <c r="N1" s="80"/>
      <c r="O1" s="80"/>
    </row>
    <row r="2" spans="1:15" x14ac:dyDescent="0.2">
      <c r="A2" s="16" t="s">
        <v>1078</v>
      </c>
      <c r="B2" t="s">
        <v>1079</v>
      </c>
    </row>
    <row r="3" spans="1:15" x14ac:dyDescent="0.2">
      <c r="A3" s="16" t="s">
        <v>1080</v>
      </c>
      <c r="B3" t="str">
        <f>IF($B$1="","",_xlfn.XLOOKUP($B$1,Master!$F$2:$F$321,Master!$G$2:$G$321,""))</f>
        <v>tbl-poverty-threshold</v>
      </c>
    </row>
    <row r="4" spans="1:15" x14ac:dyDescent="0.2">
      <c r="A4" s="16" t="s">
        <v>7</v>
      </c>
      <c r="B4" t="str">
        <f>IF($B$1="","",_xlfn.XLOOKUP($B$1,Master!$F$2:$F$321,Master!$H$2:$H$321,""))</f>
        <v>fig-poverty-threshold</v>
      </c>
      <c r="E4" s="8"/>
      <c r="F4" s="10" t="s">
        <v>968</v>
      </c>
      <c r="G4" s="10" t="s">
        <v>989</v>
      </c>
      <c r="H4" s="10" t="s">
        <v>989</v>
      </c>
      <c r="I4" s="10" t="s">
        <v>989</v>
      </c>
      <c r="J4" s="10" t="s">
        <v>989</v>
      </c>
      <c r="K4" s="10" t="s">
        <v>989</v>
      </c>
      <c r="L4" s="10" t="s">
        <v>989</v>
      </c>
      <c r="M4" s="10" t="s">
        <v>989</v>
      </c>
      <c r="N4" s="10" t="s">
        <v>989</v>
      </c>
      <c r="O4" s="10" t="s">
        <v>989</v>
      </c>
    </row>
    <row r="5" spans="1:15" x14ac:dyDescent="0.2">
      <c r="A5" s="84" t="s">
        <v>1081</v>
      </c>
      <c r="B5" s="80"/>
      <c r="E5" s="83" t="s">
        <v>1082</v>
      </c>
      <c r="F5" s="90" t="s">
        <v>1348</v>
      </c>
      <c r="G5" s="85" t="s">
        <v>1349</v>
      </c>
      <c r="H5" s="80"/>
      <c r="I5" s="80"/>
      <c r="J5" s="80"/>
      <c r="K5" s="80"/>
      <c r="L5" s="80"/>
      <c r="M5" s="80"/>
      <c r="N5" s="80"/>
      <c r="O5" s="80"/>
    </row>
    <row r="6" spans="1:15" ht="15" customHeight="1" x14ac:dyDescent="0.2">
      <c r="A6" t="s">
        <v>1088</v>
      </c>
      <c r="B6" t="b">
        <v>1</v>
      </c>
      <c r="E6" s="80"/>
      <c r="F6" s="80"/>
      <c r="G6" s="15" t="s">
        <v>1350</v>
      </c>
      <c r="H6" s="15" t="s">
        <v>1351</v>
      </c>
      <c r="I6" s="15" t="s">
        <v>1352</v>
      </c>
      <c r="J6" s="15" t="s">
        <v>1353</v>
      </c>
      <c r="K6" s="15" t="s">
        <v>1354</v>
      </c>
      <c r="L6" s="15" t="s">
        <v>1355</v>
      </c>
      <c r="M6" s="15" t="s">
        <v>1356</v>
      </c>
      <c r="N6" s="15" t="s">
        <v>1357</v>
      </c>
      <c r="O6" s="15" t="s">
        <v>1358</v>
      </c>
    </row>
    <row r="7" spans="1:15" ht="15.75" customHeight="1" x14ac:dyDescent="0.2">
      <c r="E7" s="80"/>
      <c r="F7" s="91" t="s">
        <v>1359</v>
      </c>
      <c r="G7" s="80"/>
      <c r="H7" s="80"/>
      <c r="I7" s="80"/>
      <c r="J7" s="80"/>
      <c r="K7" s="80"/>
      <c r="L7" s="80"/>
      <c r="M7" s="80"/>
      <c r="N7" s="80"/>
      <c r="O7" s="80"/>
    </row>
    <row r="8" spans="1:15" x14ac:dyDescent="0.2">
      <c r="E8" s="80"/>
      <c r="F8" t="s">
        <v>1360</v>
      </c>
      <c r="G8" s="39">
        <v>16320</v>
      </c>
      <c r="H8" s="15"/>
      <c r="I8" s="15"/>
      <c r="J8" s="15"/>
      <c r="K8" s="15"/>
      <c r="L8" s="15"/>
      <c r="M8" s="15"/>
      <c r="N8" s="15"/>
      <c r="O8" s="15"/>
    </row>
    <row r="9" spans="1:15" x14ac:dyDescent="0.2">
      <c r="A9" s="84" t="s">
        <v>1098</v>
      </c>
      <c r="B9" s="80"/>
      <c r="E9" s="80"/>
      <c r="F9" t="s">
        <v>1361</v>
      </c>
      <c r="G9" s="39">
        <v>15045</v>
      </c>
    </row>
    <row r="10" spans="1:15" x14ac:dyDescent="0.2">
      <c r="A10" t="s">
        <v>1100</v>
      </c>
      <c r="E10" s="80"/>
      <c r="F10" s="91" t="s">
        <v>1362</v>
      </c>
      <c r="G10" s="80"/>
      <c r="H10" s="80"/>
      <c r="I10" s="80"/>
      <c r="J10" s="80"/>
      <c r="K10" s="80"/>
      <c r="L10" s="80"/>
      <c r="M10" s="80"/>
      <c r="N10" s="80"/>
      <c r="O10" s="80"/>
    </row>
    <row r="11" spans="1:15" x14ac:dyDescent="0.2">
      <c r="A11" t="s">
        <v>1102</v>
      </c>
      <c r="E11" s="80"/>
      <c r="F11" s="48" t="s">
        <v>1363</v>
      </c>
      <c r="G11" s="41">
        <v>21006</v>
      </c>
      <c r="H11" s="41">
        <v>21621</v>
      </c>
      <c r="I11" s="15"/>
      <c r="J11" s="15"/>
      <c r="K11" s="15"/>
      <c r="L11" s="15"/>
    </row>
    <row r="12" spans="1:15" x14ac:dyDescent="0.2">
      <c r="A12" t="s">
        <v>1104</v>
      </c>
      <c r="E12" s="80"/>
      <c r="F12" s="47" t="s">
        <v>1364</v>
      </c>
      <c r="G12" s="40">
        <v>18961</v>
      </c>
      <c r="H12" s="40">
        <v>21540</v>
      </c>
    </row>
    <row r="13" spans="1:15" x14ac:dyDescent="0.2">
      <c r="A13" t="s">
        <v>1108</v>
      </c>
      <c r="E13" s="80"/>
      <c r="F13" s="16" t="s">
        <v>1365</v>
      </c>
      <c r="G13" s="40">
        <v>24537</v>
      </c>
      <c r="H13" s="40">
        <v>25249</v>
      </c>
      <c r="I13" s="40">
        <v>25273</v>
      </c>
    </row>
    <row r="14" spans="1:15" x14ac:dyDescent="0.2">
      <c r="A14" t="s">
        <v>1112</v>
      </c>
      <c r="E14" s="80"/>
      <c r="F14" s="16" t="s">
        <v>1366</v>
      </c>
      <c r="G14" s="40">
        <v>32355</v>
      </c>
      <c r="H14" s="40">
        <v>32884</v>
      </c>
      <c r="I14" s="40">
        <v>31812</v>
      </c>
      <c r="J14" s="40">
        <v>31922</v>
      </c>
    </row>
    <row r="15" spans="1:15" x14ac:dyDescent="0.2">
      <c r="A15" t="s">
        <v>1114</v>
      </c>
      <c r="E15" s="80"/>
      <c r="F15" s="16" t="s">
        <v>1367</v>
      </c>
      <c r="G15" s="40">
        <v>39019</v>
      </c>
      <c r="H15" s="40">
        <v>39586</v>
      </c>
      <c r="I15" s="40">
        <v>38374</v>
      </c>
      <c r="J15" s="40">
        <v>37436</v>
      </c>
      <c r="K15" s="40">
        <v>36863</v>
      </c>
    </row>
    <row r="16" spans="1:15" x14ac:dyDescent="0.2">
      <c r="A16" t="s">
        <v>1116</v>
      </c>
      <c r="E16" s="80"/>
      <c r="F16" s="16" t="s">
        <v>1368</v>
      </c>
      <c r="G16" s="40">
        <v>44879</v>
      </c>
      <c r="H16" s="40">
        <v>45057</v>
      </c>
      <c r="I16" s="40">
        <v>44128</v>
      </c>
      <c r="J16" s="40">
        <v>43238</v>
      </c>
      <c r="K16" s="40">
        <v>41915</v>
      </c>
      <c r="L16" s="40">
        <v>41131</v>
      </c>
    </row>
    <row r="17" spans="1:15" x14ac:dyDescent="0.2">
      <c r="E17" s="80"/>
      <c r="F17" s="16" t="s">
        <v>1369</v>
      </c>
      <c r="G17" s="40">
        <v>51638</v>
      </c>
      <c r="H17" s="40">
        <v>51961</v>
      </c>
      <c r="I17" s="40">
        <v>50849</v>
      </c>
      <c r="J17" s="40">
        <v>50075</v>
      </c>
      <c r="K17" s="40">
        <v>48631</v>
      </c>
      <c r="L17" s="40">
        <v>46948</v>
      </c>
      <c r="M17" s="40">
        <v>45100</v>
      </c>
    </row>
    <row r="18" spans="1:15" x14ac:dyDescent="0.2">
      <c r="A18" s="84" t="s">
        <v>1119</v>
      </c>
      <c r="B18" s="80"/>
      <c r="E18" s="80"/>
      <c r="F18" s="16" t="s">
        <v>1370</v>
      </c>
      <c r="G18" s="40">
        <v>57753</v>
      </c>
      <c r="H18" s="40">
        <v>58263</v>
      </c>
      <c r="I18" s="40">
        <v>57215</v>
      </c>
      <c r="J18" s="40">
        <v>56296</v>
      </c>
      <c r="K18" s="40">
        <v>54992</v>
      </c>
      <c r="L18" s="40">
        <v>53337</v>
      </c>
      <c r="M18" s="40">
        <v>51614</v>
      </c>
      <c r="N18" s="40">
        <v>51177</v>
      </c>
    </row>
    <row r="19" spans="1:15" x14ac:dyDescent="0.2">
      <c r="A19" t="s">
        <v>1121</v>
      </c>
      <c r="B19" t="s">
        <v>1371</v>
      </c>
      <c r="E19" s="80"/>
      <c r="F19" s="25" t="s">
        <v>1372</v>
      </c>
      <c r="G19" s="39">
        <v>69473</v>
      </c>
      <c r="H19" s="39">
        <v>69810</v>
      </c>
      <c r="I19" s="40">
        <v>68882</v>
      </c>
      <c r="J19" s="40">
        <v>68102</v>
      </c>
      <c r="K19" s="40">
        <v>66822</v>
      </c>
      <c r="L19" s="40">
        <v>65062</v>
      </c>
      <c r="M19" s="40">
        <v>63469</v>
      </c>
      <c r="N19" s="40">
        <v>63075</v>
      </c>
      <c r="O19" s="40">
        <v>60640</v>
      </c>
    </row>
    <row r="20" spans="1:15" x14ac:dyDescent="0.2">
      <c r="E20" s="80"/>
      <c r="F20" s="15"/>
      <c r="G20" s="15"/>
      <c r="H20" s="15"/>
    </row>
    <row r="21" spans="1:15" x14ac:dyDescent="0.2">
      <c r="A21" s="82" t="s">
        <v>1125</v>
      </c>
      <c r="B21" s="80"/>
      <c r="E21" s="80"/>
      <c r="F21" s="15"/>
      <c r="G21" s="15"/>
      <c r="H21" s="15"/>
    </row>
    <row r="22" spans="1:15" x14ac:dyDescent="0.2">
      <c r="A22" t="s">
        <v>1135</v>
      </c>
      <c r="B22" t="s">
        <v>1373</v>
      </c>
      <c r="E22" s="80"/>
      <c r="F22" s="15"/>
      <c r="G22" s="15"/>
      <c r="H22" s="15"/>
    </row>
    <row r="23" spans="1:15" x14ac:dyDescent="0.2">
      <c r="E23" s="80"/>
    </row>
    <row r="24" spans="1:15" x14ac:dyDescent="0.2">
      <c r="E24" s="80"/>
      <c r="F24" s="15"/>
      <c r="G24" s="15"/>
      <c r="H24" s="15"/>
      <c r="K24" t="s">
        <v>1226</v>
      </c>
    </row>
    <row r="25" spans="1:15" x14ac:dyDescent="0.2">
      <c r="E25" s="80"/>
      <c r="F25" s="15"/>
      <c r="G25" s="15"/>
      <c r="H25" s="15"/>
    </row>
    <row r="26" spans="1:15" x14ac:dyDescent="0.2">
      <c r="E26" s="80"/>
      <c r="F26" s="15"/>
      <c r="G26" s="15"/>
      <c r="H26" s="15"/>
    </row>
    <row r="27" spans="1:15" x14ac:dyDescent="0.2">
      <c r="A27" s="82"/>
      <c r="B27" s="80"/>
      <c r="E27" s="80"/>
      <c r="F27" s="15"/>
      <c r="G27" s="15"/>
      <c r="H27" s="15"/>
    </row>
    <row r="28" spans="1:15" x14ac:dyDescent="0.2">
      <c r="E28" s="80"/>
      <c r="F28" s="15"/>
      <c r="G28" s="15"/>
      <c r="H28" s="15"/>
    </row>
    <row r="29" spans="1:15" x14ac:dyDescent="0.2">
      <c r="E29" s="80"/>
      <c r="F29" s="15"/>
      <c r="G29" s="15"/>
      <c r="H29" s="15"/>
    </row>
    <row r="30" spans="1:15" x14ac:dyDescent="0.2">
      <c r="E30" s="80"/>
      <c r="F30" s="15"/>
      <c r="G30" s="15"/>
      <c r="H30" s="15"/>
      <c r="K30" t="s">
        <v>1227</v>
      </c>
    </row>
    <row r="31" spans="1:15" x14ac:dyDescent="0.2">
      <c r="E31" s="80"/>
    </row>
    <row r="32" spans="1:15" x14ac:dyDescent="0.2">
      <c r="E32" s="80"/>
      <c r="F32" s="15"/>
      <c r="G32" s="15"/>
      <c r="H32" s="15"/>
    </row>
    <row r="33" spans="5:15" x14ac:dyDescent="0.2">
      <c r="E33" s="80"/>
      <c r="F33" s="15"/>
      <c r="G33" s="15"/>
      <c r="H33" s="15"/>
      <c r="I33" s="17"/>
    </row>
    <row r="34" spans="5:15" x14ac:dyDescent="0.2">
      <c r="E34" s="80"/>
      <c r="F34" s="15"/>
      <c r="G34" s="15"/>
      <c r="H34" s="15"/>
      <c r="I34" s="17"/>
    </row>
    <row r="35" spans="5:15" x14ac:dyDescent="0.2">
      <c r="E35" s="80"/>
      <c r="F35" s="15"/>
      <c r="G35" s="15"/>
      <c r="H35" s="15"/>
      <c r="I35" s="17"/>
    </row>
    <row r="36" spans="5:15" x14ac:dyDescent="0.2">
      <c r="E36" s="80"/>
      <c r="F36" s="15"/>
      <c r="G36" s="15"/>
      <c r="H36" s="15"/>
      <c r="I36" s="17"/>
    </row>
    <row r="37" spans="5:15" x14ac:dyDescent="0.2">
      <c r="E37" s="80"/>
    </row>
    <row r="38" spans="5:15" x14ac:dyDescent="0.2">
      <c r="E38" s="80"/>
    </row>
    <row r="39" spans="5:15" x14ac:dyDescent="0.2">
      <c r="E39" s="80"/>
    </row>
    <row r="40" spans="5:15" x14ac:dyDescent="0.2">
      <c r="E40" s="80"/>
    </row>
    <row r="41" spans="5:15" x14ac:dyDescent="0.2">
      <c r="E41" s="80"/>
    </row>
    <row r="42" spans="5:15" x14ac:dyDescent="0.2">
      <c r="E42" s="80"/>
      <c r="O42" s="16"/>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1077</v>
      </c>
      <c r="B1" s="79" t="s">
        <v>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tbl-poverty-age-rande</v>
      </c>
    </row>
    <row r="4" spans="1:17" x14ac:dyDescent="0.2">
      <c r="A4" s="16" t="s">
        <v>7</v>
      </c>
      <c r="B4" t="str">
        <f>IF($B$1="","",_xlfn.XLOOKUP($B$1,Master!$F$2:$F$321,Master!$H$2:$H$321,""))</f>
        <v>fig-poverty-age-rande</v>
      </c>
      <c r="E4" s="8"/>
      <c r="F4" s="10" t="s">
        <v>968</v>
      </c>
      <c r="G4" s="10" t="s">
        <v>973</v>
      </c>
      <c r="H4" s="10" t="s">
        <v>973</v>
      </c>
      <c r="I4" s="10" t="s">
        <v>973</v>
      </c>
      <c r="J4" s="10" t="s">
        <v>973</v>
      </c>
      <c r="K4" s="10" t="s">
        <v>973</v>
      </c>
      <c r="L4" s="10" t="s">
        <v>973</v>
      </c>
      <c r="M4" s="10" t="s">
        <v>973</v>
      </c>
      <c r="N4" s="10" t="s">
        <v>973</v>
      </c>
      <c r="O4" s="10" t="s">
        <v>973</v>
      </c>
      <c r="P4" s="10" t="s">
        <v>973</v>
      </c>
      <c r="Q4" s="10"/>
    </row>
    <row r="5" spans="1:17" x14ac:dyDescent="0.2">
      <c r="A5" s="84" t="s">
        <v>1081</v>
      </c>
      <c r="B5" s="80"/>
      <c r="E5" s="83" t="s">
        <v>1082</v>
      </c>
      <c r="F5" s="90" t="s">
        <v>1083</v>
      </c>
      <c r="G5" s="90" t="s">
        <v>1374</v>
      </c>
      <c r="H5" s="90" t="s">
        <v>1375</v>
      </c>
      <c r="I5" s="90" t="s">
        <v>1376</v>
      </c>
      <c r="J5" s="80"/>
      <c r="K5" s="80"/>
      <c r="L5" s="90" t="s">
        <v>1377</v>
      </c>
      <c r="M5" s="80"/>
      <c r="N5" s="80"/>
      <c r="O5" s="80"/>
      <c r="P5" s="80"/>
    </row>
    <row r="6" spans="1:17" ht="15" customHeight="1" x14ac:dyDescent="0.2">
      <c r="A6" t="s">
        <v>1088</v>
      </c>
      <c r="B6" t="b">
        <v>1</v>
      </c>
      <c r="E6" s="80"/>
      <c r="F6" s="80"/>
      <c r="G6" s="80"/>
      <c r="H6" s="80"/>
      <c r="I6" s="66" t="s">
        <v>1378</v>
      </c>
      <c r="J6" s="66" t="s">
        <v>1379</v>
      </c>
      <c r="K6" s="66" t="s">
        <v>1380</v>
      </c>
      <c r="L6" s="66" t="s">
        <v>1381</v>
      </c>
      <c r="M6" s="66" t="s">
        <v>1382</v>
      </c>
      <c r="N6" s="66" t="s">
        <v>1383</v>
      </c>
      <c r="O6" s="66" t="s">
        <v>1384</v>
      </c>
      <c r="P6" s="66" t="s">
        <v>1385</v>
      </c>
    </row>
    <row r="7" spans="1:17" ht="15.75" customHeight="1" x14ac:dyDescent="0.2">
      <c r="E7" s="80"/>
      <c r="F7" s="16" t="s">
        <v>1096</v>
      </c>
      <c r="G7" s="23">
        <v>395402</v>
      </c>
      <c r="H7" s="23">
        <v>51238</v>
      </c>
      <c r="I7" s="23">
        <v>19619</v>
      </c>
      <c r="J7" s="23">
        <v>25992</v>
      </c>
      <c r="K7" s="23">
        <v>5697</v>
      </c>
      <c r="L7" s="23">
        <v>32525</v>
      </c>
      <c r="M7" s="23">
        <v>6471</v>
      </c>
      <c r="N7" s="23">
        <v>1134</v>
      </c>
      <c r="O7" s="23">
        <v>4573</v>
      </c>
      <c r="P7" s="23">
        <v>11485</v>
      </c>
    </row>
    <row r="8" spans="1:17" x14ac:dyDescent="0.2">
      <c r="E8" s="80"/>
      <c r="F8" s="16" t="s">
        <v>1097</v>
      </c>
      <c r="G8" s="23">
        <v>18639</v>
      </c>
      <c r="H8" s="23">
        <v>2428</v>
      </c>
      <c r="I8" s="23">
        <v>1155</v>
      </c>
      <c r="J8" s="23">
        <v>1025</v>
      </c>
      <c r="K8" s="15">
        <v>248</v>
      </c>
      <c r="L8" s="23">
        <v>1796</v>
      </c>
      <c r="M8" s="15">
        <v>106</v>
      </c>
      <c r="N8" s="15">
        <v>51</v>
      </c>
      <c r="O8" s="15">
        <v>107</v>
      </c>
      <c r="P8" s="15">
        <v>468</v>
      </c>
    </row>
    <row r="9" spans="1:17" x14ac:dyDescent="0.2">
      <c r="A9" s="84" t="s">
        <v>1098</v>
      </c>
      <c r="B9" s="80"/>
      <c r="E9" s="80"/>
      <c r="F9" s="47" t="s">
        <v>1099</v>
      </c>
      <c r="G9" s="23">
        <v>3880</v>
      </c>
      <c r="H9" s="23">
        <v>1524</v>
      </c>
      <c r="I9" s="15">
        <v>954</v>
      </c>
      <c r="J9" s="15">
        <v>564</v>
      </c>
      <c r="K9" s="15">
        <v>6</v>
      </c>
      <c r="L9" s="23">
        <v>1323</v>
      </c>
      <c r="M9" s="15">
        <v>33</v>
      </c>
      <c r="N9" s="15">
        <v>0</v>
      </c>
      <c r="O9" s="15">
        <v>7</v>
      </c>
      <c r="P9" s="15">
        <v>161</v>
      </c>
    </row>
    <row r="10" spans="1:17" x14ac:dyDescent="0.2">
      <c r="A10" t="s">
        <v>1100</v>
      </c>
      <c r="E10" s="80"/>
      <c r="F10" s="47" t="s">
        <v>1101</v>
      </c>
      <c r="G10" s="23">
        <v>5718</v>
      </c>
      <c r="H10" s="15">
        <v>422</v>
      </c>
      <c r="I10" s="15">
        <v>54</v>
      </c>
      <c r="J10" s="15">
        <v>189</v>
      </c>
      <c r="K10" s="15">
        <v>179</v>
      </c>
      <c r="L10" s="15">
        <v>233</v>
      </c>
      <c r="M10" s="15">
        <v>51</v>
      </c>
      <c r="N10" s="15">
        <v>30</v>
      </c>
      <c r="O10" s="15">
        <v>69</v>
      </c>
      <c r="P10" s="15">
        <v>129</v>
      </c>
    </row>
    <row r="11" spans="1:17" x14ac:dyDescent="0.2">
      <c r="A11" t="s">
        <v>1102</v>
      </c>
      <c r="E11" s="80"/>
      <c r="F11" s="16" t="s">
        <v>1103</v>
      </c>
      <c r="G11" s="23">
        <v>12333</v>
      </c>
      <c r="H11" s="15">
        <v>907</v>
      </c>
      <c r="I11" s="15">
        <v>53</v>
      </c>
      <c r="J11" s="17">
        <v>660</v>
      </c>
      <c r="K11" s="17">
        <v>194</v>
      </c>
      <c r="L11" s="17">
        <v>771</v>
      </c>
      <c r="M11" s="17">
        <v>4</v>
      </c>
      <c r="N11" s="17">
        <v>0</v>
      </c>
      <c r="O11" s="15">
        <v>132</v>
      </c>
      <c r="P11" s="15">
        <v>64</v>
      </c>
    </row>
    <row r="12" spans="1:17" x14ac:dyDescent="0.2">
      <c r="A12" t="s">
        <v>1104</v>
      </c>
      <c r="E12" s="80"/>
      <c r="F12" s="48" t="s">
        <v>1105</v>
      </c>
      <c r="G12" s="28">
        <v>4050</v>
      </c>
      <c r="H12" s="17">
        <v>262</v>
      </c>
      <c r="I12" s="15">
        <v>0</v>
      </c>
      <c r="J12" s="15">
        <v>203</v>
      </c>
      <c r="K12" s="15">
        <v>59</v>
      </c>
      <c r="L12" s="15">
        <v>130</v>
      </c>
      <c r="M12" s="15">
        <v>0</v>
      </c>
      <c r="N12" s="15">
        <v>0</v>
      </c>
      <c r="O12" s="15">
        <v>132</v>
      </c>
      <c r="P12" s="15">
        <v>64</v>
      </c>
    </row>
    <row r="13" spans="1:17" x14ac:dyDescent="0.2">
      <c r="A13" t="s">
        <v>1108</v>
      </c>
      <c r="E13" s="80"/>
      <c r="F13" s="16" t="s">
        <v>1109</v>
      </c>
      <c r="G13" s="23">
        <v>12758</v>
      </c>
      <c r="H13" s="15">
        <v>622</v>
      </c>
      <c r="I13" s="15">
        <v>108</v>
      </c>
      <c r="J13" s="15">
        <v>304</v>
      </c>
      <c r="K13" s="15">
        <v>210</v>
      </c>
      <c r="L13" s="15">
        <v>480</v>
      </c>
      <c r="M13" s="15">
        <v>14</v>
      </c>
      <c r="N13" s="15">
        <v>72</v>
      </c>
      <c r="O13" s="15">
        <v>47</v>
      </c>
      <c r="P13" s="15">
        <v>67</v>
      </c>
    </row>
    <row r="14" spans="1:17" x14ac:dyDescent="0.2">
      <c r="A14" t="s">
        <v>1112</v>
      </c>
      <c r="E14" s="80"/>
      <c r="F14" s="47" t="s">
        <v>1113</v>
      </c>
      <c r="G14" s="23">
        <v>3009</v>
      </c>
      <c r="H14" s="15">
        <v>72</v>
      </c>
      <c r="I14" s="15">
        <v>0</v>
      </c>
      <c r="J14" s="15">
        <v>26</v>
      </c>
      <c r="K14" s="15">
        <v>46</v>
      </c>
      <c r="L14" s="15">
        <v>72</v>
      </c>
      <c r="M14" s="15">
        <v>0</v>
      </c>
      <c r="N14" s="15">
        <v>0</v>
      </c>
      <c r="O14" s="15">
        <v>0</v>
      </c>
      <c r="P14" s="15">
        <v>0</v>
      </c>
    </row>
    <row r="15" spans="1:17" x14ac:dyDescent="0.2">
      <c r="A15" t="s">
        <v>1114</v>
      </c>
      <c r="E15" s="80"/>
      <c r="F15" s="25" t="s">
        <v>1115</v>
      </c>
      <c r="G15" s="23">
        <v>9077</v>
      </c>
      <c r="H15" s="15">
        <v>320</v>
      </c>
      <c r="I15" s="15">
        <v>50</v>
      </c>
      <c r="J15" s="15">
        <v>231</v>
      </c>
      <c r="K15" s="15">
        <v>39</v>
      </c>
      <c r="L15" s="15">
        <v>185</v>
      </c>
      <c r="M15" s="15">
        <v>86</v>
      </c>
      <c r="N15" s="15">
        <v>0</v>
      </c>
      <c r="O15" s="15">
        <v>38</v>
      </c>
      <c r="P15" s="15">
        <v>72</v>
      </c>
    </row>
    <row r="16" spans="1:17" x14ac:dyDescent="0.2">
      <c r="A16" t="s">
        <v>1116</v>
      </c>
      <c r="E16" s="80"/>
      <c r="F16" s="25" t="s">
        <v>1117</v>
      </c>
      <c r="G16" s="23">
        <v>7359</v>
      </c>
      <c r="H16" s="15">
        <v>627</v>
      </c>
      <c r="I16" s="15">
        <v>77</v>
      </c>
      <c r="J16" s="15">
        <v>426</v>
      </c>
      <c r="K16" s="15">
        <v>124</v>
      </c>
      <c r="L16" s="15">
        <v>495</v>
      </c>
      <c r="M16" s="15">
        <v>0</v>
      </c>
      <c r="N16" s="15">
        <v>0</v>
      </c>
      <c r="O16" s="15">
        <v>120</v>
      </c>
      <c r="P16" s="15">
        <v>92</v>
      </c>
    </row>
    <row r="17" spans="1:16" x14ac:dyDescent="0.2">
      <c r="E17" s="80"/>
      <c r="F17" s="25" t="s">
        <v>1118</v>
      </c>
      <c r="G17" s="23">
        <v>13210</v>
      </c>
      <c r="H17" s="15">
        <v>555</v>
      </c>
      <c r="I17" s="15">
        <v>135</v>
      </c>
      <c r="J17" s="15">
        <v>337</v>
      </c>
      <c r="K17" s="15">
        <v>83</v>
      </c>
      <c r="L17" s="15">
        <v>327</v>
      </c>
      <c r="M17" s="15">
        <v>4</v>
      </c>
      <c r="N17" s="15">
        <v>25</v>
      </c>
      <c r="O17" s="15">
        <v>192</v>
      </c>
      <c r="P17" s="15">
        <v>209</v>
      </c>
    </row>
    <row r="18" spans="1:16" x14ac:dyDescent="0.2">
      <c r="A18" s="84" t="s">
        <v>1119</v>
      </c>
      <c r="B18" s="80"/>
      <c r="E18" s="80"/>
      <c r="F18" s="47" t="s">
        <v>1120</v>
      </c>
      <c r="G18" s="23">
        <v>5598</v>
      </c>
      <c r="H18" s="15">
        <v>101</v>
      </c>
      <c r="I18" s="15">
        <v>9</v>
      </c>
      <c r="J18" s="15">
        <v>64</v>
      </c>
      <c r="K18" s="15">
        <v>28</v>
      </c>
      <c r="L18" s="15">
        <v>101</v>
      </c>
      <c r="M18" s="15">
        <v>0</v>
      </c>
      <c r="N18" s="15">
        <v>0</v>
      </c>
      <c r="O18" s="15">
        <v>0</v>
      </c>
      <c r="P18" s="15">
        <v>0</v>
      </c>
    </row>
    <row r="19" spans="1:16" x14ac:dyDescent="0.2">
      <c r="A19" t="s">
        <v>1121</v>
      </c>
      <c r="B19" t="s">
        <v>1386</v>
      </c>
      <c r="E19" s="80"/>
      <c r="F19" s="16" t="s">
        <v>1123</v>
      </c>
      <c r="G19" s="23">
        <v>4652</v>
      </c>
      <c r="H19" s="15">
        <v>162</v>
      </c>
      <c r="I19" s="15">
        <v>16</v>
      </c>
      <c r="J19" s="15">
        <v>108</v>
      </c>
      <c r="K19" s="15">
        <v>38</v>
      </c>
      <c r="L19" s="15">
        <v>145</v>
      </c>
      <c r="M19" s="15">
        <v>0</v>
      </c>
      <c r="N19" s="15">
        <v>0</v>
      </c>
      <c r="O19" s="15">
        <v>0</v>
      </c>
      <c r="P19" s="15">
        <v>17</v>
      </c>
    </row>
    <row r="20" spans="1:16" x14ac:dyDescent="0.2">
      <c r="E20" s="80"/>
      <c r="F20" s="16" t="s">
        <v>1124</v>
      </c>
      <c r="G20" s="23">
        <v>5407</v>
      </c>
      <c r="H20" s="15">
        <v>316</v>
      </c>
      <c r="I20" s="15">
        <v>96</v>
      </c>
      <c r="J20" s="15">
        <v>206</v>
      </c>
      <c r="K20" s="15">
        <v>14</v>
      </c>
      <c r="L20" s="15">
        <v>158</v>
      </c>
      <c r="M20" s="15">
        <v>0</v>
      </c>
      <c r="N20" s="15">
        <v>148</v>
      </c>
      <c r="O20" s="15">
        <v>10</v>
      </c>
      <c r="P20" s="15">
        <v>10</v>
      </c>
    </row>
    <row r="21" spans="1:16" x14ac:dyDescent="0.2">
      <c r="A21" s="82" t="s">
        <v>1125</v>
      </c>
      <c r="B21" s="80"/>
      <c r="E21" s="80"/>
      <c r="F21" s="16" t="s">
        <v>1126</v>
      </c>
      <c r="G21" s="23">
        <v>10450</v>
      </c>
      <c r="H21" s="15">
        <v>633</v>
      </c>
      <c r="I21" s="15">
        <v>165</v>
      </c>
      <c r="J21" s="15">
        <v>369</v>
      </c>
      <c r="K21" s="15">
        <v>99</v>
      </c>
      <c r="L21" s="15">
        <v>295</v>
      </c>
      <c r="M21" s="15">
        <v>61</v>
      </c>
      <c r="N21" s="15">
        <v>0</v>
      </c>
      <c r="O21" s="15">
        <v>42</v>
      </c>
      <c r="P21" s="15">
        <v>289</v>
      </c>
    </row>
    <row r="22" spans="1:16" x14ac:dyDescent="0.2">
      <c r="A22" t="s">
        <v>1135</v>
      </c>
      <c r="B22" t="s">
        <v>1232</v>
      </c>
      <c r="E22" s="80"/>
      <c r="F22" s="47" t="s">
        <v>1137</v>
      </c>
      <c r="G22" s="23">
        <v>3696</v>
      </c>
      <c r="H22" s="15">
        <v>384</v>
      </c>
      <c r="I22" s="15">
        <v>144</v>
      </c>
      <c r="J22" s="15">
        <v>215</v>
      </c>
      <c r="K22" s="15">
        <v>25</v>
      </c>
      <c r="L22" s="15">
        <v>104</v>
      </c>
      <c r="M22" s="15">
        <v>61</v>
      </c>
      <c r="N22" s="15">
        <v>0</v>
      </c>
      <c r="O22" s="15">
        <v>27</v>
      </c>
      <c r="P22" s="15">
        <v>219</v>
      </c>
    </row>
    <row r="23" spans="1:16" x14ac:dyDescent="0.2">
      <c r="E23" s="80"/>
      <c r="F23" s="16" t="s">
        <v>1146</v>
      </c>
      <c r="G23" s="23">
        <v>29921</v>
      </c>
      <c r="H23" s="23">
        <v>4641</v>
      </c>
      <c r="I23" s="23">
        <v>1480</v>
      </c>
      <c r="J23" s="23">
        <v>2631</v>
      </c>
      <c r="K23" s="15">
        <v>530</v>
      </c>
      <c r="L23" s="23">
        <v>1108</v>
      </c>
      <c r="M23" s="15">
        <v>679</v>
      </c>
      <c r="N23" s="15">
        <v>60</v>
      </c>
      <c r="O23" s="15">
        <v>712</v>
      </c>
      <c r="P23" s="23">
        <v>2983</v>
      </c>
    </row>
    <row r="24" spans="1:16" x14ac:dyDescent="0.2">
      <c r="E24" s="80"/>
      <c r="F24" s="16" t="s">
        <v>1150</v>
      </c>
      <c r="G24" s="23">
        <v>4645</v>
      </c>
      <c r="H24" s="15">
        <v>476</v>
      </c>
      <c r="I24" s="15">
        <v>241</v>
      </c>
      <c r="J24" s="15">
        <v>226</v>
      </c>
      <c r="K24" s="15">
        <v>9</v>
      </c>
      <c r="L24" s="15">
        <v>456</v>
      </c>
      <c r="M24" s="15">
        <v>0</v>
      </c>
      <c r="N24" s="15">
        <v>0</v>
      </c>
      <c r="O24" s="15">
        <v>20</v>
      </c>
      <c r="P24" s="15">
        <v>38</v>
      </c>
    </row>
    <row r="25" spans="1:16" x14ac:dyDescent="0.2">
      <c r="E25" s="80"/>
      <c r="F25" s="47" t="s">
        <v>1154</v>
      </c>
      <c r="G25" s="15">
        <v>684</v>
      </c>
      <c r="H25" s="15">
        <v>61</v>
      </c>
      <c r="I25" s="15">
        <v>35</v>
      </c>
      <c r="J25" s="15">
        <v>26</v>
      </c>
      <c r="K25" s="15">
        <v>0</v>
      </c>
      <c r="L25" s="15">
        <v>41</v>
      </c>
      <c r="M25" s="15">
        <v>0</v>
      </c>
      <c r="N25" s="15">
        <v>0</v>
      </c>
      <c r="O25" s="15">
        <v>20</v>
      </c>
      <c r="P25" s="15">
        <v>38</v>
      </c>
    </row>
    <row r="26" spans="1:16" x14ac:dyDescent="0.2">
      <c r="E26" s="80"/>
      <c r="F26" s="16" t="s">
        <v>1158</v>
      </c>
      <c r="G26" s="23">
        <v>21255</v>
      </c>
      <c r="H26" s="23">
        <v>1802</v>
      </c>
      <c r="I26" s="15">
        <v>772</v>
      </c>
      <c r="J26" s="15">
        <v>909</v>
      </c>
      <c r="K26" s="15">
        <v>121</v>
      </c>
      <c r="L26" s="23">
        <v>1191</v>
      </c>
      <c r="M26" s="15">
        <v>106</v>
      </c>
      <c r="N26" s="15">
        <v>11</v>
      </c>
      <c r="O26" s="15">
        <v>138</v>
      </c>
      <c r="P26" s="15">
        <v>418</v>
      </c>
    </row>
    <row r="27" spans="1:16" x14ac:dyDescent="0.2">
      <c r="A27" s="82"/>
      <c r="B27" s="80"/>
      <c r="E27" s="80"/>
      <c r="F27" s="47" t="s">
        <v>1162</v>
      </c>
      <c r="G27" s="23">
        <v>2081</v>
      </c>
      <c r="H27" s="15">
        <v>79</v>
      </c>
      <c r="I27" s="15">
        <v>16</v>
      </c>
      <c r="J27" s="15">
        <v>34</v>
      </c>
      <c r="K27" s="15">
        <v>2</v>
      </c>
      <c r="L27" s="15">
        <v>43</v>
      </c>
      <c r="M27" s="15">
        <v>0</v>
      </c>
      <c r="N27" s="15">
        <v>0</v>
      </c>
      <c r="O27" s="15">
        <v>21</v>
      </c>
      <c r="P27" s="15">
        <v>36</v>
      </c>
    </row>
    <row r="28" spans="1:16" x14ac:dyDescent="0.2">
      <c r="E28" s="80"/>
      <c r="F28" s="47" t="s">
        <v>1164</v>
      </c>
      <c r="G28" s="23">
        <v>9466</v>
      </c>
      <c r="H28" s="15">
        <v>883</v>
      </c>
      <c r="I28" s="15">
        <v>304</v>
      </c>
      <c r="J28" s="15">
        <v>520</v>
      </c>
      <c r="K28" s="15">
        <v>59</v>
      </c>
      <c r="L28" s="15">
        <v>343</v>
      </c>
      <c r="M28" s="15">
        <v>90</v>
      </c>
      <c r="N28" s="15">
        <v>11</v>
      </c>
      <c r="O28" s="15">
        <v>83</v>
      </c>
      <c r="P28" s="15">
        <v>382</v>
      </c>
    </row>
    <row r="29" spans="1:16" x14ac:dyDescent="0.2">
      <c r="E29" s="80"/>
      <c r="F29" s="16" t="s">
        <v>1166</v>
      </c>
      <c r="G29" s="23">
        <v>22899</v>
      </c>
      <c r="H29" s="23">
        <v>2399</v>
      </c>
      <c r="I29" s="15">
        <v>474</v>
      </c>
      <c r="J29" s="23">
        <v>1417</v>
      </c>
      <c r="K29" s="15">
        <v>508</v>
      </c>
      <c r="L29" s="23">
        <v>1669</v>
      </c>
      <c r="M29" s="15">
        <v>240</v>
      </c>
      <c r="N29" s="15">
        <v>0</v>
      </c>
      <c r="O29" s="15">
        <v>305</v>
      </c>
      <c r="P29" s="15">
        <v>479</v>
      </c>
    </row>
    <row r="30" spans="1:16" x14ac:dyDescent="0.2">
      <c r="E30" s="80"/>
      <c r="F30" s="47" t="s">
        <v>1168</v>
      </c>
      <c r="G30" s="23">
        <v>3147</v>
      </c>
      <c r="H30" s="15">
        <v>231</v>
      </c>
      <c r="I30" s="15">
        <v>0</v>
      </c>
      <c r="J30" s="15">
        <v>61</v>
      </c>
      <c r="K30" s="15">
        <v>170</v>
      </c>
      <c r="L30" s="15">
        <v>216</v>
      </c>
      <c r="M30" s="15">
        <v>5</v>
      </c>
      <c r="N30" s="15">
        <v>0</v>
      </c>
      <c r="O30" s="15">
        <v>0</v>
      </c>
      <c r="P30" s="15">
        <v>27</v>
      </c>
    </row>
    <row r="31" spans="1:16" x14ac:dyDescent="0.2">
      <c r="E31" s="80"/>
      <c r="F31" s="47" t="s">
        <v>1170</v>
      </c>
      <c r="G31" s="23">
        <v>3800</v>
      </c>
      <c r="H31" s="15">
        <v>506</v>
      </c>
      <c r="I31" s="15">
        <v>142</v>
      </c>
      <c r="J31" s="15">
        <v>243</v>
      </c>
      <c r="K31" s="15">
        <v>121</v>
      </c>
      <c r="L31" s="15">
        <v>208</v>
      </c>
      <c r="M31" s="15">
        <v>158</v>
      </c>
      <c r="N31" s="15">
        <v>0</v>
      </c>
      <c r="O31" s="15">
        <v>13</v>
      </c>
      <c r="P31" s="15">
        <v>328</v>
      </c>
    </row>
    <row r="32" spans="1:16" x14ac:dyDescent="0.2">
      <c r="E32" s="80"/>
      <c r="F32" s="47" t="s">
        <v>1172</v>
      </c>
      <c r="G32" s="23">
        <v>6871</v>
      </c>
      <c r="H32" s="15">
        <v>884</v>
      </c>
      <c r="I32" s="15">
        <v>193</v>
      </c>
      <c r="J32" s="15">
        <v>560</v>
      </c>
      <c r="K32" s="15">
        <v>131</v>
      </c>
      <c r="L32" s="15">
        <v>535</v>
      </c>
      <c r="M32" s="15">
        <v>77</v>
      </c>
      <c r="N32" s="15">
        <v>0</v>
      </c>
      <c r="O32" s="15">
        <v>224</v>
      </c>
      <c r="P32" s="15">
        <v>76</v>
      </c>
    </row>
    <row r="33" spans="5:16" x14ac:dyDescent="0.2">
      <c r="E33" s="80"/>
      <c r="F33" s="16" t="s">
        <v>1174</v>
      </c>
      <c r="G33" s="23">
        <v>5366</v>
      </c>
      <c r="H33" s="15">
        <v>300</v>
      </c>
      <c r="I33" s="15">
        <v>106</v>
      </c>
      <c r="J33" s="15">
        <v>121</v>
      </c>
      <c r="K33" s="15">
        <v>73</v>
      </c>
      <c r="L33" s="15">
        <v>160</v>
      </c>
      <c r="M33" s="15">
        <v>80</v>
      </c>
      <c r="N33" s="15">
        <v>48</v>
      </c>
      <c r="O33" s="15">
        <v>0</v>
      </c>
      <c r="P33" s="15">
        <v>38</v>
      </c>
    </row>
    <row r="34" spans="5:16" x14ac:dyDescent="0.2">
      <c r="E34" s="80"/>
      <c r="F34" t="s">
        <v>1178</v>
      </c>
      <c r="G34" s="23">
        <v>1210</v>
      </c>
      <c r="H34" s="15">
        <v>118</v>
      </c>
      <c r="I34" s="17">
        <v>64</v>
      </c>
      <c r="J34" s="15">
        <v>45</v>
      </c>
      <c r="K34" s="15">
        <v>9</v>
      </c>
      <c r="L34" s="15">
        <v>50</v>
      </c>
      <c r="M34" s="15">
        <v>44</v>
      </c>
      <c r="N34" s="15">
        <v>12</v>
      </c>
      <c r="O34" s="15">
        <v>0</v>
      </c>
      <c r="P34" s="15">
        <v>38</v>
      </c>
    </row>
    <row r="35" spans="5:16" x14ac:dyDescent="0.2">
      <c r="E35" s="80"/>
      <c r="F35" s="16" t="s">
        <v>1180</v>
      </c>
      <c r="G35" s="23">
        <v>27990</v>
      </c>
      <c r="H35" s="23">
        <v>7582</v>
      </c>
      <c r="I35" s="28">
        <v>2573</v>
      </c>
      <c r="J35" s="23">
        <v>3993</v>
      </c>
      <c r="K35" s="23">
        <v>1016</v>
      </c>
      <c r="L35" s="23">
        <v>2211</v>
      </c>
      <c r="M35" s="23">
        <v>2472</v>
      </c>
      <c r="N35" s="15">
        <v>0</v>
      </c>
      <c r="O35" s="15">
        <v>974</v>
      </c>
      <c r="P35" s="23">
        <v>3348</v>
      </c>
    </row>
    <row r="36" spans="5:16" x14ac:dyDescent="0.2">
      <c r="E36" s="80"/>
      <c r="F36" s="16" t="s">
        <v>1182</v>
      </c>
      <c r="G36" s="23">
        <v>31660</v>
      </c>
      <c r="H36" s="23">
        <v>2743</v>
      </c>
      <c r="I36" s="17">
        <v>981</v>
      </c>
      <c r="J36" s="23">
        <v>1374</v>
      </c>
      <c r="K36" s="15">
        <v>388</v>
      </c>
      <c r="L36" s="23">
        <v>1545</v>
      </c>
      <c r="M36" s="15">
        <v>280</v>
      </c>
      <c r="N36" s="15">
        <v>172</v>
      </c>
      <c r="O36" s="15">
        <v>577</v>
      </c>
      <c r="P36" s="15">
        <v>372</v>
      </c>
    </row>
    <row r="37" spans="5:16" x14ac:dyDescent="0.2">
      <c r="E37" s="80"/>
      <c r="F37" s="16" t="s">
        <v>1184</v>
      </c>
      <c r="G37" s="23">
        <v>27475</v>
      </c>
      <c r="H37" s="23">
        <v>1722</v>
      </c>
      <c r="I37" s="17">
        <v>282</v>
      </c>
      <c r="J37" s="15">
        <v>912</v>
      </c>
      <c r="K37" s="15">
        <v>528</v>
      </c>
      <c r="L37" s="23">
        <v>1000</v>
      </c>
      <c r="M37" s="15">
        <v>426</v>
      </c>
      <c r="N37" s="15">
        <v>36</v>
      </c>
      <c r="O37" s="15">
        <v>23</v>
      </c>
      <c r="P37" s="15">
        <v>350</v>
      </c>
    </row>
    <row r="38" spans="5:16" x14ac:dyDescent="0.2">
      <c r="E38" s="80"/>
      <c r="F38" s="16" t="s">
        <v>1186</v>
      </c>
      <c r="G38" s="23">
        <v>36129</v>
      </c>
      <c r="H38" s="23">
        <v>14539</v>
      </c>
      <c r="I38" s="23">
        <v>8781</v>
      </c>
      <c r="J38" s="23">
        <v>5629</v>
      </c>
      <c r="K38" s="15">
        <v>129</v>
      </c>
      <c r="L38" s="23">
        <v>14236</v>
      </c>
      <c r="M38" s="15">
        <v>45</v>
      </c>
      <c r="N38" s="15">
        <v>0</v>
      </c>
      <c r="O38" s="15">
        <v>258</v>
      </c>
      <c r="P38" s="15">
        <v>166</v>
      </c>
    </row>
    <row r="39" spans="5:16" x14ac:dyDescent="0.2">
      <c r="E39" s="80"/>
      <c r="F39" s="47" t="s">
        <v>1188</v>
      </c>
      <c r="G39" s="23">
        <v>36129</v>
      </c>
      <c r="H39" s="23">
        <v>14539</v>
      </c>
      <c r="I39" s="23">
        <v>8781</v>
      </c>
      <c r="J39" s="23">
        <v>5629</v>
      </c>
      <c r="K39" s="15">
        <v>129</v>
      </c>
      <c r="L39" s="23">
        <v>14236</v>
      </c>
      <c r="M39" s="15">
        <v>45</v>
      </c>
      <c r="N39" s="15">
        <v>0</v>
      </c>
      <c r="O39" s="15">
        <v>258</v>
      </c>
      <c r="P39" s="15">
        <v>166</v>
      </c>
    </row>
    <row r="40" spans="5:16" x14ac:dyDescent="0.2">
      <c r="E40" s="80"/>
      <c r="F40" s="16" t="s">
        <v>1191</v>
      </c>
      <c r="G40" s="23">
        <v>8623</v>
      </c>
      <c r="H40" s="23">
        <v>1789</v>
      </c>
      <c r="I40" s="15">
        <v>456</v>
      </c>
      <c r="J40" s="15">
        <v>913</v>
      </c>
      <c r="K40" s="15">
        <v>420</v>
      </c>
      <c r="L40" s="15">
        <v>973</v>
      </c>
      <c r="M40" s="15">
        <v>281</v>
      </c>
      <c r="N40" s="15">
        <v>276</v>
      </c>
      <c r="O40" s="15">
        <v>176</v>
      </c>
      <c r="P40" s="15">
        <v>409</v>
      </c>
    </row>
    <row r="41" spans="5:16" x14ac:dyDescent="0.2">
      <c r="E41" s="80"/>
      <c r="F41" s="16" t="s">
        <v>1195</v>
      </c>
      <c r="G41" s="23">
        <v>3750</v>
      </c>
      <c r="H41" s="15">
        <v>236</v>
      </c>
      <c r="I41" s="15">
        <v>1</v>
      </c>
      <c r="J41" s="15">
        <v>174</v>
      </c>
      <c r="K41" s="15">
        <v>61</v>
      </c>
      <c r="L41" s="15">
        <v>194</v>
      </c>
      <c r="M41" s="15">
        <v>29</v>
      </c>
      <c r="N41" s="15">
        <v>7</v>
      </c>
      <c r="O41" s="15">
        <v>0</v>
      </c>
      <c r="P41" s="15">
        <v>52</v>
      </c>
    </row>
    <row r="42" spans="5:16" x14ac:dyDescent="0.2">
      <c r="E42" s="80"/>
      <c r="F42" s="47" t="s">
        <v>1199</v>
      </c>
      <c r="G42" s="23">
        <v>3068</v>
      </c>
      <c r="H42" s="15">
        <v>227</v>
      </c>
      <c r="I42" s="15">
        <v>0</v>
      </c>
      <c r="J42" s="15">
        <v>171</v>
      </c>
      <c r="K42" s="15">
        <v>56</v>
      </c>
      <c r="L42" s="15">
        <v>187</v>
      </c>
      <c r="M42" s="15">
        <v>29</v>
      </c>
      <c r="N42" s="15">
        <v>5</v>
      </c>
      <c r="O42" s="15">
        <v>0</v>
      </c>
      <c r="P42" s="15">
        <v>52</v>
      </c>
    </row>
    <row r="43" spans="5:16" x14ac:dyDescent="0.2">
      <c r="E43" s="80"/>
      <c r="F43" s="47" t="s">
        <v>1200</v>
      </c>
      <c r="G43" s="15">
        <v>682</v>
      </c>
      <c r="H43" s="15">
        <v>9</v>
      </c>
      <c r="I43" s="15">
        <v>1</v>
      </c>
      <c r="J43" s="15">
        <v>3</v>
      </c>
      <c r="K43" s="15">
        <v>5</v>
      </c>
      <c r="L43" s="15">
        <v>7</v>
      </c>
      <c r="M43" s="15">
        <v>0</v>
      </c>
      <c r="N43" s="15">
        <v>2</v>
      </c>
      <c r="O43" s="15">
        <v>0</v>
      </c>
      <c r="P43" s="15">
        <v>0</v>
      </c>
    </row>
    <row r="44" spans="5:16" x14ac:dyDescent="0.2">
      <c r="E44" s="80"/>
      <c r="F44" s="16" t="s">
        <v>1201</v>
      </c>
      <c r="G44" s="23">
        <v>30410</v>
      </c>
      <c r="H44" s="23">
        <v>3225</v>
      </c>
      <c r="I44" s="15">
        <v>935</v>
      </c>
      <c r="J44" s="23">
        <v>1898</v>
      </c>
      <c r="K44" s="15">
        <v>392</v>
      </c>
      <c r="L44" s="15">
        <v>956</v>
      </c>
      <c r="M44" s="23">
        <v>1149</v>
      </c>
      <c r="N44" s="15">
        <v>178</v>
      </c>
      <c r="O44" s="15">
        <v>433</v>
      </c>
      <c r="P44" s="15">
        <v>689</v>
      </c>
    </row>
    <row r="45" spans="5:16" x14ac:dyDescent="0.2">
      <c r="E45" s="80"/>
      <c r="F45" s="16" t="s">
        <v>1202</v>
      </c>
      <c r="G45" s="23">
        <v>31721</v>
      </c>
      <c r="H45" s="23">
        <v>2125</v>
      </c>
      <c r="I45" s="15">
        <v>343</v>
      </c>
      <c r="J45" s="23">
        <v>1373</v>
      </c>
      <c r="K45" s="15">
        <v>409</v>
      </c>
      <c r="L45" s="23">
        <v>1495</v>
      </c>
      <c r="M45" s="15">
        <v>125</v>
      </c>
      <c r="N45" s="15">
        <v>50</v>
      </c>
      <c r="O45" s="15">
        <v>236</v>
      </c>
      <c r="P45" s="15">
        <v>502</v>
      </c>
    </row>
    <row r="46" spans="5:16" x14ac:dyDescent="0.2">
      <c r="E46" s="80"/>
      <c r="F46" s="47" t="s">
        <v>1203</v>
      </c>
      <c r="G46" s="23">
        <v>2909</v>
      </c>
      <c r="H46" s="15">
        <v>227</v>
      </c>
      <c r="I46" s="15">
        <v>47</v>
      </c>
      <c r="J46" s="15">
        <v>172</v>
      </c>
      <c r="K46" s="15">
        <v>8</v>
      </c>
      <c r="L46" s="15">
        <v>125</v>
      </c>
      <c r="M46" s="15">
        <v>93</v>
      </c>
      <c r="N46" s="15">
        <v>0</v>
      </c>
      <c r="O46" s="15">
        <v>0</v>
      </c>
      <c r="P46" s="15">
        <v>9</v>
      </c>
    </row>
    <row r="47" spans="5:16" x14ac:dyDescent="0.2">
      <c r="E47" s="80"/>
      <c r="F47" s="47" t="s">
        <v>1204</v>
      </c>
      <c r="G47" s="23">
        <v>3006</v>
      </c>
      <c r="H47" s="15">
        <v>260</v>
      </c>
      <c r="I47" s="15">
        <v>116</v>
      </c>
      <c r="J47" s="15">
        <v>135</v>
      </c>
      <c r="K47" s="15">
        <v>9</v>
      </c>
      <c r="L47" s="15">
        <v>47</v>
      </c>
      <c r="M47" s="15">
        <v>0</v>
      </c>
      <c r="N47" s="15">
        <v>0</v>
      </c>
      <c r="O47" s="15">
        <v>182</v>
      </c>
      <c r="P47" s="15">
        <v>213</v>
      </c>
    </row>
    <row r="48" spans="5:16" x14ac:dyDescent="0.2">
      <c r="E48" s="80"/>
      <c r="F48" s="47" t="s">
        <v>1205</v>
      </c>
      <c r="G48" s="23">
        <v>6536</v>
      </c>
      <c r="H48" s="15">
        <v>441</v>
      </c>
      <c r="I48" s="15">
        <v>42</v>
      </c>
      <c r="J48" s="15">
        <v>209</v>
      </c>
      <c r="K48" s="15">
        <v>190</v>
      </c>
      <c r="L48" s="15">
        <v>361</v>
      </c>
      <c r="M48" s="15">
        <v>0</v>
      </c>
      <c r="N48" s="15">
        <v>0</v>
      </c>
      <c r="O48" s="15">
        <v>23</v>
      </c>
      <c r="P48" s="15">
        <v>73</v>
      </c>
    </row>
    <row r="49" spans="5:16" x14ac:dyDescent="0.2">
      <c r="E49" s="80"/>
      <c r="F49" s="16" t="s">
        <v>1206</v>
      </c>
      <c r="G49" s="23">
        <v>7493</v>
      </c>
      <c r="H49" s="15">
        <v>413</v>
      </c>
      <c r="I49" s="15">
        <v>129</v>
      </c>
      <c r="J49" s="15">
        <v>249</v>
      </c>
      <c r="K49" s="15">
        <v>35</v>
      </c>
      <c r="L49" s="15">
        <v>262</v>
      </c>
      <c r="M49" s="15">
        <v>40</v>
      </c>
      <c r="N49" s="15">
        <v>0</v>
      </c>
      <c r="O49" s="15">
        <v>18</v>
      </c>
      <c r="P49" s="15">
        <v>130</v>
      </c>
    </row>
    <row r="50" spans="5:16" x14ac:dyDescent="0.2">
      <c r="E50" s="80"/>
      <c r="F50" s="16" t="s">
        <v>1207</v>
      </c>
      <c r="G50" s="23">
        <v>12180</v>
      </c>
      <c r="H50" s="15">
        <v>676</v>
      </c>
      <c r="I50" s="15">
        <v>210</v>
      </c>
      <c r="J50" s="15">
        <v>437</v>
      </c>
      <c r="K50" s="15">
        <v>29</v>
      </c>
      <c r="L50" s="15">
        <v>417</v>
      </c>
      <c r="M50" s="15">
        <v>244</v>
      </c>
      <c r="N50" s="15">
        <v>0</v>
      </c>
      <c r="O50" s="15">
        <v>15</v>
      </c>
      <c r="P50" s="15">
        <v>223</v>
      </c>
    </row>
    <row r="51" spans="5:16" x14ac:dyDescent="0.2">
      <c r="E51" s="80"/>
      <c r="F51" s="47" t="s">
        <v>1162</v>
      </c>
      <c r="G51" s="15">
        <v>754</v>
      </c>
      <c r="H51" s="15">
        <v>103</v>
      </c>
      <c r="I51" s="15">
        <v>46</v>
      </c>
      <c r="J51" s="15">
        <v>57</v>
      </c>
      <c r="K51" s="15">
        <v>0</v>
      </c>
      <c r="L51" s="15">
        <v>0</v>
      </c>
      <c r="M51" s="15">
        <v>103</v>
      </c>
      <c r="N51" s="15">
        <v>0</v>
      </c>
      <c r="O51" s="15">
        <v>0</v>
      </c>
      <c r="P51" s="15">
        <v>0</v>
      </c>
    </row>
    <row r="52" spans="5:16" x14ac:dyDescent="0.2">
      <c r="E52" s="80"/>
      <c r="F52" s="47" t="s">
        <v>1208</v>
      </c>
      <c r="G52" s="23">
        <v>11426</v>
      </c>
      <c r="H52" s="15">
        <v>573</v>
      </c>
      <c r="I52" s="15">
        <v>164</v>
      </c>
      <c r="J52" s="15">
        <v>380</v>
      </c>
      <c r="K52" s="15">
        <v>29</v>
      </c>
      <c r="L52" s="15">
        <v>417</v>
      </c>
      <c r="M52" s="15">
        <v>141</v>
      </c>
      <c r="N52" s="15">
        <v>0</v>
      </c>
      <c r="O52" s="15">
        <v>15</v>
      </c>
      <c r="P52" s="15">
        <v>223</v>
      </c>
    </row>
    <row r="53" spans="5:16" x14ac:dyDescent="0.2">
      <c r="E53" s="80"/>
    </row>
    <row r="54" spans="5:16" x14ac:dyDescent="0.2">
      <c r="E54" s="80"/>
    </row>
    <row r="55" spans="5:16" x14ac:dyDescent="0.2">
      <c r="E55" s="80"/>
    </row>
    <row r="56" spans="5:16" x14ac:dyDescent="0.2">
      <c r="E56" s="80"/>
    </row>
    <row r="57" spans="5:16" x14ac:dyDescent="0.2">
      <c r="E57" s="80"/>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76</v>
      </c>
    </row>
    <row r="4" spans="1:17" x14ac:dyDescent="0.2">
      <c r="A4" s="16" t="s">
        <v>7</v>
      </c>
      <c r="B4" t="s">
        <v>1387</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2019</v>
      </c>
      <c r="H5">
        <v>2020</v>
      </c>
      <c r="I5">
        <v>2021</v>
      </c>
      <c r="J5">
        <v>2022</v>
      </c>
    </row>
    <row r="6" spans="1:17" ht="15" customHeight="1" x14ac:dyDescent="0.2">
      <c r="A6" t="s">
        <v>1088</v>
      </c>
      <c r="B6" t="b">
        <v>0</v>
      </c>
      <c r="E6" s="80"/>
      <c r="F6" t="s">
        <v>1297</v>
      </c>
      <c r="G6" s="15">
        <v>12.3</v>
      </c>
      <c r="H6" s="15">
        <v>10.6</v>
      </c>
      <c r="I6" s="15">
        <v>12.2</v>
      </c>
      <c r="J6" s="15">
        <v>14.4</v>
      </c>
      <c r="K6" s="15"/>
      <c r="L6" s="15"/>
      <c r="M6" s="15"/>
      <c r="N6" s="15"/>
      <c r="O6" s="15"/>
    </row>
    <row r="7" spans="1:17" ht="15.75" customHeight="1" x14ac:dyDescent="0.2">
      <c r="E7" s="80"/>
      <c r="F7" t="s">
        <v>1299</v>
      </c>
      <c r="G7" s="15">
        <v>13.1</v>
      </c>
      <c r="H7" s="15">
        <v>12.7</v>
      </c>
      <c r="I7" s="15">
        <v>14</v>
      </c>
      <c r="J7" s="15">
        <v>14.2</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1388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1389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79</v>
      </c>
    </row>
    <row r="4" spans="1:17" x14ac:dyDescent="0.2">
      <c r="A4" s="16" t="s">
        <v>7</v>
      </c>
      <c r="B4" t="s">
        <v>1390</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13</v>
      </c>
      <c r="H6" s="15">
        <v>12.8</v>
      </c>
      <c r="I6" s="15">
        <v>14.6</v>
      </c>
      <c r="J6" s="15">
        <v>20.3</v>
      </c>
      <c r="K6" s="15">
        <v>10.199999999999999</v>
      </c>
      <c r="L6" s="15">
        <v>23.1</v>
      </c>
      <c r="M6" s="15">
        <v>14.9</v>
      </c>
      <c r="N6" s="15">
        <v>10.5</v>
      </c>
      <c r="O6" s="15">
        <v>12.4</v>
      </c>
      <c r="P6">
        <v>13.1</v>
      </c>
    </row>
    <row r="7" spans="1:17" ht="15.75" customHeight="1" x14ac:dyDescent="0.2">
      <c r="E7" s="80"/>
      <c r="F7" t="s">
        <v>1299</v>
      </c>
      <c r="G7" s="15">
        <v>13.7</v>
      </c>
      <c r="H7" s="15">
        <v>10</v>
      </c>
      <c r="I7" s="15">
        <v>20.6</v>
      </c>
      <c r="J7" s="15">
        <v>22.7</v>
      </c>
      <c r="K7" s="15">
        <v>13.9</v>
      </c>
      <c r="L7" s="15">
        <v>22.2</v>
      </c>
      <c r="M7" s="15">
        <v>21.9</v>
      </c>
      <c r="N7" s="15">
        <v>16</v>
      </c>
      <c r="O7" s="15">
        <v>20.100000000000001</v>
      </c>
      <c r="P7">
        <v>9.5</v>
      </c>
    </row>
    <row r="8" spans="1:17" x14ac:dyDescent="0.2">
      <c r="E8" s="80"/>
      <c r="F8" t="s">
        <v>1397</v>
      </c>
      <c r="G8" s="15">
        <v>12.4</v>
      </c>
      <c r="H8" s="15">
        <v>9.9</v>
      </c>
      <c r="I8" s="15">
        <v>21.3</v>
      </c>
      <c r="J8" s="15">
        <v>21.8</v>
      </c>
      <c r="K8" s="15">
        <v>9.9</v>
      </c>
      <c r="L8" s="15">
        <v>17.2</v>
      </c>
      <c r="M8" s="15">
        <v>18.2</v>
      </c>
      <c r="N8" s="15">
        <v>14.7</v>
      </c>
      <c r="O8" s="15">
        <v>16.899999999999999</v>
      </c>
      <c r="P8">
        <v>9.1999999999999993</v>
      </c>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1399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1400</v>
      </c>
      <c r="E19" s="80"/>
    </row>
    <row r="20" spans="1:8" x14ac:dyDescent="0.2">
      <c r="E20" s="80"/>
      <c r="F20" s="15"/>
      <c r="G20" s="15"/>
      <c r="H20" s="15"/>
    </row>
    <row r="21" spans="1:8" x14ac:dyDescent="0.2">
      <c r="A21" s="82" t="s">
        <v>1125</v>
      </c>
      <c r="B21" s="80"/>
      <c r="E21" s="80"/>
      <c r="F21" s="15"/>
      <c r="G21" s="15"/>
      <c r="H21" s="15"/>
    </row>
    <row r="22" spans="1:8" x14ac:dyDescent="0.2">
      <c r="A22" t="s">
        <v>1135</v>
      </c>
      <c r="B22" t="s">
        <v>1401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82</v>
      </c>
    </row>
    <row r="4" spans="1:17" x14ac:dyDescent="0.2">
      <c r="A4" s="16" t="s">
        <v>7</v>
      </c>
      <c r="B4" t="s">
        <v>1402</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9.1</v>
      </c>
      <c r="H6" s="15">
        <v>8.1</v>
      </c>
      <c r="I6" s="15">
        <v>12.3</v>
      </c>
      <c r="J6" s="15">
        <v>14.9</v>
      </c>
      <c r="K6" s="15">
        <v>10.3</v>
      </c>
      <c r="L6" s="15">
        <v>0</v>
      </c>
      <c r="M6" s="15">
        <v>10.7</v>
      </c>
      <c r="N6" s="15">
        <v>9.6</v>
      </c>
      <c r="O6" s="15">
        <v>10.199999999999999</v>
      </c>
      <c r="P6">
        <v>8</v>
      </c>
    </row>
    <row r="7" spans="1:17" ht="15.75" customHeight="1" x14ac:dyDescent="0.2">
      <c r="E7" s="80"/>
      <c r="F7" t="s">
        <v>1299</v>
      </c>
      <c r="G7" s="15">
        <v>9.8000000000000007</v>
      </c>
      <c r="H7" s="15">
        <v>6.2</v>
      </c>
      <c r="I7" s="15">
        <v>16.399999999999999</v>
      </c>
      <c r="J7" s="15">
        <v>19.2</v>
      </c>
      <c r="K7" s="15">
        <v>11.3</v>
      </c>
      <c r="L7" s="15">
        <v>11.4</v>
      </c>
      <c r="M7" s="15">
        <v>18.8</v>
      </c>
      <c r="N7" s="15">
        <v>12.8</v>
      </c>
      <c r="O7" s="15">
        <v>16.899999999999999</v>
      </c>
      <c r="P7">
        <v>5.7</v>
      </c>
    </row>
    <row r="8" spans="1:17" x14ac:dyDescent="0.2">
      <c r="E8" s="80"/>
      <c r="F8" t="s">
        <v>1397</v>
      </c>
      <c r="G8" s="15">
        <v>8.6999999999999993</v>
      </c>
      <c r="H8" s="15">
        <v>6.3</v>
      </c>
      <c r="I8" s="15">
        <v>17.399999999999999</v>
      </c>
      <c r="J8" s="15">
        <v>18.100000000000001</v>
      </c>
      <c r="K8" s="15">
        <v>7.1</v>
      </c>
      <c r="L8" s="15">
        <v>12.9</v>
      </c>
      <c r="M8" s="15">
        <v>15.9</v>
      </c>
      <c r="N8" s="15">
        <v>12.1</v>
      </c>
      <c r="O8" s="15">
        <v>14.4</v>
      </c>
      <c r="P8">
        <v>5.7</v>
      </c>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1403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1404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85</v>
      </c>
    </row>
    <row r="4" spans="1:17" x14ac:dyDescent="0.2">
      <c r="A4" s="16" t="s">
        <v>7</v>
      </c>
      <c r="B4" t="s">
        <v>1405</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2019</v>
      </c>
      <c r="H5">
        <v>2020</v>
      </c>
      <c r="I5">
        <v>2021</v>
      </c>
      <c r="J5">
        <v>2022</v>
      </c>
    </row>
    <row r="6" spans="1:17" ht="15" customHeight="1" x14ac:dyDescent="0.2">
      <c r="A6" t="s">
        <v>1088</v>
      </c>
      <c r="B6" t="b">
        <v>0</v>
      </c>
      <c r="E6" s="80"/>
      <c r="F6" t="s">
        <v>1297</v>
      </c>
      <c r="G6" s="15">
        <v>18</v>
      </c>
      <c r="H6" s="15">
        <v>15.7</v>
      </c>
      <c r="I6" s="15">
        <v>18</v>
      </c>
      <c r="J6" s="15">
        <v>21</v>
      </c>
      <c r="K6" s="15"/>
      <c r="L6" s="15"/>
      <c r="M6" s="15"/>
      <c r="N6" s="15"/>
      <c r="O6" s="15"/>
    </row>
    <row r="7" spans="1:17" ht="15.75" customHeight="1" x14ac:dyDescent="0.2">
      <c r="E7" s="80"/>
      <c r="F7" t="s">
        <v>1299</v>
      </c>
      <c r="G7" s="15">
        <v>18.2</v>
      </c>
      <c r="H7" s="15">
        <v>16.7</v>
      </c>
      <c r="I7" s="15">
        <v>18.8</v>
      </c>
      <c r="J7" s="15">
        <v>18.600000000000001</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1406</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1407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1077</v>
      </c>
      <c r="B1" s="79" t="s">
        <v>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tbl-employment</v>
      </c>
    </row>
    <row r="4" spans="1:17" x14ac:dyDescent="0.2">
      <c r="A4" s="16" t="s">
        <v>7</v>
      </c>
      <c r="B4" t="str">
        <f>IF($B$1="","",_xlfn.XLOOKUP($B$1,Master!$F$2:$F$321,Master!$H$2:$H$321,""))</f>
        <v>fig-employment</v>
      </c>
      <c r="E4" s="8"/>
      <c r="F4" s="10" t="s">
        <v>968</v>
      </c>
      <c r="G4" s="10" t="s">
        <v>973</v>
      </c>
      <c r="H4" s="10" t="s">
        <v>973</v>
      </c>
      <c r="I4" s="10" t="s">
        <v>973</v>
      </c>
      <c r="J4" s="10" t="s">
        <v>973</v>
      </c>
      <c r="K4" s="10" t="s">
        <v>973</v>
      </c>
      <c r="L4" s="10" t="s">
        <v>973</v>
      </c>
      <c r="M4" s="10"/>
      <c r="N4" s="10"/>
      <c r="O4" s="10"/>
      <c r="P4" s="10"/>
      <c r="Q4" s="10"/>
    </row>
    <row r="5" spans="1:17" x14ac:dyDescent="0.2">
      <c r="A5" s="84" t="s">
        <v>1081</v>
      </c>
      <c r="B5" s="80"/>
      <c r="E5" s="83" t="s">
        <v>1082</v>
      </c>
      <c r="F5" s="82" t="s">
        <v>1083</v>
      </c>
      <c r="G5" s="82" t="s">
        <v>1408</v>
      </c>
      <c r="H5" s="82" t="s">
        <v>1409</v>
      </c>
      <c r="I5" s="82" t="s">
        <v>1410</v>
      </c>
      <c r="J5" s="80"/>
      <c r="K5" s="82" t="s">
        <v>1411</v>
      </c>
      <c r="L5" s="82" t="s">
        <v>1412</v>
      </c>
    </row>
    <row r="6" spans="1:17" ht="15" customHeight="1" x14ac:dyDescent="0.2">
      <c r="A6" t="s">
        <v>1088</v>
      </c>
      <c r="B6" t="b">
        <v>1</v>
      </c>
      <c r="E6" s="80"/>
      <c r="F6" s="80"/>
      <c r="G6" s="80"/>
      <c r="H6" s="80"/>
      <c r="I6" t="s">
        <v>1413</v>
      </c>
      <c r="J6" t="s">
        <v>1414</v>
      </c>
      <c r="K6" s="80"/>
      <c r="L6" s="80"/>
      <c r="M6" s="15"/>
      <c r="N6" s="15"/>
      <c r="O6" s="15"/>
    </row>
    <row r="7" spans="1:17" ht="15.75" customHeight="1" x14ac:dyDescent="0.2">
      <c r="E7" s="80"/>
      <c r="F7" s="16" t="s">
        <v>1096</v>
      </c>
      <c r="G7" s="23">
        <v>312794</v>
      </c>
      <c r="H7" s="23">
        <v>198515</v>
      </c>
      <c r="I7" s="23">
        <v>184167</v>
      </c>
      <c r="J7" s="23">
        <v>10556</v>
      </c>
      <c r="K7" s="23">
        <v>3792</v>
      </c>
      <c r="L7" s="23">
        <v>114279</v>
      </c>
      <c r="M7" s="15"/>
      <c r="N7" s="15"/>
      <c r="O7" s="15"/>
    </row>
    <row r="8" spans="1:17" x14ac:dyDescent="0.2">
      <c r="E8" s="80"/>
      <c r="F8" s="16" t="s">
        <v>1097</v>
      </c>
      <c r="G8" s="23">
        <v>13963</v>
      </c>
      <c r="H8" s="23">
        <v>8841</v>
      </c>
      <c r="I8" s="23">
        <v>8167</v>
      </c>
      <c r="J8" s="15">
        <v>645</v>
      </c>
      <c r="K8" s="15">
        <v>29</v>
      </c>
      <c r="L8" s="23">
        <v>5122</v>
      </c>
      <c r="M8" s="15"/>
      <c r="N8" s="15"/>
      <c r="O8" s="15"/>
    </row>
    <row r="9" spans="1:17" x14ac:dyDescent="0.2">
      <c r="A9" s="84" t="s">
        <v>1098</v>
      </c>
      <c r="B9" s="80"/>
      <c r="E9" s="80"/>
      <c r="F9" s="47" t="s">
        <v>1099</v>
      </c>
      <c r="G9" s="23">
        <v>2303</v>
      </c>
      <c r="H9" s="23">
        <v>1442</v>
      </c>
      <c r="I9" s="23">
        <v>1268</v>
      </c>
      <c r="J9" s="15">
        <v>174</v>
      </c>
      <c r="K9" s="15">
        <v>0</v>
      </c>
      <c r="L9" s="15">
        <v>861</v>
      </c>
      <c r="M9" s="15"/>
      <c r="N9" s="15"/>
      <c r="O9" s="15"/>
    </row>
    <row r="10" spans="1:17" x14ac:dyDescent="0.2">
      <c r="A10" t="s">
        <v>1100</v>
      </c>
      <c r="E10" s="80"/>
      <c r="F10" s="47" t="s">
        <v>1101</v>
      </c>
      <c r="G10" s="23">
        <v>4687</v>
      </c>
      <c r="H10" s="23">
        <v>3056</v>
      </c>
      <c r="I10" s="23">
        <v>2827</v>
      </c>
      <c r="J10" s="15">
        <v>200</v>
      </c>
      <c r="K10" s="15">
        <v>29</v>
      </c>
      <c r="L10" s="23">
        <v>1631</v>
      </c>
    </row>
    <row r="11" spans="1:17" x14ac:dyDescent="0.2">
      <c r="A11" t="s">
        <v>1102</v>
      </c>
      <c r="E11" s="80"/>
      <c r="F11" s="16" t="s">
        <v>1103</v>
      </c>
      <c r="G11" s="23">
        <v>10311</v>
      </c>
      <c r="H11" s="23">
        <v>7161</v>
      </c>
      <c r="I11" s="23">
        <v>6888</v>
      </c>
      <c r="J11" s="17">
        <v>222</v>
      </c>
      <c r="K11" s="17">
        <v>51</v>
      </c>
      <c r="L11" s="28">
        <v>3150</v>
      </c>
      <c r="M11" s="17"/>
      <c r="N11" s="17"/>
    </row>
    <row r="12" spans="1:17" x14ac:dyDescent="0.2">
      <c r="A12" t="s">
        <v>1104</v>
      </c>
      <c r="E12" s="80"/>
      <c r="F12" s="48" t="s">
        <v>1105</v>
      </c>
      <c r="G12" s="28">
        <v>3497</v>
      </c>
      <c r="H12" s="28">
        <v>2552</v>
      </c>
      <c r="I12" s="23">
        <v>2488</v>
      </c>
      <c r="J12" s="15">
        <v>44</v>
      </c>
      <c r="K12" s="15">
        <v>20</v>
      </c>
      <c r="L12" s="15">
        <v>945</v>
      </c>
    </row>
    <row r="13" spans="1:17" x14ac:dyDescent="0.2">
      <c r="A13" t="s">
        <v>1108</v>
      </c>
      <c r="E13" s="80"/>
      <c r="F13" s="16" t="s">
        <v>1109</v>
      </c>
      <c r="G13" s="23">
        <v>10454</v>
      </c>
      <c r="H13" s="23">
        <v>6811</v>
      </c>
      <c r="I13" s="23">
        <v>6425</v>
      </c>
      <c r="J13" s="15">
        <v>262</v>
      </c>
      <c r="K13" s="15">
        <v>124</v>
      </c>
      <c r="L13" s="23">
        <v>3643</v>
      </c>
    </row>
    <row r="14" spans="1:17" x14ac:dyDescent="0.2">
      <c r="A14" t="s">
        <v>1112</v>
      </c>
      <c r="E14" s="80"/>
      <c r="F14" s="47" t="s">
        <v>1113</v>
      </c>
      <c r="G14" s="23">
        <v>2569</v>
      </c>
      <c r="H14" s="23">
        <v>1757</v>
      </c>
      <c r="I14" s="23">
        <v>1656</v>
      </c>
      <c r="J14" s="15">
        <v>7</v>
      </c>
      <c r="K14" s="15">
        <v>94</v>
      </c>
      <c r="L14" s="15">
        <v>812</v>
      </c>
    </row>
    <row r="15" spans="1:17" x14ac:dyDescent="0.2">
      <c r="A15" t="s">
        <v>1114</v>
      </c>
      <c r="E15" s="80"/>
      <c r="F15" s="25" t="s">
        <v>1115</v>
      </c>
      <c r="G15" s="23">
        <v>7403</v>
      </c>
      <c r="H15" s="23">
        <v>5259</v>
      </c>
      <c r="I15" s="23">
        <v>5000</v>
      </c>
      <c r="J15" s="15">
        <v>259</v>
      </c>
      <c r="K15" s="15">
        <v>0</v>
      </c>
      <c r="L15" s="23">
        <v>2144</v>
      </c>
    </row>
    <row r="16" spans="1:17" x14ac:dyDescent="0.2">
      <c r="A16" t="s">
        <v>1116</v>
      </c>
      <c r="E16" s="80"/>
      <c r="F16" s="25" t="s">
        <v>1117</v>
      </c>
      <c r="G16" s="23">
        <v>6229</v>
      </c>
      <c r="H16" s="23">
        <v>3512</v>
      </c>
      <c r="I16" s="23">
        <v>3207</v>
      </c>
      <c r="J16" s="15">
        <v>305</v>
      </c>
      <c r="K16" s="15">
        <v>0</v>
      </c>
      <c r="L16" s="23">
        <v>2717</v>
      </c>
    </row>
    <row r="17" spans="1:12" x14ac:dyDescent="0.2">
      <c r="E17" s="80"/>
      <c r="F17" s="25" t="s">
        <v>1118</v>
      </c>
      <c r="G17" s="23">
        <v>11905</v>
      </c>
      <c r="H17" s="23">
        <v>6893</v>
      </c>
      <c r="I17" s="23">
        <v>6373</v>
      </c>
      <c r="J17" s="15">
        <v>505</v>
      </c>
      <c r="K17" s="15">
        <v>15</v>
      </c>
      <c r="L17" s="23">
        <v>5012</v>
      </c>
    </row>
    <row r="18" spans="1:12" x14ac:dyDescent="0.2">
      <c r="A18" s="84" t="s">
        <v>1119</v>
      </c>
      <c r="B18" s="80"/>
      <c r="E18" s="80"/>
      <c r="F18" s="47" t="s">
        <v>1120</v>
      </c>
      <c r="G18" s="23">
        <v>4743</v>
      </c>
      <c r="H18" s="23">
        <v>2842</v>
      </c>
      <c r="I18" s="23">
        <v>2703</v>
      </c>
      <c r="J18" s="15">
        <v>139</v>
      </c>
      <c r="K18" s="15">
        <v>0</v>
      </c>
      <c r="L18" s="23">
        <v>1901</v>
      </c>
    </row>
    <row r="19" spans="1:12" x14ac:dyDescent="0.2">
      <c r="A19" t="s">
        <v>1121</v>
      </c>
      <c r="B19" t="s">
        <v>1415</v>
      </c>
      <c r="E19" s="80"/>
      <c r="F19" s="16" t="s">
        <v>1123</v>
      </c>
      <c r="G19" s="23">
        <v>3682</v>
      </c>
      <c r="H19" s="23">
        <v>2623</v>
      </c>
      <c r="I19" s="23">
        <v>2563</v>
      </c>
      <c r="J19" s="15">
        <v>60</v>
      </c>
      <c r="K19" s="15">
        <v>0</v>
      </c>
      <c r="L19" s="23">
        <v>1059</v>
      </c>
    </row>
    <row r="20" spans="1:12" x14ac:dyDescent="0.2">
      <c r="E20" s="80"/>
      <c r="F20" s="16" t="s">
        <v>1124</v>
      </c>
      <c r="G20" s="23">
        <v>4418</v>
      </c>
      <c r="H20" s="23">
        <v>2583</v>
      </c>
      <c r="I20" s="23">
        <v>2495</v>
      </c>
      <c r="J20" s="15">
        <v>88</v>
      </c>
      <c r="K20" s="15">
        <v>0</v>
      </c>
      <c r="L20" s="23">
        <v>1835</v>
      </c>
    </row>
    <row r="21" spans="1:12" x14ac:dyDescent="0.2">
      <c r="A21" s="82" t="s">
        <v>1125</v>
      </c>
      <c r="B21" s="80"/>
      <c r="E21" s="80"/>
      <c r="F21" s="16" t="s">
        <v>1126</v>
      </c>
      <c r="G21" s="23">
        <v>10077</v>
      </c>
      <c r="H21" s="23">
        <v>7452</v>
      </c>
      <c r="I21" s="23">
        <v>4373</v>
      </c>
      <c r="J21" s="15">
        <v>198</v>
      </c>
      <c r="K21" s="23">
        <v>2881</v>
      </c>
      <c r="L21" s="23">
        <v>2625</v>
      </c>
    </row>
    <row r="22" spans="1:12" x14ac:dyDescent="0.2">
      <c r="A22" t="s">
        <v>1135</v>
      </c>
      <c r="B22" t="s">
        <v>1416</v>
      </c>
      <c r="E22" s="80"/>
      <c r="F22" s="47" t="s">
        <v>1137</v>
      </c>
      <c r="G22" s="23">
        <v>3007</v>
      </c>
      <c r="H22" s="23">
        <v>2121</v>
      </c>
      <c r="I22" s="23">
        <v>1770</v>
      </c>
      <c r="J22" s="15">
        <v>137</v>
      </c>
      <c r="K22" s="15">
        <v>214</v>
      </c>
      <c r="L22" s="15">
        <v>886</v>
      </c>
    </row>
    <row r="23" spans="1:12" x14ac:dyDescent="0.2">
      <c r="E23" s="80"/>
      <c r="F23" s="16" t="s">
        <v>1146</v>
      </c>
      <c r="G23" s="23">
        <v>23291</v>
      </c>
      <c r="H23" s="23">
        <v>14570</v>
      </c>
      <c r="I23" s="23">
        <v>13664</v>
      </c>
      <c r="J23" s="15">
        <v>890</v>
      </c>
      <c r="K23" s="15">
        <v>16</v>
      </c>
      <c r="L23" s="23">
        <v>8721</v>
      </c>
    </row>
    <row r="24" spans="1:12" x14ac:dyDescent="0.2">
      <c r="E24" s="80"/>
      <c r="F24" s="16" t="s">
        <v>1150</v>
      </c>
      <c r="G24" s="23">
        <v>3499</v>
      </c>
      <c r="H24" s="23">
        <v>2509</v>
      </c>
      <c r="I24" s="23">
        <v>2456</v>
      </c>
      <c r="J24" s="15">
        <v>53</v>
      </c>
      <c r="K24" s="15">
        <v>0</v>
      </c>
      <c r="L24" s="15">
        <v>990</v>
      </c>
    </row>
    <row r="25" spans="1:12" x14ac:dyDescent="0.2">
      <c r="E25" s="80"/>
      <c r="F25" s="47" t="s">
        <v>1154</v>
      </c>
      <c r="G25" s="15">
        <v>493</v>
      </c>
      <c r="H25" s="15">
        <v>368</v>
      </c>
      <c r="I25" s="15">
        <v>368</v>
      </c>
      <c r="J25" s="15">
        <v>0</v>
      </c>
      <c r="K25" s="15">
        <v>0</v>
      </c>
      <c r="L25" s="15">
        <v>125</v>
      </c>
    </row>
    <row r="26" spans="1:12" x14ac:dyDescent="0.2">
      <c r="E26" s="80"/>
      <c r="F26" s="16" t="s">
        <v>1158</v>
      </c>
      <c r="G26" s="23">
        <v>16348</v>
      </c>
      <c r="H26" s="23">
        <v>11088</v>
      </c>
      <c r="I26" s="23">
        <v>10354</v>
      </c>
      <c r="J26" s="15">
        <v>734</v>
      </c>
      <c r="K26" s="15">
        <v>0</v>
      </c>
      <c r="L26" s="23">
        <v>5260</v>
      </c>
    </row>
    <row r="27" spans="1:12" x14ac:dyDescent="0.2">
      <c r="A27" s="82"/>
      <c r="B27" s="80"/>
      <c r="E27" s="80"/>
      <c r="F27" s="47" t="s">
        <v>1162</v>
      </c>
      <c r="G27" s="23">
        <v>1553</v>
      </c>
      <c r="H27" s="23">
        <v>1085</v>
      </c>
      <c r="I27" s="23">
        <v>1052</v>
      </c>
      <c r="J27" s="15">
        <v>33</v>
      </c>
      <c r="K27" s="15">
        <v>0</v>
      </c>
      <c r="L27" s="15">
        <v>468</v>
      </c>
    </row>
    <row r="28" spans="1:12" x14ac:dyDescent="0.2">
      <c r="E28" s="80"/>
      <c r="F28" s="47" t="s">
        <v>1164</v>
      </c>
      <c r="G28" s="23">
        <v>7194</v>
      </c>
      <c r="H28" s="23">
        <v>5047</v>
      </c>
      <c r="I28" s="23">
        <v>4852</v>
      </c>
      <c r="J28" s="15">
        <v>195</v>
      </c>
      <c r="K28" s="15">
        <v>0</v>
      </c>
      <c r="L28" s="23">
        <v>2147</v>
      </c>
    </row>
    <row r="29" spans="1:12" x14ac:dyDescent="0.2">
      <c r="E29" s="80"/>
      <c r="F29" s="16" t="s">
        <v>1166</v>
      </c>
      <c r="G29" s="23">
        <v>18507</v>
      </c>
      <c r="H29" s="23">
        <v>11935</v>
      </c>
      <c r="I29" s="23">
        <v>11292</v>
      </c>
      <c r="J29" s="15">
        <v>495</v>
      </c>
      <c r="K29" s="15">
        <v>148</v>
      </c>
      <c r="L29" s="23">
        <v>6572</v>
      </c>
    </row>
    <row r="30" spans="1:12" x14ac:dyDescent="0.2">
      <c r="E30" s="80"/>
      <c r="F30" s="47" t="s">
        <v>1168</v>
      </c>
      <c r="G30" s="23">
        <v>2698</v>
      </c>
      <c r="H30" s="23">
        <v>1836</v>
      </c>
      <c r="I30" s="23">
        <v>1807</v>
      </c>
      <c r="J30" s="15">
        <v>29</v>
      </c>
      <c r="K30" s="15">
        <v>0</v>
      </c>
      <c r="L30" s="15">
        <v>862</v>
      </c>
    </row>
    <row r="31" spans="1:12" x14ac:dyDescent="0.2">
      <c r="E31" s="80"/>
      <c r="F31" s="47" t="s">
        <v>1170</v>
      </c>
      <c r="G31" s="23">
        <v>3071</v>
      </c>
      <c r="H31" s="23">
        <v>1910</v>
      </c>
      <c r="I31" s="23">
        <v>1871</v>
      </c>
      <c r="J31" s="15">
        <v>19</v>
      </c>
      <c r="K31" s="15">
        <v>20</v>
      </c>
      <c r="L31" s="23">
        <v>1161</v>
      </c>
    </row>
    <row r="32" spans="1:12" x14ac:dyDescent="0.2">
      <c r="E32" s="80"/>
      <c r="F32" s="47" t="s">
        <v>1172</v>
      </c>
      <c r="G32" s="23">
        <v>5411</v>
      </c>
      <c r="H32" s="23">
        <v>3402</v>
      </c>
      <c r="I32" s="23">
        <v>3220</v>
      </c>
      <c r="J32" s="15">
        <v>182</v>
      </c>
      <c r="K32" s="15">
        <v>0</v>
      </c>
      <c r="L32" s="23">
        <v>2009</v>
      </c>
    </row>
    <row r="33" spans="5:12" x14ac:dyDescent="0.2">
      <c r="E33" s="80"/>
      <c r="F33" s="16" t="s">
        <v>1174</v>
      </c>
      <c r="G33" s="23">
        <v>5594</v>
      </c>
      <c r="H33" s="23">
        <v>2717</v>
      </c>
      <c r="I33" s="23">
        <v>2690</v>
      </c>
      <c r="J33" s="15">
        <v>27</v>
      </c>
      <c r="K33" s="15">
        <v>0</v>
      </c>
      <c r="L33" s="23">
        <v>2877</v>
      </c>
    </row>
    <row r="34" spans="5:12" x14ac:dyDescent="0.2">
      <c r="E34" s="80"/>
      <c r="F34" t="s">
        <v>1178</v>
      </c>
      <c r="G34" s="15">
        <v>923</v>
      </c>
      <c r="H34" s="15">
        <v>511</v>
      </c>
      <c r="I34" s="17">
        <v>500</v>
      </c>
      <c r="J34" s="15">
        <v>11</v>
      </c>
      <c r="K34" s="15">
        <v>0</v>
      </c>
      <c r="L34" s="15">
        <v>412</v>
      </c>
    </row>
    <row r="35" spans="5:12" x14ac:dyDescent="0.2">
      <c r="E35" s="80"/>
      <c r="F35" s="16" t="s">
        <v>1180</v>
      </c>
      <c r="G35" s="23">
        <v>22299</v>
      </c>
      <c r="H35" s="23">
        <v>13631</v>
      </c>
      <c r="I35" s="28">
        <v>12879</v>
      </c>
      <c r="J35" s="15">
        <v>752</v>
      </c>
      <c r="K35" s="15">
        <v>0</v>
      </c>
      <c r="L35" s="23">
        <v>8668</v>
      </c>
    </row>
    <row r="36" spans="5:12" x14ac:dyDescent="0.2">
      <c r="E36" s="80"/>
      <c r="F36" s="16" t="s">
        <v>1182</v>
      </c>
      <c r="G36" s="23">
        <v>26233</v>
      </c>
      <c r="H36" s="23">
        <v>16736</v>
      </c>
      <c r="I36" s="28">
        <v>15856</v>
      </c>
      <c r="J36" s="15">
        <v>718</v>
      </c>
      <c r="K36" s="15">
        <v>162</v>
      </c>
      <c r="L36" s="23">
        <v>9497</v>
      </c>
    </row>
    <row r="37" spans="5:12" x14ac:dyDescent="0.2">
      <c r="E37" s="80"/>
      <c r="F37" s="16" t="s">
        <v>1184</v>
      </c>
      <c r="G37" s="23">
        <v>23333</v>
      </c>
      <c r="H37" s="23">
        <v>15158</v>
      </c>
      <c r="I37" s="28">
        <v>13668</v>
      </c>
      <c r="J37" s="23">
        <v>1221</v>
      </c>
      <c r="K37" s="15">
        <v>269</v>
      </c>
      <c r="L37" s="23">
        <v>8175</v>
      </c>
    </row>
    <row r="38" spans="5:12" x14ac:dyDescent="0.2">
      <c r="E38" s="80"/>
      <c r="F38" s="16" t="s">
        <v>1186</v>
      </c>
      <c r="G38" s="23">
        <v>17392</v>
      </c>
      <c r="H38" s="23">
        <v>8728</v>
      </c>
      <c r="I38" s="23">
        <v>8525</v>
      </c>
      <c r="J38" s="15">
        <v>203</v>
      </c>
      <c r="K38" s="15">
        <v>0</v>
      </c>
      <c r="L38" s="23">
        <v>8664</v>
      </c>
    </row>
    <row r="39" spans="5:12" x14ac:dyDescent="0.2">
      <c r="E39" s="80"/>
      <c r="F39" s="47" t="s">
        <v>1188</v>
      </c>
      <c r="G39" s="23">
        <v>17392</v>
      </c>
      <c r="H39" s="23">
        <v>8728</v>
      </c>
      <c r="I39" s="23">
        <v>8525</v>
      </c>
      <c r="J39" s="15">
        <v>203</v>
      </c>
      <c r="K39" s="15">
        <v>0</v>
      </c>
      <c r="L39" s="23">
        <v>8664</v>
      </c>
    </row>
    <row r="40" spans="5:12" x14ac:dyDescent="0.2">
      <c r="E40" s="80"/>
      <c r="F40" s="16" t="s">
        <v>1191</v>
      </c>
      <c r="G40" s="23">
        <v>7196</v>
      </c>
      <c r="H40" s="23">
        <v>3968</v>
      </c>
      <c r="I40" s="23">
        <v>3697</v>
      </c>
      <c r="J40" s="15">
        <v>271</v>
      </c>
      <c r="K40" s="15">
        <v>0</v>
      </c>
      <c r="L40" s="23">
        <v>3228</v>
      </c>
    </row>
    <row r="41" spans="5:12" x14ac:dyDescent="0.2">
      <c r="E41" s="80"/>
      <c r="F41" s="16" t="s">
        <v>1195</v>
      </c>
      <c r="G41" s="23">
        <v>3132</v>
      </c>
      <c r="H41" s="23">
        <v>1932</v>
      </c>
      <c r="I41" s="23">
        <v>1883</v>
      </c>
      <c r="J41" s="15">
        <v>29</v>
      </c>
      <c r="K41" s="15">
        <v>20</v>
      </c>
      <c r="L41" s="23">
        <v>1200</v>
      </c>
    </row>
    <row r="42" spans="5:12" x14ac:dyDescent="0.2">
      <c r="E42" s="80"/>
      <c r="F42" s="47" t="s">
        <v>1199</v>
      </c>
      <c r="G42" s="23">
        <v>2529</v>
      </c>
      <c r="H42" s="23">
        <v>1539</v>
      </c>
      <c r="I42" s="23">
        <v>1494</v>
      </c>
      <c r="J42" s="15">
        <v>25</v>
      </c>
      <c r="K42" s="15">
        <v>20</v>
      </c>
      <c r="L42" s="15">
        <v>990</v>
      </c>
    </row>
    <row r="43" spans="5:12" x14ac:dyDescent="0.2">
      <c r="E43" s="80"/>
      <c r="F43" s="47" t="s">
        <v>1200</v>
      </c>
      <c r="G43" s="15">
        <v>603</v>
      </c>
      <c r="H43" s="15">
        <v>393</v>
      </c>
      <c r="I43" s="15">
        <v>389</v>
      </c>
      <c r="J43" s="15">
        <v>4</v>
      </c>
      <c r="K43" s="15">
        <v>0</v>
      </c>
      <c r="L43" s="15">
        <v>210</v>
      </c>
    </row>
    <row r="44" spans="5:12" x14ac:dyDescent="0.2">
      <c r="E44" s="80"/>
      <c r="F44" s="16" t="s">
        <v>1201</v>
      </c>
      <c r="G44" s="23">
        <v>25386</v>
      </c>
      <c r="H44" s="23">
        <v>17029</v>
      </c>
      <c r="I44" s="23">
        <v>15847</v>
      </c>
      <c r="J44" s="23">
        <v>1153</v>
      </c>
      <c r="K44" s="15">
        <v>29</v>
      </c>
      <c r="L44" s="23">
        <v>8357</v>
      </c>
    </row>
    <row r="45" spans="5:12" x14ac:dyDescent="0.2">
      <c r="E45" s="80"/>
      <c r="F45" s="16" t="s">
        <v>1202</v>
      </c>
      <c r="G45" s="23">
        <v>26730</v>
      </c>
      <c r="H45" s="23">
        <v>16925</v>
      </c>
      <c r="I45" s="23">
        <v>16321</v>
      </c>
      <c r="J45" s="15">
        <v>578</v>
      </c>
      <c r="K45" s="15">
        <v>26</v>
      </c>
      <c r="L45" s="23">
        <v>9805</v>
      </c>
    </row>
    <row r="46" spans="5:12" x14ac:dyDescent="0.2">
      <c r="E46" s="80"/>
      <c r="F46" s="47" t="s">
        <v>1203</v>
      </c>
      <c r="G46" s="23">
        <v>2419</v>
      </c>
      <c r="H46" s="23">
        <v>1609</v>
      </c>
      <c r="I46" s="23">
        <v>1510</v>
      </c>
      <c r="J46" s="15">
        <v>73</v>
      </c>
      <c r="K46" s="15">
        <v>26</v>
      </c>
      <c r="L46" s="15">
        <v>810</v>
      </c>
    </row>
    <row r="47" spans="5:12" x14ac:dyDescent="0.2">
      <c r="E47" s="80"/>
      <c r="F47" s="47" t="s">
        <v>1204</v>
      </c>
      <c r="G47" s="23">
        <v>2582</v>
      </c>
      <c r="H47" s="23">
        <v>1486</v>
      </c>
      <c r="I47" s="23">
        <v>1398</v>
      </c>
      <c r="J47" s="15">
        <v>88</v>
      </c>
      <c r="K47" s="15">
        <v>0</v>
      </c>
      <c r="L47" s="23">
        <v>1096</v>
      </c>
    </row>
    <row r="48" spans="5:12" x14ac:dyDescent="0.2">
      <c r="E48" s="80"/>
      <c r="F48" s="47" t="s">
        <v>1205</v>
      </c>
      <c r="G48" s="23">
        <v>5488</v>
      </c>
      <c r="H48" s="23">
        <v>3284</v>
      </c>
      <c r="I48" s="23">
        <v>3121</v>
      </c>
      <c r="J48" s="15">
        <v>163</v>
      </c>
      <c r="K48" s="15">
        <v>0</v>
      </c>
      <c r="L48" s="23">
        <v>2204</v>
      </c>
    </row>
    <row r="49" spans="5:12" x14ac:dyDescent="0.2">
      <c r="E49" s="80"/>
      <c r="F49" s="16" t="s">
        <v>1206</v>
      </c>
      <c r="G49" s="23">
        <v>5936</v>
      </c>
      <c r="H49" s="23">
        <v>4139</v>
      </c>
      <c r="I49" s="23">
        <v>3790</v>
      </c>
      <c r="J49" s="15">
        <v>349</v>
      </c>
      <c r="K49" s="15">
        <v>0</v>
      </c>
      <c r="L49" s="23">
        <v>1797</v>
      </c>
    </row>
    <row r="50" spans="5:12" x14ac:dyDescent="0.2">
      <c r="E50" s="80"/>
      <c r="F50" s="16" t="s">
        <v>1207</v>
      </c>
      <c r="G50" s="23">
        <v>9476</v>
      </c>
      <c r="H50" s="23">
        <v>6315</v>
      </c>
      <c r="I50" s="23">
        <v>5754</v>
      </c>
      <c r="J50" s="15">
        <v>539</v>
      </c>
      <c r="K50" s="15">
        <v>22</v>
      </c>
      <c r="L50" s="23">
        <v>3161</v>
      </c>
    </row>
    <row r="51" spans="5:12" x14ac:dyDescent="0.2">
      <c r="E51" s="80"/>
      <c r="F51" s="47" t="s">
        <v>1162</v>
      </c>
      <c r="G51" s="15">
        <v>605</v>
      </c>
      <c r="H51" s="15">
        <v>489</v>
      </c>
      <c r="I51" s="15">
        <v>466</v>
      </c>
      <c r="J51" s="15">
        <v>23</v>
      </c>
      <c r="K51" s="15">
        <v>0</v>
      </c>
      <c r="L51" s="15">
        <v>116</v>
      </c>
    </row>
    <row r="52" spans="5:12" x14ac:dyDescent="0.2">
      <c r="E52" s="80"/>
      <c r="F52" s="47" t="s">
        <v>1208</v>
      </c>
      <c r="G52" s="23">
        <v>8871</v>
      </c>
      <c r="H52" s="23">
        <v>5826</v>
      </c>
      <c r="I52" s="23">
        <v>5288</v>
      </c>
      <c r="J52" s="15">
        <v>516</v>
      </c>
      <c r="K52" s="15">
        <v>22</v>
      </c>
      <c r="L52" s="23">
        <v>3045</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tbl-labor-force-unemployed</v>
      </c>
    </row>
    <row r="4" spans="1:17" x14ac:dyDescent="0.2">
      <c r="A4" s="16" t="s">
        <v>7</v>
      </c>
      <c r="B4" t="str">
        <f>IF($B$1="","",_xlfn.XLOOKUP($B$1,Master!$F$2:$F$321,Master!$H$2:$H$321,""))</f>
        <v>fig-labor-force-unemployed</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8.4</v>
      </c>
      <c r="H6" s="15">
        <v>4.7</v>
      </c>
      <c r="I6" s="15">
        <v>3.2</v>
      </c>
      <c r="J6" s="15">
        <v>3.4</v>
      </c>
      <c r="K6" s="15"/>
      <c r="L6" s="15"/>
      <c r="M6" s="15"/>
      <c r="N6" s="15"/>
      <c r="O6" s="15"/>
    </row>
    <row r="7" spans="1:17" ht="15.75" customHeight="1" x14ac:dyDescent="0.2">
      <c r="E7" s="80"/>
      <c r="F7" t="s">
        <v>1298</v>
      </c>
      <c r="G7" s="15">
        <v>8.3000000000000007</v>
      </c>
      <c r="H7" s="15">
        <v>4.8</v>
      </c>
      <c r="I7" s="15">
        <v>3.2</v>
      </c>
      <c r="J7" s="15">
        <v>3.5</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1417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1418</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I1" workbookViewId="0">
      <selection activeCell="I35" sqref="I3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1077</v>
      </c>
      <c r="B1" s="79" t="s">
        <v>93</v>
      </c>
      <c r="C1" s="80"/>
      <c r="D1" s="80"/>
      <c r="E1" s="80"/>
      <c r="F1" s="80"/>
      <c r="G1" s="80"/>
      <c r="H1" s="80"/>
      <c r="I1" s="80"/>
      <c r="J1" s="80"/>
      <c r="K1" s="80"/>
      <c r="L1" s="80"/>
      <c r="M1" s="80"/>
      <c r="N1" s="80"/>
      <c r="O1" s="80"/>
    </row>
    <row r="2" spans="1:23" x14ac:dyDescent="0.2">
      <c r="A2" s="16" t="s">
        <v>1078</v>
      </c>
      <c r="B2" t="s">
        <v>1079</v>
      </c>
    </row>
    <row r="3" spans="1:23" x14ac:dyDescent="0.2">
      <c r="A3" s="16" t="s">
        <v>1080</v>
      </c>
      <c r="B3" t="str">
        <f>IF($B$1="","",_xlfn.XLOOKUP($B$1,Master!$F$2:$F$321,Master!$G$2:$G$321,""))</f>
        <v>tbl-graudation-rate-demographic</v>
      </c>
    </row>
    <row r="4" spans="1:23" x14ac:dyDescent="0.2">
      <c r="A4" s="16" t="s">
        <v>7</v>
      </c>
      <c r="B4" t="str">
        <f>IF($B$1="","",_xlfn.XLOOKUP($B$1,Master!$F$2:$F$321,Master!$H$2:$H$321,""))</f>
        <v>fig-graudation-rate-demographic</v>
      </c>
      <c r="E4" s="8"/>
      <c r="F4" s="10" t="s">
        <v>968</v>
      </c>
      <c r="G4" s="10" t="s">
        <v>968</v>
      </c>
      <c r="H4" s="10" t="s">
        <v>973</v>
      </c>
      <c r="I4" s="10" t="s">
        <v>973</v>
      </c>
      <c r="J4" s="10" t="s">
        <v>973</v>
      </c>
      <c r="K4" s="10" t="s">
        <v>973</v>
      </c>
      <c r="L4" s="10" t="s">
        <v>973</v>
      </c>
      <c r="M4" s="10" t="s">
        <v>973</v>
      </c>
      <c r="N4" s="10" t="s">
        <v>973</v>
      </c>
      <c r="O4" s="10"/>
      <c r="P4" s="10"/>
      <c r="Q4" s="10"/>
    </row>
    <row r="5" spans="1:23" x14ac:dyDescent="0.2">
      <c r="A5" s="84" t="s">
        <v>1081</v>
      </c>
      <c r="B5" s="80"/>
      <c r="E5" s="83" t="s">
        <v>1082</v>
      </c>
      <c r="F5" s="82" t="s">
        <v>1419</v>
      </c>
      <c r="G5" s="82" t="s">
        <v>1420</v>
      </c>
      <c r="H5" s="80"/>
      <c r="I5" s="80"/>
      <c r="J5" s="80"/>
      <c r="K5" s="80"/>
      <c r="L5" s="80"/>
      <c r="M5" s="82" t="s">
        <v>1421</v>
      </c>
      <c r="N5" s="80"/>
    </row>
    <row r="6" spans="1:23" x14ac:dyDescent="0.2">
      <c r="A6" t="s">
        <v>1088</v>
      </c>
      <c r="B6" t="b">
        <v>1</v>
      </c>
      <c r="E6" s="80"/>
      <c r="F6" s="80"/>
      <c r="G6" s="15" t="s">
        <v>1422</v>
      </c>
      <c r="H6" s="15" t="s">
        <v>1423</v>
      </c>
      <c r="I6" s="15" t="s">
        <v>1424</v>
      </c>
      <c r="J6" s="15" t="s">
        <v>1425</v>
      </c>
      <c r="K6" s="15" t="s">
        <v>1426</v>
      </c>
      <c r="L6" s="15" t="s">
        <v>1427</v>
      </c>
      <c r="M6" s="15" t="s">
        <v>1428</v>
      </c>
      <c r="N6" s="15" t="s">
        <v>1429</v>
      </c>
      <c r="O6" s="20"/>
      <c r="P6" s="20"/>
      <c r="Q6" s="20"/>
      <c r="R6" s="20"/>
      <c r="S6" s="20"/>
      <c r="T6" s="20"/>
      <c r="U6" s="20"/>
      <c r="V6" s="20"/>
      <c r="W6" s="20"/>
    </row>
    <row r="7" spans="1:23" ht="15.75" customHeight="1" x14ac:dyDescent="0.2">
      <c r="E7" s="80"/>
      <c r="F7" t="s">
        <v>1430</v>
      </c>
      <c r="G7" s="15" t="s">
        <v>1431</v>
      </c>
      <c r="H7" s="15" t="s">
        <v>1432</v>
      </c>
      <c r="I7" s="15" t="s">
        <v>1433</v>
      </c>
      <c r="J7" s="15" t="s">
        <v>1434</v>
      </c>
      <c r="K7" s="15" t="s">
        <v>1435</v>
      </c>
      <c r="L7" s="15" t="s">
        <v>1436</v>
      </c>
      <c r="M7" s="15" t="s">
        <v>1437</v>
      </c>
      <c r="N7" s="15" t="s">
        <v>1438</v>
      </c>
      <c r="O7" s="15"/>
    </row>
    <row r="8" spans="1:23" x14ac:dyDescent="0.2">
      <c r="E8" s="80"/>
      <c r="F8" t="s">
        <v>1439</v>
      </c>
      <c r="G8" s="15" t="s">
        <v>1440</v>
      </c>
      <c r="H8" s="15" t="s">
        <v>1441</v>
      </c>
      <c r="I8" s="15" t="s">
        <v>1442</v>
      </c>
      <c r="J8" s="15" t="s">
        <v>1443</v>
      </c>
      <c r="K8" s="15" t="s">
        <v>1444</v>
      </c>
      <c r="L8" s="15" t="s">
        <v>1445</v>
      </c>
      <c r="M8" s="15" t="s">
        <v>1446</v>
      </c>
      <c r="N8" s="15" t="s">
        <v>1447</v>
      </c>
      <c r="O8" s="15"/>
    </row>
    <row r="9" spans="1:23" x14ac:dyDescent="0.2">
      <c r="A9" s="84" t="s">
        <v>1098</v>
      </c>
      <c r="B9" s="80"/>
      <c r="E9" s="80"/>
      <c r="F9" t="s">
        <v>1448</v>
      </c>
      <c r="G9" s="15" t="s">
        <v>1440</v>
      </c>
      <c r="H9" s="15" t="s">
        <v>1449</v>
      </c>
      <c r="I9" s="15" t="s">
        <v>1450</v>
      </c>
      <c r="J9" s="15" t="s">
        <v>1451</v>
      </c>
      <c r="K9" s="15" t="s">
        <v>1452</v>
      </c>
      <c r="L9" s="15" t="s">
        <v>1453</v>
      </c>
      <c r="M9" s="15" t="s">
        <v>1454</v>
      </c>
      <c r="N9" s="15" t="s">
        <v>1455</v>
      </c>
      <c r="O9" s="15"/>
    </row>
    <row r="10" spans="1:23" x14ac:dyDescent="0.2">
      <c r="A10" t="s">
        <v>1100</v>
      </c>
      <c r="E10" s="80"/>
      <c r="F10" t="s">
        <v>1456</v>
      </c>
      <c r="G10" s="15" t="s">
        <v>1440</v>
      </c>
      <c r="H10" s="15" t="s">
        <v>1457</v>
      </c>
      <c r="I10" s="15" t="s">
        <v>1458</v>
      </c>
      <c r="J10" s="15" t="s">
        <v>1459</v>
      </c>
      <c r="K10" s="15" t="s">
        <v>1460</v>
      </c>
      <c r="L10" s="15" t="s">
        <v>1461</v>
      </c>
      <c r="M10" s="15" t="s">
        <v>1462</v>
      </c>
      <c r="N10" s="15" t="s">
        <v>1463</v>
      </c>
    </row>
    <row r="11" spans="1:23" x14ac:dyDescent="0.2">
      <c r="A11" t="s">
        <v>1102</v>
      </c>
      <c r="E11" s="80"/>
      <c r="F11" t="s">
        <v>1464</v>
      </c>
      <c r="G11" s="15" t="s">
        <v>1465</v>
      </c>
      <c r="H11" s="15" t="s">
        <v>1466</v>
      </c>
      <c r="I11" s="15" t="s">
        <v>1467</v>
      </c>
      <c r="J11" s="17" t="s">
        <v>1468</v>
      </c>
      <c r="K11" s="17" t="s">
        <v>1469</v>
      </c>
      <c r="L11" s="17" t="s">
        <v>1470</v>
      </c>
      <c r="M11" s="17" t="s">
        <v>1210</v>
      </c>
      <c r="N11" s="17" t="s">
        <v>1210</v>
      </c>
    </row>
    <row r="12" spans="1:23" x14ac:dyDescent="0.2">
      <c r="A12" t="s">
        <v>1104</v>
      </c>
      <c r="E12" s="80"/>
      <c r="F12" s="21" t="s">
        <v>1471</v>
      </c>
      <c r="G12" s="17" t="s">
        <v>1440</v>
      </c>
      <c r="H12" s="17" t="s">
        <v>1472</v>
      </c>
      <c r="I12" s="15" t="s">
        <v>1473</v>
      </c>
      <c r="J12" s="15" t="s">
        <v>1474</v>
      </c>
      <c r="K12" s="15" t="s">
        <v>1475</v>
      </c>
      <c r="L12" s="15" t="s">
        <v>1476</v>
      </c>
      <c r="M12" s="15" t="s">
        <v>1477</v>
      </c>
      <c r="N12" s="15" t="s">
        <v>1478</v>
      </c>
    </row>
    <row r="13" spans="1:23" x14ac:dyDescent="0.2">
      <c r="A13" t="s">
        <v>1108</v>
      </c>
      <c r="E13" s="80"/>
      <c r="F13" t="s">
        <v>1479</v>
      </c>
      <c r="G13" s="15" t="s">
        <v>1210</v>
      </c>
      <c r="H13" s="15" t="s">
        <v>1210</v>
      </c>
      <c r="I13" s="15" t="s">
        <v>1210</v>
      </c>
      <c r="J13" s="15" t="s">
        <v>1210</v>
      </c>
      <c r="K13" s="15" t="s">
        <v>1480</v>
      </c>
      <c r="L13" s="15" t="s">
        <v>1210</v>
      </c>
      <c r="M13" s="15" t="s">
        <v>1210</v>
      </c>
      <c r="N13" s="15" t="s">
        <v>1210</v>
      </c>
    </row>
    <row r="14" spans="1:23" x14ac:dyDescent="0.2">
      <c r="A14" t="s">
        <v>1112</v>
      </c>
      <c r="E14" s="80"/>
      <c r="F14" t="s">
        <v>1481</v>
      </c>
      <c r="G14" s="15" t="s">
        <v>1482</v>
      </c>
      <c r="H14" s="15" t="s">
        <v>1483</v>
      </c>
      <c r="I14" s="15" t="s">
        <v>1484</v>
      </c>
      <c r="J14" s="15" t="s">
        <v>1485</v>
      </c>
      <c r="K14" s="15" t="s">
        <v>1486</v>
      </c>
      <c r="L14" s="15" t="s">
        <v>1487</v>
      </c>
      <c r="M14" s="15" t="s">
        <v>1488</v>
      </c>
      <c r="N14" s="15" t="s">
        <v>1489</v>
      </c>
    </row>
    <row r="15" spans="1:23" x14ac:dyDescent="0.2">
      <c r="A15" t="s">
        <v>1114</v>
      </c>
      <c r="E15" s="80"/>
      <c r="F15" t="s">
        <v>1490</v>
      </c>
      <c r="G15" s="15" t="s">
        <v>1491</v>
      </c>
      <c r="H15" s="15" t="s">
        <v>1492</v>
      </c>
      <c r="I15" s="15" t="s">
        <v>1493</v>
      </c>
      <c r="J15" s="15" t="s">
        <v>1494</v>
      </c>
      <c r="K15" s="15" t="s">
        <v>1495</v>
      </c>
      <c r="L15" s="15" t="s">
        <v>1496</v>
      </c>
      <c r="M15" s="15" t="s">
        <v>1497</v>
      </c>
      <c r="N15" s="15" t="s">
        <v>1498</v>
      </c>
    </row>
    <row r="16" spans="1:23" x14ac:dyDescent="0.2">
      <c r="A16" t="s">
        <v>1116</v>
      </c>
      <c r="E16" s="80"/>
      <c r="F16" t="s">
        <v>1499</v>
      </c>
      <c r="G16" s="15" t="s">
        <v>1500</v>
      </c>
      <c r="H16" s="15" t="s">
        <v>1501</v>
      </c>
      <c r="I16" s="15" t="s">
        <v>1502</v>
      </c>
      <c r="J16" s="15" t="s">
        <v>1503</v>
      </c>
      <c r="K16" s="15" t="s">
        <v>1504</v>
      </c>
      <c r="L16" s="15" t="s">
        <v>1505</v>
      </c>
      <c r="M16" s="15" t="s">
        <v>1506</v>
      </c>
      <c r="N16" s="15" t="s">
        <v>1507</v>
      </c>
    </row>
    <row r="17" spans="1:14" x14ac:dyDescent="0.2">
      <c r="E17" s="80"/>
      <c r="F17" t="s">
        <v>1508</v>
      </c>
      <c r="G17" s="15" t="s">
        <v>1509</v>
      </c>
      <c r="H17" s="15" t="s">
        <v>1510</v>
      </c>
      <c r="I17" s="15" t="s">
        <v>1511</v>
      </c>
      <c r="J17" s="15" t="s">
        <v>1512</v>
      </c>
      <c r="K17" s="15" t="s">
        <v>1513</v>
      </c>
      <c r="L17" s="15" t="s">
        <v>1514</v>
      </c>
      <c r="M17" s="15" t="s">
        <v>1515</v>
      </c>
      <c r="N17" s="15" t="s">
        <v>1516</v>
      </c>
    </row>
    <row r="18" spans="1:14" x14ac:dyDescent="0.2">
      <c r="A18" s="84" t="s">
        <v>1119</v>
      </c>
      <c r="B18" s="80"/>
      <c r="E18" s="80"/>
      <c r="F18" t="s">
        <v>1517</v>
      </c>
      <c r="G18" s="15" t="s">
        <v>1518</v>
      </c>
      <c r="H18" s="15" t="s">
        <v>1519</v>
      </c>
      <c r="I18" s="15" t="s">
        <v>1520</v>
      </c>
      <c r="J18" s="15" t="s">
        <v>1521</v>
      </c>
      <c r="K18" s="15" t="s">
        <v>1522</v>
      </c>
      <c r="L18" s="15" t="s">
        <v>1523</v>
      </c>
      <c r="M18" s="15" t="s">
        <v>1524</v>
      </c>
      <c r="N18" s="15" t="s">
        <v>1525</v>
      </c>
    </row>
    <row r="19" spans="1:14" x14ac:dyDescent="0.2">
      <c r="A19" t="s">
        <v>1121</v>
      </c>
      <c r="B19" t="s">
        <v>1526</v>
      </c>
      <c r="E19" s="80"/>
      <c r="F19" t="s">
        <v>1191</v>
      </c>
      <c r="G19" s="15" t="s">
        <v>1527</v>
      </c>
      <c r="H19" s="15" t="s">
        <v>1528</v>
      </c>
      <c r="I19" s="15" t="s">
        <v>1529</v>
      </c>
      <c r="J19" s="15" t="s">
        <v>1530</v>
      </c>
      <c r="K19" s="15" t="s">
        <v>1531</v>
      </c>
      <c r="L19" s="15" t="s">
        <v>1532</v>
      </c>
      <c r="M19" s="15" t="s">
        <v>1533</v>
      </c>
      <c r="N19" s="15" t="s">
        <v>1534</v>
      </c>
    </row>
    <row r="20" spans="1:14" x14ac:dyDescent="0.2">
      <c r="E20" s="80"/>
      <c r="F20" t="s">
        <v>1535</v>
      </c>
      <c r="G20" s="15" t="s">
        <v>1210</v>
      </c>
      <c r="H20" s="15" t="s">
        <v>1536</v>
      </c>
      <c r="I20" s="15" t="s">
        <v>1537</v>
      </c>
      <c r="J20" s="15" t="s">
        <v>1538</v>
      </c>
      <c r="K20" s="15" t="s">
        <v>1539</v>
      </c>
      <c r="L20" s="15" t="s">
        <v>1210</v>
      </c>
      <c r="M20" s="15" t="s">
        <v>1210</v>
      </c>
      <c r="N20" s="15" t="s">
        <v>1210</v>
      </c>
    </row>
    <row r="21" spans="1:14" x14ac:dyDescent="0.2">
      <c r="A21" s="82" t="s">
        <v>1125</v>
      </c>
      <c r="B21" s="80"/>
      <c r="E21" s="80"/>
      <c r="F21" t="s">
        <v>1540</v>
      </c>
      <c r="G21" s="15" t="s">
        <v>1541</v>
      </c>
      <c r="H21" s="15" t="s">
        <v>1542</v>
      </c>
      <c r="I21" s="15" t="s">
        <v>1543</v>
      </c>
      <c r="J21" s="15" t="s">
        <v>1544</v>
      </c>
      <c r="K21" s="15" t="s">
        <v>1545</v>
      </c>
      <c r="L21" s="15" t="s">
        <v>1546</v>
      </c>
      <c r="M21" s="15" t="s">
        <v>1547</v>
      </c>
      <c r="N21" s="15" t="s">
        <v>1548</v>
      </c>
    </row>
    <row r="22" spans="1:14" x14ac:dyDescent="0.2">
      <c r="A22" t="s">
        <v>1135</v>
      </c>
      <c r="B22" t="s">
        <v>1549</v>
      </c>
      <c r="E22" s="80"/>
      <c r="F22" t="s">
        <v>1550</v>
      </c>
      <c r="G22" s="15" t="s">
        <v>1551</v>
      </c>
      <c r="H22" s="15" t="s">
        <v>1552</v>
      </c>
      <c r="I22" s="15" t="s">
        <v>1553</v>
      </c>
      <c r="J22" s="15" t="s">
        <v>1554</v>
      </c>
      <c r="K22" s="15" t="s">
        <v>1555</v>
      </c>
      <c r="L22" s="15" t="s">
        <v>1523</v>
      </c>
      <c r="M22" s="15" t="s">
        <v>1556</v>
      </c>
      <c r="N22" s="15" t="s">
        <v>1557</v>
      </c>
    </row>
    <row r="23" spans="1:14" x14ac:dyDescent="0.2">
      <c r="E23" s="80"/>
      <c r="F23" t="s">
        <v>1558</v>
      </c>
      <c r="G23" s="15" t="s">
        <v>1559</v>
      </c>
      <c r="H23" s="15" t="s">
        <v>1560</v>
      </c>
      <c r="I23" s="15" t="s">
        <v>1561</v>
      </c>
      <c r="J23" s="15" t="s">
        <v>1562</v>
      </c>
      <c r="K23" s="15" t="s">
        <v>1563</v>
      </c>
      <c r="L23" s="15" t="s">
        <v>1564</v>
      </c>
      <c r="M23" s="15" t="s">
        <v>1565</v>
      </c>
      <c r="N23" s="15" t="s">
        <v>1566</v>
      </c>
    </row>
    <row r="24" spans="1:14" x14ac:dyDescent="0.2">
      <c r="E24" s="80"/>
      <c r="G24" s="15"/>
      <c r="H24" s="15"/>
      <c r="I24" s="15"/>
      <c r="J24" s="15"/>
      <c r="K24" s="15"/>
      <c r="L24" s="15"/>
      <c r="M24" s="15"/>
      <c r="N24" s="15"/>
    </row>
    <row r="25" spans="1:14" x14ac:dyDescent="0.2">
      <c r="E25" s="80"/>
      <c r="F25" s="15"/>
      <c r="G25" s="15"/>
      <c r="H25" s="15"/>
      <c r="I25" s="15"/>
      <c r="J25" s="15"/>
      <c r="K25" s="15" t="s">
        <v>1226</v>
      </c>
      <c r="L25" s="15"/>
      <c r="M25" s="15"/>
      <c r="N25" s="15"/>
    </row>
    <row r="26" spans="1:14" x14ac:dyDescent="0.2">
      <c r="E26" s="80"/>
      <c r="F26" s="15"/>
      <c r="G26" s="15"/>
      <c r="H26" s="15"/>
    </row>
    <row r="27" spans="1:14" x14ac:dyDescent="0.2">
      <c r="A27" s="82"/>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c r="K31" t="s">
        <v>1227</v>
      </c>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topLeftCell="F1" workbookViewId="0">
      <selection activeCell="P35" sqref="P35"/>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1077</v>
      </c>
      <c r="B1" s="79" t="s">
        <v>96</v>
      </c>
      <c r="C1" s="80"/>
      <c r="D1" s="80"/>
      <c r="E1" s="80"/>
      <c r="F1" s="80"/>
      <c r="G1" s="80"/>
      <c r="H1" s="80"/>
      <c r="I1" s="80"/>
      <c r="J1" s="80"/>
      <c r="K1" s="80"/>
      <c r="L1" s="80"/>
      <c r="M1" s="80"/>
      <c r="N1" s="80"/>
      <c r="O1" s="80"/>
    </row>
    <row r="2" spans="1:21" x14ac:dyDescent="0.2">
      <c r="A2" s="16" t="s">
        <v>1078</v>
      </c>
      <c r="B2" t="s">
        <v>1079</v>
      </c>
    </row>
    <row r="3" spans="1:21" x14ac:dyDescent="0.2">
      <c r="A3" s="16" t="s">
        <v>1080</v>
      </c>
      <c r="B3" t="str">
        <f>IF($B$1="","",_xlfn.XLOOKUP($B$1,Master!$F$2:$F$321,Master!$G$2:$G$321,""))</f>
        <v>tbl-educational-attain</v>
      </c>
    </row>
    <row r="4" spans="1:21" x14ac:dyDescent="0.2">
      <c r="A4" s="16" t="s">
        <v>7</v>
      </c>
      <c r="B4" t="str">
        <f>IF($B$1="","",_xlfn.XLOOKUP($B$1,Master!$F$2:$F$321,Master!$H$2:$H$321,""))</f>
        <v>fig-educational-attain</v>
      </c>
      <c r="E4" s="8"/>
      <c r="F4" s="10" t="s">
        <v>968</v>
      </c>
      <c r="G4" s="10" t="s">
        <v>973</v>
      </c>
      <c r="H4" s="10" t="s">
        <v>973</v>
      </c>
      <c r="I4" s="10" t="s">
        <v>979</v>
      </c>
      <c r="J4" s="10" t="s">
        <v>973</v>
      </c>
      <c r="K4" s="10" t="s">
        <v>979</v>
      </c>
      <c r="L4" s="10" t="s">
        <v>973</v>
      </c>
      <c r="M4" s="10" t="s">
        <v>979</v>
      </c>
      <c r="N4" s="10" t="s">
        <v>973</v>
      </c>
      <c r="O4" s="10" t="s">
        <v>979</v>
      </c>
      <c r="P4" s="10" t="s">
        <v>973</v>
      </c>
      <c r="Q4" s="10" t="s">
        <v>979</v>
      </c>
      <c r="R4" s="10" t="s">
        <v>973</v>
      </c>
      <c r="S4" s="10" t="s">
        <v>979</v>
      </c>
      <c r="T4" s="10" t="s">
        <v>973</v>
      </c>
      <c r="U4" s="10" t="s">
        <v>979</v>
      </c>
    </row>
    <row r="5" spans="1:21" x14ac:dyDescent="0.2">
      <c r="A5" s="84" t="s">
        <v>1081</v>
      </c>
      <c r="B5" s="80"/>
      <c r="E5" s="83" t="s">
        <v>1082</v>
      </c>
      <c r="F5" s="81" t="s">
        <v>1083</v>
      </c>
      <c r="G5" s="81" t="s">
        <v>1567</v>
      </c>
      <c r="H5" s="82" t="s">
        <v>1568</v>
      </c>
      <c r="I5" s="82"/>
      <c r="J5" s="82"/>
      <c r="K5" s="82"/>
      <c r="L5" s="82"/>
      <c r="M5" s="82"/>
      <c r="N5" s="82"/>
      <c r="O5" s="82"/>
      <c r="P5" s="82"/>
      <c r="Q5" s="82"/>
      <c r="R5" s="82"/>
      <c r="S5" s="82"/>
      <c r="T5" s="82"/>
      <c r="U5" s="82"/>
    </row>
    <row r="6" spans="1:21" ht="15" customHeight="1" x14ac:dyDescent="0.2">
      <c r="A6" t="s">
        <v>1088</v>
      </c>
      <c r="B6" t="b">
        <v>1</v>
      </c>
      <c r="E6" s="80"/>
      <c r="F6" s="80"/>
      <c r="G6" s="80"/>
      <c r="H6" s="82" t="s">
        <v>1569</v>
      </c>
      <c r="I6" s="80"/>
      <c r="J6" s="82" t="s">
        <v>1570</v>
      </c>
      <c r="K6" s="80"/>
      <c r="L6" s="82" t="s">
        <v>1571</v>
      </c>
      <c r="M6" s="80"/>
      <c r="N6" s="82" t="s">
        <v>1572</v>
      </c>
      <c r="O6" s="80"/>
      <c r="P6" s="82" t="s">
        <v>1573</v>
      </c>
      <c r="Q6" s="80"/>
      <c r="R6" s="82" t="s">
        <v>1574</v>
      </c>
      <c r="S6" s="80"/>
      <c r="T6" s="82" t="s">
        <v>1575</v>
      </c>
      <c r="U6" s="80"/>
    </row>
    <row r="7" spans="1:21" ht="15.75" customHeight="1" x14ac:dyDescent="0.2">
      <c r="E7" s="80"/>
      <c r="F7" s="80"/>
      <c r="G7" s="80"/>
      <c r="H7" s="15" t="s">
        <v>1272</v>
      </c>
      <c r="I7" s="15" t="s">
        <v>1344</v>
      </c>
      <c r="J7" s="15" t="s">
        <v>1272</v>
      </c>
      <c r="K7" s="15" t="s">
        <v>1344</v>
      </c>
      <c r="L7" s="15" t="s">
        <v>1272</v>
      </c>
      <c r="M7" s="15" t="s">
        <v>1344</v>
      </c>
      <c r="N7" s="15" t="s">
        <v>1272</v>
      </c>
      <c r="O7" s="15" t="s">
        <v>1344</v>
      </c>
      <c r="P7" s="15" t="s">
        <v>1272</v>
      </c>
      <c r="Q7" s="15" t="s">
        <v>1344</v>
      </c>
      <c r="R7" s="15" t="s">
        <v>1272</v>
      </c>
      <c r="S7" s="15" t="s">
        <v>1344</v>
      </c>
      <c r="T7" s="15" t="s">
        <v>1272</v>
      </c>
      <c r="U7" s="15" t="s">
        <v>1344</v>
      </c>
    </row>
    <row r="8" spans="1:21" x14ac:dyDescent="0.2">
      <c r="E8" s="80"/>
      <c r="F8" s="16" t="s">
        <v>1096</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4" t="s">
        <v>1098</v>
      </c>
      <c r="B9" s="80"/>
      <c r="E9" s="80"/>
      <c r="F9" s="16" t="s">
        <v>1097</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1100</v>
      </c>
      <c r="E10" s="80"/>
      <c r="F10" s="47" t="s">
        <v>1099</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1102</v>
      </c>
      <c r="E11" s="80"/>
      <c r="F11" s="47" t="s">
        <v>1101</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1104</v>
      </c>
      <c r="E12" s="80"/>
      <c r="F12" s="16" t="s">
        <v>1103</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1108</v>
      </c>
      <c r="E13" s="80"/>
      <c r="F13" s="48" t="s">
        <v>1105</v>
      </c>
      <c r="G13" s="23">
        <v>3001</v>
      </c>
      <c r="H13">
        <v>59</v>
      </c>
      <c r="I13">
        <v>2</v>
      </c>
      <c r="J13">
        <v>125</v>
      </c>
      <c r="K13">
        <v>4.2</v>
      </c>
      <c r="L13">
        <v>803</v>
      </c>
      <c r="M13">
        <v>26.8</v>
      </c>
      <c r="N13">
        <v>811</v>
      </c>
      <c r="O13">
        <v>27</v>
      </c>
      <c r="P13">
        <v>233</v>
      </c>
      <c r="Q13">
        <v>7.8</v>
      </c>
      <c r="R13">
        <v>683</v>
      </c>
      <c r="S13">
        <v>22.8</v>
      </c>
      <c r="T13">
        <v>287</v>
      </c>
      <c r="U13">
        <v>9.6</v>
      </c>
    </row>
    <row r="14" spans="1:21" x14ac:dyDescent="0.2">
      <c r="A14" t="s">
        <v>1112</v>
      </c>
      <c r="E14" s="80"/>
      <c r="F14" s="16" t="s">
        <v>1109</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1114</v>
      </c>
      <c r="E15" s="80"/>
      <c r="F15" s="47" t="s">
        <v>1113</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1116</v>
      </c>
      <c r="E16" s="80"/>
      <c r="F16" s="25" t="s">
        <v>1115</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80"/>
      <c r="F17" s="25" t="s">
        <v>1117</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4" t="s">
        <v>1119</v>
      </c>
      <c r="B18" s="80"/>
      <c r="E18" s="80"/>
      <c r="F18" s="25" t="s">
        <v>1118</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1121</v>
      </c>
      <c r="B19" t="s">
        <v>1576</v>
      </c>
      <c r="E19" s="80"/>
      <c r="F19" s="47" t="s">
        <v>1120</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80"/>
      <c r="F20" s="16" t="s">
        <v>1123</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2" t="s">
        <v>1125</v>
      </c>
      <c r="B21" s="80"/>
      <c r="E21" s="80"/>
      <c r="F21" s="16" t="s">
        <v>1124</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1135</v>
      </c>
      <c r="B22" t="s">
        <v>1577</v>
      </c>
      <c r="E22" s="80"/>
      <c r="F22" s="16" t="s">
        <v>1126</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80"/>
      <c r="F23" s="47" t="s">
        <v>1137</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80"/>
      <c r="F24" s="16" t="s">
        <v>1146</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80"/>
      <c r="F25" s="16" t="s">
        <v>1150</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80"/>
      <c r="F26" s="47" t="s">
        <v>1154</v>
      </c>
      <c r="G26" s="15">
        <v>383</v>
      </c>
      <c r="H26" s="15">
        <v>16</v>
      </c>
      <c r="I26">
        <v>4.2</v>
      </c>
      <c r="J26">
        <v>2</v>
      </c>
      <c r="K26">
        <v>0.5</v>
      </c>
      <c r="L26">
        <v>92</v>
      </c>
      <c r="M26">
        <v>24</v>
      </c>
      <c r="N26">
        <v>49</v>
      </c>
      <c r="O26">
        <v>12.8</v>
      </c>
      <c r="P26">
        <v>54</v>
      </c>
      <c r="Q26">
        <v>14.1</v>
      </c>
      <c r="R26">
        <v>34</v>
      </c>
      <c r="S26">
        <v>8.9</v>
      </c>
      <c r="T26">
        <v>136</v>
      </c>
      <c r="U26">
        <v>35.5</v>
      </c>
    </row>
    <row r="27" spans="1:21" x14ac:dyDescent="0.2">
      <c r="A27" s="82"/>
      <c r="B27" s="80"/>
      <c r="E27" s="80"/>
      <c r="F27" s="16" t="s">
        <v>1158</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80"/>
      <c r="F28" s="47" t="s">
        <v>1244</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80"/>
      <c r="F29" s="47" t="s">
        <v>1164</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80"/>
      <c r="F30" s="16" t="s">
        <v>1166</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80"/>
      <c r="F31" s="47" t="s">
        <v>1168</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80"/>
      <c r="F32" s="47" t="s">
        <v>1170</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80"/>
      <c r="F33" s="47" t="s">
        <v>1172</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80"/>
      <c r="F34" s="16" t="s">
        <v>1174</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80"/>
      <c r="F35" t="s">
        <v>1178</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80"/>
      <c r="F36" s="16" t="s">
        <v>1180</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80"/>
      <c r="F37" s="16" t="s">
        <v>1182</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80"/>
      <c r="F38" s="16" t="s">
        <v>1184</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80"/>
      <c r="F39" s="16" t="s">
        <v>1186</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80"/>
      <c r="F40" s="47" t="s">
        <v>1188</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80"/>
      <c r="F41" s="16" t="s">
        <v>1191</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80"/>
      <c r="F42" s="16" t="s">
        <v>1195</v>
      </c>
      <c r="G42" s="23">
        <v>2823</v>
      </c>
      <c r="H42">
        <v>55</v>
      </c>
      <c r="I42">
        <v>1.9</v>
      </c>
      <c r="J42">
        <v>96</v>
      </c>
      <c r="K42">
        <v>3.4</v>
      </c>
      <c r="L42">
        <v>489</v>
      </c>
      <c r="M42">
        <v>17.3</v>
      </c>
      <c r="N42">
        <v>389</v>
      </c>
      <c r="O42">
        <v>13.8</v>
      </c>
      <c r="P42">
        <v>335</v>
      </c>
      <c r="Q42">
        <v>11.9</v>
      </c>
      <c r="R42">
        <v>749</v>
      </c>
      <c r="S42">
        <v>26.5</v>
      </c>
      <c r="T42">
        <v>710</v>
      </c>
      <c r="U42">
        <v>25.2</v>
      </c>
    </row>
    <row r="43" spans="5:21" x14ac:dyDescent="0.2">
      <c r="E43" s="80"/>
      <c r="F43" s="47" t="s">
        <v>1200</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80"/>
      <c r="F44" s="47" t="s">
        <v>1201</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80"/>
      <c r="F45" s="16" t="s">
        <v>1202</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80"/>
      <c r="F46" s="16" t="s">
        <v>1203</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80"/>
      <c r="F47" s="47" t="s">
        <v>1204</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80"/>
      <c r="F48" s="47" t="s">
        <v>1205</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80"/>
      <c r="F49" s="47" t="s">
        <v>1206</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80"/>
      <c r="F50" s="16" t="s">
        <v>1207</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80"/>
      <c r="F51" s="47" t="s">
        <v>1208</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80"/>
      <c r="F52" s="47" t="s">
        <v>1270</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80"/>
      <c r="F53" s="47" t="s">
        <v>1208</v>
      </c>
      <c r="G53" s="15">
        <v>7068</v>
      </c>
      <c r="H53">
        <v>68</v>
      </c>
      <c r="I53">
        <v>1</v>
      </c>
      <c r="J53">
        <v>250</v>
      </c>
      <c r="K53">
        <v>3.5</v>
      </c>
      <c r="L53">
        <v>1249</v>
      </c>
      <c r="M53">
        <v>17.7</v>
      </c>
      <c r="N53">
        <v>1417</v>
      </c>
      <c r="O53">
        <v>20</v>
      </c>
      <c r="P53">
        <v>822</v>
      </c>
      <c r="Q53">
        <v>11.6</v>
      </c>
      <c r="R53">
        <v>1672</v>
      </c>
      <c r="S53">
        <v>23.7</v>
      </c>
      <c r="T53">
        <v>1590</v>
      </c>
      <c r="U53">
        <v>22.5</v>
      </c>
    </row>
    <row r="54" spans="5:21" x14ac:dyDescent="0.2">
      <c r="E54" s="80"/>
    </row>
    <row r="55" spans="5:21" x14ac:dyDescent="0.2">
      <c r="E55" s="80"/>
    </row>
    <row r="56" spans="5:21" x14ac:dyDescent="0.2">
      <c r="E56" s="80"/>
    </row>
    <row r="57" spans="5:21" x14ac:dyDescent="0.2">
      <c r="E57" s="80"/>
    </row>
  </sheetData>
  <mergeCells count="17">
    <mergeCell ref="B1:O1"/>
    <mergeCell ref="A21:B21"/>
    <mergeCell ref="E5:E57"/>
    <mergeCell ref="H6:I6"/>
    <mergeCell ref="L6:M6"/>
    <mergeCell ref="J6:K6"/>
    <mergeCell ref="A5:B5"/>
    <mergeCell ref="P6:Q6"/>
    <mergeCell ref="N6:O6"/>
    <mergeCell ref="T6:U6"/>
    <mergeCell ref="R6:S6"/>
    <mergeCell ref="A27:B27"/>
    <mergeCell ref="G5:G7"/>
    <mergeCell ref="A18:B18"/>
    <mergeCell ref="A9:B9"/>
    <mergeCell ref="F5:F7"/>
    <mergeCell ref="H5:U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tbl-hs-graduation-rande</v>
      </c>
    </row>
    <row r="4" spans="1:17" x14ac:dyDescent="0.2">
      <c r="A4" s="16" t="s">
        <v>7</v>
      </c>
      <c r="B4" t="str">
        <f>IF($B$1="","",_xlfn.XLOOKUP($B$1,Master!$F$2:$F$321,Master!$H$2:$H$321,""))</f>
        <v>fig-hs-graduation-rande</v>
      </c>
      <c r="E4" s="8"/>
      <c r="F4" s="10" t="s">
        <v>968</v>
      </c>
      <c r="G4" s="10" t="s">
        <v>979</v>
      </c>
      <c r="H4" s="10" t="s">
        <v>979</v>
      </c>
      <c r="I4" s="10" t="s">
        <v>979</v>
      </c>
      <c r="J4" s="10" t="s">
        <v>979</v>
      </c>
      <c r="K4" s="10" t="s">
        <v>979</v>
      </c>
      <c r="L4" s="10" t="s">
        <v>979</v>
      </c>
      <c r="M4" s="10" t="s">
        <v>979</v>
      </c>
      <c r="N4" s="10"/>
      <c r="O4" s="10"/>
      <c r="P4" s="10"/>
      <c r="Q4" s="10"/>
    </row>
    <row r="5" spans="1:17" x14ac:dyDescent="0.2">
      <c r="A5" s="84" t="s">
        <v>1081</v>
      </c>
      <c r="B5" s="80"/>
      <c r="E5" s="83" t="s">
        <v>1082</v>
      </c>
      <c r="F5" t="s">
        <v>1391</v>
      </c>
      <c r="G5" t="s">
        <v>1089</v>
      </c>
      <c r="H5" t="s">
        <v>1578</v>
      </c>
      <c r="I5" t="s">
        <v>1579</v>
      </c>
      <c r="J5" t="s">
        <v>1580</v>
      </c>
      <c r="K5" t="s">
        <v>1241</v>
      </c>
      <c r="L5" t="s">
        <v>1381</v>
      </c>
      <c r="M5" t="s">
        <v>1384</v>
      </c>
    </row>
    <row r="6" spans="1:17" ht="15" customHeight="1" x14ac:dyDescent="0.2">
      <c r="A6" t="s">
        <v>1088</v>
      </c>
      <c r="B6" t="b">
        <v>0</v>
      </c>
      <c r="E6" s="80"/>
      <c r="F6" t="s">
        <v>1297</v>
      </c>
      <c r="G6" s="15">
        <v>88</v>
      </c>
      <c r="H6" s="15">
        <v>83</v>
      </c>
      <c r="I6" s="15">
        <v>96</v>
      </c>
      <c r="J6" s="15">
        <v>85</v>
      </c>
      <c r="K6" s="15">
        <v>83</v>
      </c>
      <c r="L6" s="15">
        <v>93</v>
      </c>
      <c r="M6" s="15">
        <v>88</v>
      </c>
      <c r="N6" s="15"/>
      <c r="O6" s="15"/>
    </row>
    <row r="7" spans="1:17" ht="15.75" customHeight="1" x14ac:dyDescent="0.2">
      <c r="E7" s="80"/>
      <c r="F7" t="s">
        <v>1299</v>
      </c>
      <c r="G7" s="15">
        <v>86</v>
      </c>
      <c r="H7" s="15">
        <v>81</v>
      </c>
      <c r="I7" s="15">
        <v>93</v>
      </c>
      <c r="J7" s="15">
        <v>81</v>
      </c>
      <c r="K7" s="15">
        <v>81</v>
      </c>
      <c r="L7" s="15">
        <v>91</v>
      </c>
      <c r="M7" s="15">
        <v>84</v>
      </c>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0</v>
      </c>
      <c r="E16" s="80"/>
    </row>
    <row r="17" spans="1:11" x14ac:dyDescent="0.2">
      <c r="E17" s="80"/>
    </row>
    <row r="18" spans="1:11" x14ac:dyDescent="0.2">
      <c r="A18" s="84" t="s">
        <v>1119</v>
      </c>
      <c r="B18" s="80"/>
      <c r="E18" s="80"/>
    </row>
    <row r="19" spans="1:11" x14ac:dyDescent="0.2">
      <c r="A19" t="s">
        <v>1121</v>
      </c>
      <c r="B19" t="s">
        <v>1581</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1582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tbl-language-spoken-home</v>
      </c>
    </row>
    <row r="4" spans="1:17" x14ac:dyDescent="0.2">
      <c r="A4" s="16" t="s">
        <v>7</v>
      </c>
      <c r="B4" t="str">
        <f>IF($B$1="","",_xlfn.XLOOKUP($B$1,Master!$F$2:$F$321,Master!$H$2:$H$321,""))</f>
        <v>fig-language-spoken-home</v>
      </c>
      <c r="E4" s="8"/>
      <c r="F4" s="10" t="s">
        <v>968</v>
      </c>
      <c r="G4" s="10" t="s">
        <v>973</v>
      </c>
      <c r="H4" s="10" t="s">
        <v>973</v>
      </c>
      <c r="I4" s="10" t="s">
        <v>973</v>
      </c>
      <c r="J4" s="10" t="s">
        <v>973</v>
      </c>
      <c r="K4" s="10" t="s">
        <v>973</v>
      </c>
      <c r="L4" s="10" t="s">
        <v>973</v>
      </c>
      <c r="M4" s="10"/>
      <c r="N4" s="10"/>
      <c r="O4" s="10"/>
      <c r="P4" s="10"/>
      <c r="Q4" s="10"/>
    </row>
    <row r="5" spans="1:17" x14ac:dyDescent="0.2">
      <c r="A5" s="84" t="s">
        <v>1081</v>
      </c>
      <c r="B5" s="80"/>
      <c r="E5" s="83" t="s">
        <v>1082</v>
      </c>
      <c r="F5" s="82" t="s">
        <v>1083</v>
      </c>
      <c r="G5" s="82" t="s">
        <v>1583</v>
      </c>
      <c r="H5" s="82" t="s">
        <v>1584</v>
      </c>
      <c r="I5" s="80"/>
      <c r="J5" s="80"/>
      <c r="K5" s="80"/>
      <c r="L5" s="80"/>
    </row>
    <row r="6" spans="1:17" ht="15" customHeight="1" x14ac:dyDescent="0.2">
      <c r="A6" t="s">
        <v>1088</v>
      </c>
      <c r="B6" t="b">
        <v>1</v>
      </c>
      <c r="E6" s="80"/>
      <c r="F6" s="80"/>
      <c r="G6" s="80"/>
      <c r="H6" t="s">
        <v>1585</v>
      </c>
      <c r="I6" s="15" t="s">
        <v>1586</v>
      </c>
      <c r="J6" s="15" t="s">
        <v>1587</v>
      </c>
      <c r="K6" s="15" t="s">
        <v>1588</v>
      </c>
      <c r="L6" s="15" t="s">
        <v>1015</v>
      </c>
      <c r="M6" s="15"/>
      <c r="N6" s="15"/>
      <c r="O6" s="15"/>
    </row>
    <row r="7" spans="1:17" ht="15.75" customHeight="1" x14ac:dyDescent="0.2">
      <c r="E7" s="80"/>
      <c r="F7" s="16" t="s">
        <v>1096</v>
      </c>
      <c r="G7" s="23">
        <v>376697</v>
      </c>
      <c r="H7" s="23">
        <v>266545</v>
      </c>
      <c r="I7" s="23">
        <v>55418</v>
      </c>
      <c r="J7" s="23">
        <v>45346</v>
      </c>
      <c r="K7" s="23">
        <v>6298</v>
      </c>
      <c r="L7" s="23">
        <v>3090</v>
      </c>
      <c r="M7" s="15"/>
      <c r="N7" s="15"/>
      <c r="O7" s="15"/>
    </row>
    <row r="8" spans="1:17" x14ac:dyDescent="0.2">
      <c r="E8" s="80"/>
      <c r="F8" s="16" t="s">
        <v>1097</v>
      </c>
      <c r="G8" s="23">
        <v>17139</v>
      </c>
      <c r="H8" s="23">
        <v>11552</v>
      </c>
      <c r="I8" s="23">
        <v>2838</v>
      </c>
      <c r="J8" s="23">
        <v>2518</v>
      </c>
      <c r="K8" s="15">
        <v>150</v>
      </c>
      <c r="L8" s="15">
        <v>81</v>
      </c>
      <c r="M8" s="15"/>
      <c r="N8" s="15"/>
      <c r="O8" s="15"/>
    </row>
    <row r="9" spans="1:17" x14ac:dyDescent="0.2">
      <c r="A9" s="84" t="s">
        <v>1098</v>
      </c>
      <c r="B9" s="80"/>
      <c r="E9" s="80"/>
      <c r="F9" s="47" t="s">
        <v>1099</v>
      </c>
      <c r="G9" s="23">
        <v>3444</v>
      </c>
      <c r="H9" s="23">
        <v>1326</v>
      </c>
      <c r="I9" s="15">
        <v>268</v>
      </c>
      <c r="J9" s="23">
        <v>1786</v>
      </c>
      <c r="K9" s="15">
        <v>0</v>
      </c>
      <c r="L9" s="15">
        <v>64</v>
      </c>
      <c r="M9" s="15"/>
      <c r="N9" s="15"/>
      <c r="O9" s="15"/>
    </row>
    <row r="10" spans="1:17" x14ac:dyDescent="0.2">
      <c r="A10" t="s">
        <v>1100</v>
      </c>
      <c r="E10" s="80"/>
      <c r="F10" s="47" t="s">
        <v>1101</v>
      </c>
      <c r="G10" s="23">
        <v>5521</v>
      </c>
      <c r="H10" s="14">
        <v>4268</v>
      </c>
      <c r="I10">
        <v>957</v>
      </c>
      <c r="J10">
        <v>171</v>
      </c>
      <c r="K10">
        <v>117</v>
      </c>
      <c r="L10">
        <v>8</v>
      </c>
    </row>
    <row r="11" spans="1:17" x14ac:dyDescent="0.2">
      <c r="A11" t="s">
        <v>1102</v>
      </c>
      <c r="E11" s="80"/>
      <c r="F11" s="16" t="s">
        <v>1103</v>
      </c>
      <c r="G11" s="23">
        <v>11930</v>
      </c>
      <c r="H11" s="23">
        <v>9762</v>
      </c>
      <c r="I11" s="23">
        <v>1728</v>
      </c>
      <c r="J11" s="17">
        <v>246</v>
      </c>
      <c r="K11" s="17">
        <v>87</v>
      </c>
      <c r="L11" s="17">
        <v>107</v>
      </c>
      <c r="M11" s="17"/>
      <c r="N11" s="17"/>
    </row>
    <row r="12" spans="1:17" x14ac:dyDescent="0.2">
      <c r="A12" t="s">
        <v>1104</v>
      </c>
      <c r="E12" s="80"/>
      <c r="F12" s="48" t="s">
        <v>1105</v>
      </c>
      <c r="G12" s="28">
        <v>3965</v>
      </c>
      <c r="H12" s="28">
        <v>2873</v>
      </c>
      <c r="I12" s="15">
        <v>872</v>
      </c>
      <c r="J12" s="15">
        <v>146</v>
      </c>
      <c r="K12" s="15">
        <v>17</v>
      </c>
      <c r="L12" s="15">
        <v>57</v>
      </c>
    </row>
    <row r="13" spans="1:17" x14ac:dyDescent="0.2">
      <c r="A13" t="s">
        <v>1108</v>
      </c>
      <c r="E13" s="80"/>
      <c r="F13" s="16" t="s">
        <v>1109</v>
      </c>
      <c r="G13" s="14">
        <v>12136</v>
      </c>
      <c r="H13" s="14">
        <v>10815</v>
      </c>
      <c r="I13">
        <v>754</v>
      </c>
      <c r="J13">
        <v>299</v>
      </c>
      <c r="K13">
        <v>247</v>
      </c>
      <c r="L13">
        <v>21</v>
      </c>
    </row>
    <row r="14" spans="1:17" x14ac:dyDescent="0.2">
      <c r="A14" t="s">
        <v>1112</v>
      </c>
      <c r="E14" s="80"/>
      <c r="F14" s="47" t="s">
        <v>1113</v>
      </c>
      <c r="G14" s="14">
        <v>2928</v>
      </c>
      <c r="H14" s="14">
        <v>2545</v>
      </c>
      <c r="I14">
        <v>194</v>
      </c>
      <c r="J14">
        <v>133</v>
      </c>
      <c r="K14">
        <v>51</v>
      </c>
      <c r="L14">
        <v>5</v>
      </c>
    </row>
    <row r="15" spans="1:17" x14ac:dyDescent="0.2">
      <c r="A15" t="s">
        <v>1114</v>
      </c>
      <c r="E15" s="80"/>
      <c r="F15" s="25" t="s">
        <v>1115</v>
      </c>
      <c r="G15" s="14">
        <v>8705</v>
      </c>
      <c r="H15" s="14">
        <v>7399</v>
      </c>
      <c r="I15">
        <v>777</v>
      </c>
      <c r="J15">
        <v>407</v>
      </c>
      <c r="K15">
        <v>109</v>
      </c>
      <c r="L15">
        <v>13</v>
      </c>
    </row>
    <row r="16" spans="1:17" x14ac:dyDescent="0.2">
      <c r="A16" t="s">
        <v>1116</v>
      </c>
      <c r="E16" s="80"/>
      <c r="F16" s="25" t="s">
        <v>1117</v>
      </c>
      <c r="G16" s="14">
        <v>7216</v>
      </c>
      <c r="H16" s="14">
        <v>6587</v>
      </c>
      <c r="I16">
        <v>233</v>
      </c>
      <c r="J16">
        <v>171</v>
      </c>
      <c r="K16">
        <v>225</v>
      </c>
      <c r="L16">
        <v>0</v>
      </c>
    </row>
    <row r="17" spans="1:12" x14ac:dyDescent="0.2">
      <c r="E17" s="80"/>
      <c r="F17" s="25" t="s">
        <v>1118</v>
      </c>
      <c r="G17" s="14">
        <v>13829</v>
      </c>
      <c r="H17" s="14">
        <v>11216</v>
      </c>
      <c r="I17" s="14">
        <v>1780</v>
      </c>
      <c r="J17">
        <v>572</v>
      </c>
      <c r="K17">
        <v>192</v>
      </c>
      <c r="L17">
        <v>69</v>
      </c>
    </row>
    <row r="18" spans="1:12" x14ac:dyDescent="0.2">
      <c r="A18" s="84" t="s">
        <v>1119</v>
      </c>
      <c r="B18" s="80"/>
      <c r="E18" s="80"/>
      <c r="F18" s="47" t="s">
        <v>1120</v>
      </c>
      <c r="G18" s="14">
        <v>5504</v>
      </c>
      <c r="H18" s="14">
        <v>4437</v>
      </c>
      <c r="I18">
        <v>839</v>
      </c>
      <c r="J18">
        <v>151</v>
      </c>
      <c r="K18">
        <v>47</v>
      </c>
      <c r="L18">
        <v>30</v>
      </c>
    </row>
    <row r="19" spans="1:12" x14ac:dyDescent="0.2">
      <c r="A19" t="s">
        <v>1121</v>
      </c>
      <c r="B19" t="s">
        <v>1589</v>
      </c>
      <c r="E19" s="80"/>
      <c r="F19" s="16" t="s">
        <v>1123</v>
      </c>
      <c r="G19" s="14">
        <v>4447</v>
      </c>
      <c r="H19" s="14">
        <v>3862</v>
      </c>
      <c r="I19">
        <v>316</v>
      </c>
      <c r="J19">
        <v>79</v>
      </c>
      <c r="K19">
        <v>175</v>
      </c>
      <c r="L19">
        <v>15</v>
      </c>
    </row>
    <row r="20" spans="1:12" x14ac:dyDescent="0.2">
      <c r="E20" s="80"/>
      <c r="F20" s="16" t="s">
        <v>1124</v>
      </c>
      <c r="G20" s="23">
        <v>5366</v>
      </c>
      <c r="H20" s="23">
        <v>4439</v>
      </c>
      <c r="I20">
        <v>463</v>
      </c>
      <c r="J20">
        <v>145</v>
      </c>
      <c r="K20">
        <v>239</v>
      </c>
      <c r="L20">
        <v>80</v>
      </c>
    </row>
    <row r="21" spans="1:12" x14ac:dyDescent="0.2">
      <c r="A21" s="82" t="s">
        <v>1125</v>
      </c>
      <c r="B21" s="80"/>
      <c r="E21" s="80"/>
      <c r="F21" s="16" t="s">
        <v>1126</v>
      </c>
      <c r="G21" s="23">
        <v>12086</v>
      </c>
      <c r="H21" s="23">
        <v>9659</v>
      </c>
      <c r="I21" s="14">
        <v>1187</v>
      </c>
      <c r="J21">
        <v>765</v>
      </c>
      <c r="K21">
        <v>374</v>
      </c>
      <c r="L21">
        <v>101</v>
      </c>
    </row>
    <row r="22" spans="1:12" x14ac:dyDescent="0.2">
      <c r="A22" t="s">
        <v>1135</v>
      </c>
      <c r="B22" t="s">
        <v>1232</v>
      </c>
      <c r="E22" s="80"/>
      <c r="F22" s="47" t="s">
        <v>1137</v>
      </c>
      <c r="G22" s="23">
        <v>3514</v>
      </c>
      <c r="H22" s="23">
        <v>2478</v>
      </c>
      <c r="I22">
        <v>562</v>
      </c>
      <c r="J22">
        <v>408</v>
      </c>
      <c r="K22">
        <v>24</v>
      </c>
      <c r="L22">
        <v>42</v>
      </c>
    </row>
    <row r="23" spans="1:12" x14ac:dyDescent="0.2">
      <c r="E23" s="80"/>
      <c r="F23" s="16" t="s">
        <v>1146</v>
      </c>
      <c r="G23" s="23">
        <v>27829</v>
      </c>
      <c r="H23" s="23">
        <v>18076</v>
      </c>
      <c r="I23" s="14">
        <v>8278</v>
      </c>
      <c r="J23">
        <v>647</v>
      </c>
      <c r="K23">
        <v>712</v>
      </c>
      <c r="L23">
        <v>116</v>
      </c>
    </row>
    <row r="24" spans="1:12" x14ac:dyDescent="0.2">
      <c r="E24" s="80"/>
      <c r="F24" s="16" t="s">
        <v>1150</v>
      </c>
      <c r="G24" s="14">
        <v>4359</v>
      </c>
      <c r="H24" s="14">
        <v>4011</v>
      </c>
      <c r="I24">
        <v>241</v>
      </c>
      <c r="J24">
        <v>107</v>
      </c>
      <c r="K24">
        <v>0</v>
      </c>
      <c r="L24">
        <v>0</v>
      </c>
    </row>
    <row r="25" spans="1:12" x14ac:dyDescent="0.2">
      <c r="E25" s="80"/>
      <c r="F25" s="47" t="s">
        <v>1154</v>
      </c>
      <c r="G25" s="15">
        <v>643</v>
      </c>
      <c r="H25" s="15">
        <v>557</v>
      </c>
      <c r="I25">
        <v>47</v>
      </c>
      <c r="J25">
        <v>39</v>
      </c>
      <c r="K25">
        <v>0</v>
      </c>
      <c r="L25">
        <v>0</v>
      </c>
    </row>
    <row r="26" spans="1:12" x14ac:dyDescent="0.2">
      <c r="E26" s="80"/>
      <c r="F26" s="16" t="s">
        <v>1158</v>
      </c>
      <c r="G26" s="23">
        <v>19775</v>
      </c>
      <c r="H26" s="23">
        <v>13174</v>
      </c>
      <c r="I26" s="14">
        <v>2927</v>
      </c>
      <c r="J26" s="14">
        <v>2711</v>
      </c>
      <c r="K26">
        <v>387</v>
      </c>
      <c r="L26">
        <v>576</v>
      </c>
    </row>
    <row r="27" spans="1:12" x14ac:dyDescent="0.2">
      <c r="A27" s="82"/>
      <c r="B27" s="80"/>
      <c r="E27" s="80"/>
      <c r="F27" s="47" t="s">
        <v>1162</v>
      </c>
      <c r="G27" s="23">
        <v>1932</v>
      </c>
      <c r="H27" s="23">
        <v>1332</v>
      </c>
      <c r="I27">
        <v>362</v>
      </c>
      <c r="J27">
        <v>123</v>
      </c>
      <c r="K27">
        <v>13</v>
      </c>
      <c r="L27">
        <v>102</v>
      </c>
    </row>
    <row r="28" spans="1:12" x14ac:dyDescent="0.2">
      <c r="E28" s="80"/>
      <c r="F28" s="47" t="s">
        <v>1164</v>
      </c>
      <c r="G28" s="23">
        <v>8514</v>
      </c>
      <c r="H28" s="23">
        <v>5144</v>
      </c>
      <c r="I28" s="14">
        <v>1621</v>
      </c>
      <c r="J28" s="14">
        <v>1325</v>
      </c>
      <c r="K28">
        <v>124</v>
      </c>
      <c r="L28">
        <v>300</v>
      </c>
    </row>
    <row r="29" spans="1:12" x14ac:dyDescent="0.2">
      <c r="E29" s="80"/>
      <c r="F29" s="16" t="s">
        <v>1166</v>
      </c>
      <c r="G29" s="23">
        <v>21772</v>
      </c>
      <c r="H29" s="23">
        <v>18320</v>
      </c>
      <c r="I29" s="14">
        <v>2280</v>
      </c>
      <c r="J29">
        <v>945</v>
      </c>
      <c r="K29">
        <v>139</v>
      </c>
      <c r="L29">
        <v>88</v>
      </c>
    </row>
    <row r="30" spans="1:12" x14ac:dyDescent="0.2">
      <c r="E30" s="80"/>
      <c r="F30" s="47" t="s">
        <v>1168</v>
      </c>
      <c r="G30" s="23">
        <v>3017</v>
      </c>
      <c r="H30" s="23">
        <v>2364</v>
      </c>
      <c r="I30">
        <v>441</v>
      </c>
      <c r="J30">
        <v>207</v>
      </c>
      <c r="K30">
        <v>0</v>
      </c>
      <c r="L30">
        <v>0</v>
      </c>
    </row>
    <row r="31" spans="1:12" x14ac:dyDescent="0.2">
      <c r="E31" s="80"/>
      <c r="F31" s="47" t="s">
        <v>1170</v>
      </c>
      <c r="G31" s="23">
        <v>3470</v>
      </c>
      <c r="H31" s="23">
        <v>2777</v>
      </c>
      <c r="I31" s="14">
        <v>6111</v>
      </c>
      <c r="J31">
        <v>74</v>
      </c>
      <c r="K31">
        <v>8</v>
      </c>
      <c r="L31">
        <v>0</v>
      </c>
    </row>
    <row r="32" spans="1:12" x14ac:dyDescent="0.2">
      <c r="E32" s="80"/>
      <c r="F32" s="47" t="s">
        <v>1172</v>
      </c>
      <c r="G32" s="14">
        <v>6457</v>
      </c>
      <c r="H32" s="14">
        <v>5424</v>
      </c>
      <c r="I32">
        <v>625</v>
      </c>
      <c r="J32">
        <v>342</v>
      </c>
      <c r="K32">
        <v>41</v>
      </c>
      <c r="L32">
        <v>25</v>
      </c>
    </row>
    <row r="33" spans="5:12" x14ac:dyDescent="0.2">
      <c r="E33" s="80"/>
      <c r="F33" s="16" t="s">
        <v>1174</v>
      </c>
      <c r="G33" s="23">
        <v>6326</v>
      </c>
      <c r="H33" s="23">
        <v>5313</v>
      </c>
      <c r="I33">
        <v>755</v>
      </c>
      <c r="J33">
        <v>127</v>
      </c>
      <c r="K33">
        <v>126</v>
      </c>
      <c r="L33">
        <v>5</v>
      </c>
    </row>
    <row r="34" spans="5:12" x14ac:dyDescent="0.2">
      <c r="E34" s="80"/>
      <c r="F34" t="s">
        <v>1178</v>
      </c>
      <c r="G34" s="23">
        <v>1165</v>
      </c>
      <c r="H34" s="15">
        <v>921</v>
      </c>
      <c r="I34" s="17">
        <v>176</v>
      </c>
      <c r="J34">
        <v>18</v>
      </c>
      <c r="K34">
        <v>50</v>
      </c>
      <c r="L34">
        <v>0</v>
      </c>
    </row>
    <row r="35" spans="5:12" x14ac:dyDescent="0.2">
      <c r="E35" s="80"/>
      <c r="F35" s="16" t="s">
        <v>1180</v>
      </c>
      <c r="G35" s="23">
        <v>26981</v>
      </c>
      <c r="H35" s="23">
        <v>14347</v>
      </c>
      <c r="I35" s="28">
        <v>11608</v>
      </c>
      <c r="J35">
        <v>820</v>
      </c>
      <c r="K35">
        <v>46</v>
      </c>
      <c r="L35">
        <v>160</v>
      </c>
    </row>
    <row r="36" spans="5:12" x14ac:dyDescent="0.2">
      <c r="E36" s="80"/>
      <c r="F36" s="16" t="s">
        <v>1182</v>
      </c>
      <c r="G36" s="23">
        <v>30176</v>
      </c>
      <c r="H36" s="23">
        <v>23243</v>
      </c>
      <c r="I36" s="28">
        <v>4917</v>
      </c>
      <c r="J36" s="14">
        <v>1320</v>
      </c>
      <c r="K36">
        <v>431</v>
      </c>
      <c r="L36">
        <v>265</v>
      </c>
    </row>
    <row r="37" spans="5:12" x14ac:dyDescent="0.2">
      <c r="E37" s="80"/>
      <c r="F37" s="16" t="s">
        <v>1184</v>
      </c>
      <c r="G37" s="23">
        <v>26654</v>
      </c>
      <c r="H37" s="23">
        <v>19922</v>
      </c>
      <c r="I37" s="28">
        <v>4538</v>
      </c>
      <c r="J37" s="14">
        <v>1113</v>
      </c>
      <c r="K37">
        <v>821</v>
      </c>
      <c r="L37">
        <v>260</v>
      </c>
    </row>
    <row r="38" spans="5:12" x14ac:dyDescent="0.2">
      <c r="E38" s="80"/>
      <c r="F38" s="16" t="s">
        <v>1186</v>
      </c>
      <c r="G38" s="14">
        <v>29555</v>
      </c>
      <c r="H38" s="14">
        <v>2173</v>
      </c>
      <c r="I38">
        <v>771</v>
      </c>
      <c r="J38" s="14">
        <v>26241</v>
      </c>
      <c r="K38">
        <v>0</v>
      </c>
      <c r="L38">
        <v>370</v>
      </c>
    </row>
    <row r="39" spans="5:12" x14ac:dyDescent="0.2">
      <c r="E39" s="80"/>
      <c r="F39" s="47" t="s">
        <v>1188</v>
      </c>
      <c r="G39" s="14">
        <v>29555</v>
      </c>
      <c r="H39" s="14">
        <v>2173</v>
      </c>
      <c r="I39">
        <v>771</v>
      </c>
      <c r="J39" s="14">
        <v>26241</v>
      </c>
      <c r="K39">
        <v>0</v>
      </c>
      <c r="L39">
        <v>370</v>
      </c>
    </row>
    <row r="40" spans="5:12" x14ac:dyDescent="0.2">
      <c r="E40" s="80"/>
      <c r="F40" s="16" t="s">
        <v>1191</v>
      </c>
      <c r="G40" s="14">
        <v>8308</v>
      </c>
      <c r="H40" s="14">
        <v>6540</v>
      </c>
      <c r="I40" s="14">
        <v>1126</v>
      </c>
      <c r="J40">
        <v>357</v>
      </c>
      <c r="K40">
        <v>214</v>
      </c>
      <c r="L40">
        <v>71</v>
      </c>
    </row>
    <row r="41" spans="5:12" x14ac:dyDescent="0.2">
      <c r="E41" s="80"/>
      <c r="F41" s="16" t="s">
        <v>1195</v>
      </c>
      <c r="G41" s="14">
        <v>3597</v>
      </c>
      <c r="H41" s="14">
        <v>3040</v>
      </c>
      <c r="I41">
        <v>246</v>
      </c>
      <c r="J41">
        <v>244</v>
      </c>
      <c r="K41">
        <v>57</v>
      </c>
      <c r="L41">
        <v>10</v>
      </c>
    </row>
    <row r="42" spans="5:12" x14ac:dyDescent="0.2">
      <c r="E42" s="80"/>
      <c r="F42" s="47" t="s">
        <v>1199</v>
      </c>
      <c r="G42" s="14">
        <v>2950</v>
      </c>
      <c r="H42" s="14">
        <v>2456</v>
      </c>
      <c r="I42">
        <v>235</v>
      </c>
      <c r="J42">
        <v>198</v>
      </c>
      <c r="K42">
        <v>51</v>
      </c>
      <c r="L42">
        <v>10</v>
      </c>
    </row>
    <row r="43" spans="5:12" x14ac:dyDescent="0.2">
      <c r="E43" s="80"/>
      <c r="F43" s="47" t="s">
        <v>1200</v>
      </c>
      <c r="G43">
        <v>647</v>
      </c>
      <c r="H43">
        <v>584</v>
      </c>
      <c r="I43">
        <v>11</v>
      </c>
      <c r="J43">
        <v>46</v>
      </c>
      <c r="K43">
        <v>6</v>
      </c>
      <c r="L43">
        <v>0</v>
      </c>
    </row>
    <row r="44" spans="5:12" x14ac:dyDescent="0.2">
      <c r="E44" s="80"/>
      <c r="F44" s="16" t="s">
        <v>1201</v>
      </c>
      <c r="G44" s="14">
        <v>29367</v>
      </c>
      <c r="H44" s="14">
        <v>22252</v>
      </c>
      <c r="I44" s="14">
        <v>3672</v>
      </c>
      <c r="J44" s="14">
        <v>2185</v>
      </c>
      <c r="K44">
        <v>691</v>
      </c>
      <c r="L44">
        <v>567</v>
      </c>
    </row>
    <row r="45" spans="5:12" x14ac:dyDescent="0.2">
      <c r="E45" s="80"/>
      <c r="F45" s="16" t="s">
        <v>1202</v>
      </c>
      <c r="G45" s="14">
        <v>30299</v>
      </c>
      <c r="H45" s="14">
        <v>25616</v>
      </c>
      <c r="I45" s="14">
        <v>2263</v>
      </c>
      <c r="J45" s="14">
        <v>1748</v>
      </c>
      <c r="K45">
        <v>605</v>
      </c>
      <c r="L45">
        <v>67</v>
      </c>
    </row>
    <row r="46" spans="5:12" x14ac:dyDescent="0.2">
      <c r="E46" s="80"/>
      <c r="F46" s="47" t="s">
        <v>1203</v>
      </c>
      <c r="G46" s="14">
        <v>2717</v>
      </c>
      <c r="H46" s="14">
        <v>1903</v>
      </c>
      <c r="I46">
        <v>454</v>
      </c>
      <c r="J46">
        <v>203</v>
      </c>
      <c r="K46">
        <v>151</v>
      </c>
      <c r="L46">
        <v>6</v>
      </c>
    </row>
    <row r="47" spans="5:12" x14ac:dyDescent="0.2">
      <c r="E47" s="80"/>
      <c r="F47" s="47" t="s">
        <v>1204</v>
      </c>
      <c r="G47" s="14">
        <v>2877</v>
      </c>
      <c r="H47" s="14">
        <v>2190</v>
      </c>
      <c r="I47">
        <v>335</v>
      </c>
      <c r="J47">
        <v>177</v>
      </c>
      <c r="K47">
        <v>175</v>
      </c>
      <c r="L47">
        <v>0</v>
      </c>
    </row>
    <row r="48" spans="5:12" x14ac:dyDescent="0.2">
      <c r="E48" s="80"/>
      <c r="F48" s="47" t="s">
        <v>1205</v>
      </c>
      <c r="G48" s="14">
        <v>6318</v>
      </c>
      <c r="H48" s="14">
        <v>5278</v>
      </c>
      <c r="I48">
        <v>254</v>
      </c>
      <c r="J48">
        <v>617</v>
      </c>
      <c r="K48">
        <v>136</v>
      </c>
      <c r="L48">
        <v>33</v>
      </c>
    </row>
    <row r="49" spans="5:12" x14ac:dyDescent="0.2">
      <c r="E49" s="80"/>
      <c r="F49" s="16" t="s">
        <v>1206</v>
      </c>
      <c r="G49" s="14">
        <v>7205</v>
      </c>
      <c r="H49" s="14">
        <v>6447</v>
      </c>
      <c r="I49">
        <v>496</v>
      </c>
      <c r="J49">
        <v>209</v>
      </c>
      <c r="K49">
        <v>53</v>
      </c>
      <c r="L49">
        <v>0</v>
      </c>
    </row>
    <row r="50" spans="5:12" x14ac:dyDescent="0.2">
      <c r="E50" s="80"/>
      <c r="F50" s="16" t="s">
        <v>1207</v>
      </c>
      <c r="G50" s="14">
        <v>11640</v>
      </c>
      <c r="H50" s="14">
        <v>8780</v>
      </c>
      <c r="I50" s="14">
        <v>1224</v>
      </c>
      <c r="J50" s="14">
        <v>1370</v>
      </c>
      <c r="K50">
        <v>218</v>
      </c>
      <c r="L50">
        <v>48</v>
      </c>
    </row>
    <row r="51" spans="5:12" x14ac:dyDescent="0.2">
      <c r="E51" s="80"/>
      <c r="F51" s="47" t="s">
        <v>1162</v>
      </c>
      <c r="G51">
        <v>710</v>
      </c>
      <c r="H51">
        <v>303</v>
      </c>
      <c r="I51">
        <v>41</v>
      </c>
      <c r="J51">
        <v>287</v>
      </c>
      <c r="K51">
        <v>79</v>
      </c>
      <c r="L51">
        <v>0</v>
      </c>
    </row>
    <row r="52" spans="5:12" x14ac:dyDescent="0.2">
      <c r="E52" s="80"/>
      <c r="F52" s="47" t="s">
        <v>1208</v>
      </c>
      <c r="G52" s="14">
        <v>10930</v>
      </c>
      <c r="H52" s="14">
        <v>8477</v>
      </c>
      <c r="I52" s="14">
        <v>1183</v>
      </c>
      <c r="J52" s="14">
        <v>1083</v>
      </c>
      <c r="K52">
        <v>139</v>
      </c>
      <c r="L52">
        <v>48</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topLeftCell="C1"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7" bestFit="1" customWidth="1"/>
    <col min="11" max="12" width="24.5" bestFit="1" customWidth="1"/>
    <col min="13" max="13" width="12.1640625" bestFit="1" customWidth="1"/>
    <col min="14" max="14" width="12.33203125" bestFit="1" customWidth="1"/>
    <col min="15" max="16" width="12.5" bestFit="1" customWidth="1"/>
  </cols>
  <sheetData>
    <row r="1" spans="1:17" x14ac:dyDescent="0.2">
      <c r="A1" s="16" t="s">
        <v>1077</v>
      </c>
      <c r="B1" s="79" t="s">
        <v>105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tbl-english-language-eco-disad-disability</v>
      </c>
    </row>
    <row r="4" spans="1:17" x14ac:dyDescent="0.2">
      <c r="A4" s="16" t="s">
        <v>7</v>
      </c>
      <c r="B4" t="str">
        <f>IF($B$1="","",_xlfn.XLOOKUP($B$1,Master!$F$2:$F$321,Master!$H$2:$H$321,""))</f>
        <v>fig-english-language-eco-disad-disability</v>
      </c>
      <c r="E4" s="8"/>
      <c r="F4" s="10" t="s">
        <v>968</v>
      </c>
      <c r="G4" s="10" t="s">
        <v>973</v>
      </c>
      <c r="H4" s="10" t="s">
        <v>973</v>
      </c>
      <c r="I4" s="10" t="s">
        <v>979</v>
      </c>
      <c r="J4" s="10" t="s">
        <v>973</v>
      </c>
      <c r="K4" s="10" t="s">
        <v>979</v>
      </c>
      <c r="L4" s="10" t="s">
        <v>973</v>
      </c>
      <c r="M4" s="10" t="s">
        <v>979</v>
      </c>
      <c r="N4" s="10"/>
      <c r="O4" s="10"/>
      <c r="P4" s="10"/>
      <c r="Q4" s="10"/>
    </row>
    <row r="5" spans="1:17" x14ac:dyDescent="0.2">
      <c r="A5" s="84" t="s">
        <v>1081</v>
      </c>
      <c r="B5" s="80"/>
      <c r="E5" s="83" t="s">
        <v>1082</v>
      </c>
      <c r="F5" s="81" t="s">
        <v>1419</v>
      </c>
      <c r="G5" t="s">
        <v>2345</v>
      </c>
      <c r="H5" s="81" t="s">
        <v>2346</v>
      </c>
      <c r="I5" s="81"/>
      <c r="J5" s="81" t="s">
        <v>2347</v>
      </c>
      <c r="K5" s="81"/>
      <c r="L5" s="82" t="s">
        <v>2348</v>
      </c>
      <c r="M5" s="82"/>
    </row>
    <row r="6" spans="1:17" ht="15" customHeight="1" x14ac:dyDescent="0.2">
      <c r="A6" t="s">
        <v>1088</v>
      </c>
      <c r="B6" t="b">
        <v>0</v>
      </c>
      <c r="E6" s="80"/>
      <c r="F6" s="81"/>
      <c r="G6" s="15" t="s">
        <v>1272</v>
      </c>
      <c r="H6" s="17" t="s">
        <v>1272</v>
      </c>
      <c r="I6" s="17" t="s">
        <v>1344</v>
      </c>
      <c r="J6" s="17" t="s">
        <v>1272</v>
      </c>
      <c r="K6" s="17" t="s">
        <v>1344</v>
      </c>
      <c r="L6" s="15" t="s">
        <v>1272</v>
      </c>
      <c r="M6" s="15" t="s">
        <v>1344</v>
      </c>
      <c r="N6" s="15"/>
      <c r="O6" s="15"/>
    </row>
    <row r="7" spans="1:17" ht="15.75" customHeight="1" x14ac:dyDescent="0.2">
      <c r="E7" s="80"/>
      <c r="F7" t="s">
        <v>1430</v>
      </c>
      <c r="G7" s="15">
        <v>905</v>
      </c>
      <c r="H7" s="23">
        <v>44</v>
      </c>
      <c r="I7" s="77">
        <v>5</v>
      </c>
      <c r="J7" s="23">
        <v>425</v>
      </c>
      <c r="K7" s="77">
        <v>47</v>
      </c>
      <c r="L7" s="23">
        <v>158</v>
      </c>
      <c r="M7" s="77">
        <v>17</v>
      </c>
      <c r="N7" s="15"/>
      <c r="O7" s="15"/>
    </row>
    <row r="8" spans="1:17" x14ac:dyDescent="0.2">
      <c r="E8" s="80"/>
      <c r="F8" t="s">
        <v>1439</v>
      </c>
      <c r="G8" s="23">
        <v>2989</v>
      </c>
      <c r="H8" s="23">
        <v>73</v>
      </c>
      <c r="I8" s="77">
        <v>2</v>
      </c>
      <c r="J8" s="23">
        <v>724</v>
      </c>
      <c r="K8" s="77">
        <v>24</v>
      </c>
      <c r="L8" s="23">
        <v>404</v>
      </c>
      <c r="M8" s="77">
        <v>14</v>
      </c>
      <c r="N8" s="15"/>
      <c r="O8" s="15"/>
    </row>
    <row r="9" spans="1:17" x14ac:dyDescent="0.2">
      <c r="A9" s="84" t="s">
        <v>1098</v>
      </c>
      <c r="B9" s="80"/>
      <c r="E9" s="80"/>
      <c r="F9" t="s">
        <v>1448</v>
      </c>
      <c r="G9" s="15">
        <v>701</v>
      </c>
      <c r="H9" s="23">
        <v>35</v>
      </c>
      <c r="I9" s="77">
        <v>5</v>
      </c>
      <c r="J9" s="23">
        <v>266</v>
      </c>
      <c r="K9" s="77">
        <v>38</v>
      </c>
      <c r="L9" s="23">
        <v>112</v>
      </c>
      <c r="M9" s="77">
        <v>16</v>
      </c>
      <c r="N9" s="15"/>
      <c r="O9" s="15"/>
    </row>
    <row r="10" spans="1:17" x14ac:dyDescent="0.2">
      <c r="A10" t="s">
        <v>1100</v>
      </c>
      <c r="E10" s="80"/>
      <c r="F10" t="s">
        <v>1456</v>
      </c>
      <c r="G10" s="23">
        <v>2763</v>
      </c>
      <c r="H10" s="23">
        <v>98</v>
      </c>
      <c r="I10" s="77">
        <v>4</v>
      </c>
      <c r="J10" s="23">
        <v>871</v>
      </c>
      <c r="K10" s="77">
        <v>32</v>
      </c>
      <c r="L10" s="23">
        <v>405</v>
      </c>
      <c r="M10" s="77">
        <v>15</v>
      </c>
    </row>
    <row r="11" spans="1:17" x14ac:dyDescent="0.2">
      <c r="A11" t="s">
        <v>1102</v>
      </c>
      <c r="E11" s="80"/>
      <c r="F11" t="s">
        <v>1464</v>
      </c>
      <c r="G11" s="15">
        <v>426</v>
      </c>
      <c r="H11" s="23">
        <v>7</v>
      </c>
      <c r="I11" s="77">
        <v>2</v>
      </c>
      <c r="J11" s="23">
        <v>147</v>
      </c>
      <c r="K11" s="77">
        <v>35</v>
      </c>
      <c r="L11" s="23">
        <v>72</v>
      </c>
      <c r="M11" s="78">
        <v>17</v>
      </c>
      <c r="N11" s="17"/>
    </row>
    <row r="12" spans="1:17" x14ac:dyDescent="0.2">
      <c r="A12" t="s">
        <v>1104</v>
      </c>
      <c r="E12" s="80"/>
      <c r="F12" t="s">
        <v>1471</v>
      </c>
      <c r="G12" s="15">
        <v>914</v>
      </c>
      <c r="H12" s="23">
        <v>68</v>
      </c>
      <c r="I12" s="77">
        <v>7</v>
      </c>
      <c r="J12" s="23">
        <v>447</v>
      </c>
      <c r="K12" s="77">
        <v>49</v>
      </c>
      <c r="L12" s="28">
        <v>189</v>
      </c>
      <c r="M12" s="77">
        <v>21</v>
      </c>
    </row>
    <row r="13" spans="1:17" x14ac:dyDescent="0.2">
      <c r="A13" t="s">
        <v>1108</v>
      </c>
      <c r="E13" s="80"/>
      <c r="F13" s="21" t="s">
        <v>1479</v>
      </c>
      <c r="G13" s="17">
        <v>176</v>
      </c>
      <c r="H13" s="28">
        <v>149</v>
      </c>
      <c r="I13" s="77">
        <v>85</v>
      </c>
      <c r="J13" s="23">
        <v>153</v>
      </c>
      <c r="K13" s="77">
        <v>87</v>
      </c>
      <c r="L13" s="23">
        <v>175</v>
      </c>
      <c r="M13" s="77">
        <v>99</v>
      </c>
    </row>
    <row r="14" spans="1:17" x14ac:dyDescent="0.2">
      <c r="A14" t="s">
        <v>1112</v>
      </c>
      <c r="E14" s="80"/>
      <c r="F14" t="s">
        <v>1481</v>
      </c>
      <c r="G14" s="23">
        <v>7216</v>
      </c>
      <c r="H14" s="23">
        <v>1065</v>
      </c>
      <c r="I14" s="77">
        <v>15</v>
      </c>
      <c r="J14" s="23">
        <v>5370</v>
      </c>
      <c r="K14" s="77">
        <v>74</v>
      </c>
      <c r="L14" s="23">
        <v>1220</v>
      </c>
      <c r="M14" s="77">
        <v>17</v>
      </c>
    </row>
    <row r="15" spans="1:17" x14ac:dyDescent="0.2">
      <c r="A15" t="s">
        <v>1114</v>
      </c>
      <c r="E15" s="80"/>
      <c r="F15" t="s">
        <v>1490</v>
      </c>
      <c r="G15" s="23">
        <v>3451</v>
      </c>
      <c r="H15" s="23">
        <v>85</v>
      </c>
      <c r="I15" s="77">
        <v>2</v>
      </c>
      <c r="J15" s="23">
        <v>1162</v>
      </c>
      <c r="K15" s="77">
        <v>34</v>
      </c>
      <c r="L15" s="23">
        <v>582</v>
      </c>
      <c r="M15" s="77">
        <v>17</v>
      </c>
    </row>
    <row r="16" spans="1:17" x14ac:dyDescent="0.2">
      <c r="A16" t="s">
        <v>1116</v>
      </c>
      <c r="E16" s="80"/>
      <c r="F16" t="s">
        <v>1499</v>
      </c>
      <c r="G16" s="23">
        <v>6320</v>
      </c>
      <c r="H16" s="23">
        <v>668</v>
      </c>
      <c r="I16" s="77">
        <v>11</v>
      </c>
      <c r="J16" s="23">
        <v>3051</v>
      </c>
      <c r="K16" s="77">
        <v>48</v>
      </c>
      <c r="L16" s="23">
        <v>1122</v>
      </c>
      <c r="M16" s="77">
        <v>18</v>
      </c>
    </row>
    <row r="17" spans="1:13" x14ac:dyDescent="0.2">
      <c r="E17" s="80"/>
      <c r="F17" t="s">
        <v>1508</v>
      </c>
      <c r="G17" s="23">
        <v>10516</v>
      </c>
      <c r="H17" s="23">
        <v>1910</v>
      </c>
      <c r="I17" s="77">
        <v>18</v>
      </c>
      <c r="J17" s="23">
        <v>6408</v>
      </c>
      <c r="K17" s="77">
        <v>61</v>
      </c>
      <c r="L17" s="23">
        <v>1765</v>
      </c>
      <c r="M17" s="77">
        <v>17</v>
      </c>
    </row>
    <row r="18" spans="1:13" x14ac:dyDescent="0.2">
      <c r="A18" s="84" t="s">
        <v>1119</v>
      </c>
      <c r="B18" s="80"/>
      <c r="E18" s="80"/>
      <c r="F18" t="s">
        <v>1517</v>
      </c>
      <c r="G18" s="23">
        <v>4551</v>
      </c>
      <c r="H18" s="23">
        <v>119</v>
      </c>
      <c r="I18" s="77">
        <v>3</v>
      </c>
      <c r="J18" s="23">
        <v>2575</v>
      </c>
      <c r="K18" s="77">
        <v>57</v>
      </c>
      <c r="L18" s="23">
        <v>775</v>
      </c>
      <c r="M18" s="77">
        <v>17</v>
      </c>
    </row>
    <row r="19" spans="1:13" x14ac:dyDescent="0.2">
      <c r="A19" t="s">
        <v>1121</v>
      </c>
      <c r="B19" t="s">
        <v>1590</v>
      </c>
      <c r="E19" s="80"/>
      <c r="F19" t="s">
        <v>1191</v>
      </c>
      <c r="G19" s="23">
        <v>2300</v>
      </c>
      <c r="H19" s="23">
        <v>53</v>
      </c>
      <c r="I19" s="77">
        <v>2</v>
      </c>
      <c r="J19" s="23">
        <v>1403</v>
      </c>
      <c r="K19" s="77">
        <v>61</v>
      </c>
      <c r="L19" s="23">
        <v>489</v>
      </c>
      <c r="M19" s="77">
        <v>21</v>
      </c>
    </row>
    <row r="20" spans="1:13" x14ac:dyDescent="0.2">
      <c r="E20" s="80"/>
      <c r="F20" t="s">
        <v>1535</v>
      </c>
      <c r="G20" s="15">
        <v>192</v>
      </c>
      <c r="H20" s="23">
        <v>15</v>
      </c>
      <c r="I20" s="77">
        <v>8</v>
      </c>
      <c r="J20" s="23">
        <v>80</v>
      </c>
      <c r="K20" s="77">
        <v>42</v>
      </c>
      <c r="L20" s="23">
        <v>34</v>
      </c>
      <c r="M20" s="77">
        <v>18</v>
      </c>
    </row>
    <row r="21" spans="1:13" x14ac:dyDescent="0.2">
      <c r="A21" s="82" t="s">
        <v>1125</v>
      </c>
      <c r="B21" s="80"/>
      <c r="E21" s="80"/>
      <c r="F21" s="37" t="s">
        <v>1540</v>
      </c>
      <c r="G21" s="23">
        <v>4124</v>
      </c>
      <c r="H21" s="23">
        <v>70</v>
      </c>
      <c r="I21" s="77">
        <v>2</v>
      </c>
      <c r="J21" s="23">
        <v>1797</v>
      </c>
      <c r="K21" s="77">
        <v>44</v>
      </c>
      <c r="L21" s="23">
        <v>799</v>
      </c>
      <c r="M21" s="77">
        <v>19</v>
      </c>
    </row>
    <row r="22" spans="1:13" x14ac:dyDescent="0.2">
      <c r="A22" t="s">
        <v>1135</v>
      </c>
      <c r="B22" t="s">
        <v>1591</v>
      </c>
      <c r="E22" s="80"/>
      <c r="F22" s="37" t="s">
        <v>1550</v>
      </c>
      <c r="G22" s="23">
        <v>3689</v>
      </c>
      <c r="H22" s="23">
        <v>43</v>
      </c>
      <c r="I22" s="77">
        <v>1</v>
      </c>
      <c r="J22" s="23">
        <v>798</v>
      </c>
      <c r="K22" s="77">
        <v>22</v>
      </c>
      <c r="L22" s="23">
        <v>574</v>
      </c>
      <c r="M22" s="77">
        <v>16</v>
      </c>
    </row>
    <row r="23" spans="1:13" x14ac:dyDescent="0.2">
      <c r="E23" s="80"/>
      <c r="F23" s="37" t="s">
        <v>1558</v>
      </c>
      <c r="G23" s="23">
        <v>3806</v>
      </c>
      <c r="H23" s="23">
        <v>174</v>
      </c>
      <c r="I23" s="77">
        <v>5</v>
      </c>
      <c r="J23" s="23">
        <v>1567</v>
      </c>
      <c r="K23" s="77">
        <v>41</v>
      </c>
      <c r="L23" s="23">
        <v>581</v>
      </c>
      <c r="M23" s="77">
        <v>15</v>
      </c>
    </row>
    <row r="24" spans="1:13" x14ac:dyDescent="0.2">
      <c r="E24" s="80"/>
    </row>
    <row r="25" spans="1:13" x14ac:dyDescent="0.2">
      <c r="E25" s="80"/>
      <c r="F25" s="15"/>
      <c r="G25" s="15"/>
      <c r="H25" s="15"/>
      <c r="K25" t="s">
        <v>1226</v>
      </c>
    </row>
    <row r="26" spans="1:13" x14ac:dyDescent="0.2">
      <c r="E26" s="80"/>
      <c r="F26" s="15"/>
      <c r="G26" s="15"/>
      <c r="H26" s="15"/>
    </row>
    <row r="27" spans="1:13" x14ac:dyDescent="0.2">
      <c r="A27" s="82"/>
      <c r="B27" s="80"/>
      <c r="E27" s="80"/>
      <c r="F27" s="15"/>
      <c r="G27" s="15"/>
      <c r="H27" s="15"/>
    </row>
    <row r="28" spans="1:13" x14ac:dyDescent="0.2">
      <c r="E28" s="80"/>
      <c r="F28" s="15"/>
      <c r="G28" s="15"/>
      <c r="H28" s="15"/>
    </row>
    <row r="29" spans="1:13" x14ac:dyDescent="0.2">
      <c r="E29" s="80"/>
      <c r="F29" s="15"/>
      <c r="G29" s="15"/>
      <c r="H29" s="15"/>
    </row>
    <row r="30" spans="1:13" x14ac:dyDescent="0.2">
      <c r="E30" s="80"/>
      <c r="F30" s="15"/>
      <c r="G30" s="15"/>
      <c r="H30" s="15"/>
    </row>
    <row r="31" spans="1:13" x14ac:dyDescent="0.2">
      <c r="E31" s="80"/>
      <c r="F31" s="15"/>
      <c r="G31" s="15"/>
      <c r="H31" s="15"/>
      <c r="K31" t="s">
        <v>1227</v>
      </c>
    </row>
    <row r="32" spans="1:13"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A9:B9"/>
    <mergeCell ref="A5:B5"/>
    <mergeCell ref="A18:B18"/>
    <mergeCell ref="A27:B27"/>
    <mergeCell ref="H5:I5"/>
    <mergeCell ref="F5:F6"/>
    <mergeCell ref="J5:K5"/>
    <mergeCell ref="L5:M5"/>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1077</v>
      </c>
      <c r="B1" s="79" t="s">
        <v>2349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tbl-uninsured-rande</v>
      </c>
    </row>
    <row r="4" spans="1:17" x14ac:dyDescent="0.2">
      <c r="A4" s="16" t="s">
        <v>7</v>
      </c>
      <c r="B4" t="str">
        <f>IF($B$1="","",_xlfn.XLOOKUP($B$1,Master!$F$2:$F$321,Master!$H$2:$H$321,""))</f>
        <v>fig-uninsured-rande</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4.8</v>
      </c>
      <c r="H6" s="15">
        <v>3.4</v>
      </c>
      <c r="I6" s="15">
        <v>5.2</v>
      </c>
      <c r="J6" s="15">
        <v>18.8</v>
      </c>
      <c r="K6" s="15">
        <v>10.6</v>
      </c>
      <c r="L6" s="15">
        <v>78.099999999999994</v>
      </c>
      <c r="M6" s="15">
        <v>10.4</v>
      </c>
      <c r="N6" s="15">
        <v>4.7</v>
      </c>
      <c r="O6" s="15">
        <v>8.4</v>
      </c>
      <c r="P6">
        <v>3</v>
      </c>
    </row>
    <row r="7" spans="1:17" ht="15.75" customHeight="1" x14ac:dyDescent="0.2">
      <c r="E7" s="80"/>
      <c r="F7" t="s">
        <v>1299</v>
      </c>
      <c r="G7" s="15">
        <v>5.0999999999999996</v>
      </c>
      <c r="H7" s="15">
        <v>3.3</v>
      </c>
      <c r="I7" s="15">
        <v>5.6</v>
      </c>
      <c r="J7" s="15">
        <v>13.6</v>
      </c>
      <c r="K7" s="15">
        <v>6</v>
      </c>
      <c r="L7" s="15">
        <v>12.8</v>
      </c>
      <c r="M7" s="15">
        <v>11.7</v>
      </c>
      <c r="N7" s="15">
        <v>6.8</v>
      </c>
      <c r="O7" s="15">
        <v>9.6999999999999993</v>
      </c>
      <c r="P7">
        <v>3.1</v>
      </c>
    </row>
    <row r="8" spans="1:17" x14ac:dyDescent="0.2">
      <c r="E8" s="80"/>
      <c r="F8" t="s">
        <v>1397</v>
      </c>
      <c r="G8" s="15">
        <v>8.6</v>
      </c>
      <c r="H8" s="15">
        <v>6.6</v>
      </c>
      <c r="I8" s="15">
        <v>9.5</v>
      </c>
      <c r="J8" s="15">
        <v>19.2</v>
      </c>
      <c r="K8" s="15">
        <v>5.9</v>
      </c>
      <c r="L8" s="15">
        <v>11.6</v>
      </c>
      <c r="M8" s="15">
        <v>19.7</v>
      </c>
      <c r="N8" s="15">
        <v>13</v>
      </c>
      <c r="O8" s="15">
        <v>17.5</v>
      </c>
      <c r="P8">
        <v>5.7</v>
      </c>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1592</v>
      </c>
      <c r="E19" s="80"/>
    </row>
    <row r="20" spans="1:8" x14ac:dyDescent="0.2">
      <c r="E20" s="80"/>
      <c r="F20" s="15"/>
      <c r="G20" s="15"/>
      <c r="H20" s="15"/>
    </row>
    <row r="21" spans="1:8" x14ac:dyDescent="0.2">
      <c r="A21" s="82" t="s">
        <v>1125</v>
      </c>
      <c r="B21" s="80"/>
      <c r="E21" s="80"/>
      <c r="F21" s="15"/>
      <c r="G21" s="15"/>
      <c r="H21" s="15"/>
    </row>
    <row r="22" spans="1:8" x14ac:dyDescent="0.2">
      <c r="A22" t="s">
        <v>1135</v>
      </c>
      <c r="B22" t="s">
        <v>1593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C12" sqref="C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2350</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tbl-cars-household</v>
      </c>
    </row>
    <row r="4" spans="1:17" x14ac:dyDescent="0.2">
      <c r="A4" s="16" t="s">
        <v>7</v>
      </c>
      <c r="B4" t="str">
        <f>IF($B$1="","",_xlfn.XLOOKUP($B$1,Master!$F$2:$F$321,Master!$H$2:$H$321,""))</f>
        <v>fig-cars-household</v>
      </c>
      <c r="E4" s="8"/>
      <c r="F4" s="10" t="s">
        <v>968</v>
      </c>
      <c r="G4" s="10" t="s">
        <v>973</v>
      </c>
      <c r="H4" s="10" t="s">
        <v>973</v>
      </c>
      <c r="I4" s="10" t="s">
        <v>973</v>
      </c>
      <c r="J4" s="10" t="s">
        <v>973</v>
      </c>
      <c r="K4" s="10" t="s">
        <v>973</v>
      </c>
      <c r="L4" s="10" t="s">
        <v>973</v>
      </c>
      <c r="M4" s="10"/>
      <c r="N4" s="10"/>
      <c r="O4" s="10"/>
      <c r="P4" s="10"/>
      <c r="Q4" s="10"/>
    </row>
    <row r="5" spans="1:17" x14ac:dyDescent="0.2">
      <c r="A5" s="84" t="s">
        <v>1081</v>
      </c>
      <c r="B5" s="80"/>
      <c r="E5" s="83" t="s">
        <v>1082</v>
      </c>
      <c r="F5" s="82" t="s">
        <v>1083</v>
      </c>
      <c r="G5" s="82" t="s">
        <v>1338</v>
      </c>
      <c r="H5" s="82" t="s">
        <v>1594</v>
      </c>
      <c r="I5" s="80"/>
      <c r="J5" s="80"/>
      <c r="K5" s="80"/>
      <c r="L5" s="80"/>
    </row>
    <row r="6" spans="1:17" ht="15" customHeight="1" x14ac:dyDescent="0.2">
      <c r="A6" t="s">
        <v>1088</v>
      </c>
      <c r="B6" t="b">
        <v>1</v>
      </c>
      <c r="E6" s="80"/>
      <c r="F6" s="80"/>
      <c r="G6" s="80"/>
      <c r="H6" s="15">
        <v>0</v>
      </c>
      <c r="I6" s="15">
        <v>1</v>
      </c>
      <c r="J6" s="15">
        <v>2</v>
      </c>
      <c r="K6" s="15">
        <v>3</v>
      </c>
      <c r="L6" s="15" t="s">
        <v>1595</v>
      </c>
      <c r="M6" s="15"/>
      <c r="N6" s="15"/>
      <c r="O6" s="15"/>
    </row>
    <row r="7" spans="1:17" ht="15.75" customHeight="1" x14ac:dyDescent="0.2">
      <c r="E7" s="80"/>
      <c r="F7" s="16" t="s">
        <v>1096</v>
      </c>
      <c r="G7" s="23">
        <v>137311</v>
      </c>
      <c r="H7" s="23">
        <v>11823</v>
      </c>
      <c r="I7" s="23">
        <v>44006</v>
      </c>
      <c r="J7" s="23">
        <v>50961</v>
      </c>
      <c r="K7" s="23">
        <v>19803</v>
      </c>
      <c r="L7" s="23">
        <v>10718</v>
      </c>
      <c r="M7" s="15"/>
      <c r="N7" s="15"/>
      <c r="O7" s="15"/>
    </row>
    <row r="8" spans="1:17" x14ac:dyDescent="0.2">
      <c r="E8" s="80"/>
      <c r="F8" s="16" t="s">
        <v>1097</v>
      </c>
      <c r="G8" s="23">
        <v>6149</v>
      </c>
      <c r="H8" s="15">
        <v>259</v>
      </c>
      <c r="I8" s="23">
        <v>2189</v>
      </c>
      <c r="J8" s="23">
        <v>2236</v>
      </c>
      <c r="K8" s="15">
        <v>958</v>
      </c>
      <c r="L8" s="15">
        <v>507</v>
      </c>
      <c r="M8" s="15"/>
      <c r="N8" s="15"/>
      <c r="O8" s="15"/>
    </row>
    <row r="9" spans="1:17" x14ac:dyDescent="0.2">
      <c r="A9" s="84" t="s">
        <v>1098</v>
      </c>
      <c r="B9" s="80"/>
      <c r="E9" s="80"/>
      <c r="F9" s="47" t="s">
        <v>1099</v>
      </c>
      <c r="G9" s="23">
        <v>1173</v>
      </c>
      <c r="H9" s="15">
        <v>64</v>
      </c>
      <c r="I9" s="15">
        <v>598</v>
      </c>
      <c r="J9" s="15">
        <v>392</v>
      </c>
      <c r="K9" s="15">
        <v>30</v>
      </c>
      <c r="L9" s="15">
        <v>89</v>
      </c>
      <c r="M9" s="15"/>
      <c r="N9" s="15"/>
      <c r="O9" s="15"/>
    </row>
    <row r="10" spans="1:17" x14ac:dyDescent="0.2">
      <c r="A10" t="s">
        <v>1100</v>
      </c>
      <c r="E10" s="80"/>
      <c r="F10" s="47" t="s">
        <v>1101</v>
      </c>
      <c r="G10" s="23">
        <v>2106</v>
      </c>
      <c r="H10">
        <v>78</v>
      </c>
      <c r="I10">
        <v>647</v>
      </c>
      <c r="J10">
        <v>950</v>
      </c>
      <c r="K10">
        <v>236</v>
      </c>
      <c r="L10">
        <v>195</v>
      </c>
    </row>
    <row r="11" spans="1:17" x14ac:dyDescent="0.2">
      <c r="A11" t="s">
        <v>1102</v>
      </c>
      <c r="E11" s="80"/>
      <c r="F11" s="16" t="s">
        <v>1103</v>
      </c>
      <c r="G11" s="23">
        <v>4458</v>
      </c>
      <c r="H11" s="15">
        <v>139</v>
      </c>
      <c r="I11" s="15">
        <v>943</v>
      </c>
      <c r="J11" s="28">
        <v>2154</v>
      </c>
      <c r="K11" s="17">
        <v>806</v>
      </c>
      <c r="L11" s="17">
        <v>416</v>
      </c>
      <c r="M11" s="17"/>
      <c r="N11" s="17"/>
    </row>
    <row r="12" spans="1:17" x14ac:dyDescent="0.2">
      <c r="A12" t="s">
        <v>1104</v>
      </c>
      <c r="E12" s="80"/>
      <c r="F12" s="48" t="s">
        <v>1105</v>
      </c>
      <c r="G12" s="28">
        <v>1560</v>
      </c>
      <c r="H12" s="17">
        <v>124</v>
      </c>
      <c r="I12" s="15">
        <v>406</v>
      </c>
      <c r="J12" s="15">
        <v>685</v>
      </c>
      <c r="K12" s="15">
        <v>305</v>
      </c>
      <c r="L12" s="15">
        <v>40</v>
      </c>
    </row>
    <row r="13" spans="1:17" x14ac:dyDescent="0.2">
      <c r="A13" t="s">
        <v>1108</v>
      </c>
      <c r="E13" s="80"/>
      <c r="F13" s="16" t="s">
        <v>1109</v>
      </c>
      <c r="G13" s="14">
        <v>5023</v>
      </c>
      <c r="H13">
        <v>102</v>
      </c>
      <c r="I13" s="14">
        <v>1605</v>
      </c>
      <c r="J13" s="14">
        <v>2274</v>
      </c>
      <c r="K13">
        <v>690</v>
      </c>
      <c r="L13">
        <v>352</v>
      </c>
    </row>
    <row r="14" spans="1:17" x14ac:dyDescent="0.2">
      <c r="A14" t="s">
        <v>1112</v>
      </c>
      <c r="E14" s="80"/>
      <c r="F14" s="47" t="s">
        <v>1113</v>
      </c>
      <c r="G14" s="14">
        <v>1230</v>
      </c>
      <c r="H14">
        <v>29</v>
      </c>
      <c r="I14">
        <v>283</v>
      </c>
      <c r="J14">
        <v>713</v>
      </c>
      <c r="K14">
        <v>124</v>
      </c>
      <c r="L14">
        <v>81</v>
      </c>
    </row>
    <row r="15" spans="1:17" x14ac:dyDescent="0.2">
      <c r="A15" t="s">
        <v>1114</v>
      </c>
      <c r="E15" s="80"/>
      <c r="F15" s="25" t="s">
        <v>1115</v>
      </c>
      <c r="G15" s="14">
        <v>3001</v>
      </c>
      <c r="H15">
        <v>23</v>
      </c>
      <c r="I15">
        <v>627</v>
      </c>
      <c r="J15" s="14">
        <v>1059</v>
      </c>
      <c r="K15">
        <v>747</v>
      </c>
      <c r="L15">
        <v>545</v>
      </c>
    </row>
    <row r="16" spans="1:17" x14ac:dyDescent="0.2">
      <c r="A16" t="s">
        <v>1116</v>
      </c>
      <c r="E16" s="80"/>
      <c r="F16" s="25" t="s">
        <v>1117</v>
      </c>
      <c r="G16" s="14">
        <v>2993</v>
      </c>
      <c r="H16">
        <v>92</v>
      </c>
      <c r="I16" s="14">
        <v>1031</v>
      </c>
      <c r="J16" s="14">
        <v>1443</v>
      </c>
      <c r="K16">
        <v>297</v>
      </c>
      <c r="L16">
        <v>130</v>
      </c>
    </row>
    <row r="17" spans="1:12" x14ac:dyDescent="0.2">
      <c r="E17" s="80"/>
      <c r="F17" s="25" t="s">
        <v>1118</v>
      </c>
      <c r="G17" s="14">
        <v>4861</v>
      </c>
      <c r="H17">
        <v>357</v>
      </c>
      <c r="I17" s="14">
        <v>1400</v>
      </c>
      <c r="J17" s="14">
        <v>1879</v>
      </c>
      <c r="K17">
        <v>923</v>
      </c>
      <c r="L17">
        <v>302</v>
      </c>
    </row>
    <row r="18" spans="1:12" x14ac:dyDescent="0.2">
      <c r="A18" s="84" t="s">
        <v>1119</v>
      </c>
      <c r="B18" s="80"/>
      <c r="E18" s="80"/>
      <c r="F18" s="47" t="s">
        <v>1120</v>
      </c>
      <c r="G18" s="14">
        <v>2350</v>
      </c>
      <c r="H18">
        <v>227</v>
      </c>
      <c r="I18">
        <v>936</v>
      </c>
      <c r="J18">
        <v>774</v>
      </c>
      <c r="K18">
        <v>357</v>
      </c>
      <c r="L18">
        <v>56</v>
      </c>
    </row>
    <row r="19" spans="1:12" x14ac:dyDescent="0.2">
      <c r="A19" t="s">
        <v>1121</v>
      </c>
      <c r="B19" t="s">
        <v>1596</v>
      </c>
      <c r="E19" s="80"/>
      <c r="F19" s="16" t="s">
        <v>1123</v>
      </c>
      <c r="G19" s="14">
        <v>1645</v>
      </c>
      <c r="H19">
        <v>87</v>
      </c>
      <c r="I19">
        <v>271</v>
      </c>
      <c r="J19">
        <v>703</v>
      </c>
      <c r="K19">
        <v>328</v>
      </c>
      <c r="L19">
        <v>256</v>
      </c>
    </row>
    <row r="20" spans="1:12" x14ac:dyDescent="0.2">
      <c r="E20" s="80"/>
      <c r="F20" s="16" t="s">
        <v>1124</v>
      </c>
      <c r="G20" s="23">
        <v>1745</v>
      </c>
      <c r="H20" s="15">
        <v>0</v>
      </c>
      <c r="I20">
        <v>416</v>
      </c>
      <c r="J20">
        <v>648</v>
      </c>
      <c r="K20">
        <v>394</v>
      </c>
      <c r="L20">
        <v>287</v>
      </c>
    </row>
    <row r="21" spans="1:12" x14ac:dyDescent="0.2">
      <c r="A21" s="82" t="s">
        <v>1125</v>
      </c>
      <c r="B21" s="80"/>
      <c r="E21" s="80"/>
      <c r="F21" s="16" t="s">
        <v>1126</v>
      </c>
      <c r="G21" s="23">
        <v>3938</v>
      </c>
      <c r="H21" s="15">
        <v>105</v>
      </c>
      <c r="I21" s="14">
        <v>1410</v>
      </c>
      <c r="J21" s="14">
        <v>1806</v>
      </c>
      <c r="K21">
        <v>400</v>
      </c>
      <c r="L21">
        <v>217</v>
      </c>
    </row>
    <row r="22" spans="1:12" x14ac:dyDescent="0.2">
      <c r="A22" t="s">
        <v>1135</v>
      </c>
      <c r="B22" t="s">
        <v>1232</v>
      </c>
      <c r="E22" s="80"/>
      <c r="F22" s="47" t="s">
        <v>1137</v>
      </c>
      <c r="G22" s="23">
        <v>1648</v>
      </c>
      <c r="H22" s="15">
        <v>56</v>
      </c>
      <c r="I22">
        <v>770</v>
      </c>
      <c r="J22">
        <v>588</v>
      </c>
      <c r="K22">
        <v>188</v>
      </c>
      <c r="L22">
        <v>46</v>
      </c>
    </row>
    <row r="23" spans="1:12" x14ac:dyDescent="0.2">
      <c r="E23" s="80"/>
      <c r="F23" s="16" t="s">
        <v>1146</v>
      </c>
      <c r="G23" s="23">
        <v>10182</v>
      </c>
      <c r="H23" s="23">
        <v>1391</v>
      </c>
      <c r="I23" s="14">
        <v>3867</v>
      </c>
      <c r="J23" s="14">
        <v>3270</v>
      </c>
      <c r="K23" s="14">
        <v>1017</v>
      </c>
      <c r="L23">
        <v>637</v>
      </c>
    </row>
    <row r="24" spans="1:12" x14ac:dyDescent="0.2">
      <c r="E24" s="80"/>
      <c r="F24" s="16" t="s">
        <v>1150</v>
      </c>
      <c r="G24" s="14">
        <v>1526</v>
      </c>
      <c r="H24">
        <v>43</v>
      </c>
      <c r="I24">
        <v>309</v>
      </c>
      <c r="J24">
        <v>652</v>
      </c>
      <c r="K24">
        <v>207</v>
      </c>
      <c r="L24">
        <v>315</v>
      </c>
    </row>
    <row r="25" spans="1:12" x14ac:dyDescent="0.2">
      <c r="E25" s="80"/>
      <c r="F25" s="47" t="s">
        <v>1154</v>
      </c>
      <c r="G25" s="15">
        <v>222</v>
      </c>
      <c r="H25" s="15">
        <v>0</v>
      </c>
      <c r="I25">
        <v>44</v>
      </c>
      <c r="J25">
        <v>141</v>
      </c>
      <c r="K25">
        <v>23</v>
      </c>
      <c r="L25">
        <v>14</v>
      </c>
    </row>
    <row r="26" spans="1:12" x14ac:dyDescent="0.2">
      <c r="E26" s="80"/>
      <c r="F26" s="16" t="s">
        <v>1158</v>
      </c>
      <c r="G26" s="23">
        <v>6855</v>
      </c>
      <c r="H26" s="15">
        <v>301</v>
      </c>
      <c r="I26" s="14">
        <v>2096</v>
      </c>
      <c r="J26" s="14">
        <v>2539</v>
      </c>
      <c r="K26" s="14">
        <v>1532</v>
      </c>
      <c r="L26">
        <v>387</v>
      </c>
    </row>
    <row r="27" spans="1:12" x14ac:dyDescent="0.2">
      <c r="A27" s="82"/>
      <c r="B27" s="80"/>
      <c r="E27" s="80"/>
      <c r="F27" s="47" t="s">
        <v>1162</v>
      </c>
      <c r="G27" s="15">
        <v>792</v>
      </c>
      <c r="H27" s="15">
        <v>57</v>
      </c>
      <c r="I27">
        <v>346</v>
      </c>
      <c r="J27">
        <v>264</v>
      </c>
      <c r="K27">
        <v>97</v>
      </c>
      <c r="L27">
        <v>28</v>
      </c>
    </row>
    <row r="28" spans="1:12" x14ac:dyDescent="0.2">
      <c r="E28" s="80"/>
      <c r="F28" s="47" t="s">
        <v>1164</v>
      </c>
      <c r="G28" s="23">
        <v>2886</v>
      </c>
      <c r="H28" s="15">
        <v>137</v>
      </c>
      <c r="I28" s="14">
        <v>1025</v>
      </c>
      <c r="J28">
        <v>966</v>
      </c>
      <c r="K28">
        <v>536</v>
      </c>
      <c r="L28">
        <v>222</v>
      </c>
    </row>
    <row r="29" spans="1:12" x14ac:dyDescent="0.2">
      <c r="E29" s="80"/>
      <c r="F29" s="16" t="s">
        <v>1166</v>
      </c>
      <c r="G29" s="23">
        <v>8306</v>
      </c>
      <c r="H29" s="15">
        <v>421</v>
      </c>
      <c r="I29" s="14">
        <v>2443</v>
      </c>
      <c r="J29" s="14">
        <v>3356</v>
      </c>
      <c r="K29" s="14">
        <v>1258</v>
      </c>
      <c r="L29">
        <v>828</v>
      </c>
    </row>
    <row r="30" spans="1:12" x14ac:dyDescent="0.2">
      <c r="E30" s="80"/>
      <c r="F30" s="47" t="s">
        <v>1168</v>
      </c>
      <c r="G30" s="23">
        <v>1401</v>
      </c>
      <c r="H30" s="15">
        <v>96</v>
      </c>
      <c r="I30">
        <v>706</v>
      </c>
      <c r="J30">
        <v>424</v>
      </c>
      <c r="K30">
        <v>122</v>
      </c>
      <c r="L30">
        <v>53</v>
      </c>
    </row>
    <row r="31" spans="1:12" x14ac:dyDescent="0.2">
      <c r="E31" s="80"/>
      <c r="F31" s="47" t="s">
        <v>1170</v>
      </c>
      <c r="G31" s="23">
        <v>1535</v>
      </c>
      <c r="H31" s="15">
        <v>119</v>
      </c>
      <c r="I31">
        <v>510</v>
      </c>
      <c r="J31">
        <v>711</v>
      </c>
      <c r="K31">
        <v>174</v>
      </c>
      <c r="L31">
        <v>21</v>
      </c>
    </row>
    <row r="32" spans="1:12" x14ac:dyDescent="0.2">
      <c r="E32" s="80"/>
      <c r="F32" s="47" t="s">
        <v>1172</v>
      </c>
      <c r="G32" s="14">
        <v>2621</v>
      </c>
      <c r="H32">
        <v>167</v>
      </c>
      <c r="I32">
        <v>638</v>
      </c>
      <c r="J32" s="14">
        <v>1124</v>
      </c>
      <c r="K32">
        <v>451</v>
      </c>
      <c r="L32">
        <v>241</v>
      </c>
    </row>
    <row r="33" spans="5:12" x14ac:dyDescent="0.2">
      <c r="E33" s="80"/>
      <c r="F33" s="16" t="s">
        <v>1174</v>
      </c>
      <c r="G33" s="23">
        <v>2094</v>
      </c>
      <c r="H33" s="15">
        <v>76</v>
      </c>
      <c r="I33">
        <v>723</v>
      </c>
      <c r="J33">
        <v>846</v>
      </c>
      <c r="K33">
        <v>252</v>
      </c>
      <c r="L33">
        <v>197</v>
      </c>
    </row>
    <row r="34" spans="5:12" x14ac:dyDescent="0.2">
      <c r="E34" s="80"/>
      <c r="F34" t="s">
        <v>1178</v>
      </c>
      <c r="G34" s="15">
        <v>439</v>
      </c>
      <c r="H34" s="15">
        <v>31</v>
      </c>
      <c r="I34" s="17">
        <v>143</v>
      </c>
      <c r="J34">
        <v>202</v>
      </c>
      <c r="K34">
        <v>30</v>
      </c>
      <c r="L34">
        <v>33</v>
      </c>
    </row>
    <row r="35" spans="5:12" x14ac:dyDescent="0.2">
      <c r="E35" s="80"/>
      <c r="F35" s="16" t="s">
        <v>1180</v>
      </c>
      <c r="G35" s="23">
        <v>10335</v>
      </c>
      <c r="H35" s="23">
        <v>2442</v>
      </c>
      <c r="I35" s="28">
        <v>4554</v>
      </c>
      <c r="J35" s="14">
        <v>2503</v>
      </c>
      <c r="K35">
        <v>542</v>
      </c>
      <c r="L35">
        <v>294</v>
      </c>
    </row>
    <row r="36" spans="5:12" x14ac:dyDescent="0.2">
      <c r="E36" s="80"/>
      <c r="F36" s="16" t="s">
        <v>1182</v>
      </c>
      <c r="G36" s="23">
        <v>11553</v>
      </c>
      <c r="H36" s="15">
        <v>399</v>
      </c>
      <c r="I36" s="28">
        <v>2737</v>
      </c>
      <c r="J36" s="14">
        <v>5100</v>
      </c>
      <c r="K36" s="14">
        <v>2304</v>
      </c>
      <c r="L36" s="14">
        <v>1013</v>
      </c>
    </row>
    <row r="37" spans="5:12" x14ac:dyDescent="0.2">
      <c r="E37" s="80"/>
      <c r="F37" s="16" t="s">
        <v>1184</v>
      </c>
      <c r="G37" s="23">
        <v>10763</v>
      </c>
      <c r="H37" s="15">
        <v>436</v>
      </c>
      <c r="I37" s="28">
        <v>3551</v>
      </c>
      <c r="J37" s="14">
        <v>4394</v>
      </c>
      <c r="K37" s="14">
        <v>1541</v>
      </c>
      <c r="L37">
        <v>841</v>
      </c>
    </row>
    <row r="38" spans="5:12" x14ac:dyDescent="0.2">
      <c r="E38" s="80"/>
      <c r="F38" s="16" t="s">
        <v>1186</v>
      </c>
      <c r="G38" s="14">
        <v>6869</v>
      </c>
      <c r="H38" s="14">
        <v>2413</v>
      </c>
      <c r="I38" s="14">
        <v>3964</v>
      </c>
      <c r="J38">
        <v>475</v>
      </c>
      <c r="K38">
        <v>0</v>
      </c>
      <c r="L38">
        <v>17</v>
      </c>
    </row>
    <row r="39" spans="5:12" x14ac:dyDescent="0.2">
      <c r="E39" s="80"/>
      <c r="F39" s="47" t="s">
        <v>1188</v>
      </c>
      <c r="G39" s="14">
        <v>6869</v>
      </c>
      <c r="H39" s="14">
        <v>2413</v>
      </c>
      <c r="I39" s="14">
        <v>3964</v>
      </c>
      <c r="J39">
        <v>475</v>
      </c>
      <c r="K39">
        <v>0</v>
      </c>
      <c r="L39">
        <v>17</v>
      </c>
    </row>
    <row r="40" spans="5:12" x14ac:dyDescent="0.2">
      <c r="E40" s="80"/>
      <c r="F40" s="16" t="s">
        <v>1191</v>
      </c>
      <c r="G40" s="14">
        <v>3533</v>
      </c>
      <c r="H40">
        <v>686</v>
      </c>
      <c r="I40" s="14">
        <v>1337</v>
      </c>
      <c r="J40" s="14">
        <v>1006</v>
      </c>
      <c r="K40">
        <v>306</v>
      </c>
      <c r="L40">
        <v>198</v>
      </c>
    </row>
    <row r="41" spans="5:12" x14ac:dyDescent="0.2">
      <c r="E41" s="80"/>
      <c r="F41" s="16" t="s">
        <v>1195</v>
      </c>
      <c r="G41" s="14">
        <v>1539</v>
      </c>
      <c r="H41">
        <v>36</v>
      </c>
      <c r="I41">
        <v>501</v>
      </c>
      <c r="J41">
        <v>492</v>
      </c>
      <c r="K41">
        <v>251</v>
      </c>
      <c r="L41">
        <v>259</v>
      </c>
    </row>
    <row r="42" spans="5:12" x14ac:dyDescent="0.2">
      <c r="E42" s="80"/>
      <c r="F42" s="47" t="s">
        <v>1199</v>
      </c>
      <c r="G42" s="14">
        <v>1151</v>
      </c>
      <c r="H42">
        <v>35</v>
      </c>
      <c r="I42">
        <v>384</v>
      </c>
      <c r="J42">
        <v>397</v>
      </c>
      <c r="K42">
        <v>217</v>
      </c>
      <c r="L42">
        <v>118</v>
      </c>
    </row>
    <row r="43" spans="5:12" x14ac:dyDescent="0.2">
      <c r="E43" s="80"/>
      <c r="F43" s="47" t="s">
        <v>1200</v>
      </c>
      <c r="G43">
        <v>388</v>
      </c>
      <c r="H43">
        <v>1</v>
      </c>
      <c r="I43">
        <v>117</v>
      </c>
      <c r="J43">
        <v>95</v>
      </c>
      <c r="K43">
        <v>34</v>
      </c>
      <c r="L43">
        <v>141</v>
      </c>
    </row>
    <row r="44" spans="5:12" x14ac:dyDescent="0.2">
      <c r="E44" s="80"/>
      <c r="F44" s="16" t="s">
        <v>1201</v>
      </c>
      <c r="G44" s="14">
        <v>11910</v>
      </c>
      <c r="H44">
        <v>986</v>
      </c>
      <c r="I44" s="14">
        <v>3575</v>
      </c>
      <c r="J44" s="14">
        <v>4894</v>
      </c>
      <c r="K44" s="14">
        <v>1738</v>
      </c>
      <c r="L44">
        <v>717</v>
      </c>
    </row>
    <row r="45" spans="5:12" x14ac:dyDescent="0.2">
      <c r="E45" s="80"/>
      <c r="F45" s="16" t="s">
        <v>1202</v>
      </c>
      <c r="G45" s="14">
        <v>11743</v>
      </c>
      <c r="H45">
        <v>662</v>
      </c>
      <c r="I45" s="14">
        <v>3157</v>
      </c>
      <c r="J45" s="14">
        <v>4459</v>
      </c>
      <c r="K45" s="14">
        <v>2314</v>
      </c>
      <c r="L45" s="14">
        <v>1151</v>
      </c>
    </row>
    <row r="46" spans="5:12" x14ac:dyDescent="0.2">
      <c r="E46" s="80"/>
      <c r="F46" s="47" t="s">
        <v>1203</v>
      </c>
      <c r="G46">
        <v>936</v>
      </c>
      <c r="H46">
        <v>57</v>
      </c>
      <c r="I46">
        <v>212</v>
      </c>
      <c r="J46">
        <v>390</v>
      </c>
      <c r="K46">
        <v>198</v>
      </c>
      <c r="L46">
        <v>79</v>
      </c>
    </row>
    <row r="47" spans="5:12" x14ac:dyDescent="0.2">
      <c r="E47" s="80"/>
      <c r="F47" s="47" t="s">
        <v>1204</v>
      </c>
      <c r="G47" s="14">
        <v>1181</v>
      </c>
      <c r="H47">
        <v>59</v>
      </c>
      <c r="I47">
        <v>244</v>
      </c>
      <c r="J47">
        <v>642</v>
      </c>
      <c r="K47">
        <v>201</v>
      </c>
      <c r="L47">
        <v>35</v>
      </c>
    </row>
    <row r="48" spans="5:12" x14ac:dyDescent="0.2">
      <c r="E48" s="80"/>
      <c r="F48" s="47" t="s">
        <v>1205</v>
      </c>
      <c r="G48" s="14">
        <v>2998</v>
      </c>
      <c r="H48">
        <v>362</v>
      </c>
      <c r="I48" s="14">
        <v>1384</v>
      </c>
      <c r="J48">
        <v>804</v>
      </c>
      <c r="K48">
        <v>329</v>
      </c>
      <c r="L48">
        <v>119</v>
      </c>
    </row>
    <row r="49" spans="5:12" x14ac:dyDescent="0.2">
      <c r="E49" s="80"/>
      <c r="F49" s="16" t="s">
        <v>1206</v>
      </c>
      <c r="G49" s="14">
        <v>2468</v>
      </c>
      <c r="H49">
        <v>105</v>
      </c>
      <c r="I49">
        <v>472</v>
      </c>
      <c r="J49" s="14">
        <v>1045</v>
      </c>
      <c r="K49">
        <v>441</v>
      </c>
      <c r="L49">
        <v>405</v>
      </c>
    </row>
    <row r="50" spans="5:12" x14ac:dyDescent="0.2">
      <c r="E50" s="80"/>
      <c r="F50" s="16" t="s">
        <v>1207</v>
      </c>
      <c r="G50" s="14">
        <v>3822</v>
      </c>
      <c r="H50">
        <v>262</v>
      </c>
      <c r="I50">
        <v>828</v>
      </c>
      <c r="J50" s="14">
        <v>1728</v>
      </c>
      <c r="K50">
        <v>557</v>
      </c>
      <c r="L50">
        <v>447</v>
      </c>
    </row>
    <row r="51" spans="5:12" x14ac:dyDescent="0.2">
      <c r="E51" s="80"/>
      <c r="F51" s="47" t="s">
        <v>1162</v>
      </c>
      <c r="G51">
        <v>259</v>
      </c>
      <c r="H51">
        <v>56</v>
      </c>
      <c r="I51">
        <v>142</v>
      </c>
      <c r="J51">
        <v>41</v>
      </c>
      <c r="K51">
        <v>6</v>
      </c>
      <c r="L51">
        <v>14</v>
      </c>
    </row>
    <row r="52" spans="5:12" x14ac:dyDescent="0.2">
      <c r="E52" s="80"/>
      <c r="F52" s="47" t="s">
        <v>1208</v>
      </c>
      <c r="G52" s="14">
        <v>3563</v>
      </c>
      <c r="H52">
        <v>206</v>
      </c>
      <c r="I52">
        <v>686</v>
      </c>
      <c r="J52" s="14">
        <v>1687</v>
      </c>
      <c r="K52">
        <v>551</v>
      </c>
      <c r="L52">
        <v>433</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H5:L5"/>
    <mergeCell ref="G5:G6"/>
    <mergeCell ref="B1:O1"/>
    <mergeCell ref="A21:B21"/>
    <mergeCell ref="E5:E57"/>
    <mergeCell ref="A9:B9"/>
    <mergeCell ref="A5:B5"/>
    <mergeCell ref="F5:F6"/>
    <mergeCell ref="A18:B18"/>
    <mergeCell ref="A27:B27"/>
  </mergeCells>
  <dataValidations disablePrompts="1"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1077</v>
      </c>
      <c r="B1" s="79" t="s">
        <v>115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tbl-commute-work</v>
      </c>
    </row>
    <row r="4" spans="1:17" x14ac:dyDescent="0.2">
      <c r="A4" s="16" t="s">
        <v>7</v>
      </c>
      <c r="B4" t="str">
        <f>IF($B$1="","",_xlfn.XLOOKUP($B$1,Master!$F$2:$F$321,Master!$H$2:$H$321,""))</f>
        <v>fig-commute-work</v>
      </c>
      <c r="E4" s="8"/>
      <c r="F4" s="10" t="s">
        <v>968</v>
      </c>
      <c r="G4" s="10" t="s">
        <v>973</v>
      </c>
      <c r="H4" s="10" t="s">
        <v>973</v>
      </c>
      <c r="I4" s="10" t="s">
        <v>973</v>
      </c>
      <c r="J4" s="10" t="s">
        <v>973</v>
      </c>
      <c r="K4" s="10" t="s">
        <v>973</v>
      </c>
      <c r="L4" s="10" t="s">
        <v>973</v>
      </c>
      <c r="M4" s="10" t="s">
        <v>973</v>
      </c>
      <c r="N4" s="10" t="s">
        <v>979</v>
      </c>
      <c r="O4" s="10"/>
      <c r="P4" s="10"/>
      <c r="Q4" s="10"/>
    </row>
    <row r="5" spans="1:17" x14ac:dyDescent="0.2">
      <c r="A5" s="84" t="s">
        <v>1081</v>
      </c>
      <c r="B5" s="80"/>
      <c r="E5" s="83" t="s">
        <v>1082</v>
      </c>
      <c r="F5" s="82" t="s">
        <v>1083</v>
      </c>
      <c r="G5" s="82" t="s">
        <v>1597</v>
      </c>
      <c r="H5" s="82" t="s">
        <v>1598</v>
      </c>
      <c r="I5" s="80"/>
      <c r="J5" s="80"/>
      <c r="K5" s="80"/>
      <c r="L5" s="80"/>
      <c r="M5" s="80"/>
      <c r="N5" s="82" t="s">
        <v>1599</v>
      </c>
    </row>
    <row r="6" spans="1:17" ht="15" customHeight="1" x14ac:dyDescent="0.2">
      <c r="A6" t="s">
        <v>1088</v>
      </c>
      <c r="B6" t="b">
        <v>1</v>
      </c>
      <c r="E6" s="80"/>
      <c r="F6" s="80"/>
      <c r="G6" s="80"/>
      <c r="H6" s="15" t="s">
        <v>1600</v>
      </c>
      <c r="I6" s="15" t="s">
        <v>1601</v>
      </c>
      <c r="J6" s="15" t="s">
        <v>1602</v>
      </c>
      <c r="K6" s="15" t="s">
        <v>1603</v>
      </c>
      <c r="L6" s="15" t="s">
        <v>1604</v>
      </c>
      <c r="M6" s="15" t="s">
        <v>1605</v>
      </c>
      <c r="N6" s="80"/>
      <c r="O6" s="15"/>
    </row>
    <row r="7" spans="1:17" ht="15.75" customHeight="1" x14ac:dyDescent="0.2">
      <c r="E7" s="80"/>
      <c r="F7" s="16" t="s">
        <v>1096</v>
      </c>
      <c r="G7" s="23">
        <v>183509</v>
      </c>
      <c r="H7" s="23">
        <v>126559</v>
      </c>
      <c r="I7" s="23">
        <v>17469</v>
      </c>
      <c r="J7" s="23">
        <v>8069</v>
      </c>
      <c r="K7" s="23">
        <v>6707</v>
      </c>
      <c r="L7" s="23">
        <v>3611</v>
      </c>
      <c r="M7" s="23">
        <v>21094</v>
      </c>
      <c r="N7" s="15">
        <v>34.200000000000003</v>
      </c>
      <c r="O7" s="15"/>
    </row>
    <row r="8" spans="1:17" x14ac:dyDescent="0.2">
      <c r="E8" s="80"/>
      <c r="F8" s="16" t="s">
        <v>1097</v>
      </c>
      <c r="G8" s="23">
        <v>7934</v>
      </c>
      <c r="H8" s="23">
        <v>5434</v>
      </c>
      <c r="I8" s="15">
        <v>707</v>
      </c>
      <c r="J8" s="15">
        <v>778</v>
      </c>
      <c r="K8" s="15">
        <v>50</v>
      </c>
      <c r="L8" s="15">
        <v>14</v>
      </c>
      <c r="M8" s="15">
        <v>951</v>
      </c>
      <c r="N8" s="15">
        <v>43.8</v>
      </c>
      <c r="O8" s="15"/>
    </row>
    <row r="9" spans="1:17" x14ac:dyDescent="0.2">
      <c r="A9" s="84" t="s">
        <v>1098</v>
      </c>
      <c r="B9" s="80"/>
      <c r="E9" s="80"/>
      <c r="F9" s="47" t="s">
        <v>1099</v>
      </c>
      <c r="G9" s="23">
        <v>1268</v>
      </c>
      <c r="H9" s="15">
        <v>845</v>
      </c>
      <c r="I9" s="15">
        <v>111</v>
      </c>
      <c r="J9" s="15">
        <v>59</v>
      </c>
      <c r="K9" s="15">
        <v>2</v>
      </c>
      <c r="L9" s="15">
        <v>8</v>
      </c>
      <c r="M9" s="15">
        <v>243</v>
      </c>
      <c r="N9" s="15">
        <v>43.3</v>
      </c>
      <c r="O9" s="15"/>
    </row>
    <row r="10" spans="1:17" x14ac:dyDescent="0.2">
      <c r="A10" t="s">
        <v>1100</v>
      </c>
      <c r="E10" s="80"/>
      <c r="F10" s="47" t="s">
        <v>1101</v>
      </c>
      <c r="G10" s="23">
        <v>2748</v>
      </c>
      <c r="H10" s="23">
        <v>2067</v>
      </c>
      <c r="I10" s="15">
        <v>170</v>
      </c>
      <c r="J10" s="15">
        <v>145</v>
      </c>
      <c r="K10" s="15">
        <v>9</v>
      </c>
      <c r="L10" s="15">
        <v>6</v>
      </c>
      <c r="M10" s="15">
        <v>351</v>
      </c>
      <c r="N10" s="15">
        <v>36.299999999999997</v>
      </c>
    </row>
    <row r="11" spans="1:17" x14ac:dyDescent="0.2">
      <c r="A11" t="s">
        <v>1102</v>
      </c>
      <c r="E11" s="80"/>
      <c r="F11" s="16" t="s">
        <v>1103</v>
      </c>
      <c r="G11" s="23">
        <v>6816</v>
      </c>
      <c r="H11" s="23">
        <v>5003</v>
      </c>
      <c r="I11" s="15">
        <v>357</v>
      </c>
      <c r="J11" s="17">
        <v>440</v>
      </c>
      <c r="K11" s="17">
        <v>70</v>
      </c>
      <c r="L11" s="17">
        <v>12</v>
      </c>
      <c r="M11" s="17">
        <v>934</v>
      </c>
      <c r="N11" s="17">
        <v>41</v>
      </c>
    </row>
    <row r="12" spans="1:17" x14ac:dyDescent="0.2">
      <c r="A12" t="s">
        <v>1104</v>
      </c>
      <c r="E12" s="80"/>
      <c r="F12" s="48" t="s">
        <v>1105</v>
      </c>
      <c r="G12" s="28">
        <v>2406</v>
      </c>
      <c r="H12" s="28">
        <v>1866</v>
      </c>
      <c r="I12" s="15">
        <v>93</v>
      </c>
      <c r="J12" s="15">
        <v>336</v>
      </c>
      <c r="K12" s="15">
        <v>20</v>
      </c>
      <c r="L12" s="15">
        <v>0</v>
      </c>
      <c r="M12" s="15">
        <v>91</v>
      </c>
      <c r="N12" s="15">
        <v>37.4</v>
      </c>
    </row>
    <row r="13" spans="1:17" x14ac:dyDescent="0.2">
      <c r="A13" t="s">
        <v>1108</v>
      </c>
      <c r="E13" s="80"/>
      <c r="F13" s="16" t="s">
        <v>1109</v>
      </c>
      <c r="G13" s="23">
        <v>6448</v>
      </c>
      <c r="H13" s="23">
        <v>4762</v>
      </c>
      <c r="I13" s="15">
        <v>443</v>
      </c>
      <c r="J13" s="15">
        <v>227</v>
      </c>
      <c r="K13" s="15">
        <v>73</v>
      </c>
      <c r="L13" s="15">
        <v>98</v>
      </c>
      <c r="M13" s="15">
        <v>845</v>
      </c>
      <c r="N13" s="15">
        <v>32.200000000000003</v>
      </c>
    </row>
    <row r="14" spans="1:17" x14ac:dyDescent="0.2">
      <c r="A14" t="s">
        <v>1112</v>
      </c>
      <c r="E14" s="80"/>
      <c r="F14" s="47" t="s">
        <v>1113</v>
      </c>
      <c r="G14" s="23">
        <v>1741</v>
      </c>
      <c r="H14" s="23">
        <v>1330</v>
      </c>
      <c r="I14" s="15">
        <v>54</v>
      </c>
      <c r="J14" s="15">
        <v>72</v>
      </c>
      <c r="K14" s="15">
        <v>18</v>
      </c>
      <c r="L14" s="15">
        <v>9</v>
      </c>
      <c r="M14" s="15">
        <v>258</v>
      </c>
      <c r="N14" s="15">
        <v>38.700000000000003</v>
      </c>
    </row>
    <row r="15" spans="1:17" x14ac:dyDescent="0.2">
      <c r="A15" t="s">
        <v>1114</v>
      </c>
      <c r="E15" s="80"/>
      <c r="F15" s="25" t="s">
        <v>1115</v>
      </c>
      <c r="G15" s="23">
        <v>4997</v>
      </c>
      <c r="H15" s="23">
        <v>3987</v>
      </c>
      <c r="I15" s="15">
        <v>267</v>
      </c>
      <c r="J15" s="15">
        <v>0</v>
      </c>
      <c r="K15" s="15">
        <v>91</v>
      </c>
      <c r="L15" s="15">
        <v>3</v>
      </c>
      <c r="M15" s="15">
        <v>649</v>
      </c>
      <c r="N15" s="15">
        <v>34.1</v>
      </c>
    </row>
    <row r="16" spans="1:17" x14ac:dyDescent="0.2">
      <c r="A16" t="s">
        <v>1116</v>
      </c>
      <c r="E16" s="80"/>
      <c r="F16" s="25" t="s">
        <v>1117</v>
      </c>
      <c r="G16" s="23">
        <v>3119</v>
      </c>
      <c r="H16" s="23">
        <v>2356</v>
      </c>
      <c r="I16" s="15">
        <v>559</v>
      </c>
      <c r="J16" s="15">
        <v>73</v>
      </c>
      <c r="K16" s="15">
        <v>6</v>
      </c>
      <c r="L16" s="15">
        <v>37</v>
      </c>
      <c r="M16" s="15">
        <v>88</v>
      </c>
      <c r="N16" s="15">
        <v>32.299999999999997</v>
      </c>
    </row>
    <row r="17" spans="1:14" x14ac:dyDescent="0.2">
      <c r="E17" s="80"/>
      <c r="F17" s="25" t="s">
        <v>1118</v>
      </c>
      <c r="G17" s="23">
        <v>6256</v>
      </c>
      <c r="H17" s="23">
        <v>4260</v>
      </c>
      <c r="I17" s="15">
        <v>433</v>
      </c>
      <c r="J17" s="15">
        <v>334</v>
      </c>
      <c r="K17" s="15">
        <v>138</v>
      </c>
      <c r="L17" s="15">
        <v>94</v>
      </c>
      <c r="M17" s="15">
        <v>997</v>
      </c>
      <c r="N17" s="15">
        <v>39.299999999999997</v>
      </c>
    </row>
    <row r="18" spans="1:14" x14ac:dyDescent="0.2">
      <c r="A18" s="84" t="s">
        <v>1119</v>
      </c>
      <c r="B18" s="80"/>
      <c r="E18" s="80"/>
      <c r="F18" s="47" t="s">
        <v>1120</v>
      </c>
      <c r="G18" s="23">
        <v>2663</v>
      </c>
      <c r="H18" s="23">
        <v>1777</v>
      </c>
      <c r="I18" s="15">
        <v>259</v>
      </c>
      <c r="J18" s="15">
        <v>167</v>
      </c>
      <c r="K18" s="15">
        <v>42</v>
      </c>
      <c r="L18" s="15">
        <v>58</v>
      </c>
      <c r="M18" s="15">
        <v>360</v>
      </c>
      <c r="N18" s="15">
        <v>27.6</v>
      </c>
    </row>
    <row r="19" spans="1:14" x14ac:dyDescent="0.2">
      <c r="A19" t="s">
        <v>1121</v>
      </c>
      <c r="B19" t="s">
        <v>1606</v>
      </c>
      <c r="E19" s="80"/>
      <c r="F19" s="16" t="s">
        <v>1123</v>
      </c>
      <c r="G19" s="23">
        <v>2459</v>
      </c>
      <c r="H19" s="23">
        <v>2100</v>
      </c>
      <c r="I19" s="15">
        <v>186</v>
      </c>
      <c r="J19" s="15">
        <v>24</v>
      </c>
      <c r="K19" s="15">
        <v>0</v>
      </c>
      <c r="L19" s="15">
        <v>4</v>
      </c>
      <c r="M19" s="15">
        <v>145</v>
      </c>
      <c r="N19" s="15">
        <v>41.2</v>
      </c>
    </row>
    <row r="20" spans="1:14" x14ac:dyDescent="0.2">
      <c r="E20" s="80"/>
      <c r="F20" s="16" t="s">
        <v>1124</v>
      </c>
      <c r="G20" s="23">
        <v>2428</v>
      </c>
      <c r="H20" s="23">
        <v>1864</v>
      </c>
      <c r="I20" s="15">
        <v>93</v>
      </c>
      <c r="J20" s="15">
        <v>106</v>
      </c>
      <c r="K20" s="15">
        <v>0</v>
      </c>
      <c r="L20" s="15">
        <v>0</v>
      </c>
      <c r="M20" s="15">
        <v>365</v>
      </c>
      <c r="N20" s="15">
        <v>41.2</v>
      </c>
    </row>
    <row r="21" spans="1:14" x14ac:dyDescent="0.2">
      <c r="A21" s="82" t="s">
        <v>1125</v>
      </c>
      <c r="B21" s="80"/>
      <c r="E21" s="80"/>
      <c r="F21" s="16" t="s">
        <v>1126</v>
      </c>
      <c r="G21" s="23">
        <v>6699</v>
      </c>
      <c r="H21" s="23">
        <v>4078</v>
      </c>
      <c r="I21" s="15">
        <v>342</v>
      </c>
      <c r="J21" s="15">
        <v>17</v>
      </c>
      <c r="K21" s="23">
        <v>1241</v>
      </c>
      <c r="L21" s="15">
        <v>144</v>
      </c>
      <c r="M21" s="23">
        <v>1177</v>
      </c>
      <c r="N21" s="15">
        <v>19</v>
      </c>
    </row>
    <row r="22" spans="1:14" x14ac:dyDescent="0.2">
      <c r="A22" t="s">
        <v>1135</v>
      </c>
      <c r="B22" t="s">
        <v>1232</v>
      </c>
      <c r="E22" s="80"/>
      <c r="F22" s="47" t="s">
        <v>1137</v>
      </c>
      <c r="G22" s="23">
        <v>1915</v>
      </c>
      <c r="H22" s="23">
        <v>1457</v>
      </c>
      <c r="I22" s="15">
        <v>187</v>
      </c>
      <c r="J22" s="15">
        <v>0</v>
      </c>
      <c r="K22" s="15">
        <v>75</v>
      </c>
      <c r="L22" s="15">
        <v>31</v>
      </c>
      <c r="M22" s="15">
        <v>165</v>
      </c>
      <c r="N22" s="15">
        <v>24.2</v>
      </c>
    </row>
    <row r="23" spans="1:14" x14ac:dyDescent="0.2">
      <c r="E23" s="80"/>
      <c r="F23" s="16" t="s">
        <v>1146</v>
      </c>
      <c r="G23" s="23">
        <v>13184</v>
      </c>
      <c r="H23" s="23">
        <v>8506</v>
      </c>
      <c r="I23" s="23">
        <v>2446</v>
      </c>
      <c r="J23" s="15">
        <v>593</v>
      </c>
      <c r="K23" s="15">
        <v>355</v>
      </c>
      <c r="L23" s="15">
        <v>522</v>
      </c>
      <c r="M23" s="15">
        <v>762</v>
      </c>
      <c r="N23" s="15">
        <v>35.4</v>
      </c>
    </row>
    <row r="24" spans="1:14" x14ac:dyDescent="0.2">
      <c r="E24" s="80"/>
      <c r="F24" s="16" t="s">
        <v>1150</v>
      </c>
      <c r="G24" s="23">
        <v>2438</v>
      </c>
      <c r="H24" s="23">
        <v>1837</v>
      </c>
      <c r="I24" s="15">
        <v>213</v>
      </c>
      <c r="J24" s="15">
        <v>15</v>
      </c>
      <c r="K24" s="15">
        <v>14</v>
      </c>
      <c r="L24" s="15">
        <v>76</v>
      </c>
      <c r="M24" s="15">
        <v>283</v>
      </c>
      <c r="N24" s="15">
        <v>39.6</v>
      </c>
    </row>
    <row r="25" spans="1:14" x14ac:dyDescent="0.2">
      <c r="E25" s="80"/>
      <c r="F25" s="47" t="s">
        <v>1154</v>
      </c>
      <c r="G25" s="15">
        <v>368</v>
      </c>
      <c r="H25" s="15">
        <v>269</v>
      </c>
      <c r="I25" s="15">
        <v>49</v>
      </c>
      <c r="J25" s="15">
        <v>0</v>
      </c>
      <c r="K25" s="15">
        <v>14</v>
      </c>
      <c r="L25" s="15">
        <v>0</v>
      </c>
      <c r="M25" s="15">
        <v>36</v>
      </c>
      <c r="N25" s="15">
        <v>33.200000000000003</v>
      </c>
    </row>
    <row r="26" spans="1:14" x14ac:dyDescent="0.2">
      <c r="E26" s="80"/>
      <c r="F26" s="16" t="s">
        <v>1158</v>
      </c>
      <c r="G26" s="23">
        <v>10178</v>
      </c>
      <c r="H26" s="23">
        <v>6377</v>
      </c>
      <c r="I26" s="23">
        <v>1229</v>
      </c>
      <c r="J26" s="15">
        <v>729</v>
      </c>
      <c r="K26" s="15">
        <v>86</v>
      </c>
      <c r="L26" s="15">
        <v>370</v>
      </c>
      <c r="M26" s="23">
        <v>1387</v>
      </c>
      <c r="N26" s="15">
        <v>37.299999999999997</v>
      </c>
    </row>
    <row r="27" spans="1:14" x14ac:dyDescent="0.2">
      <c r="A27" s="82"/>
      <c r="B27" s="80"/>
      <c r="E27" s="80"/>
      <c r="F27" s="47" t="s">
        <v>1162</v>
      </c>
      <c r="G27" s="23">
        <v>1033</v>
      </c>
      <c r="H27" s="15">
        <v>630</v>
      </c>
      <c r="I27" s="15">
        <v>131</v>
      </c>
      <c r="J27" s="15">
        <v>52</v>
      </c>
      <c r="K27" s="15">
        <v>21</v>
      </c>
      <c r="L27" s="15">
        <v>49</v>
      </c>
      <c r="M27" s="15">
        <v>150</v>
      </c>
      <c r="N27" s="15">
        <v>36.799999999999997</v>
      </c>
    </row>
    <row r="28" spans="1:14" x14ac:dyDescent="0.2">
      <c r="E28" s="80"/>
      <c r="F28" s="47" t="s">
        <v>1164</v>
      </c>
      <c r="G28" s="23">
        <v>4780</v>
      </c>
      <c r="H28" s="23">
        <v>3427</v>
      </c>
      <c r="I28" s="15">
        <v>584</v>
      </c>
      <c r="J28" s="15">
        <v>183</v>
      </c>
      <c r="K28" s="15">
        <v>30</v>
      </c>
      <c r="L28" s="15">
        <v>178</v>
      </c>
      <c r="M28" s="15">
        <v>378</v>
      </c>
      <c r="N28" s="15">
        <v>33.200000000000003</v>
      </c>
    </row>
    <row r="29" spans="1:14" x14ac:dyDescent="0.2">
      <c r="E29" s="80"/>
      <c r="F29" s="16" t="s">
        <v>1166</v>
      </c>
      <c r="G29" s="23">
        <v>11313</v>
      </c>
      <c r="H29" s="23">
        <v>9030</v>
      </c>
      <c r="I29" s="15">
        <v>794</v>
      </c>
      <c r="J29" s="15">
        <v>243</v>
      </c>
      <c r="K29" s="15">
        <v>97</v>
      </c>
      <c r="L29" s="15">
        <v>205</v>
      </c>
      <c r="M29" s="15">
        <v>944</v>
      </c>
      <c r="N29" s="15">
        <v>32.1</v>
      </c>
    </row>
    <row r="30" spans="1:14" x14ac:dyDescent="0.2">
      <c r="E30" s="80"/>
      <c r="F30" s="47" t="s">
        <v>1168</v>
      </c>
      <c r="G30" s="23">
        <v>1785</v>
      </c>
      <c r="H30" s="23">
        <v>1315</v>
      </c>
      <c r="I30" s="15">
        <v>191</v>
      </c>
      <c r="J30" s="15">
        <v>15</v>
      </c>
      <c r="K30" s="15">
        <v>0</v>
      </c>
      <c r="L30" s="15">
        <v>106</v>
      </c>
      <c r="M30" s="15">
        <v>158</v>
      </c>
      <c r="N30" s="15">
        <v>33.9</v>
      </c>
    </row>
    <row r="31" spans="1:14" x14ac:dyDescent="0.2">
      <c r="E31" s="80"/>
      <c r="F31" s="47" t="s">
        <v>1170</v>
      </c>
      <c r="G31" s="23">
        <v>1867</v>
      </c>
      <c r="H31" s="23">
        <v>1475</v>
      </c>
      <c r="I31" s="15">
        <v>202</v>
      </c>
      <c r="J31" s="15">
        <v>45</v>
      </c>
      <c r="K31" s="15">
        <v>8</v>
      </c>
      <c r="L31" s="15">
        <v>8</v>
      </c>
      <c r="M31" s="15">
        <v>129</v>
      </c>
      <c r="N31" s="15">
        <v>32.4</v>
      </c>
    </row>
    <row r="32" spans="1:14" x14ac:dyDescent="0.2">
      <c r="E32" s="80"/>
      <c r="F32" s="47" t="s">
        <v>1172</v>
      </c>
      <c r="G32" s="23">
        <v>3173</v>
      </c>
      <c r="H32" s="23">
        <v>2620</v>
      </c>
      <c r="I32" s="15">
        <v>118</v>
      </c>
      <c r="J32" s="15">
        <v>12</v>
      </c>
      <c r="K32" s="15">
        <v>46</v>
      </c>
      <c r="L32" s="15">
        <v>0</v>
      </c>
      <c r="M32" s="15">
        <v>377</v>
      </c>
      <c r="N32" s="15">
        <v>30.6</v>
      </c>
    </row>
    <row r="33" spans="5:14" x14ac:dyDescent="0.2">
      <c r="E33" s="80"/>
      <c r="F33" s="16" t="s">
        <v>1174</v>
      </c>
      <c r="G33" s="23">
        <v>2624</v>
      </c>
      <c r="H33" s="23">
        <v>2138</v>
      </c>
      <c r="I33" s="15">
        <v>144</v>
      </c>
      <c r="J33" s="15">
        <v>30</v>
      </c>
      <c r="K33" s="15">
        <v>9</v>
      </c>
      <c r="L33" s="15">
        <v>5</v>
      </c>
      <c r="M33" s="15">
        <v>298</v>
      </c>
      <c r="N33" s="15">
        <v>37</v>
      </c>
    </row>
    <row r="34" spans="5:14" x14ac:dyDescent="0.2">
      <c r="E34" s="80"/>
      <c r="F34" t="s">
        <v>1178</v>
      </c>
      <c r="G34" s="15">
        <v>495</v>
      </c>
      <c r="H34" s="15">
        <v>416</v>
      </c>
      <c r="I34" s="17">
        <v>17</v>
      </c>
      <c r="J34" s="15">
        <v>0</v>
      </c>
      <c r="K34" s="15">
        <v>9</v>
      </c>
      <c r="L34" s="15">
        <v>5</v>
      </c>
      <c r="M34" s="15">
        <v>48</v>
      </c>
      <c r="N34" s="15">
        <v>34.9</v>
      </c>
    </row>
    <row r="35" spans="5:14" x14ac:dyDescent="0.2">
      <c r="E35" s="80"/>
      <c r="F35" s="16" t="s">
        <v>1180</v>
      </c>
      <c r="G35" s="23">
        <v>12624</v>
      </c>
      <c r="H35" s="23">
        <v>7056</v>
      </c>
      <c r="I35" s="28">
        <v>1823</v>
      </c>
      <c r="J35" s="15">
        <v>584</v>
      </c>
      <c r="K35" s="23">
        <v>1171</v>
      </c>
      <c r="L35" s="15">
        <v>847</v>
      </c>
      <c r="M35" s="23">
        <v>1143</v>
      </c>
      <c r="N35" s="15">
        <v>25.5</v>
      </c>
    </row>
    <row r="36" spans="5:14" x14ac:dyDescent="0.2">
      <c r="E36" s="80"/>
      <c r="F36" s="16" t="s">
        <v>1182</v>
      </c>
      <c r="G36" s="23">
        <v>15743</v>
      </c>
      <c r="H36" s="23">
        <v>11843</v>
      </c>
      <c r="I36" s="28">
        <v>1049</v>
      </c>
      <c r="J36" s="15">
        <v>636</v>
      </c>
      <c r="K36" s="15">
        <v>137</v>
      </c>
      <c r="L36" s="15">
        <v>205</v>
      </c>
      <c r="M36" s="23">
        <v>1873</v>
      </c>
      <c r="N36" s="15">
        <v>35.299999999999997</v>
      </c>
    </row>
    <row r="37" spans="5:14" x14ac:dyDescent="0.2">
      <c r="E37" s="80"/>
      <c r="F37" s="16" t="s">
        <v>1184</v>
      </c>
      <c r="G37" s="23">
        <v>13600</v>
      </c>
      <c r="H37" s="23">
        <v>9530</v>
      </c>
      <c r="I37" s="28">
        <v>1404</v>
      </c>
      <c r="J37" s="15">
        <v>582</v>
      </c>
      <c r="K37" s="15">
        <v>311</v>
      </c>
      <c r="L37" s="15">
        <v>89</v>
      </c>
      <c r="M37" s="23">
        <v>1684</v>
      </c>
      <c r="N37" s="15">
        <v>36.299999999999997</v>
      </c>
    </row>
    <row r="38" spans="5:14" x14ac:dyDescent="0.2">
      <c r="E38" s="80"/>
      <c r="F38" s="16" t="s">
        <v>1186</v>
      </c>
      <c r="G38" s="23">
        <v>8229</v>
      </c>
      <c r="H38" s="23">
        <v>3294</v>
      </c>
      <c r="I38" s="23">
        <v>1065</v>
      </c>
      <c r="J38" s="15">
        <v>832</v>
      </c>
      <c r="K38" s="23">
        <v>1661</v>
      </c>
      <c r="L38" s="15">
        <v>239</v>
      </c>
      <c r="M38" s="23">
        <v>1138</v>
      </c>
      <c r="N38" s="15">
        <v>21.5</v>
      </c>
    </row>
    <row r="39" spans="5:14" x14ac:dyDescent="0.2">
      <c r="E39" s="80"/>
      <c r="F39" s="47" t="s">
        <v>1188</v>
      </c>
      <c r="G39" s="23">
        <v>8229</v>
      </c>
      <c r="H39" s="23">
        <v>3294</v>
      </c>
      <c r="I39" s="23">
        <v>1065</v>
      </c>
      <c r="J39" s="15">
        <v>832</v>
      </c>
      <c r="K39" s="23">
        <v>1661</v>
      </c>
      <c r="L39" s="15">
        <v>239</v>
      </c>
      <c r="M39" s="23">
        <v>1138</v>
      </c>
      <c r="N39" s="15">
        <v>21.5</v>
      </c>
    </row>
    <row r="40" spans="5:14" x14ac:dyDescent="0.2">
      <c r="E40" s="80"/>
      <c r="F40" s="16" t="s">
        <v>1191</v>
      </c>
      <c r="G40" s="23">
        <v>3644</v>
      </c>
      <c r="H40" s="23">
        <v>2439</v>
      </c>
      <c r="I40" s="15">
        <v>477</v>
      </c>
      <c r="J40" s="15">
        <v>76</v>
      </c>
      <c r="K40" s="15">
        <v>424</v>
      </c>
      <c r="L40" s="15">
        <v>79</v>
      </c>
      <c r="M40" s="15">
        <v>149</v>
      </c>
      <c r="N40" s="15">
        <v>23</v>
      </c>
    </row>
    <row r="41" spans="5:14" x14ac:dyDescent="0.2">
      <c r="E41" s="80"/>
      <c r="F41" s="16" t="s">
        <v>1195</v>
      </c>
      <c r="G41" s="23">
        <v>1892</v>
      </c>
      <c r="H41" s="23">
        <v>1138</v>
      </c>
      <c r="I41" s="15">
        <v>61</v>
      </c>
      <c r="J41" s="15">
        <v>251</v>
      </c>
      <c r="K41" s="15">
        <v>9</v>
      </c>
      <c r="L41" s="15">
        <v>0</v>
      </c>
      <c r="M41" s="15">
        <v>433</v>
      </c>
      <c r="N41" s="15">
        <v>42.5</v>
      </c>
    </row>
    <row r="42" spans="5:14" x14ac:dyDescent="0.2">
      <c r="E42" s="80"/>
      <c r="F42" s="47" t="s">
        <v>1199</v>
      </c>
      <c r="G42" s="23">
        <v>1505</v>
      </c>
      <c r="H42" s="23">
        <v>1022</v>
      </c>
      <c r="I42" s="15">
        <v>47</v>
      </c>
      <c r="J42" s="15">
        <v>198</v>
      </c>
      <c r="K42" s="15">
        <v>0</v>
      </c>
      <c r="L42" s="15">
        <v>0</v>
      </c>
      <c r="M42" s="15">
        <v>238</v>
      </c>
      <c r="N42" s="15">
        <v>42.2</v>
      </c>
    </row>
    <row r="43" spans="5:14" x14ac:dyDescent="0.2">
      <c r="E43" s="80"/>
      <c r="F43" s="47" t="s">
        <v>1200</v>
      </c>
      <c r="G43" s="15">
        <v>387</v>
      </c>
      <c r="H43" s="15">
        <v>116</v>
      </c>
      <c r="I43" s="15">
        <v>14</v>
      </c>
      <c r="J43" s="15">
        <v>53</v>
      </c>
      <c r="K43" s="15">
        <v>9</v>
      </c>
      <c r="L43" s="15">
        <v>0</v>
      </c>
      <c r="M43" s="15">
        <v>195</v>
      </c>
      <c r="N43" s="15">
        <v>44.7</v>
      </c>
    </row>
    <row r="44" spans="5:14" x14ac:dyDescent="0.2">
      <c r="E44" s="80"/>
      <c r="F44" s="16" t="s">
        <v>1201</v>
      </c>
      <c r="G44" s="23">
        <v>15530</v>
      </c>
      <c r="H44" s="23">
        <v>11246</v>
      </c>
      <c r="I44" s="23">
        <v>1926</v>
      </c>
      <c r="J44" s="15">
        <v>508</v>
      </c>
      <c r="K44" s="15">
        <v>180</v>
      </c>
      <c r="L44" s="15">
        <v>323</v>
      </c>
      <c r="M44" s="23">
        <v>1347</v>
      </c>
      <c r="N44" s="15">
        <v>31.3</v>
      </c>
    </row>
    <row r="45" spans="5:14" x14ac:dyDescent="0.2">
      <c r="E45" s="80"/>
      <c r="F45" s="16" t="s">
        <v>1202</v>
      </c>
      <c r="G45" s="23">
        <v>15944</v>
      </c>
      <c r="H45" s="23">
        <v>11333</v>
      </c>
      <c r="I45" s="15">
        <v>759</v>
      </c>
      <c r="J45" s="15">
        <v>578</v>
      </c>
      <c r="K45" s="15">
        <v>430</v>
      </c>
      <c r="L45" s="15">
        <v>117</v>
      </c>
      <c r="M45" s="23">
        <v>2727</v>
      </c>
      <c r="N45" s="15">
        <v>39.700000000000003</v>
      </c>
    </row>
    <row r="46" spans="5:14" x14ac:dyDescent="0.2">
      <c r="E46" s="80"/>
      <c r="F46" s="47" t="s">
        <v>1203</v>
      </c>
      <c r="G46" s="15">
        <v>154</v>
      </c>
      <c r="H46" s="23">
        <v>1088</v>
      </c>
      <c r="I46" s="15">
        <v>110</v>
      </c>
      <c r="J46" s="15">
        <v>86</v>
      </c>
      <c r="K46" s="15">
        <v>109</v>
      </c>
      <c r="L46" s="15">
        <v>28</v>
      </c>
      <c r="M46" s="15">
        <v>83</v>
      </c>
      <c r="N46" s="15">
        <v>33.200000000000003</v>
      </c>
    </row>
    <row r="47" spans="5:14" x14ac:dyDescent="0.2">
      <c r="E47" s="80"/>
      <c r="F47" s="47" t="s">
        <v>1204</v>
      </c>
      <c r="G47" s="23">
        <v>1382</v>
      </c>
      <c r="H47" s="15">
        <v>788</v>
      </c>
      <c r="I47" s="15">
        <v>117</v>
      </c>
      <c r="J47" s="15">
        <v>38</v>
      </c>
      <c r="K47" s="15">
        <v>63</v>
      </c>
      <c r="L47" s="15">
        <v>12</v>
      </c>
      <c r="M47" s="15">
        <v>364</v>
      </c>
      <c r="N47" s="15">
        <v>37.200000000000003</v>
      </c>
    </row>
    <row r="48" spans="5:14" x14ac:dyDescent="0.2">
      <c r="E48" s="80"/>
      <c r="F48" s="47" t="s">
        <v>1205</v>
      </c>
      <c r="G48" s="23">
        <v>2908</v>
      </c>
      <c r="H48" s="23">
        <v>2206</v>
      </c>
      <c r="I48" s="15">
        <v>154</v>
      </c>
      <c r="J48" s="15">
        <v>113</v>
      </c>
      <c r="K48" s="15">
        <v>97</v>
      </c>
      <c r="L48" s="15">
        <v>0</v>
      </c>
      <c r="M48" s="15">
        <v>338</v>
      </c>
      <c r="N48" s="15">
        <v>40.1</v>
      </c>
    </row>
    <row r="49" spans="5:14" x14ac:dyDescent="0.2">
      <c r="E49" s="80"/>
      <c r="F49" s="16" t="s">
        <v>1206</v>
      </c>
      <c r="G49" s="23">
        <v>3493</v>
      </c>
      <c r="H49" s="23">
        <v>2925</v>
      </c>
      <c r="I49" s="15">
        <v>151</v>
      </c>
      <c r="J49" s="15">
        <v>63</v>
      </c>
      <c r="K49" s="15">
        <v>23</v>
      </c>
      <c r="L49" s="15">
        <v>28</v>
      </c>
      <c r="M49" s="15">
        <v>303</v>
      </c>
      <c r="N49" s="15">
        <v>32.5</v>
      </c>
    </row>
    <row r="50" spans="5:14" x14ac:dyDescent="0.2">
      <c r="E50" s="80"/>
      <c r="F50" s="16" t="s">
        <v>1207</v>
      </c>
      <c r="G50" s="23">
        <v>5617</v>
      </c>
      <c r="H50" s="23">
        <v>4023</v>
      </c>
      <c r="I50" s="15">
        <v>541</v>
      </c>
      <c r="J50" s="15">
        <v>350</v>
      </c>
      <c r="K50" s="15">
        <v>131</v>
      </c>
      <c r="L50" s="15">
        <v>100</v>
      </c>
      <c r="M50" s="15">
        <v>472</v>
      </c>
      <c r="N50" s="15">
        <v>44.1</v>
      </c>
    </row>
    <row r="51" spans="5:14" x14ac:dyDescent="0.2">
      <c r="E51" s="80"/>
      <c r="F51" s="47" t="s">
        <v>1162</v>
      </c>
      <c r="G51" s="15">
        <v>466</v>
      </c>
      <c r="H51" s="15">
        <v>124</v>
      </c>
      <c r="I51" s="15">
        <v>55</v>
      </c>
      <c r="J51" s="15">
        <v>66</v>
      </c>
      <c r="K51" s="15">
        <v>131</v>
      </c>
      <c r="L51" s="15">
        <v>41</v>
      </c>
      <c r="M51" s="15">
        <v>49</v>
      </c>
      <c r="N51" s="15">
        <v>26.4</v>
      </c>
    </row>
    <row r="52" spans="5:14" x14ac:dyDescent="0.2">
      <c r="E52" s="80"/>
      <c r="F52" s="47" t="s">
        <v>1208</v>
      </c>
      <c r="G52" s="23">
        <v>5151</v>
      </c>
      <c r="H52" s="23">
        <v>3899</v>
      </c>
      <c r="I52" s="15">
        <v>486</v>
      </c>
      <c r="J52" s="15">
        <v>284</v>
      </c>
      <c r="K52" s="15">
        <v>0</v>
      </c>
      <c r="L52" s="15">
        <v>59</v>
      </c>
      <c r="M52" s="15">
        <v>423</v>
      </c>
      <c r="N52" s="15">
        <v>45.7</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1077</v>
      </c>
      <c r="B1" s="79" t="s">
        <v>118</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tbl-house-tenure-vacancy</v>
      </c>
    </row>
    <row r="4" spans="1:18" x14ac:dyDescent="0.2">
      <c r="A4" s="16" t="s">
        <v>7</v>
      </c>
      <c r="B4" t="str">
        <f>IF($B$1="","",_xlfn.XLOOKUP($B$1,Master!$F$2:$F$321,Master!$H$2:$H$321,""))</f>
        <v>fig-house-tenure-vacancy</v>
      </c>
      <c r="E4" s="8"/>
      <c r="F4" s="10" t="s">
        <v>968</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4" t="s">
        <v>1081</v>
      </c>
      <c r="B5" s="80"/>
      <c r="E5" s="83" t="s">
        <v>1082</v>
      </c>
      <c r="F5" s="82" t="s">
        <v>1083</v>
      </c>
      <c r="G5" s="82" t="s">
        <v>1607</v>
      </c>
      <c r="H5" s="82" t="s">
        <v>1608</v>
      </c>
      <c r="I5" s="80"/>
      <c r="J5" s="80"/>
      <c r="K5" s="80"/>
      <c r="L5" s="80"/>
      <c r="M5" s="80"/>
      <c r="N5" s="82" t="s">
        <v>1609</v>
      </c>
      <c r="O5" s="80"/>
      <c r="P5" s="80"/>
      <c r="Q5" s="80"/>
      <c r="R5" s="80"/>
    </row>
    <row r="6" spans="1:18" ht="15" customHeight="1" x14ac:dyDescent="0.2">
      <c r="A6" t="s">
        <v>1088</v>
      </c>
      <c r="B6" t="b">
        <v>1</v>
      </c>
      <c r="E6" s="80"/>
      <c r="F6" s="80"/>
      <c r="G6" s="80"/>
      <c r="H6" t="s">
        <v>1610</v>
      </c>
      <c r="I6" t="s">
        <v>1611</v>
      </c>
      <c r="J6" t="s">
        <v>1612</v>
      </c>
      <c r="K6" t="s">
        <v>1610</v>
      </c>
      <c r="L6" t="s">
        <v>1613</v>
      </c>
      <c r="M6" t="s">
        <v>1614</v>
      </c>
      <c r="N6" t="s">
        <v>1615</v>
      </c>
      <c r="O6" t="s">
        <v>1616</v>
      </c>
      <c r="P6" t="s">
        <v>1617</v>
      </c>
      <c r="Q6" t="s">
        <v>1618</v>
      </c>
      <c r="R6" t="s">
        <v>1015</v>
      </c>
    </row>
    <row r="7" spans="1:18" ht="15.75" customHeight="1" x14ac:dyDescent="0.2">
      <c r="E7" s="80"/>
      <c r="F7" s="16" t="s">
        <v>1096</v>
      </c>
      <c r="G7" s="23">
        <v>148460</v>
      </c>
      <c r="H7" s="23">
        <v>137311</v>
      </c>
      <c r="I7" s="23">
        <v>93959</v>
      </c>
      <c r="J7" s="23">
        <v>43352</v>
      </c>
      <c r="K7" s="23">
        <v>11149</v>
      </c>
      <c r="L7" s="23">
        <v>1622</v>
      </c>
      <c r="M7" s="15">
        <v>255</v>
      </c>
      <c r="N7" s="23">
        <v>1005</v>
      </c>
      <c r="O7" s="15">
        <v>692</v>
      </c>
      <c r="P7" s="23">
        <v>2154</v>
      </c>
      <c r="Q7" s="15">
        <v>47</v>
      </c>
      <c r="R7" s="23">
        <v>5374</v>
      </c>
    </row>
    <row r="8" spans="1:18" x14ac:dyDescent="0.2">
      <c r="E8" s="80"/>
      <c r="F8" s="16" t="s">
        <v>1097</v>
      </c>
      <c r="G8" s="23">
        <v>6884</v>
      </c>
      <c r="H8" s="23">
        <v>6149</v>
      </c>
      <c r="I8" s="23">
        <v>5016</v>
      </c>
      <c r="J8" s="23">
        <v>1133</v>
      </c>
      <c r="K8" s="15">
        <v>695</v>
      </c>
      <c r="L8" s="15">
        <v>93</v>
      </c>
      <c r="M8" s="15">
        <v>0</v>
      </c>
      <c r="N8" s="15">
        <v>65</v>
      </c>
      <c r="O8" s="15">
        <v>68</v>
      </c>
      <c r="P8" s="15">
        <v>186</v>
      </c>
      <c r="Q8" s="15">
        <v>0</v>
      </c>
      <c r="R8" s="15">
        <v>283</v>
      </c>
    </row>
    <row r="9" spans="1:18" x14ac:dyDescent="0.2">
      <c r="A9" s="84" t="s">
        <v>1098</v>
      </c>
      <c r="B9" s="80"/>
      <c r="E9" s="80"/>
      <c r="F9" s="47" t="s">
        <v>1099</v>
      </c>
      <c r="G9" s="23">
        <v>1390</v>
      </c>
      <c r="H9" s="23">
        <v>1173</v>
      </c>
      <c r="I9" s="15">
        <v>714</v>
      </c>
      <c r="J9" s="15">
        <v>459</v>
      </c>
      <c r="K9" s="15">
        <v>217</v>
      </c>
      <c r="L9" s="15">
        <v>14</v>
      </c>
      <c r="M9" s="15">
        <v>0</v>
      </c>
      <c r="N9" s="15">
        <v>0</v>
      </c>
      <c r="O9" s="15">
        <v>39</v>
      </c>
      <c r="P9" s="15">
        <v>71</v>
      </c>
      <c r="Q9" s="15">
        <v>0</v>
      </c>
      <c r="R9" s="15">
        <v>93</v>
      </c>
    </row>
    <row r="10" spans="1:18" x14ac:dyDescent="0.2">
      <c r="A10" t="s">
        <v>1100</v>
      </c>
      <c r="E10" s="80"/>
      <c r="F10" s="47" t="s">
        <v>1101</v>
      </c>
      <c r="G10" s="23">
        <v>2186</v>
      </c>
      <c r="H10" s="23">
        <v>2106</v>
      </c>
      <c r="I10" s="23">
        <v>1670</v>
      </c>
      <c r="J10" s="15">
        <v>436</v>
      </c>
      <c r="K10" s="15">
        <v>80</v>
      </c>
      <c r="L10" s="15">
        <v>44</v>
      </c>
      <c r="M10" s="15">
        <v>0</v>
      </c>
      <c r="N10" s="15">
        <v>0</v>
      </c>
      <c r="O10" s="15">
        <v>0</v>
      </c>
      <c r="P10" s="15">
        <v>36</v>
      </c>
      <c r="Q10" s="15">
        <v>0</v>
      </c>
      <c r="R10" s="15">
        <v>0</v>
      </c>
    </row>
    <row r="11" spans="1:18" x14ac:dyDescent="0.2">
      <c r="A11" t="s">
        <v>1102</v>
      </c>
      <c r="E11" s="80"/>
      <c r="F11" s="16" t="s">
        <v>1103</v>
      </c>
      <c r="G11" s="23">
        <v>4763</v>
      </c>
      <c r="H11" s="23">
        <v>4458</v>
      </c>
      <c r="I11" s="23">
        <v>3538</v>
      </c>
      <c r="J11" s="17">
        <v>920</v>
      </c>
      <c r="K11" s="17">
        <v>305</v>
      </c>
      <c r="L11" s="17">
        <v>0</v>
      </c>
      <c r="M11" s="17">
        <v>0</v>
      </c>
      <c r="N11" s="17">
        <v>45</v>
      </c>
      <c r="O11" s="15">
        <v>0</v>
      </c>
      <c r="P11" s="15">
        <v>56</v>
      </c>
      <c r="Q11" s="15">
        <v>0</v>
      </c>
      <c r="R11" s="15">
        <v>204</v>
      </c>
    </row>
    <row r="12" spans="1:18" x14ac:dyDescent="0.2">
      <c r="A12" t="s">
        <v>1104</v>
      </c>
      <c r="E12" s="80"/>
      <c r="F12" s="48" t="s">
        <v>1105</v>
      </c>
      <c r="G12" s="28">
        <v>1687</v>
      </c>
      <c r="H12" s="28">
        <v>1560</v>
      </c>
      <c r="I12" s="15">
        <v>828</v>
      </c>
      <c r="J12" s="15">
        <v>732</v>
      </c>
      <c r="K12" s="15">
        <v>127</v>
      </c>
      <c r="L12" s="15">
        <v>0</v>
      </c>
      <c r="M12" s="15">
        <v>0</v>
      </c>
      <c r="N12" s="15">
        <v>0</v>
      </c>
      <c r="O12" s="15">
        <v>0</v>
      </c>
      <c r="P12" s="15">
        <v>56</v>
      </c>
      <c r="Q12" s="15">
        <v>0</v>
      </c>
      <c r="R12" s="15">
        <v>71</v>
      </c>
    </row>
    <row r="13" spans="1:18" x14ac:dyDescent="0.2">
      <c r="A13" t="s">
        <v>1108</v>
      </c>
      <c r="E13" s="80"/>
      <c r="F13" s="16" t="s">
        <v>1109</v>
      </c>
      <c r="G13" s="23">
        <v>5366</v>
      </c>
      <c r="H13" s="23">
        <v>5023</v>
      </c>
      <c r="I13" s="23">
        <v>3815</v>
      </c>
      <c r="J13" s="23">
        <v>1208</v>
      </c>
      <c r="K13" s="15">
        <v>343</v>
      </c>
      <c r="L13" s="15">
        <v>28</v>
      </c>
      <c r="M13" s="15">
        <v>18</v>
      </c>
      <c r="N13" s="15">
        <v>93</v>
      </c>
      <c r="O13" s="15">
        <v>0</v>
      </c>
      <c r="P13" s="15">
        <v>73</v>
      </c>
      <c r="Q13" s="15">
        <v>0</v>
      </c>
      <c r="R13" s="15">
        <v>131</v>
      </c>
    </row>
    <row r="14" spans="1:18" x14ac:dyDescent="0.2">
      <c r="A14" t="s">
        <v>1112</v>
      </c>
      <c r="E14" s="80"/>
      <c r="F14" s="47" t="s">
        <v>1113</v>
      </c>
      <c r="G14" s="23">
        <v>1337</v>
      </c>
      <c r="H14" s="23">
        <v>1230</v>
      </c>
      <c r="I14" s="15">
        <v>920</v>
      </c>
      <c r="J14" s="15">
        <v>310</v>
      </c>
      <c r="K14" s="15">
        <v>107</v>
      </c>
      <c r="L14" s="15">
        <v>0</v>
      </c>
      <c r="M14" s="15">
        <v>9</v>
      </c>
      <c r="N14" s="15">
        <v>27</v>
      </c>
      <c r="O14" s="15">
        <v>0</v>
      </c>
      <c r="P14" s="15">
        <v>28</v>
      </c>
      <c r="Q14" s="15">
        <v>0</v>
      </c>
      <c r="R14" s="15">
        <v>43</v>
      </c>
    </row>
    <row r="15" spans="1:18" x14ac:dyDescent="0.2">
      <c r="A15" t="s">
        <v>1114</v>
      </c>
      <c r="E15" s="80"/>
      <c r="F15" s="25" t="s">
        <v>1115</v>
      </c>
      <c r="G15" s="23">
        <v>3093</v>
      </c>
      <c r="H15" s="23">
        <v>3001</v>
      </c>
      <c r="I15" s="23">
        <v>2299</v>
      </c>
      <c r="J15" s="15">
        <v>702</v>
      </c>
      <c r="K15" s="15">
        <v>92</v>
      </c>
      <c r="L15" s="15">
        <v>0</v>
      </c>
      <c r="M15" s="15">
        <v>0</v>
      </c>
      <c r="N15" s="15">
        <v>0</v>
      </c>
      <c r="O15" s="15">
        <v>0</v>
      </c>
      <c r="P15" s="15">
        <v>60</v>
      </c>
      <c r="Q15" s="15">
        <v>0</v>
      </c>
      <c r="R15" s="15">
        <v>32</v>
      </c>
    </row>
    <row r="16" spans="1:18" x14ac:dyDescent="0.2">
      <c r="A16" t="s">
        <v>1116</v>
      </c>
      <c r="E16" s="80"/>
      <c r="F16" s="25" t="s">
        <v>1117</v>
      </c>
      <c r="G16" s="23">
        <v>3347</v>
      </c>
      <c r="H16" s="23">
        <v>2993</v>
      </c>
      <c r="I16" s="23">
        <v>2254</v>
      </c>
      <c r="J16" s="15">
        <v>739</v>
      </c>
      <c r="K16" s="15">
        <v>354</v>
      </c>
      <c r="L16" s="15">
        <v>21</v>
      </c>
      <c r="M16" s="15">
        <v>0</v>
      </c>
      <c r="N16" s="15">
        <v>19</v>
      </c>
      <c r="O16" s="15">
        <v>25</v>
      </c>
      <c r="P16" s="15">
        <v>83</v>
      </c>
      <c r="Q16" s="15">
        <v>0</v>
      </c>
      <c r="R16" s="15">
        <v>206</v>
      </c>
    </row>
    <row r="17" spans="1:18" x14ac:dyDescent="0.2">
      <c r="E17" s="80"/>
      <c r="F17" s="25" t="s">
        <v>1118</v>
      </c>
      <c r="G17" s="23">
        <v>5371</v>
      </c>
      <c r="H17" s="23">
        <v>4861</v>
      </c>
      <c r="I17" s="23">
        <v>3868</v>
      </c>
      <c r="J17" s="15">
        <v>993</v>
      </c>
      <c r="K17" s="15">
        <v>510</v>
      </c>
      <c r="L17" s="15">
        <v>76</v>
      </c>
      <c r="M17" s="15">
        <v>11</v>
      </c>
      <c r="N17" s="15">
        <v>50</v>
      </c>
      <c r="O17" s="15">
        <v>26</v>
      </c>
      <c r="P17" s="15">
        <v>126</v>
      </c>
      <c r="Q17" s="15">
        <v>0</v>
      </c>
      <c r="R17" s="15">
        <v>221</v>
      </c>
    </row>
    <row r="18" spans="1:18" x14ac:dyDescent="0.2">
      <c r="A18" s="84" t="s">
        <v>1119</v>
      </c>
      <c r="B18" s="80"/>
      <c r="E18" s="80"/>
      <c r="F18" s="47" t="s">
        <v>1120</v>
      </c>
      <c r="G18" s="23">
        <v>2583</v>
      </c>
      <c r="H18" s="23">
        <v>2350</v>
      </c>
      <c r="I18" s="23">
        <v>1560</v>
      </c>
      <c r="J18" s="15">
        <v>790</v>
      </c>
      <c r="K18" s="15">
        <v>233</v>
      </c>
      <c r="L18" s="15">
        <v>76</v>
      </c>
      <c r="M18" s="15">
        <v>11</v>
      </c>
      <c r="N18" s="15">
        <v>0</v>
      </c>
      <c r="O18" s="15">
        <v>0</v>
      </c>
      <c r="P18" s="15">
        <v>74</v>
      </c>
      <c r="Q18" s="15">
        <v>0</v>
      </c>
      <c r="R18" s="15">
        <v>72</v>
      </c>
    </row>
    <row r="19" spans="1:18" x14ac:dyDescent="0.2">
      <c r="A19" t="s">
        <v>1121</v>
      </c>
      <c r="B19" t="s">
        <v>1619</v>
      </c>
      <c r="E19" s="80"/>
      <c r="F19" s="16" t="s">
        <v>1123</v>
      </c>
      <c r="G19" s="23">
        <v>1775</v>
      </c>
      <c r="H19" s="23">
        <v>1645</v>
      </c>
      <c r="I19" s="23">
        <v>1379</v>
      </c>
      <c r="J19" s="15">
        <v>266</v>
      </c>
      <c r="K19" s="15">
        <v>130</v>
      </c>
      <c r="L19" s="15">
        <v>26</v>
      </c>
      <c r="M19" s="15">
        <v>0</v>
      </c>
      <c r="N19" s="15">
        <v>0</v>
      </c>
      <c r="O19" s="15">
        <v>0</v>
      </c>
      <c r="P19" s="15">
        <v>13</v>
      </c>
      <c r="Q19" s="15">
        <v>0</v>
      </c>
      <c r="R19" s="15">
        <v>91</v>
      </c>
    </row>
    <row r="20" spans="1:18" x14ac:dyDescent="0.2">
      <c r="E20" s="80"/>
      <c r="F20" s="16" t="s">
        <v>1124</v>
      </c>
      <c r="G20" s="23">
        <v>1842</v>
      </c>
      <c r="H20" s="23">
        <v>1745</v>
      </c>
      <c r="I20" s="23">
        <v>1625</v>
      </c>
      <c r="J20" s="15">
        <v>120</v>
      </c>
      <c r="K20" s="15">
        <v>97</v>
      </c>
      <c r="L20" s="15">
        <v>0</v>
      </c>
      <c r="M20" s="15">
        <v>0</v>
      </c>
      <c r="N20" s="15">
        <v>9</v>
      </c>
      <c r="O20" s="15">
        <v>11</v>
      </c>
      <c r="P20" s="15">
        <v>0</v>
      </c>
      <c r="Q20" s="15">
        <v>0</v>
      </c>
      <c r="R20" s="15">
        <v>77</v>
      </c>
    </row>
    <row r="21" spans="1:18" x14ac:dyDescent="0.2">
      <c r="A21" s="82" t="s">
        <v>1125</v>
      </c>
      <c r="B21" s="80"/>
      <c r="E21" s="80"/>
      <c r="F21" s="16" t="s">
        <v>1126</v>
      </c>
      <c r="G21" s="23">
        <v>4240</v>
      </c>
      <c r="H21" s="23">
        <v>3938</v>
      </c>
      <c r="I21" s="23">
        <v>1639</v>
      </c>
      <c r="J21" s="23">
        <v>2299</v>
      </c>
      <c r="K21" s="15">
        <v>302</v>
      </c>
      <c r="L21" s="15">
        <v>127</v>
      </c>
      <c r="M21" s="15">
        <v>0</v>
      </c>
      <c r="N21" s="15">
        <v>0</v>
      </c>
      <c r="O21" s="15">
        <v>0</v>
      </c>
      <c r="P21" s="15">
        <v>36</v>
      </c>
      <c r="Q21" s="15">
        <v>0</v>
      </c>
      <c r="R21" s="15">
        <v>139</v>
      </c>
    </row>
    <row r="22" spans="1:18" x14ac:dyDescent="0.2">
      <c r="A22" t="s">
        <v>1135</v>
      </c>
      <c r="B22" t="s">
        <v>1136</v>
      </c>
      <c r="E22" s="80"/>
      <c r="F22" s="47" t="s">
        <v>1137</v>
      </c>
      <c r="G22" s="23">
        <v>1798</v>
      </c>
      <c r="H22" s="23">
        <v>1648</v>
      </c>
      <c r="I22" s="15">
        <v>898</v>
      </c>
      <c r="J22" s="15">
        <v>750</v>
      </c>
      <c r="K22" s="15">
        <v>150</v>
      </c>
      <c r="L22" s="15">
        <v>21</v>
      </c>
      <c r="M22" s="15">
        <v>0</v>
      </c>
      <c r="N22" s="15">
        <v>0</v>
      </c>
      <c r="O22" s="15">
        <v>0</v>
      </c>
      <c r="P22" s="15">
        <v>22</v>
      </c>
      <c r="Q22" s="15">
        <v>0</v>
      </c>
      <c r="R22" s="15">
        <v>107</v>
      </c>
    </row>
    <row r="23" spans="1:18" x14ac:dyDescent="0.2">
      <c r="E23" s="80"/>
      <c r="F23" s="16" t="s">
        <v>1146</v>
      </c>
      <c r="G23" s="23">
        <v>11018</v>
      </c>
      <c r="H23" s="23">
        <v>10182</v>
      </c>
      <c r="I23" s="23">
        <v>5341</v>
      </c>
      <c r="J23" s="23">
        <v>4841</v>
      </c>
      <c r="K23" s="15">
        <v>836</v>
      </c>
      <c r="L23" s="15">
        <v>201</v>
      </c>
      <c r="M23" s="15">
        <v>0</v>
      </c>
      <c r="N23" s="15">
        <v>38</v>
      </c>
      <c r="O23" s="15">
        <v>0</v>
      </c>
      <c r="P23" s="15">
        <v>20</v>
      </c>
      <c r="Q23" s="15">
        <v>0</v>
      </c>
      <c r="R23" s="15">
        <v>577</v>
      </c>
    </row>
    <row r="24" spans="1:18" x14ac:dyDescent="0.2">
      <c r="E24" s="80"/>
      <c r="F24" s="16" t="s">
        <v>1150</v>
      </c>
      <c r="G24" s="23">
        <v>1628</v>
      </c>
      <c r="H24" s="23">
        <v>1526</v>
      </c>
      <c r="I24" s="23">
        <v>1244</v>
      </c>
      <c r="J24" s="15">
        <v>282</v>
      </c>
      <c r="K24" s="15">
        <v>102</v>
      </c>
      <c r="L24" s="15">
        <v>51</v>
      </c>
      <c r="M24" s="15">
        <v>0</v>
      </c>
      <c r="N24" s="15">
        <v>6</v>
      </c>
      <c r="O24" s="15">
        <v>0</v>
      </c>
      <c r="P24" s="15">
        <v>7</v>
      </c>
      <c r="Q24" s="15">
        <v>0</v>
      </c>
      <c r="R24" s="15">
        <v>38</v>
      </c>
    </row>
    <row r="25" spans="1:18" x14ac:dyDescent="0.2">
      <c r="E25" s="80"/>
      <c r="F25" s="47" t="s">
        <v>1154</v>
      </c>
      <c r="G25" s="15">
        <v>235</v>
      </c>
      <c r="H25" s="15">
        <v>222</v>
      </c>
      <c r="I25" s="15">
        <v>134</v>
      </c>
      <c r="J25" s="15">
        <v>88</v>
      </c>
      <c r="K25" s="15">
        <v>13</v>
      </c>
      <c r="L25" s="15">
        <v>0</v>
      </c>
      <c r="M25" s="15">
        <v>0</v>
      </c>
      <c r="N25" s="15">
        <v>6</v>
      </c>
      <c r="O25" s="15">
        <v>0</v>
      </c>
      <c r="P25" s="15">
        <v>7</v>
      </c>
      <c r="Q25" s="15">
        <v>0</v>
      </c>
      <c r="R25" s="15">
        <v>0</v>
      </c>
    </row>
    <row r="26" spans="1:18" x14ac:dyDescent="0.2">
      <c r="E26" s="80"/>
      <c r="F26" s="16" t="s">
        <v>1158</v>
      </c>
      <c r="G26" s="23">
        <v>7395</v>
      </c>
      <c r="H26" s="23">
        <v>6855</v>
      </c>
      <c r="I26" s="23">
        <v>5552</v>
      </c>
      <c r="J26" s="23">
        <v>1303</v>
      </c>
      <c r="K26" s="15">
        <v>540</v>
      </c>
      <c r="L26" s="15">
        <v>65</v>
      </c>
      <c r="M26" s="15">
        <v>0</v>
      </c>
      <c r="N26" s="15">
        <v>145</v>
      </c>
      <c r="O26" s="15">
        <v>17</v>
      </c>
      <c r="P26" s="15">
        <v>135</v>
      </c>
      <c r="Q26" s="15">
        <v>0</v>
      </c>
      <c r="R26" s="15">
        <v>178</v>
      </c>
    </row>
    <row r="27" spans="1:18" x14ac:dyDescent="0.2">
      <c r="A27" s="82"/>
      <c r="B27" s="80"/>
      <c r="E27" s="80"/>
      <c r="F27" s="47" t="s">
        <v>1162</v>
      </c>
      <c r="G27" s="15">
        <v>878</v>
      </c>
      <c r="H27" s="15">
        <v>792</v>
      </c>
      <c r="I27" s="15">
        <v>447</v>
      </c>
      <c r="J27" s="15">
        <v>345</v>
      </c>
      <c r="K27" s="15">
        <v>86</v>
      </c>
      <c r="L27" s="15">
        <v>38</v>
      </c>
      <c r="M27" s="15">
        <v>0</v>
      </c>
      <c r="N27" s="15">
        <v>0</v>
      </c>
      <c r="O27" s="15">
        <v>0</v>
      </c>
      <c r="P27" s="15">
        <v>0</v>
      </c>
      <c r="Q27" s="15">
        <v>0</v>
      </c>
      <c r="R27" s="15">
        <v>48</v>
      </c>
    </row>
    <row r="28" spans="1:18" x14ac:dyDescent="0.2">
      <c r="E28" s="80"/>
      <c r="F28" s="47" t="s">
        <v>1164</v>
      </c>
      <c r="G28" s="23">
        <v>2969</v>
      </c>
      <c r="H28" s="23">
        <v>2886</v>
      </c>
      <c r="I28" s="23">
        <v>2372</v>
      </c>
      <c r="J28" s="15">
        <v>514</v>
      </c>
      <c r="K28" s="15">
        <v>83</v>
      </c>
      <c r="L28" s="15">
        <v>27</v>
      </c>
      <c r="M28" s="15">
        <v>0</v>
      </c>
      <c r="N28" s="15">
        <v>0</v>
      </c>
      <c r="O28" s="15">
        <v>0</v>
      </c>
      <c r="P28" s="15">
        <v>33</v>
      </c>
      <c r="Q28" s="15">
        <v>0</v>
      </c>
      <c r="R28" s="15">
        <v>23</v>
      </c>
    </row>
    <row r="29" spans="1:18" x14ac:dyDescent="0.2">
      <c r="E29" s="80"/>
      <c r="F29" s="16" t="s">
        <v>1166</v>
      </c>
      <c r="G29" s="23">
        <v>8972</v>
      </c>
      <c r="H29" s="23">
        <v>8306</v>
      </c>
      <c r="I29" s="23">
        <v>5721</v>
      </c>
      <c r="J29" s="23">
        <v>2585</v>
      </c>
      <c r="K29" s="15">
        <v>666</v>
      </c>
      <c r="L29" s="15">
        <v>78</v>
      </c>
      <c r="M29" s="15">
        <v>41</v>
      </c>
      <c r="N29" s="15">
        <v>42</v>
      </c>
      <c r="O29" s="15">
        <v>0</v>
      </c>
      <c r="P29" s="15">
        <v>59</v>
      </c>
      <c r="Q29" s="15">
        <v>0</v>
      </c>
      <c r="R29" s="15">
        <v>446</v>
      </c>
    </row>
    <row r="30" spans="1:18" x14ac:dyDescent="0.2">
      <c r="E30" s="80"/>
      <c r="F30" s="47" t="s">
        <v>1168</v>
      </c>
      <c r="G30" s="23">
        <v>1519</v>
      </c>
      <c r="H30" s="23">
        <v>1401</v>
      </c>
      <c r="I30" s="15">
        <v>758</v>
      </c>
      <c r="J30" s="15">
        <v>643</v>
      </c>
      <c r="K30" s="15">
        <v>118</v>
      </c>
      <c r="L30" s="15">
        <v>19</v>
      </c>
      <c r="M30" s="15">
        <v>0</v>
      </c>
      <c r="N30" s="15">
        <v>0</v>
      </c>
      <c r="O30" s="15">
        <v>0</v>
      </c>
      <c r="P30" s="15">
        <v>0</v>
      </c>
      <c r="Q30" s="15">
        <v>0</v>
      </c>
      <c r="R30" s="15">
        <v>99</v>
      </c>
    </row>
    <row r="31" spans="1:18" x14ac:dyDescent="0.2">
      <c r="E31" s="80"/>
      <c r="F31" s="47" t="s">
        <v>1170</v>
      </c>
      <c r="G31" s="23">
        <v>1600</v>
      </c>
      <c r="H31" s="23">
        <v>1535</v>
      </c>
      <c r="I31" s="23">
        <v>1047</v>
      </c>
      <c r="J31" s="15">
        <v>488</v>
      </c>
      <c r="K31" s="15">
        <v>65</v>
      </c>
      <c r="L31" s="15">
        <v>24</v>
      </c>
      <c r="M31" s="15">
        <v>41</v>
      </c>
      <c r="N31" s="15">
        <v>0</v>
      </c>
      <c r="O31" s="15">
        <v>0</v>
      </c>
      <c r="P31" s="15">
        <v>0</v>
      </c>
      <c r="Q31" s="15">
        <v>0</v>
      </c>
      <c r="R31" s="15">
        <v>0</v>
      </c>
    </row>
    <row r="32" spans="1:18" x14ac:dyDescent="0.2">
      <c r="E32" s="80"/>
      <c r="F32" s="47" t="s">
        <v>1172</v>
      </c>
      <c r="G32" s="23">
        <v>2882</v>
      </c>
      <c r="H32" s="23">
        <v>2621</v>
      </c>
      <c r="I32" s="23">
        <v>1648</v>
      </c>
      <c r="J32" s="15">
        <v>973</v>
      </c>
      <c r="K32" s="15">
        <v>261</v>
      </c>
      <c r="L32" s="15">
        <v>35</v>
      </c>
      <c r="M32" s="15">
        <v>0</v>
      </c>
      <c r="N32" s="15">
        <v>0</v>
      </c>
      <c r="O32" s="15">
        <v>0</v>
      </c>
      <c r="P32" s="15">
        <v>39</v>
      </c>
      <c r="Q32" s="15">
        <v>0</v>
      </c>
      <c r="R32" s="15">
        <v>187</v>
      </c>
    </row>
    <row r="33" spans="5:18" x14ac:dyDescent="0.2">
      <c r="E33" s="80"/>
      <c r="F33" s="16" t="s">
        <v>1174</v>
      </c>
      <c r="G33" s="23">
        <v>2289</v>
      </c>
      <c r="H33" s="23">
        <v>2094</v>
      </c>
      <c r="I33" s="23">
        <v>1686</v>
      </c>
      <c r="J33" s="15">
        <v>408</v>
      </c>
      <c r="K33" s="15">
        <v>195</v>
      </c>
      <c r="L33" s="15">
        <v>5</v>
      </c>
      <c r="M33" s="15">
        <v>0</v>
      </c>
      <c r="N33" s="15">
        <v>29</v>
      </c>
      <c r="O33" s="15">
        <v>6</v>
      </c>
      <c r="P33" s="15">
        <v>70</v>
      </c>
      <c r="Q33" s="15">
        <v>0</v>
      </c>
      <c r="R33" s="15">
        <v>85</v>
      </c>
    </row>
    <row r="34" spans="5:18" x14ac:dyDescent="0.2">
      <c r="E34" s="80"/>
      <c r="F34" t="s">
        <v>1178</v>
      </c>
      <c r="G34" s="15">
        <v>468</v>
      </c>
      <c r="H34" s="15">
        <v>439</v>
      </c>
      <c r="I34" s="17">
        <v>273</v>
      </c>
      <c r="J34" s="15">
        <v>166</v>
      </c>
      <c r="K34" s="15">
        <v>29</v>
      </c>
      <c r="L34" s="15">
        <v>0</v>
      </c>
      <c r="M34" s="15">
        <v>0</v>
      </c>
      <c r="N34" s="15">
        <v>0</v>
      </c>
      <c r="O34" s="15">
        <v>6</v>
      </c>
      <c r="P34" s="15">
        <v>6</v>
      </c>
      <c r="Q34" s="15">
        <v>0</v>
      </c>
      <c r="R34" s="15">
        <v>17</v>
      </c>
    </row>
    <row r="35" spans="5:18" x14ac:dyDescent="0.2">
      <c r="E35" s="80"/>
      <c r="F35" s="16" t="s">
        <v>1180</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80"/>
      <c r="F36" s="16" t="s">
        <v>1182</v>
      </c>
      <c r="G36" s="23">
        <v>12352</v>
      </c>
      <c r="H36" s="23">
        <v>11553</v>
      </c>
      <c r="I36" s="28">
        <v>9196</v>
      </c>
      <c r="J36" s="23">
        <v>2357</v>
      </c>
      <c r="K36" s="15">
        <v>799</v>
      </c>
      <c r="L36" s="15">
        <v>57</v>
      </c>
      <c r="M36" s="15">
        <v>23</v>
      </c>
      <c r="N36" s="15">
        <v>86</v>
      </c>
      <c r="O36" s="15">
        <v>110</v>
      </c>
      <c r="P36" s="15">
        <v>114</v>
      </c>
      <c r="Q36" s="15">
        <v>0</v>
      </c>
      <c r="R36" s="15">
        <v>409</v>
      </c>
    </row>
    <row r="37" spans="5:18" x14ac:dyDescent="0.2">
      <c r="E37" s="80"/>
      <c r="F37" s="16" t="s">
        <v>1184</v>
      </c>
      <c r="G37" s="23">
        <v>11335</v>
      </c>
      <c r="H37" s="23">
        <v>10763</v>
      </c>
      <c r="I37" s="28">
        <v>7658</v>
      </c>
      <c r="J37" s="23">
        <v>3105</v>
      </c>
      <c r="K37" s="15">
        <v>572</v>
      </c>
      <c r="L37" s="15">
        <v>102</v>
      </c>
      <c r="M37" s="15">
        <v>52</v>
      </c>
      <c r="N37" s="15">
        <v>74</v>
      </c>
      <c r="O37" s="15">
        <v>119</v>
      </c>
      <c r="P37" s="15">
        <v>30</v>
      </c>
      <c r="Q37" s="15">
        <v>0</v>
      </c>
      <c r="R37" s="15">
        <v>195</v>
      </c>
    </row>
    <row r="38" spans="5:18" x14ac:dyDescent="0.2">
      <c r="E38" s="80"/>
      <c r="F38" s="16" t="s">
        <v>1186</v>
      </c>
      <c r="G38" s="23">
        <v>7383</v>
      </c>
      <c r="H38" s="23">
        <v>6869</v>
      </c>
      <c r="I38" s="23">
        <v>2407</v>
      </c>
      <c r="J38" s="23">
        <v>4462</v>
      </c>
      <c r="K38" s="15">
        <v>514</v>
      </c>
      <c r="L38" s="15">
        <v>70</v>
      </c>
      <c r="M38" s="15">
        <v>0</v>
      </c>
      <c r="N38" s="15">
        <v>0</v>
      </c>
      <c r="O38" s="15">
        <v>0</v>
      </c>
      <c r="P38" s="15">
        <v>214</v>
      </c>
      <c r="Q38" s="15">
        <v>0</v>
      </c>
      <c r="R38" s="15">
        <v>230</v>
      </c>
    </row>
    <row r="39" spans="5:18" x14ac:dyDescent="0.2">
      <c r="E39" s="80"/>
      <c r="F39" s="47" t="s">
        <v>1188</v>
      </c>
      <c r="G39" s="23">
        <v>7383</v>
      </c>
      <c r="H39" s="23">
        <v>6869</v>
      </c>
      <c r="I39" s="23">
        <v>2407</v>
      </c>
      <c r="J39" s="23">
        <v>4462</v>
      </c>
      <c r="K39" s="15">
        <v>514</v>
      </c>
      <c r="L39" s="15">
        <v>70</v>
      </c>
      <c r="M39" s="15">
        <v>0</v>
      </c>
      <c r="N39" s="15">
        <v>0</v>
      </c>
      <c r="O39" s="15">
        <v>0</v>
      </c>
      <c r="P39" s="15">
        <v>214</v>
      </c>
      <c r="Q39" s="15">
        <v>0</v>
      </c>
      <c r="R39" s="15">
        <v>230</v>
      </c>
    </row>
    <row r="40" spans="5:18" x14ac:dyDescent="0.2">
      <c r="E40" s="80"/>
      <c r="F40" s="16" t="s">
        <v>1191</v>
      </c>
      <c r="G40" s="23">
        <v>3896</v>
      </c>
      <c r="H40" s="23">
        <v>3533</v>
      </c>
      <c r="I40" s="23">
        <v>1831</v>
      </c>
      <c r="J40" s="23">
        <v>1702</v>
      </c>
      <c r="K40" s="15">
        <v>363</v>
      </c>
      <c r="L40" s="15">
        <v>74</v>
      </c>
      <c r="M40" s="15">
        <v>0</v>
      </c>
      <c r="N40" s="15">
        <v>76</v>
      </c>
      <c r="O40" s="15">
        <v>68</v>
      </c>
      <c r="P40" s="15">
        <v>9</v>
      </c>
      <c r="Q40" s="15">
        <v>0</v>
      </c>
      <c r="R40" s="15">
        <v>136</v>
      </c>
    </row>
    <row r="41" spans="5:18" x14ac:dyDescent="0.2">
      <c r="E41" s="80"/>
      <c r="F41" s="16" t="s">
        <v>1195</v>
      </c>
      <c r="G41" s="23">
        <v>1766</v>
      </c>
      <c r="H41" s="23">
        <v>1539</v>
      </c>
      <c r="I41" s="23">
        <v>1159</v>
      </c>
      <c r="J41" s="15">
        <v>380</v>
      </c>
      <c r="K41" s="15">
        <v>227</v>
      </c>
      <c r="L41" s="15">
        <v>23</v>
      </c>
      <c r="M41" s="15">
        <v>0</v>
      </c>
      <c r="N41" s="15">
        <v>32</v>
      </c>
      <c r="O41" s="15">
        <v>13</v>
      </c>
      <c r="P41" s="15">
        <v>64</v>
      </c>
      <c r="Q41" s="15">
        <v>0</v>
      </c>
      <c r="R41" s="15">
        <v>95</v>
      </c>
    </row>
    <row r="42" spans="5:18" x14ac:dyDescent="0.2">
      <c r="E42" s="80"/>
      <c r="F42" s="47" t="s">
        <v>1199</v>
      </c>
      <c r="G42" s="23">
        <v>1284</v>
      </c>
      <c r="H42" s="23">
        <v>1151</v>
      </c>
      <c r="I42" s="15">
        <v>812</v>
      </c>
      <c r="J42" s="15">
        <v>339</v>
      </c>
      <c r="K42" s="15">
        <v>133</v>
      </c>
      <c r="L42" s="15">
        <v>23</v>
      </c>
      <c r="M42" s="15">
        <v>0</v>
      </c>
      <c r="N42" s="15">
        <v>27</v>
      </c>
      <c r="O42" s="15">
        <v>0</v>
      </c>
      <c r="P42" s="15">
        <v>14</v>
      </c>
      <c r="Q42" s="15">
        <v>0</v>
      </c>
      <c r="R42" s="15">
        <v>69</v>
      </c>
    </row>
    <row r="43" spans="5:18" x14ac:dyDescent="0.2">
      <c r="E43" s="80"/>
      <c r="F43" s="47" t="s">
        <v>1200</v>
      </c>
      <c r="G43" s="15">
        <v>482</v>
      </c>
      <c r="H43" s="15">
        <v>388</v>
      </c>
      <c r="I43" s="15">
        <v>347</v>
      </c>
      <c r="J43" s="15">
        <v>41</v>
      </c>
      <c r="K43" s="15">
        <v>94</v>
      </c>
      <c r="L43" s="15">
        <v>0</v>
      </c>
      <c r="M43" s="15">
        <v>0</v>
      </c>
      <c r="N43" s="15">
        <v>5</v>
      </c>
      <c r="O43" s="15">
        <v>13</v>
      </c>
      <c r="P43" s="15">
        <v>50</v>
      </c>
      <c r="Q43" s="15">
        <v>0</v>
      </c>
      <c r="R43" s="15">
        <v>26</v>
      </c>
    </row>
    <row r="44" spans="5:18" x14ac:dyDescent="0.2">
      <c r="E44" s="80"/>
      <c r="F44" s="16" t="s">
        <v>1201</v>
      </c>
      <c r="G44" s="23">
        <v>12287</v>
      </c>
      <c r="H44" s="23">
        <v>11910</v>
      </c>
      <c r="I44" s="23">
        <v>7930</v>
      </c>
      <c r="J44" s="23">
        <v>3980</v>
      </c>
      <c r="K44" s="15">
        <v>377</v>
      </c>
      <c r="L44" s="15">
        <v>34</v>
      </c>
      <c r="M44" s="15">
        <v>0</v>
      </c>
      <c r="N44" s="15">
        <v>37</v>
      </c>
      <c r="O44" s="15">
        <v>52</v>
      </c>
      <c r="P44" s="15">
        <v>95</v>
      </c>
      <c r="Q44" s="15">
        <v>0</v>
      </c>
      <c r="R44" s="15">
        <v>159</v>
      </c>
    </row>
    <row r="45" spans="5:18" x14ac:dyDescent="0.2">
      <c r="E45" s="80"/>
      <c r="F45" s="16" t="s">
        <v>1202</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80"/>
      <c r="F46" s="47" t="s">
        <v>1203</v>
      </c>
      <c r="G46" s="23">
        <v>1002</v>
      </c>
      <c r="H46" s="15">
        <v>936</v>
      </c>
      <c r="I46" s="15">
        <v>798</v>
      </c>
      <c r="J46" s="15">
        <v>138</v>
      </c>
      <c r="K46" s="15">
        <v>66</v>
      </c>
      <c r="L46" s="15">
        <v>14</v>
      </c>
      <c r="M46" s="15">
        <v>0</v>
      </c>
      <c r="N46" s="15">
        <v>23</v>
      </c>
      <c r="O46" s="15">
        <v>0</v>
      </c>
      <c r="P46" s="15">
        <v>0</v>
      </c>
      <c r="Q46" s="15">
        <v>0</v>
      </c>
      <c r="R46" s="15">
        <v>29</v>
      </c>
    </row>
    <row r="47" spans="5:18" x14ac:dyDescent="0.2">
      <c r="E47" s="80"/>
      <c r="F47" s="47" t="s">
        <v>1204</v>
      </c>
      <c r="G47" s="23">
        <v>1379</v>
      </c>
      <c r="H47" s="23">
        <v>1181</v>
      </c>
      <c r="I47" s="15">
        <v>923</v>
      </c>
      <c r="J47" s="15">
        <v>258</v>
      </c>
      <c r="K47" s="15">
        <v>198</v>
      </c>
      <c r="L47" s="15">
        <v>0</v>
      </c>
      <c r="M47" s="15">
        <v>0</v>
      </c>
      <c r="N47" s="15">
        <v>0</v>
      </c>
      <c r="O47" s="15">
        <v>34</v>
      </c>
      <c r="P47" s="15">
        <v>96</v>
      </c>
      <c r="Q47" s="15">
        <v>0</v>
      </c>
      <c r="R47" s="15">
        <v>68</v>
      </c>
    </row>
    <row r="48" spans="5:18" x14ac:dyDescent="0.2">
      <c r="E48" s="80"/>
      <c r="F48" s="47" t="s">
        <v>1205</v>
      </c>
      <c r="G48" s="23">
        <v>3304</v>
      </c>
      <c r="H48" s="23">
        <v>2998</v>
      </c>
      <c r="I48" s="23">
        <v>1684</v>
      </c>
      <c r="J48" s="23">
        <v>1314</v>
      </c>
      <c r="K48" s="15">
        <v>306</v>
      </c>
      <c r="L48" s="15">
        <v>82</v>
      </c>
      <c r="M48" s="15">
        <v>37</v>
      </c>
      <c r="N48" s="15">
        <v>0</v>
      </c>
      <c r="O48" s="15">
        <v>0</v>
      </c>
      <c r="P48" s="15">
        <v>0</v>
      </c>
      <c r="Q48" s="15">
        <v>0</v>
      </c>
      <c r="R48" s="15">
        <v>187</v>
      </c>
    </row>
    <row r="49" spans="5:18" x14ac:dyDescent="0.2">
      <c r="E49" s="80"/>
      <c r="F49" s="16" t="s">
        <v>1206</v>
      </c>
      <c r="G49" s="23">
        <v>2635</v>
      </c>
      <c r="H49" s="23">
        <v>2468</v>
      </c>
      <c r="I49" s="23">
        <v>2246</v>
      </c>
      <c r="J49" s="15">
        <v>222</v>
      </c>
      <c r="K49" s="15">
        <v>167</v>
      </c>
      <c r="L49" s="15">
        <v>0</v>
      </c>
      <c r="M49" s="15">
        <v>0</v>
      </c>
      <c r="N49" s="15">
        <v>26</v>
      </c>
      <c r="O49" s="15">
        <v>26</v>
      </c>
      <c r="P49" s="15">
        <v>19</v>
      </c>
      <c r="Q49" s="15">
        <v>0</v>
      </c>
      <c r="R49" s="15">
        <v>96</v>
      </c>
    </row>
    <row r="50" spans="5:18" x14ac:dyDescent="0.2">
      <c r="E50" s="80"/>
      <c r="F50" s="16" t="s">
        <v>1207</v>
      </c>
      <c r="G50" s="23">
        <v>4193</v>
      </c>
      <c r="H50" s="23">
        <v>3822</v>
      </c>
      <c r="I50" s="23">
        <v>3442</v>
      </c>
      <c r="J50" s="15">
        <v>380</v>
      </c>
      <c r="K50" s="15">
        <v>371</v>
      </c>
      <c r="L50" s="15">
        <v>128</v>
      </c>
      <c r="M50" s="15">
        <v>0</v>
      </c>
      <c r="N50" s="15">
        <v>35</v>
      </c>
      <c r="O50" s="15">
        <v>0</v>
      </c>
      <c r="P50" s="15">
        <v>151</v>
      </c>
      <c r="Q50" s="15">
        <v>0</v>
      </c>
      <c r="R50" s="15">
        <v>57</v>
      </c>
    </row>
    <row r="51" spans="5:18" x14ac:dyDescent="0.2">
      <c r="E51" s="80"/>
      <c r="F51" s="47" t="s">
        <v>1162</v>
      </c>
      <c r="G51" s="15">
        <v>259</v>
      </c>
      <c r="H51" s="15">
        <v>259</v>
      </c>
      <c r="I51" s="15">
        <v>120</v>
      </c>
      <c r="J51" s="15">
        <v>139</v>
      </c>
      <c r="K51" s="15">
        <v>0</v>
      </c>
      <c r="L51" s="15">
        <v>0</v>
      </c>
      <c r="M51" s="15">
        <v>0</v>
      </c>
      <c r="N51" s="15">
        <v>0</v>
      </c>
      <c r="O51" s="15">
        <v>0</v>
      </c>
      <c r="P51" s="15">
        <v>0</v>
      </c>
      <c r="Q51" s="15">
        <v>0</v>
      </c>
      <c r="R51" s="15">
        <v>0</v>
      </c>
    </row>
    <row r="52" spans="5:18" x14ac:dyDescent="0.2">
      <c r="E52" s="80"/>
      <c r="F52" s="47" t="s">
        <v>1208</v>
      </c>
      <c r="G52" s="23">
        <v>3934</v>
      </c>
      <c r="H52" s="23">
        <v>3563</v>
      </c>
      <c r="I52" s="23">
        <v>3322</v>
      </c>
      <c r="J52" s="15">
        <v>241</v>
      </c>
      <c r="K52" s="15">
        <v>371</v>
      </c>
      <c r="L52" s="15">
        <v>128</v>
      </c>
      <c r="M52" s="15">
        <v>0</v>
      </c>
      <c r="N52" s="15">
        <v>35</v>
      </c>
      <c r="O52" s="15">
        <v>0</v>
      </c>
      <c r="P52" s="15">
        <v>151</v>
      </c>
      <c r="Q52" s="15">
        <v>0</v>
      </c>
      <c r="R52" s="15">
        <v>57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H6" sqref="H6:O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tbl-house-unit-age</v>
      </c>
    </row>
    <row r="4" spans="1:17" x14ac:dyDescent="0.2">
      <c r="A4" s="16" t="s">
        <v>7</v>
      </c>
      <c r="B4" t="str">
        <f>IF($B$1="","",_xlfn.XLOOKUP($B$1,Master!$F$2:$F$321,Master!$H$2:$H$321,""))</f>
        <v>fig-house-unit-age</v>
      </c>
      <c r="E4" s="8"/>
      <c r="F4" s="10" t="s">
        <v>968</v>
      </c>
      <c r="G4" s="10" t="s">
        <v>973</v>
      </c>
      <c r="H4" s="10" t="s">
        <v>973</v>
      </c>
      <c r="I4" s="10" t="s">
        <v>973</v>
      </c>
      <c r="J4" s="10" t="s">
        <v>973</v>
      </c>
      <c r="K4" s="10" t="s">
        <v>973</v>
      </c>
      <c r="L4" s="10" t="s">
        <v>973</v>
      </c>
      <c r="M4" s="10" t="s">
        <v>973</v>
      </c>
      <c r="N4" s="10" t="s">
        <v>973</v>
      </c>
      <c r="O4" s="10" t="s">
        <v>973</v>
      </c>
      <c r="P4" s="10"/>
      <c r="Q4" s="10"/>
    </row>
    <row r="5" spans="1:17" x14ac:dyDescent="0.2">
      <c r="A5" s="84" t="s">
        <v>1081</v>
      </c>
      <c r="B5" s="80"/>
      <c r="E5" s="83" t="s">
        <v>1082</v>
      </c>
      <c r="F5" s="82" t="s">
        <v>1083</v>
      </c>
      <c r="G5" s="82" t="s">
        <v>1620</v>
      </c>
      <c r="H5" s="82" t="s">
        <v>1621</v>
      </c>
      <c r="I5" s="80"/>
      <c r="J5" s="80"/>
      <c r="K5" s="80"/>
      <c r="L5" s="80"/>
      <c r="M5" s="80"/>
      <c r="N5" s="80"/>
      <c r="O5" s="80"/>
    </row>
    <row r="6" spans="1:17" ht="15" customHeight="1" x14ac:dyDescent="0.2">
      <c r="A6" t="s">
        <v>1088</v>
      </c>
      <c r="B6" t="b">
        <v>1</v>
      </c>
      <c r="E6" s="80"/>
      <c r="F6" s="80"/>
      <c r="G6" s="80"/>
      <c r="H6" s="15" t="s">
        <v>1622</v>
      </c>
      <c r="I6" s="15" t="s">
        <v>2351</v>
      </c>
      <c r="J6" s="15" t="s">
        <v>2352</v>
      </c>
      <c r="K6" s="15" t="s">
        <v>2353</v>
      </c>
      <c r="L6" s="15" t="s">
        <v>2354</v>
      </c>
      <c r="M6" s="15" t="s">
        <v>2355</v>
      </c>
      <c r="N6" s="15" t="s">
        <v>2356</v>
      </c>
      <c r="O6" s="15" t="s">
        <v>1623</v>
      </c>
    </row>
    <row r="7" spans="1:17" ht="15.75" customHeight="1" x14ac:dyDescent="0.2">
      <c r="E7" s="80"/>
      <c r="F7" s="16" t="s">
        <v>1096</v>
      </c>
      <c r="G7" s="23">
        <v>148460</v>
      </c>
      <c r="H7" s="23">
        <v>1109</v>
      </c>
      <c r="I7" s="23">
        <v>10815</v>
      </c>
      <c r="J7" s="23">
        <v>18207</v>
      </c>
      <c r="K7" s="23">
        <v>14286</v>
      </c>
      <c r="L7" s="23">
        <v>19738</v>
      </c>
      <c r="M7" s="23">
        <v>18626</v>
      </c>
      <c r="N7" s="23">
        <v>29807</v>
      </c>
      <c r="O7" s="23">
        <v>35872</v>
      </c>
    </row>
    <row r="8" spans="1:17" x14ac:dyDescent="0.2">
      <c r="E8" s="80"/>
      <c r="F8" s="16" t="s">
        <v>1097</v>
      </c>
      <c r="G8" s="23">
        <v>6884</v>
      </c>
      <c r="H8" s="15">
        <v>38</v>
      </c>
      <c r="I8" s="15">
        <v>175</v>
      </c>
      <c r="J8" s="15">
        <v>905</v>
      </c>
      <c r="K8" s="15">
        <v>681</v>
      </c>
      <c r="L8" s="23">
        <v>1265</v>
      </c>
      <c r="M8" s="23">
        <v>1099</v>
      </c>
      <c r="N8" s="23">
        <v>1650</v>
      </c>
      <c r="O8" s="23">
        <v>1031</v>
      </c>
    </row>
    <row r="9" spans="1:17" x14ac:dyDescent="0.2">
      <c r="A9" s="84" t="s">
        <v>1098</v>
      </c>
      <c r="B9" s="80"/>
      <c r="E9" s="80"/>
      <c r="F9" s="47" t="s">
        <v>1099</v>
      </c>
      <c r="G9" s="23">
        <v>1390</v>
      </c>
      <c r="H9" s="15">
        <v>0</v>
      </c>
      <c r="I9" s="15">
        <v>7</v>
      </c>
      <c r="J9" s="15">
        <v>19</v>
      </c>
      <c r="K9" s="15">
        <v>69</v>
      </c>
      <c r="L9" s="15">
        <v>142</v>
      </c>
      <c r="M9" s="15">
        <v>463</v>
      </c>
      <c r="N9" s="15">
        <v>626</v>
      </c>
      <c r="O9" s="15">
        <v>64</v>
      </c>
    </row>
    <row r="10" spans="1:17" x14ac:dyDescent="0.2">
      <c r="A10" t="s">
        <v>1100</v>
      </c>
      <c r="E10" s="80"/>
      <c r="F10" s="47" t="s">
        <v>1101</v>
      </c>
      <c r="G10" s="23">
        <v>2186</v>
      </c>
      <c r="H10" s="15">
        <v>13</v>
      </c>
      <c r="I10" s="15">
        <v>64</v>
      </c>
      <c r="J10" s="15">
        <v>294</v>
      </c>
      <c r="K10" s="15">
        <v>303</v>
      </c>
      <c r="L10" s="15">
        <v>688</v>
      </c>
      <c r="M10" s="15">
        <v>434</v>
      </c>
      <c r="N10" s="15">
        <v>301</v>
      </c>
      <c r="O10" s="15">
        <v>89</v>
      </c>
    </row>
    <row r="11" spans="1:17" x14ac:dyDescent="0.2">
      <c r="A11" t="s">
        <v>1102</v>
      </c>
      <c r="E11" s="80"/>
      <c r="F11" s="16" t="s">
        <v>1103</v>
      </c>
      <c r="G11" s="23">
        <v>4763</v>
      </c>
      <c r="H11" s="15">
        <v>65</v>
      </c>
      <c r="I11" s="15">
        <v>243</v>
      </c>
      <c r="J11" s="17">
        <v>655</v>
      </c>
      <c r="K11" s="17">
        <v>485</v>
      </c>
      <c r="L11" s="28">
        <v>1065</v>
      </c>
      <c r="M11" s="17">
        <v>493</v>
      </c>
      <c r="N11" s="17">
        <v>996</v>
      </c>
      <c r="O11" s="15">
        <v>761</v>
      </c>
    </row>
    <row r="12" spans="1:17" x14ac:dyDescent="0.2">
      <c r="A12" t="s">
        <v>1104</v>
      </c>
      <c r="E12" s="80"/>
      <c r="F12" s="48" t="s">
        <v>1105</v>
      </c>
      <c r="G12" s="28">
        <v>1687</v>
      </c>
      <c r="H12" s="17">
        <v>0</v>
      </c>
      <c r="I12" s="15">
        <v>111</v>
      </c>
      <c r="J12" s="15">
        <v>54</v>
      </c>
      <c r="K12" s="15">
        <v>85</v>
      </c>
      <c r="L12" s="15">
        <v>531</v>
      </c>
      <c r="M12" s="15">
        <v>163</v>
      </c>
      <c r="N12" s="15">
        <v>292</v>
      </c>
      <c r="O12" s="15">
        <v>451</v>
      </c>
    </row>
    <row r="13" spans="1:17" x14ac:dyDescent="0.2">
      <c r="A13" t="s">
        <v>1108</v>
      </c>
      <c r="E13" s="80"/>
      <c r="F13" s="16" t="s">
        <v>1109</v>
      </c>
      <c r="G13" s="23">
        <v>5366</v>
      </c>
      <c r="H13" s="15">
        <v>0</v>
      </c>
      <c r="I13" s="15">
        <v>284</v>
      </c>
      <c r="J13" s="15">
        <v>393</v>
      </c>
      <c r="K13" s="15">
        <v>329</v>
      </c>
      <c r="L13" s="15">
        <v>808</v>
      </c>
      <c r="M13" s="15">
        <v>438</v>
      </c>
      <c r="N13" s="23">
        <v>1474</v>
      </c>
      <c r="O13" s="23">
        <v>1640</v>
      </c>
    </row>
    <row r="14" spans="1:17" x14ac:dyDescent="0.2">
      <c r="A14" t="s">
        <v>1112</v>
      </c>
      <c r="E14" s="80"/>
      <c r="F14" s="47" t="s">
        <v>1113</v>
      </c>
      <c r="G14" s="23">
        <v>1337</v>
      </c>
      <c r="H14" s="15">
        <v>0</v>
      </c>
      <c r="I14" s="15">
        <v>77</v>
      </c>
      <c r="J14" s="15">
        <v>38</v>
      </c>
      <c r="K14" s="15">
        <v>37</v>
      </c>
      <c r="L14" s="15">
        <v>205</v>
      </c>
      <c r="M14" s="15">
        <v>59</v>
      </c>
      <c r="N14" s="15">
        <v>333</v>
      </c>
      <c r="O14" s="15">
        <v>588</v>
      </c>
    </row>
    <row r="15" spans="1:17" x14ac:dyDescent="0.2">
      <c r="A15" t="s">
        <v>1114</v>
      </c>
      <c r="E15" s="80"/>
      <c r="F15" s="25" t="s">
        <v>1115</v>
      </c>
      <c r="G15" s="23">
        <v>3093</v>
      </c>
      <c r="H15" s="15">
        <v>0</v>
      </c>
      <c r="I15" s="15">
        <v>107</v>
      </c>
      <c r="J15" s="15">
        <v>580</v>
      </c>
      <c r="K15" s="15">
        <v>487</v>
      </c>
      <c r="L15" s="15">
        <v>395</v>
      </c>
      <c r="M15" s="15">
        <v>437</v>
      </c>
      <c r="N15" s="15">
        <v>455</v>
      </c>
      <c r="O15" s="15">
        <v>629</v>
      </c>
    </row>
    <row r="16" spans="1:17" x14ac:dyDescent="0.2">
      <c r="A16" t="s">
        <v>1116</v>
      </c>
      <c r="E16" s="80"/>
      <c r="F16" s="25" t="s">
        <v>1117</v>
      </c>
      <c r="G16" s="23">
        <v>3347</v>
      </c>
      <c r="H16" s="15">
        <v>21</v>
      </c>
      <c r="I16" s="15">
        <v>142</v>
      </c>
      <c r="J16" s="15">
        <v>303</v>
      </c>
      <c r="K16" s="15">
        <v>462</v>
      </c>
      <c r="L16" s="15">
        <v>473</v>
      </c>
      <c r="M16" s="15">
        <v>565</v>
      </c>
      <c r="N16" s="15">
        <v>689</v>
      </c>
      <c r="O16" s="15">
        <v>692</v>
      </c>
    </row>
    <row r="17" spans="1:15" x14ac:dyDescent="0.2">
      <c r="E17" s="80"/>
      <c r="F17" s="25" t="s">
        <v>1118</v>
      </c>
      <c r="G17" s="23">
        <v>5371</v>
      </c>
      <c r="H17" s="15">
        <v>56</v>
      </c>
      <c r="I17" s="15">
        <v>374</v>
      </c>
      <c r="J17" s="15">
        <v>510</v>
      </c>
      <c r="K17" s="15">
        <v>503</v>
      </c>
      <c r="L17" s="15">
        <v>795</v>
      </c>
      <c r="M17" s="15">
        <v>924</v>
      </c>
      <c r="N17" s="15">
        <v>998</v>
      </c>
      <c r="O17" s="23">
        <v>1211</v>
      </c>
    </row>
    <row r="18" spans="1:15" x14ac:dyDescent="0.2">
      <c r="A18" s="84" t="s">
        <v>1119</v>
      </c>
      <c r="B18" s="80"/>
      <c r="E18" s="80"/>
      <c r="F18" s="47" t="s">
        <v>1120</v>
      </c>
      <c r="G18" s="23">
        <v>2583</v>
      </c>
      <c r="H18" s="15">
        <v>25</v>
      </c>
      <c r="I18" s="15">
        <v>125</v>
      </c>
      <c r="J18" s="15">
        <v>197</v>
      </c>
      <c r="K18" s="15">
        <v>216</v>
      </c>
      <c r="L18" s="15">
        <v>388</v>
      </c>
      <c r="M18" s="15">
        <v>375</v>
      </c>
      <c r="N18" s="15">
        <v>455</v>
      </c>
      <c r="O18" s="15">
        <v>802</v>
      </c>
    </row>
    <row r="19" spans="1:15" x14ac:dyDescent="0.2">
      <c r="A19" t="s">
        <v>1121</v>
      </c>
      <c r="B19" t="s">
        <v>1624</v>
      </c>
      <c r="E19" s="80"/>
      <c r="F19" s="16" t="s">
        <v>1123</v>
      </c>
      <c r="G19" s="23">
        <v>1775</v>
      </c>
      <c r="H19" s="15">
        <v>0</v>
      </c>
      <c r="I19" s="15">
        <v>172</v>
      </c>
      <c r="J19" s="15">
        <v>380</v>
      </c>
      <c r="K19" s="15">
        <v>260</v>
      </c>
      <c r="L19" s="15">
        <v>341</v>
      </c>
      <c r="M19" s="15">
        <v>188</v>
      </c>
      <c r="N19" s="15">
        <v>293</v>
      </c>
      <c r="O19" s="15">
        <v>141</v>
      </c>
    </row>
    <row r="20" spans="1:15" x14ac:dyDescent="0.2">
      <c r="E20" s="80"/>
      <c r="F20" s="16" t="s">
        <v>1124</v>
      </c>
      <c r="G20" s="23">
        <v>1842</v>
      </c>
      <c r="H20" s="15">
        <v>0</v>
      </c>
      <c r="I20" s="15">
        <v>74</v>
      </c>
      <c r="J20" s="15">
        <v>300</v>
      </c>
      <c r="K20" s="15">
        <v>296</v>
      </c>
      <c r="L20" s="15">
        <v>320</v>
      </c>
      <c r="M20" s="15">
        <v>237</v>
      </c>
      <c r="N20" s="15">
        <v>270</v>
      </c>
      <c r="O20" s="15">
        <v>345</v>
      </c>
    </row>
    <row r="21" spans="1:15" x14ac:dyDescent="0.2">
      <c r="A21" s="82" t="s">
        <v>1125</v>
      </c>
      <c r="B21" s="80"/>
      <c r="E21" s="80"/>
      <c r="F21" s="16" t="s">
        <v>1126</v>
      </c>
      <c r="G21" s="23">
        <v>4240</v>
      </c>
      <c r="H21" s="15">
        <v>0</v>
      </c>
      <c r="I21" s="15">
        <v>140</v>
      </c>
      <c r="J21" s="15">
        <v>460</v>
      </c>
      <c r="K21" s="15">
        <v>327</v>
      </c>
      <c r="L21" s="15">
        <v>415</v>
      </c>
      <c r="M21" s="15">
        <v>554</v>
      </c>
      <c r="N21" s="15">
        <v>809</v>
      </c>
      <c r="O21" s="23">
        <v>1535</v>
      </c>
    </row>
    <row r="22" spans="1:15" x14ac:dyDescent="0.2">
      <c r="A22" t="s">
        <v>1135</v>
      </c>
      <c r="B22" t="s">
        <v>1232</v>
      </c>
      <c r="E22" s="80"/>
      <c r="F22" s="47" t="s">
        <v>1137</v>
      </c>
      <c r="G22" s="23">
        <v>1798</v>
      </c>
      <c r="H22" s="15">
        <v>0</v>
      </c>
      <c r="I22" s="15">
        <v>23</v>
      </c>
      <c r="J22" s="15">
        <v>18</v>
      </c>
      <c r="K22" s="15">
        <v>52</v>
      </c>
      <c r="L22" s="15">
        <v>123</v>
      </c>
      <c r="M22" s="15">
        <v>237</v>
      </c>
      <c r="N22" s="15">
        <v>625</v>
      </c>
      <c r="O22" s="15">
        <v>720</v>
      </c>
    </row>
    <row r="23" spans="1:15" x14ac:dyDescent="0.2">
      <c r="E23" s="80"/>
      <c r="F23" s="16" t="s">
        <v>1146</v>
      </c>
      <c r="G23" s="23">
        <v>11018</v>
      </c>
      <c r="H23" s="15">
        <v>241</v>
      </c>
      <c r="I23" s="15">
        <v>824</v>
      </c>
      <c r="J23" s="15">
        <v>924</v>
      </c>
      <c r="K23" s="15">
        <v>510</v>
      </c>
      <c r="L23" s="23">
        <v>1070</v>
      </c>
      <c r="M23" s="23">
        <v>1215</v>
      </c>
      <c r="N23" s="23">
        <v>2201</v>
      </c>
      <c r="O23" s="23">
        <v>4033</v>
      </c>
    </row>
    <row r="24" spans="1:15" x14ac:dyDescent="0.2">
      <c r="E24" s="80"/>
      <c r="F24" s="16" t="s">
        <v>1150</v>
      </c>
      <c r="G24" s="23">
        <v>1628</v>
      </c>
      <c r="H24" s="15">
        <v>7</v>
      </c>
      <c r="I24" s="15">
        <v>95</v>
      </c>
      <c r="J24" s="15">
        <v>431</v>
      </c>
      <c r="K24" s="15">
        <v>206</v>
      </c>
      <c r="L24" s="15">
        <v>178</v>
      </c>
      <c r="M24" s="15">
        <v>162</v>
      </c>
      <c r="N24" s="15">
        <v>219</v>
      </c>
      <c r="O24" s="15">
        <v>330</v>
      </c>
    </row>
    <row r="25" spans="1:15" x14ac:dyDescent="0.2">
      <c r="E25" s="80"/>
      <c r="F25" s="47" t="s">
        <v>1154</v>
      </c>
      <c r="G25" s="15">
        <v>235</v>
      </c>
      <c r="H25" s="15">
        <v>0</v>
      </c>
      <c r="I25" s="15">
        <v>17</v>
      </c>
      <c r="J25" s="15">
        <v>55</v>
      </c>
      <c r="K25" s="15">
        <v>6</v>
      </c>
      <c r="L25" s="15">
        <v>40</v>
      </c>
      <c r="M25" s="15">
        <v>0</v>
      </c>
      <c r="N25" s="15">
        <v>37</v>
      </c>
      <c r="O25" s="15">
        <v>80</v>
      </c>
    </row>
    <row r="26" spans="1:15" x14ac:dyDescent="0.2">
      <c r="E26" s="80"/>
      <c r="F26" s="16" t="s">
        <v>1158</v>
      </c>
      <c r="G26" s="23">
        <v>7395</v>
      </c>
      <c r="H26" s="15">
        <v>20</v>
      </c>
      <c r="I26" s="15">
        <v>320</v>
      </c>
      <c r="J26" s="23">
        <v>1024</v>
      </c>
      <c r="K26" s="15">
        <v>952</v>
      </c>
      <c r="L26" s="23">
        <v>1367</v>
      </c>
      <c r="M26" s="15">
        <v>648</v>
      </c>
      <c r="N26" s="23">
        <v>1606</v>
      </c>
      <c r="O26" s="23">
        <v>1458</v>
      </c>
    </row>
    <row r="27" spans="1:15" x14ac:dyDescent="0.2">
      <c r="A27" s="82"/>
      <c r="B27" s="80"/>
      <c r="E27" s="80"/>
      <c r="F27" s="47" t="s">
        <v>1162</v>
      </c>
      <c r="G27" s="15">
        <v>878</v>
      </c>
      <c r="H27" s="15">
        <v>0</v>
      </c>
      <c r="I27" s="15">
        <v>126</v>
      </c>
      <c r="J27" s="15">
        <v>63</v>
      </c>
      <c r="K27" s="15">
        <v>71</v>
      </c>
      <c r="L27" s="15">
        <v>372</v>
      </c>
      <c r="M27" s="15">
        <v>34</v>
      </c>
      <c r="N27" s="15">
        <v>39</v>
      </c>
      <c r="O27" s="15">
        <v>173</v>
      </c>
    </row>
    <row r="28" spans="1:15" x14ac:dyDescent="0.2">
      <c r="E28" s="80"/>
      <c r="F28" s="47" t="s">
        <v>1164</v>
      </c>
      <c r="G28" s="23">
        <v>2969</v>
      </c>
      <c r="H28" s="15">
        <v>20</v>
      </c>
      <c r="I28" s="15">
        <v>138</v>
      </c>
      <c r="J28" s="15">
        <v>139</v>
      </c>
      <c r="K28" s="15">
        <v>655</v>
      </c>
      <c r="L28" s="15">
        <v>408</v>
      </c>
      <c r="M28" s="15">
        <v>370</v>
      </c>
      <c r="N28" s="15">
        <v>752</v>
      </c>
      <c r="O28" s="15">
        <v>487</v>
      </c>
    </row>
    <row r="29" spans="1:15" x14ac:dyDescent="0.2">
      <c r="E29" s="80"/>
      <c r="F29" s="16" t="s">
        <v>1166</v>
      </c>
      <c r="G29" s="23">
        <v>8972</v>
      </c>
      <c r="H29" s="15">
        <v>69</v>
      </c>
      <c r="I29" s="15">
        <v>458</v>
      </c>
      <c r="J29" s="23">
        <v>1070</v>
      </c>
      <c r="K29" s="23">
        <v>1034</v>
      </c>
      <c r="L29" s="15">
        <v>964</v>
      </c>
      <c r="M29" s="23">
        <v>1211</v>
      </c>
      <c r="N29" s="23">
        <v>1638</v>
      </c>
      <c r="O29" s="23">
        <v>2528</v>
      </c>
    </row>
    <row r="30" spans="1:15" x14ac:dyDescent="0.2">
      <c r="E30" s="80"/>
      <c r="F30" s="47" t="s">
        <v>1168</v>
      </c>
      <c r="G30" s="23">
        <v>1519</v>
      </c>
      <c r="H30" s="15">
        <v>0</v>
      </c>
      <c r="I30" s="15">
        <v>116</v>
      </c>
      <c r="J30" s="15">
        <v>98</v>
      </c>
      <c r="K30" s="15">
        <v>82</v>
      </c>
      <c r="L30" s="15">
        <v>287</v>
      </c>
      <c r="M30" s="15">
        <v>305</v>
      </c>
      <c r="N30" s="15">
        <v>190</v>
      </c>
      <c r="O30" s="15">
        <v>441</v>
      </c>
    </row>
    <row r="31" spans="1:15" x14ac:dyDescent="0.2">
      <c r="E31" s="80"/>
      <c r="F31" s="47" t="s">
        <v>1170</v>
      </c>
      <c r="G31" s="23">
        <v>1600</v>
      </c>
      <c r="H31" s="15">
        <v>0</v>
      </c>
      <c r="I31" s="15">
        <v>58</v>
      </c>
      <c r="J31" s="15">
        <v>312</v>
      </c>
      <c r="K31" s="15">
        <v>311</v>
      </c>
      <c r="L31" s="15">
        <v>145</v>
      </c>
      <c r="M31" s="15">
        <v>336</v>
      </c>
      <c r="N31" s="15">
        <v>144</v>
      </c>
      <c r="O31" s="15">
        <v>294</v>
      </c>
    </row>
    <row r="32" spans="1:15" x14ac:dyDescent="0.2">
      <c r="E32" s="80"/>
      <c r="F32" s="47" t="s">
        <v>1172</v>
      </c>
      <c r="G32" s="23">
        <v>2882</v>
      </c>
      <c r="H32" s="15">
        <v>13</v>
      </c>
      <c r="I32" s="15">
        <v>8</v>
      </c>
      <c r="J32" s="15">
        <v>394</v>
      </c>
      <c r="K32" s="15">
        <v>417</v>
      </c>
      <c r="L32" s="15">
        <v>163</v>
      </c>
      <c r="M32" s="15">
        <v>187</v>
      </c>
      <c r="N32" s="15">
        <v>463</v>
      </c>
      <c r="O32" s="23">
        <v>1237</v>
      </c>
    </row>
    <row r="33" spans="5:15" x14ac:dyDescent="0.2">
      <c r="E33" s="80"/>
      <c r="F33" s="16" t="s">
        <v>1174</v>
      </c>
      <c r="G33" s="23">
        <v>2289</v>
      </c>
      <c r="H33" s="15">
        <v>15</v>
      </c>
      <c r="I33" s="15">
        <v>124</v>
      </c>
      <c r="J33" s="15">
        <v>394</v>
      </c>
      <c r="K33" s="15">
        <v>246</v>
      </c>
      <c r="L33" s="15">
        <v>161</v>
      </c>
      <c r="M33" s="15">
        <v>485</v>
      </c>
      <c r="N33" s="15">
        <v>306</v>
      </c>
      <c r="O33" s="15">
        <v>558</v>
      </c>
    </row>
    <row r="34" spans="5:15" x14ac:dyDescent="0.2">
      <c r="E34" s="80"/>
      <c r="F34" t="s">
        <v>1178</v>
      </c>
      <c r="G34" s="15">
        <v>468</v>
      </c>
      <c r="H34" s="15">
        <v>8</v>
      </c>
      <c r="I34" s="17">
        <v>7</v>
      </c>
      <c r="J34" s="15">
        <v>39</v>
      </c>
      <c r="K34" s="15">
        <v>24</v>
      </c>
      <c r="L34" s="15">
        <v>37</v>
      </c>
      <c r="M34" s="15">
        <v>66</v>
      </c>
      <c r="N34" s="15">
        <v>71</v>
      </c>
      <c r="O34" s="15">
        <v>216</v>
      </c>
    </row>
    <row r="35" spans="5:15" x14ac:dyDescent="0.2">
      <c r="E35" s="80"/>
      <c r="F35" s="16" t="s">
        <v>1180</v>
      </c>
      <c r="G35" s="23">
        <v>11624</v>
      </c>
      <c r="H35" s="15">
        <v>0</v>
      </c>
      <c r="I35" s="17">
        <v>185</v>
      </c>
      <c r="J35" s="15">
        <v>276</v>
      </c>
      <c r="K35" s="15">
        <v>529</v>
      </c>
      <c r="L35" s="23">
        <v>1053</v>
      </c>
      <c r="M35" s="15">
        <v>899</v>
      </c>
      <c r="N35" s="23">
        <v>2284</v>
      </c>
      <c r="O35" s="23">
        <v>6398</v>
      </c>
    </row>
    <row r="36" spans="5:15" x14ac:dyDescent="0.2">
      <c r="E36" s="80"/>
      <c r="F36" s="16" t="s">
        <v>1182</v>
      </c>
      <c r="G36" s="23">
        <v>12352</v>
      </c>
      <c r="H36" s="15">
        <v>142</v>
      </c>
      <c r="I36" s="17">
        <v>958</v>
      </c>
      <c r="J36" s="23">
        <v>1715</v>
      </c>
      <c r="K36" s="23">
        <v>1563</v>
      </c>
      <c r="L36" s="23">
        <v>1575</v>
      </c>
      <c r="M36" s="23">
        <v>1514</v>
      </c>
      <c r="N36" s="23">
        <v>3340</v>
      </c>
      <c r="O36" s="23">
        <v>1545</v>
      </c>
    </row>
    <row r="37" spans="5:15" x14ac:dyDescent="0.2">
      <c r="E37" s="80"/>
      <c r="F37" s="16" t="s">
        <v>1184</v>
      </c>
      <c r="G37" s="23">
        <v>11335</v>
      </c>
      <c r="H37" s="15">
        <v>48</v>
      </c>
      <c r="I37" s="28">
        <v>1113</v>
      </c>
      <c r="J37" s="23">
        <v>1670</v>
      </c>
      <c r="K37" s="15">
        <v>641</v>
      </c>
      <c r="L37" s="23">
        <v>1617</v>
      </c>
      <c r="M37" s="23">
        <v>1631</v>
      </c>
      <c r="N37" s="23">
        <v>3397</v>
      </c>
      <c r="O37" s="23">
        <v>1218</v>
      </c>
    </row>
    <row r="38" spans="5:15" x14ac:dyDescent="0.2">
      <c r="E38" s="80"/>
      <c r="F38" s="16" t="s">
        <v>1186</v>
      </c>
      <c r="G38" s="23">
        <v>7383</v>
      </c>
      <c r="H38" s="15">
        <v>137</v>
      </c>
      <c r="I38" s="23">
        <v>2418</v>
      </c>
      <c r="J38" s="23">
        <v>2147</v>
      </c>
      <c r="K38" s="23">
        <v>1309</v>
      </c>
      <c r="L38" s="15">
        <v>851</v>
      </c>
      <c r="M38" s="15">
        <v>199</v>
      </c>
      <c r="N38" s="15">
        <v>158</v>
      </c>
      <c r="O38" s="15">
        <v>164</v>
      </c>
    </row>
    <row r="39" spans="5:15" x14ac:dyDescent="0.2">
      <c r="E39" s="80"/>
      <c r="F39" s="47" t="s">
        <v>1188</v>
      </c>
      <c r="G39" s="23">
        <v>7383</v>
      </c>
      <c r="H39" s="15">
        <v>137</v>
      </c>
      <c r="I39" s="23">
        <v>2418</v>
      </c>
      <c r="J39" s="23">
        <v>2147</v>
      </c>
      <c r="K39" s="23">
        <v>1309</v>
      </c>
      <c r="L39" s="15">
        <v>851</v>
      </c>
      <c r="M39" s="15">
        <v>199</v>
      </c>
      <c r="N39" s="15">
        <v>158</v>
      </c>
      <c r="O39" s="15">
        <v>164</v>
      </c>
    </row>
    <row r="40" spans="5:15" x14ac:dyDescent="0.2">
      <c r="E40" s="80"/>
      <c r="F40" s="16" t="s">
        <v>1191</v>
      </c>
      <c r="G40" s="23">
        <v>3896</v>
      </c>
      <c r="H40" s="15">
        <v>0</v>
      </c>
      <c r="I40" s="15">
        <v>11</v>
      </c>
      <c r="J40" s="15">
        <v>322</v>
      </c>
      <c r="K40" s="15">
        <v>128</v>
      </c>
      <c r="L40" s="15">
        <v>262</v>
      </c>
      <c r="M40" s="15">
        <v>340</v>
      </c>
      <c r="N40" s="15">
        <v>621</v>
      </c>
      <c r="O40" s="23">
        <v>2212</v>
      </c>
    </row>
    <row r="41" spans="5:15" x14ac:dyDescent="0.2">
      <c r="E41" s="80"/>
      <c r="F41" s="16" t="s">
        <v>1195</v>
      </c>
      <c r="G41" s="23">
        <v>1766</v>
      </c>
      <c r="H41" s="15">
        <v>6</v>
      </c>
      <c r="I41" s="15">
        <v>62</v>
      </c>
      <c r="J41" s="15">
        <v>248</v>
      </c>
      <c r="K41" s="15">
        <v>108</v>
      </c>
      <c r="L41" s="15">
        <v>142</v>
      </c>
      <c r="M41" s="15">
        <v>141</v>
      </c>
      <c r="N41" s="15">
        <v>353</v>
      </c>
      <c r="O41" s="15">
        <v>706</v>
      </c>
    </row>
    <row r="42" spans="5:15" x14ac:dyDescent="0.2">
      <c r="E42" s="80"/>
      <c r="F42" s="47" t="s">
        <v>1199</v>
      </c>
      <c r="G42" s="23">
        <v>1284</v>
      </c>
      <c r="H42" s="15">
        <v>6</v>
      </c>
      <c r="I42" s="15">
        <v>57</v>
      </c>
      <c r="J42" s="15">
        <v>240</v>
      </c>
      <c r="K42" s="15">
        <v>100</v>
      </c>
      <c r="L42" s="15">
        <v>127</v>
      </c>
      <c r="M42" s="15">
        <v>121</v>
      </c>
      <c r="N42" s="15">
        <v>330</v>
      </c>
      <c r="O42" s="15">
        <v>303</v>
      </c>
    </row>
    <row r="43" spans="5:15" x14ac:dyDescent="0.2">
      <c r="E43" s="80"/>
      <c r="F43" s="47" t="s">
        <v>1200</v>
      </c>
      <c r="G43" s="15">
        <v>482</v>
      </c>
      <c r="H43" s="15">
        <v>0</v>
      </c>
      <c r="I43" s="15">
        <v>5</v>
      </c>
      <c r="J43" s="15">
        <v>8</v>
      </c>
      <c r="K43" s="15">
        <v>8</v>
      </c>
      <c r="L43" s="15">
        <v>15</v>
      </c>
      <c r="M43" s="15">
        <v>20</v>
      </c>
      <c r="N43" s="15">
        <v>23</v>
      </c>
      <c r="O43" s="15">
        <v>403</v>
      </c>
    </row>
    <row r="44" spans="5:15" x14ac:dyDescent="0.2">
      <c r="E44" s="80"/>
      <c r="F44" s="16" t="s">
        <v>1201</v>
      </c>
      <c r="G44" s="23">
        <v>12287</v>
      </c>
      <c r="H44" s="15">
        <v>207</v>
      </c>
      <c r="I44" s="23">
        <v>1331</v>
      </c>
      <c r="J44" s="23">
        <v>1700</v>
      </c>
      <c r="K44" s="15">
        <v>909</v>
      </c>
      <c r="L44" s="23">
        <v>1413</v>
      </c>
      <c r="M44" s="23">
        <v>2531</v>
      </c>
      <c r="N44" s="23">
        <v>2154</v>
      </c>
      <c r="O44" s="23">
        <v>2042</v>
      </c>
    </row>
    <row r="45" spans="5:15" x14ac:dyDescent="0.2">
      <c r="E45" s="80"/>
      <c r="F45" s="16" t="s">
        <v>1202</v>
      </c>
      <c r="G45" s="23">
        <v>13046</v>
      </c>
      <c r="H45" s="15">
        <v>0</v>
      </c>
      <c r="I45" s="15">
        <v>756</v>
      </c>
      <c r="J45" s="15">
        <v>965</v>
      </c>
      <c r="K45" s="23">
        <v>1513</v>
      </c>
      <c r="L45" s="23">
        <v>1905</v>
      </c>
      <c r="M45" s="23">
        <v>1853</v>
      </c>
      <c r="N45" s="23">
        <v>2603</v>
      </c>
      <c r="O45" s="23">
        <v>3451</v>
      </c>
    </row>
    <row r="46" spans="5:15" x14ac:dyDescent="0.2">
      <c r="E46" s="80"/>
      <c r="F46" s="47" t="s">
        <v>1203</v>
      </c>
      <c r="G46" s="23">
        <v>1002</v>
      </c>
      <c r="H46" s="15">
        <v>0</v>
      </c>
      <c r="I46" s="15">
        <v>43</v>
      </c>
      <c r="J46" s="15">
        <v>66</v>
      </c>
      <c r="K46" s="15">
        <v>90</v>
      </c>
      <c r="L46" s="15">
        <v>166</v>
      </c>
      <c r="M46" s="15">
        <v>236</v>
      </c>
      <c r="N46" s="15">
        <v>239</v>
      </c>
      <c r="O46" s="15">
        <v>162</v>
      </c>
    </row>
    <row r="47" spans="5:15" x14ac:dyDescent="0.2">
      <c r="E47" s="80"/>
      <c r="F47" s="47" t="s">
        <v>1204</v>
      </c>
      <c r="G47" s="23">
        <v>1379</v>
      </c>
      <c r="H47" s="15">
        <v>0</v>
      </c>
      <c r="I47" s="15">
        <v>7</v>
      </c>
      <c r="J47" s="15">
        <v>46</v>
      </c>
      <c r="K47" s="15">
        <v>72</v>
      </c>
      <c r="L47" s="15">
        <v>104</v>
      </c>
      <c r="M47" s="15">
        <v>37</v>
      </c>
      <c r="N47" s="15">
        <v>529</v>
      </c>
      <c r="O47" s="15">
        <v>584</v>
      </c>
    </row>
    <row r="48" spans="5:15" x14ac:dyDescent="0.2">
      <c r="E48" s="80"/>
      <c r="F48" s="47" t="s">
        <v>1205</v>
      </c>
      <c r="G48" s="23">
        <v>3304</v>
      </c>
      <c r="H48" s="15">
        <v>0</v>
      </c>
      <c r="I48" s="15">
        <v>481</v>
      </c>
      <c r="J48" s="15">
        <v>329</v>
      </c>
      <c r="K48" s="15">
        <v>344</v>
      </c>
      <c r="L48" s="15">
        <v>504</v>
      </c>
      <c r="M48" s="15">
        <v>399</v>
      </c>
      <c r="N48" s="15">
        <v>241</v>
      </c>
      <c r="O48" s="23">
        <v>1006</v>
      </c>
    </row>
    <row r="49" spans="5:15" x14ac:dyDescent="0.2">
      <c r="E49" s="80"/>
      <c r="F49" s="16" t="s">
        <v>1206</v>
      </c>
      <c r="G49" s="23">
        <v>2635</v>
      </c>
      <c r="H49" s="15">
        <v>37</v>
      </c>
      <c r="I49" s="15">
        <v>189</v>
      </c>
      <c r="J49" s="15">
        <v>340</v>
      </c>
      <c r="K49" s="15">
        <v>314</v>
      </c>
      <c r="L49" s="15">
        <v>432</v>
      </c>
      <c r="M49" s="15">
        <v>356</v>
      </c>
      <c r="N49" s="15">
        <v>512</v>
      </c>
      <c r="O49" s="15">
        <v>457</v>
      </c>
    </row>
    <row r="50" spans="5:15" x14ac:dyDescent="0.2">
      <c r="E50" s="80"/>
      <c r="F50" s="16" t="s">
        <v>1207</v>
      </c>
      <c r="G50" s="23">
        <v>4193</v>
      </c>
      <c r="H50" s="15">
        <v>0</v>
      </c>
      <c r="I50" s="15">
        <v>260</v>
      </c>
      <c r="J50" s="15">
        <v>495</v>
      </c>
      <c r="K50" s="15">
        <v>494</v>
      </c>
      <c r="L50" s="15">
        <v>871</v>
      </c>
      <c r="M50" s="15">
        <v>506</v>
      </c>
      <c r="N50" s="15">
        <v>778</v>
      </c>
      <c r="O50" s="15">
        <v>789</v>
      </c>
    </row>
    <row r="51" spans="5:15" x14ac:dyDescent="0.2">
      <c r="E51" s="80"/>
      <c r="F51" s="47" t="s">
        <v>1162</v>
      </c>
      <c r="G51" s="15">
        <v>259</v>
      </c>
      <c r="H51" s="15">
        <v>0</v>
      </c>
      <c r="I51" s="15">
        <v>0</v>
      </c>
      <c r="J51" s="15">
        <v>37</v>
      </c>
      <c r="K51" s="15">
        <v>26</v>
      </c>
      <c r="L51" s="15">
        <v>119</v>
      </c>
      <c r="M51" s="15">
        <v>71</v>
      </c>
      <c r="N51" s="15">
        <v>6</v>
      </c>
      <c r="O51" s="15">
        <v>0</v>
      </c>
    </row>
    <row r="52" spans="5:15" x14ac:dyDescent="0.2">
      <c r="E52" s="80"/>
      <c r="F52" s="47" t="s">
        <v>1208</v>
      </c>
      <c r="G52" s="23">
        <v>3934</v>
      </c>
      <c r="H52" s="15">
        <v>0</v>
      </c>
      <c r="I52" s="15">
        <v>260</v>
      </c>
      <c r="J52" s="15">
        <v>458</v>
      </c>
      <c r="K52" s="15">
        <v>468</v>
      </c>
      <c r="L52" s="15">
        <v>752</v>
      </c>
      <c r="M52" s="15">
        <v>435</v>
      </c>
      <c r="N52" s="15">
        <v>772</v>
      </c>
      <c r="O52" s="15">
        <v>789</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topLeftCell="B1"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1077</v>
      </c>
      <c r="B1" s="79" t="s">
        <v>124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tbl-house-characteristics-homeowner</v>
      </c>
    </row>
    <row r="4" spans="1:17" x14ac:dyDescent="0.2">
      <c r="A4" s="16" t="s">
        <v>7</v>
      </c>
      <c r="B4" t="str">
        <f>IF($B$1="","",_xlfn.XLOOKUP($B$1,Master!$F$2:$F$321,Master!$H$2:$H$321,""))</f>
        <v>fig-house-characteristics-homeowner</v>
      </c>
      <c r="E4" s="8"/>
      <c r="F4" s="10" t="s">
        <v>968</v>
      </c>
      <c r="G4" s="10" t="s">
        <v>973</v>
      </c>
      <c r="H4" s="10" t="s">
        <v>973</v>
      </c>
      <c r="I4" s="10" t="s">
        <v>973</v>
      </c>
      <c r="J4" s="10" t="s">
        <v>979</v>
      </c>
      <c r="K4" s="10" t="s">
        <v>989</v>
      </c>
      <c r="L4" s="10" t="s">
        <v>989</v>
      </c>
      <c r="M4" s="10" t="s">
        <v>973</v>
      </c>
      <c r="N4" s="10"/>
      <c r="O4" s="10"/>
      <c r="P4" s="10"/>
      <c r="Q4" s="10"/>
    </row>
    <row r="5" spans="1:17" x14ac:dyDescent="0.2">
      <c r="A5" s="84" t="s">
        <v>1081</v>
      </c>
      <c r="B5" s="80"/>
      <c r="E5" s="83" t="s">
        <v>1082</v>
      </c>
      <c r="F5" s="82" t="s">
        <v>1083</v>
      </c>
      <c r="G5" s="82" t="s">
        <v>1625</v>
      </c>
      <c r="H5" s="82"/>
      <c r="I5" s="82"/>
      <c r="J5" s="82"/>
      <c r="K5" s="82"/>
      <c r="L5" s="82"/>
      <c r="M5" s="82"/>
    </row>
    <row r="6" spans="1:17" ht="15" customHeight="1" x14ac:dyDescent="0.2">
      <c r="A6" t="s">
        <v>1088</v>
      </c>
      <c r="B6" t="b">
        <v>1</v>
      </c>
      <c r="E6" s="80"/>
      <c r="F6" s="80"/>
      <c r="G6" s="15" t="s">
        <v>1620</v>
      </c>
      <c r="H6" s="15" t="s">
        <v>1626</v>
      </c>
      <c r="I6" s="15" t="s">
        <v>1627</v>
      </c>
      <c r="J6" s="15" t="s">
        <v>1628</v>
      </c>
      <c r="K6" s="15" t="s">
        <v>1629</v>
      </c>
      <c r="L6" s="15" t="s">
        <v>1630</v>
      </c>
      <c r="M6" s="15" t="s">
        <v>1631</v>
      </c>
      <c r="N6" s="15"/>
      <c r="O6" s="15"/>
    </row>
    <row r="7" spans="1:17" ht="15.75" customHeight="1" x14ac:dyDescent="0.2">
      <c r="E7" s="80"/>
      <c r="F7" s="16" t="s">
        <v>1096</v>
      </c>
      <c r="G7" s="23">
        <v>148460</v>
      </c>
      <c r="H7" s="23">
        <v>137311</v>
      </c>
      <c r="I7" s="23">
        <v>93959</v>
      </c>
      <c r="J7" s="15">
        <v>1.1000000000000001</v>
      </c>
      <c r="K7" s="42">
        <v>361100</v>
      </c>
      <c r="L7" s="42">
        <v>2653</v>
      </c>
      <c r="M7" s="23">
        <v>30065</v>
      </c>
      <c r="N7" s="15"/>
      <c r="O7" s="15"/>
    </row>
    <row r="8" spans="1:17" x14ac:dyDescent="0.2">
      <c r="E8" s="80"/>
      <c r="F8" s="16" t="s">
        <v>1097</v>
      </c>
      <c r="G8" s="23">
        <v>6844</v>
      </c>
      <c r="H8" s="23">
        <v>6149</v>
      </c>
      <c r="I8" s="23">
        <v>5016</v>
      </c>
      <c r="J8" s="15">
        <v>1.3</v>
      </c>
      <c r="K8" s="42">
        <v>372900</v>
      </c>
      <c r="L8" s="42">
        <v>2738</v>
      </c>
      <c r="M8" s="23">
        <v>2083</v>
      </c>
      <c r="N8" s="15"/>
      <c r="O8" s="15"/>
    </row>
    <row r="9" spans="1:17" x14ac:dyDescent="0.2">
      <c r="A9" s="84" t="s">
        <v>1098</v>
      </c>
      <c r="B9" s="80"/>
      <c r="E9" s="80"/>
      <c r="F9" s="47" t="s">
        <v>1099</v>
      </c>
      <c r="G9" s="23">
        <v>1483</v>
      </c>
      <c r="H9" s="23">
        <v>1261</v>
      </c>
      <c r="I9" s="15">
        <v>995</v>
      </c>
      <c r="J9" s="15">
        <v>2.4</v>
      </c>
      <c r="K9" s="42">
        <v>349800</v>
      </c>
      <c r="L9" s="42">
        <v>2536</v>
      </c>
      <c r="M9" s="15">
        <v>500</v>
      </c>
      <c r="N9" s="15"/>
      <c r="O9" s="15"/>
    </row>
    <row r="10" spans="1:17" x14ac:dyDescent="0.2">
      <c r="A10" t="s">
        <v>1100</v>
      </c>
      <c r="E10" s="80"/>
      <c r="F10" s="47" t="s">
        <v>1101</v>
      </c>
      <c r="G10" s="23">
        <v>2080</v>
      </c>
      <c r="H10" s="14">
        <v>2004</v>
      </c>
      <c r="I10" s="14">
        <v>1575</v>
      </c>
      <c r="J10">
        <v>1.9</v>
      </c>
      <c r="K10" s="43">
        <v>268100</v>
      </c>
      <c r="L10" s="43">
        <v>2464</v>
      </c>
      <c r="M10">
        <v>507</v>
      </c>
    </row>
    <row r="11" spans="1:17" x14ac:dyDescent="0.2">
      <c r="A11" t="s">
        <v>1102</v>
      </c>
      <c r="E11" s="80"/>
      <c r="F11" s="16" t="s">
        <v>1103</v>
      </c>
      <c r="G11" s="23">
        <v>4763</v>
      </c>
      <c r="H11" s="23">
        <v>4458</v>
      </c>
      <c r="I11" s="23">
        <v>3538</v>
      </c>
      <c r="J11" s="17">
        <v>1.3</v>
      </c>
      <c r="K11" s="44">
        <v>399700</v>
      </c>
      <c r="L11" s="44">
        <v>3094</v>
      </c>
      <c r="M11" s="28">
        <v>1026</v>
      </c>
      <c r="N11" s="17"/>
    </row>
    <row r="12" spans="1:17" x14ac:dyDescent="0.2">
      <c r="A12" t="s">
        <v>1104</v>
      </c>
      <c r="E12" s="80"/>
      <c r="F12" s="48" t="s">
        <v>1105</v>
      </c>
      <c r="G12" s="28">
        <v>1735</v>
      </c>
      <c r="H12" s="28">
        <v>1643</v>
      </c>
      <c r="I12" s="15">
        <v>922</v>
      </c>
      <c r="J12" s="15">
        <v>5.0999999999999996</v>
      </c>
      <c r="K12" s="42">
        <v>219600</v>
      </c>
      <c r="L12" s="42">
        <v>2260</v>
      </c>
      <c r="M12">
        <v>409</v>
      </c>
    </row>
    <row r="13" spans="1:17" x14ac:dyDescent="0.2">
      <c r="A13" t="s">
        <v>1108</v>
      </c>
      <c r="E13" s="80"/>
      <c r="F13" s="16" t="s">
        <v>1109</v>
      </c>
      <c r="G13" s="14">
        <v>5366</v>
      </c>
      <c r="H13" s="14">
        <v>5023</v>
      </c>
      <c r="I13" s="14">
        <v>3815</v>
      </c>
      <c r="J13">
        <v>2.4</v>
      </c>
      <c r="K13" s="43">
        <v>416500</v>
      </c>
      <c r="L13" s="43">
        <v>2994</v>
      </c>
      <c r="M13" s="14">
        <v>1160</v>
      </c>
    </row>
    <row r="14" spans="1:17" x14ac:dyDescent="0.2">
      <c r="A14" t="s">
        <v>1112</v>
      </c>
      <c r="E14" s="80"/>
      <c r="F14" s="47" t="s">
        <v>1113</v>
      </c>
      <c r="G14" s="14">
        <v>1250</v>
      </c>
      <c r="H14" s="14">
        <v>1186</v>
      </c>
      <c r="I14">
        <v>818</v>
      </c>
      <c r="J14">
        <v>1.9</v>
      </c>
      <c r="K14" s="43">
        <v>349800</v>
      </c>
      <c r="L14" s="43">
        <v>2813</v>
      </c>
      <c r="M14">
        <v>321</v>
      </c>
    </row>
    <row r="15" spans="1:17" x14ac:dyDescent="0.2">
      <c r="A15" t="s">
        <v>1114</v>
      </c>
      <c r="E15" s="80"/>
      <c r="F15" s="16" t="s">
        <v>1115</v>
      </c>
      <c r="G15" s="14">
        <v>3093</v>
      </c>
      <c r="H15" s="14">
        <v>3001</v>
      </c>
      <c r="I15" s="14">
        <v>2299</v>
      </c>
      <c r="J15">
        <v>0</v>
      </c>
      <c r="K15" s="43">
        <v>384700</v>
      </c>
      <c r="L15" s="43">
        <v>2490</v>
      </c>
      <c r="M15">
        <v>399</v>
      </c>
    </row>
    <row r="16" spans="1:17" x14ac:dyDescent="0.2">
      <c r="A16" t="s">
        <v>1116</v>
      </c>
      <c r="E16" s="80"/>
      <c r="F16" s="16" t="s">
        <v>1117</v>
      </c>
      <c r="G16" s="14">
        <v>3347</v>
      </c>
      <c r="H16" s="14">
        <v>2993</v>
      </c>
      <c r="I16" s="14">
        <v>2254</v>
      </c>
      <c r="J16">
        <v>0.8</v>
      </c>
      <c r="K16" s="43">
        <v>223000</v>
      </c>
      <c r="L16" s="43">
        <v>2023</v>
      </c>
      <c r="M16">
        <v>611</v>
      </c>
    </row>
    <row r="17" spans="1:13" x14ac:dyDescent="0.2">
      <c r="E17" s="80"/>
      <c r="F17" s="16" t="s">
        <v>1118</v>
      </c>
      <c r="G17" s="14">
        <v>5371</v>
      </c>
      <c r="H17" s="14">
        <v>4861</v>
      </c>
      <c r="I17" s="14">
        <v>3868</v>
      </c>
      <c r="J17">
        <v>1.3</v>
      </c>
      <c r="K17" s="43">
        <v>437900</v>
      </c>
      <c r="L17" s="43">
        <v>3236</v>
      </c>
      <c r="M17" s="14">
        <v>1288</v>
      </c>
    </row>
    <row r="18" spans="1:13" x14ac:dyDescent="0.2">
      <c r="A18" s="84" t="s">
        <v>1119</v>
      </c>
      <c r="B18" s="80"/>
      <c r="E18" s="80"/>
      <c r="F18" s="47" t="s">
        <v>1120</v>
      </c>
      <c r="G18" s="14">
        <v>2548</v>
      </c>
      <c r="H18" s="14">
        <v>2307</v>
      </c>
      <c r="I18" s="14">
        <v>1379</v>
      </c>
      <c r="J18">
        <v>0</v>
      </c>
      <c r="K18" s="43">
        <v>357000</v>
      </c>
      <c r="L18" s="43">
        <v>2466</v>
      </c>
      <c r="M18">
        <v>337</v>
      </c>
    </row>
    <row r="19" spans="1:13" x14ac:dyDescent="0.2">
      <c r="A19" t="s">
        <v>1121</v>
      </c>
      <c r="B19" t="s">
        <v>1632</v>
      </c>
      <c r="E19" s="80"/>
      <c r="F19" s="16" t="s">
        <v>1123</v>
      </c>
      <c r="G19" s="14">
        <v>1775</v>
      </c>
      <c r="H19" s="14">
        <v>1645</v>
      </c>
      <c r="I19" s="14">
        <v>1343</v>
      </c>
      <c r="J19">
        <v>0</v>
      </c>
      <c r="K19" s="43">
        <v>357000</v>
      </c>
      <c r="L19" s="43">
        <v>2466</v>
      </c>
      <c r="M19">
        <v>337</v>
      </c>
    </row>
    <row r="20" spans="1:13" x14ac:dyDescent="0.2">
      <c r="E20" s="80"/>
      <c r="F20" s="16" t="s">
        <v>1124</v>
      </c>
      <c r="G20" s="23">
        <v>1842</v>
      </c>
      <c r="H20" s="23">
        <v>1745</v>
      </c>
      <c r="I20" s="14">
        <v>1625</v>
      </c>
      <c r="J20">
        <v>0.5</v>
      </c>
      <c r="K20" s="43">
        <v>481700</v>
      </c>
      <c r="L20" s="43">
        <v>3084</v>
      </c>
      <c r="M20">
        <v>596</v>
      </c>
    </row>
    <row r="21" spans="1:13" x14ac:dyDescent="0.2">
      <c r="A21" s="82" t="s">
        <v>1125</v>
      </c>
      <c r="B21" s="80"/>
      <c r="E21" s="80"/>
      <c r="F21" s="16" t="s">
        <v>1126</v>
      </c>
      <c r="G21" s="23">
        <v>4240</v>
      </c>
      <c r="H21" s="23">
        <v>3938</v>
      </c>
      <c r="I21" s="14">
        <v>1639</v>
      </c>
      <c r="J21">
        <v>0</v>
      </c>
      <c r="K21" s="43">
        <v>324800</v>
      </c>
      <c r="L21" s="43">
        <v>2810</v>
      </c>
      <c r="M21">
        <v>666</v>
      </c>
    </row>
    <row r="22" spans="1:13" x14ac:dyDescent="0.2">
      <c r="A22" t="s">
        <v>1135</v>
      </c>
      <c r="B22" t="s">
        <v>1633</v>
      </c>
      <c r="E22" s="80"/>
      <c r="F22" s="47" t="s">
        <v>1137</v>
      </c>
      <c r="G22" s="23">
        <v>1801</v>
      </c>
      <c r="H22" s="23">
        <v>1575</v>
      </c>
      <c r="I22">
        <v>853</v>
      </c>
      <c r="J22">
        <v>0</v>
      </c>
      <c r="K22" s="43">
        <v>266900</v>
      </c>
      <c r="L22" s="43">
        <v>2493</v>
      </c>
      <c r="M22">
        <v>319</v>
      </c>
    </row>
    <row r="23" spans="1:13" x14ac:dyDescent="0.2">
      <c r="E23" s="80"/>
      <c r="F23" s="16" t="s">
        <v>1146</v>
      </c>
      <c r="G23" s="23">
        <v>11018</v>
      </c>
      <c r="H23" s="23">
        <v>10182</v>
      </c>
      <c r="I23" s="14">
        <v>5341</v>
      </c>
      <c r="J23">
        <v>0.7</v>
      </c>
      <c r="K23" s="43">
        <v>271000</v>
      </c>
      <c r="L23" s="43">
        <v>2272</v>
      </c>
      <c r="M23" s="14">
        <v>1469</v>
      </c>
    </row>
    <row r="24" spans="1:13" x14ac:dyDescent="0.2">
      <c r="E24" s="80"/>
      <c r="F24" s="16" t="s">
        <v>1150</v>
      </c>
      <c r="G24" s="14">
        <v>1697</v>
      </c>
      <c r="H24" s="14">
        <v>1491</v>
      </c>
      <c r="I24" s="14">
        <v>1172</v>
      </c>
      <c r="J24">
        <v>0.9</v>
      </c>
      <c r="K24" s="43">
        <v>357800</v>
      </c>
      <c r="L24" s="43">
        <v>2790</v>
      </c>
      <c r="M24">
        <v>398</v>
      </c>
    </row>
    <row r="25" spans="1:13" x14ac:dyDescent="0.2">
      <c r="E25" s="80"/>
      <c r="F25" s="47" t="s">
        <v>1154</v>
      </c>
      <c r="G25" s="15">
        <v>265</v>
      </c>
      <c r="H25" s="15">
        <v>229</v>
      </c>
      <c r="I25">
        <v>138</v>
      </c>
      <c r="J25">
        <v>7.4</v>
      </c>
      <c r="K25" s="43">
        <v>261100</v>
      </c>
      <c r="L25" s="43">
        <v>1989</v>
      </c>
      <c r="M25">
        <v>30</v>
      </c>
    </row>
    <row r="26" spans="1:13" x14ac:dyDescent="0.2">
      <c r="E26" s="80"/>
      <c r="F26" s="16" t="s">
        <v>1158</v>
      </c>
      <c r="G26" s="23">
        <v>7407</v>
      </c>
      <c r="H26" s="23">
        <v>6883</v>
      </c>
      <c r="I26" s="14">
        <v>5588</v>
      </c>
      <c r="J26">
        <v>2.2000000000000002</v>
      </c>
      <c r="K26" s="43">
        <v>353300</v>
      </c>
      <c r="L26" s="43">
        <v>2834</v>
      </c>
      <c r="M26" s="14">
        <v>1857</v>
      </c>
    </row>
    <row r="27" spans="1:13" x14ac:dyDescent="0.2">
      <c r="A27" s="82"/>
      <c r="B27" s="80"/>
      <c r="E27" s="80"/>
      <c r="F27" s="47" t="s">
        <v>1244</v>
      </c>
      <c r="G27" s="23">
        <v>1233</v>
      </c>
      <c r="H27" s="23">
        <v>1140</v>
      </c>
      <c r="I27">
        <v>557</v>
      </c>
      <c r="J27">
        <v>0</v>
      </c>
      <c r="K27" s="43">
        <v>232100</v>
      </c>
      <c r="L27" s="43">
        <v>2411</v>
      </c>
      <c r="M27">
        <v>214</v>
      </c>
    </row>
    <row r="28" spans="1:13" x14ac:dyDescent="0.2">
      <c r="E28" s="80"/>
      <c r="F28" s="47" t="s">
        <v>1164</v>
      </c>
      <c r="G28" s="23">
        <v>3009</v>
      </c>
      <c r="H28" s="23">
        <v>2841</v>
      </c>
      <c r="I28" s="14">
        <v>2373</v>
      </c>
      <c r="J28">
        <v>0</v>
      </c>
      <c r="K28" s="43">
        <v>336800</v>
      </c>
      <c r="L28" s="43">
        <v>2942</v>
      </c>
      <c r="M28">
        <v>785</v>
      </c>
    </row>
    <row r="29" spans="1:13" x14ac:dyDescent="0.2">
      <c r="E29" s="80"/>
      <c r="F29" s="16" t="s">
        <v>1166</v>
      </c>
      <c r="G29" s="23">
        <v>9101</v>
      </c>
      <c r="H29" s="23">
        <v>8330</v>
      </c>
      <c r="I29" s="14">
        <v>5806</v>
      </c>
      <c r="J29">
        <v>0.9</v>
      </c>
      <c r="K29" s="43">
        <v>271700</v>
      </c>
      <c r="L29" s="43">
        <v>2299</v>
      </c>
      <c r="M29" s="14">
        <v>1884</v>
      </c>
    </row>
    <row r="30" spans="1:13" x14ac:dyDescent="0.2">
      <c r="E30" s="80"/>
      <c r="F30" s="47" t="s">
        <v>1168</v>
      </c>
      <c r="G30" s="23">
        <v>1446</v>
      </c>
      <c r="H30" s="23">
        <v>1286</v>
      </c>
      <c r="I30">
        <v>705</v>
      </c>
      <c r="J30">
        <v>7</v>
      </c>
      <c r="K30" s="43">
        <v>200200</v>
      </c>
      <c r="L30" s="43">
        <v>1747</v>
      </c>
      <c r="M30">
        <v>199</v>
      </c>
    </row>
    <row r="31" spans="1:13" x14ac:dyDescent="0.2">
      <c r="E31" s="80"/>
      <c r="F31" s="47" t="s">
        <v>1170</v>
      </c>
      <c r="G31" s="23">
        <v>1373</v>
      </c>
      <c r="H31" s="23">
        <v>1346</v>
      </c>
      <c r="I31">
        <v>859</v>
      </c>
      <c r="J31">
        <v>0</v>
      </c>
      <c r="K31" s="43">
        <v>291000</v>
      </c>
      <c r="L31" s="43">
        <v>2269</v>
      </c>
      <c r="M31">
        <v>195</v>
      </c>
    </row>
    <row r="32" spans="1:13" x14ac:dyDescent="0.2">
      <c r="E32" s="80"/>
      <c r="F32" s="47" t="s">
        <v>1172</v>
      </c>
      <c r="G32" s="14">
        <v>3003</v>
      </c>
      <c r="H32" s="14">
        <v>2790</v>
      </c>
      <c r="I32" s="14">
        <v>1717</v>
      </c>
      <c r="J32">
        <v>0</v>
      </c>
      <c r="K32" s="43">
        <v>257300</v>
      </c>
      <c r="L32" s="43">
        <v>2309</v>
      </c>
      <c r="M32">
        <v>699</v>
      </c>
    </row>
    <row r="33" spans="5:13" x14ac:dyDescent="0.2">
      <c r="E33" s="80"/>
      <c r="F33" s="16" t="s">
        <v>1174</v>
      </c>
      <c r="G33" s="23">
        <v>2216</v>
      </c>
      <c r="H33" s="23">
        <v>1906</v>
      </c>
      <c r="I33" s="14">
        <v>1550</v>
      </c>
      <c r="J33">
        <v>3.4</v>
      </c>
      <c r="K33" s="43">
        <v>269900</v>
      </c>
      <c r="L33" s="43">
        <v>2109</v>
      </c>
      <c r="M33">
        <v>405</v>
      </c>
    </row>
    <row r="34" spans="5:13" x14ac:dyDescent="0.2">
      <c r="E34" s="80"/>
      <c r="F34" s="47" t="s">
        <v>1178</v>
      </c>
      <c r="G34" s="15">
        <v>524</v>
      </c>
      <c r="H34" s="15">
        <v>491</v>
      </c>
      <c r="I34" s="17">
        <v>321</v>
      </c>
      <c r="J34">
        <v>1.5</v>
      </c>
      <c r="K34" s="43">
        <v>223100</v>
      </c>
      <c r="L34" s="43">
        <v>2169</v>
      </c>
      <c r="M34">
        <v>120</v>
      </c>
    </row>
    <row r="35" spans="5:13" x14ac:dyDescent="0.2">
      <c r="E35" s="80"/>
      <c r="F35" s="16" t="s">
        <v>1180</v>
      </c>
      <c r="G35" s="23">
        <v>11700</v>
      </c>
      <c r="H35" s="23">
        <v>9951</v>
      </c>
      <c r="I35" s="28">
        <v>3475</v>
      </c>
      <c r="J35">
        <v>1.3</v>
      </c>
      <c r="K35" s="43">
        <v>166000</v>
      </c>
      <c r="L35" s="43">
        <v>1852</v>
      </c>
      <c r="M35" s="14">
        <v>1161</v>
      </c>
    </row>
    <row r="36" spans="5:13" x14ac:dyDescent="0.2">
      <c r="E36" s="80"/>
      <c r="F36" s="16" t="s">
        <v>1182</v>
      </c>
      <c r="G36" s="23">
        <v>12127</v>
      </c>
      <c r="H36" s="23">
        <v>11228</v>
      </c>
      <c r="I36" s="28">
        <v>9224</v>
      </c>
      <c r="J36">
        <v>1.5</v>
      </c>
      <c r="K36" s="43">
        <v>278500</v>
      </c>
      <c r="L36" s="43">
        <v>2213</v>
      </c>
      <c r="M36" s="14">
        <v>2750</v>
      </c>
    </row>
    <row r="37" spans="5:13" x14ac:dyDescent="0.2">
      <c r="E37" s="80"/>
      <c r="F37" s="16" t="s">
        <v>1184</v>
      </c>
      <c r="G37" s="23">
        <v>10557</v>
      </c>
      <c r="H37" s="23">
        <v>9899</v>
      </c>
      <c r="I37" s="28">
        <v>7088</v>
      </c>
      <c r="J37">
        <v>1.1000000000000001</v>
      </c>
      <c r="K37" s="43">
        <v>290000</v>
      </c>
      <c r="L37" s="43">
        <v>2542</v>
      </c>
      <c r="M37" s="14">
        <v>2268</v>
      </c>
    </row>
    <row r="38" spans="5:13" x14ac:dyDescent="0.2">
      <c r="E38" s="80"/>
      <c r="F38" s="16" t="s">
        <v>1186</v>
      </c>
      <c r="G38" s="14">
        <v>6069</v>
      </c>
      <c r="H38" s="14">
        <v>5781</v>
      </c>
      <c r="I38" s="14">
        <v>1895</v>
      </c>
      <c r="J38">
        <v>0</v>
      </c>
      <c r="K38" s="43">
        <v>566100</v>
      </c>
      <c r="L38" s="43">
        <v>2610</v>
      </c>
      <c r="M38" s="14">
        <v>1304</v>
      </c>
    </row>
    <row r="39" spans="5:13" x14ac:dyDescent="0.2">
      <c r="E39" s="80"/>
      <c r="F39" s="47" t="s">
        <v>1188</v>
      </c>
      <c r="G39" s="14">
        <v>6069</v>
      </c>
      <c r="H39" s="14">
        <v>5781</v>
      </c>
      <c r="I39" s="14">
        <v>1895</v>
      </c>
      <c r="J39">
        <v>0</v>
      </c>
      <c r="K39" s="43">
        <v>566100</v>
      </c>
      <c r="L39" s="43">
        <v>2610</v>
      </c>
      <c r="M39" s="14">
        <v>1304</v>
      </c>
    </row>
    <row r="40" spans="5:13" x14ac:dyDescent="0.2">
      <c r="E40" s="80"/>
      <c r="F40" s="16" t="s">
        <v>1191</v>
      </c>
      <c r="G40" s="14">
        <v>4044</v>
      </c>
      <c r="H40" s="14">
        <v>3566</v>
      </c>
      <c r="I40" s="14">
        <v>1837</v>
      </c>
      <c r="J40">
        <v>4.4000000000000004</v>
      </c>
      <c r="K40" s="43">
        <v>153300</v>
      </c>
      <c r="L40" s="43">
        <v>1692</v>
      </c>
      <c r="M40">
        <v>684</v>
      </c>
    </row>
    <row r="41" spans="5:13" x14ac:dyDescent="0.2">
      <c r="E41" s="80"/>
      <c r="F41" s="16" t="s">
        <v>1195</v>
      </c>
      <c r="G41" s="14">
        <v>1722</v>
      </c>
      <c r="H41" s="14">
        <v>1477</v>
      </c>
      <c r="I41" s="14">
        <v>1235</v>
      </c>
      <c r="J41">
        <v>3.4</v>
      </c>
      <c r="K41" s="43">
        <v>528500</v>
      </c>
      <c r="L41" s="43">
        <v>3296</v>
      </c>
      <c r="M41">
        <v>359</v>
      </c>
    </row>
    <row r="42" spans="5:13" x14ac:dyDescent="0.2">
      <c r="E42" s="80"/>
      <c r="F42" s="47" t="s">
        <v>1200</v>
      </c>
      <c r="G42">
        <v>457</v>
      </c>
      <c r="H42">
        <v>360</v>
      </c>
      <c r="I42">
        <v>324</v>
      </c>
      <c r="J42">
        <v>2.9</v>
      </c>
      <c r="K42" s="43">
        <v>2000000</v>
      </c>
      <c r="L42" s="43">
        <v>3938</v>
      </c>
      <c r="M42">
        <v>54</v>
      </c>
    </row>
    <row r="43" spans="5:13" x14ac:dyDescent="0.2">
      <c r="E43" s="80"/>
      <c r="F43" s="16" t="s">
        <v>1201</v>
      </c>
      <c r="G43" s="14">
        <v>12140</v>
      </c>
      <c r="H43" s="14">
        <v>11574</v>
      </c>
      <c r="I43" s="14">
        <v>7723</v>
      </c>
      <c r="J43">
        <v>0.7</v>
      </c>
      <c r="K43" s="43">
        <v>259700</v>
      </c>
      <c r="L43" s="43">
        <v>2177</v>
      </c>
      <c r="M43" s="14">
        <v>2582</v>
      </c>
    </row>
    <row r="44" spans="5:13" x14ac:dyDescent="0.2">
      <c r="E44" s="80"/>
      <c r="F44" s="16" t="s">
        <v>1202</v>
      </c>
      <c r="G44" s="14">
        <v>13071</v>
      </c>
      <c r="H44" s="14">
        <v>11739</v>
      </c>
      <c r="I44" s="14">
        <v>9300</v>
      </c>
      <c r="J44">
        <v>2</v>
      </c>
      <c r="K44" s="43">
        <v>347900</v>
      </c>
      <c r="L44" s="43">
        <v>2682</v>
      </c>
      <c r="M44" s="14">
        <v>2524</v>
      </c>
    </row>
    <row r="45" spans="5:13" x14ac:dyDescent="0.2">
      <c r="E45" s="80"/>
      <c r="F45" s="47" t="s">
        <v>1203</v>
      </c>
      <c r="G45" s="14">
        <v>1049</v>
      </c>
      <c r="H45">
        <v>938</v>
      </c>
      <c r="I45">
        <v>745</v>
      </c>
      <c r="J45">
        <v>2.8</v>
      </c>
      <c r="K45" s="43">
        <v>289300</v>
      </c>
      <c r="L45" s="43">
        <v>2308</v>
      </c>
      <c r="M45">
        <v>220</v>
      </c>
    </row>
    <row r="46" spans="5:13" x14ac:dyDescent="0.2">
      <c r="E46" s="80"/>
      <c r="F46" s="47" t="s">
        <v>1204</v>
      </c>
      <c r="G46" s="14">
        <v>1430</v>
      </c>
      <c r="H46" s="14">
        <v>1114</v>
      </c>
      <c r="I46">
        <v>857</v>
      </c>
      <c r="J46">
        <v>3.3</v>
      </c>
      <c r="K46" s="43">
        <v>259600</v>
      </c>
      <c r="L46" s="43">
        <v>2123</v>
      </c>
      <c r="M46">
        <v>237</v>
      </c>
    </row>
    <row r="47" spans="5:13" x14ac:dyDescent="0.2">
      <c r="E47" s="80"/>
      <c r="F47" s="47" t="s">
        <v>1205</v>
      </c>
      <c r="G47" s="14">
        <v>3301</v>
      </c>
      <c r="H47" s="14">
        <v>3130</v>
      </c>
      <c r="I47" s="14">
        <v>1920</v>
      </c>
      <c r="J47">
        <v>0</v>
      </c>
      <c r="K47" s="43">
        <v>349900</v>
      </c>
      <c r="L47" s="43">
        <v>2612</v>
      </c>
      <c r="M47">
        <v>420</v>
      </c>
    </row>
    <row r="48" spans="5:13" x14ac:dyDescent="0.2">
      <c r="E48" s="80"/>
      <c r="F48" s="16" t="s">
        <v>1206</v>
      </c>
      <c r="G48" s="14">
        <v>2872</v>
      </c>
      <c r="H48" s="14">
        <v>2670</v>
      </c>
      <c r="I48" s="14">
        <v>2274</v>
      </c>
      <c r="J48">
        <v>1.1000000000000001</v>
      </c>
      <c r="K48" s="43">
        <v>291400</v>
      </c>
      <c r="L48" s="43">
        <v>2225</v>
      </c>
      <c r="M48">
        <v>672</v>
      </c>
    </row>
    <row r="49" spans="5:13" x14ac:dyDescent="0.2">
      <c r="E49" s="80"/>
      <c r="F49" s="16" t="s">
        <v>1207</v>
      </c>
      <c r="G49" s="14">
        <v>4261</v>
      </c>
      <c r="H49" s="14">
        <v>3753</v>
      </c>
      <c r="I49" s="14">
        <v>3303</v>
      </c>
      <c r="J49">
        <v>1.5</v>
      </c>
      <c r="K49" s="43">
        <v>353200</v>
      </c>
      <c r="L49" s="43">
        <v>2929</v>
      </c>
      <c r="M49" s="14">
        <v>1154</v>
      </c>
    </row>
    <row r="50" spans="5:13" x14ac:dyDescent="0.2">
      <c r="E50" s="80"/>
      <c r="F50" s="47" t="s">
        <v>1208</v>
      </c>
      <c r="G50" s="14">
        <v>3999</v>
      </c>
      <c r="H50" s="14">
        <v>3498</v>
      </c>
      <c r="I50" s="14">
        <v>3206</v>
      </c>
      <c r="J50">
        <v>1.6</v>
      </c>
      <c r="K50" s="43">
        <v>355900</v>
      </c>
      <c r="L50" s="43">
        <v>2951</v>
      </c>
      <c r="M50" s="14">
        <v>1102</v>
      </c>
    </row>
    <row r="51" spans="5:13" x14ac:dyDescent="0.2">
      <c r="E51" s="80"/>
    </row>
    <row r="52" spans="5:13" x14ac:dyDescent="0.2">
      <c r="E52" s="80"/>
    </row>
    <row r="53" spans="5:13" x14ac:dyDescent="0.2">
      <c r="E53" s="80"/>
    </row>
    <row r="54" spans="5:13" x14ac:dyDescent="0.2">
      <c r="E54" s="80"/>
    </row>
    <row r="55" spans="5:13" x14ac:dyDescent="0.2">
      <c r="E55" s="80"/>
    </row>
    <row r="56" spans="5:13" x14ac:dyDescent="0.2">
      <c r="E56" s="80"/>
    </row>
    <row r="57" spans="5:13" x14ac:dyDescent="0.2">
      <c r="E57" s="80"/>
    </row>
  </sheetData>
  <mergeCells count="9">
    <mergeCell ref="B1:O1"/>
    <mergeCell ref="A21:B21"/>
    <mergeCell ref="E5:E57"/>
    <mergeCell ref="A9:B9"/>
    <mergeCell ref="A5:B5"/>
    <mergeCell ref="F5:F6"/>
    <mergeCell ref="A18:B18"/>
    <mergeCell ref="A27:B27"/>
    <mergeCell ref="G5:M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1077</v>
      </c>
      <c r="B1" s="79" t="s">
        <v>130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tbl-house-characteristics-renters</v>
      </c>
    </row>
    <row r="4" spans="1:17" x14ac:dyDescent="0.2">
      <c r="A4" s="16" t="s">
        <v>7</v>
      </c>
      <c r="B4" t="str">
        <f>IF($B$1="","",_xlfn.XLOOKUP($B$1,Master!$F$2:$F$321,Master!$H$2:$H$321,""))</f>
        <v>fig-house-characteristics-renters</v>
      </c>
      <c r="E4" s="8"/>
      <c r="F4" s="10" t="s">
        <v>968</v>
      </c>
      <c r="G4" s="10" t="s">
        <v>973</v>
      </c>
      <c r="H4" s="10" t="s">
        <v>973</v>
      </c>
      <c r="I4" s="10" t="s">
        <v>973</v>
      </c>
      <c r="J4" s="10" t="s">
        <v>979</v>
      </c>
      <c r="K4" s="10" t="s">
        <v>989</v>
      </c>
      <c r="L4" s="10" t="s">
        <v>973</v>
      </c>
      <c r="M4" s="10"/>
      <c r="N4" s="10"/>
      <c r="O4" s="10"/>
      <c r="P4" s="10"/>
      <c r="Q4" s="10"/>
    </row>
    <row r="5" spans="1:17" x14ac:dyDescent="0.2">
      <c r="A5" s="84" t="s">
        <v>1081</v>
      </c>
      <c r="B5" s="80"/>
      <c r="E5" s="83" t="s">
        <v>1082</v>
      </c>
      <c r="F5" s="82" t="s">
        <v>1083</v>
      </c>
      <c r="G5" s="82" t="s">
        <v>1625</v>
      </c>
      <c r="H5" s="80"/>
      <c r="I5" s="80"/>
      <c r="J5" s="80"/>
      <c r="K5" s="80"/>
      <c r="L5" s="80"/>
    </row>
    <row r="6" spans="1:17" ht="15" customHeight="1" x14ac:dyDescent="0.2">
      <c r="A6" t="s">
        <v>1088</v>
      </c>
      <c r="B6" t="b">
        <v>1</v>
      </c>
      <c r="E6" s="80"/>
      <c r="F6" s="80"/>
      <c r="G6" s="15" t="s">
        <v>1620</v>
      </c>
      <c r="H6" s="15" t="s">
        <v>1626</v>
      </c>
      <c r="I6" s="15" t="s">
        <v>1634</v>
      </c>
      <c r="J6" s="15" t="s">
        <v>1635</v>
      </c>
      <c r="K6" s="15" t="s">
        <v>1636</v>
      </c>
      <c r="L6" s="15" t="s">
        <v>1637</v>
      </c>
      <c r="M6" s="15"/>
      <c r="N6" s="15"/>
      <c r="O6" s="15"/>
    </row>
    <row r="7" spans="1:17" ht="15.75" customHeight="1" x14ac:dyDescent="0.2">
      <c r="E7" s="80"/>
      <c r="F7" s="16" t="s">
        <v>1096</v>
      </c>
      <c r="G7" s="23">
        <v>145947</v>
      </c>
      <c r="H7" s="23">
        <v>132880</v>
      </c>
      <c r="I7" s="23">
        <v>41346</v>
      </c>
      <c r="J7" s="15">
        <v>4.2</v>
      </c>
      <c r="K7" s="39">
        <v>1379</v>
      </c>
      <c r="L7" s="23">
        <v>24456</v>
      </c>
      <c r="M7" s="15"/>
      <c r="N7" s="15"/>
      <c r="O7" s="15"/>
    </row>
    <row r="8" spans="1:17" x14ac:dyDescent="0.2">
      <c r="E8" s="80"/>
      <c r="F8" s="16" t="s">
        <v>1097</v>
      </c>
      <c r="G8" s="23">
        <v>6749</v>
      </c>
      <c r="H8" s="23">
        <v>6005</v>
      </c>
      <c r="I8" s="23">
        <v>1117</v>
      </c>
      <c r="J8" s="15">
        <v>6.6</v>
      </c>
      <c r="K8" s="39">
        <v>1429</v>
      </c>
      <c r="L8" s="15">
        <v>558</v>
      </c>
      <c r="M8" s="15"/>
      <c r="N8" s="15"/>
      <c r="O8" s="15"/>
    </row>
    <row r="9" spans="1:17" x14ac:dyDescent="0.2">
      <c r="A9" s="84" t="s">
        <v>1098</v>
      </c>
      <c r="B9" s="80"/>
      <c r="E9" s="80"/>
      <c r="F9" s="47" t="s">
        <v>1099</v>
      </c>
      <c r="G9" s="23">
        <v>1483</v>
      </c>
      <c r="H9" s="23">
        <v>1261</v>
      </c>
      <c r="I9" s="15">
        <v>266</v>
      </c>
      <c r="J9" s="15">
        <v>4.7</v>
      </c>
      <c r="K9" s="39">
        <v>1415</v>
      </c>
      <c r="L9" s="15">
        <v>139</v>
      </c>
      <c r="M9" s="15"/>
      <c r="N9" s="15"/>
      <c r="O9" s="15"/>
    </row>
    <row r="10" spans="1:17" x14ac:dyDescent="0.2">
      <c r="A10" t="s">
        <v>1100</v>
      </c>
      <c r="E10" s="80"/>
      <c r="F10" s="47" t="s">
        <v>1101</v>
      </c>
      <c r="G10" s="23">
        <v>2080</v>
      </c>
      <c r="H10" s="23">
        <v>2004</v>
      </c>
      <c r="I10" s="15">
        <v>429</v>
      </c>
      <c r="J10" s="15">
        <v>6.9</v>
      </c>
      <c r="K10" s="39">
        <v>1088</v>
      </c>
      <c r="L10" s="15">
        <v>299</v>
      </c>
    </row>
    <row r="11" spans="1:17" x14ac:dyDescent="0.2">
      <c r="A11" t="s">
        <v>1102</v>
      </c>
      <c r="E11" s="80"/>
      <c r="F11" s="16" t="s">
        <v>1103</v>
      </c>
      <c r="G11" s="23">
        <v>4712</v>
      </c>
      <c r="H11" s="23">
        <v>4364</v>
      </c>
      <c r="I11" s="15">
        <v>852</v>
      </c>
      <c r="J11" s="17">
        <v>0</v>
      </c>
      <c r="K11" s="41">
        <v>1539</v>
      </c>
      <c r="L11" s="17">
        <v>294</v>
      </c>
      <c r="M11" s="17"/>
      <c r="N11" s="17"/>
    </row>
    <row r="12" spans="1:17" x14ac:dyDescent="0.2">
      <c r="A12" t="s">
        <v>1104</v>
      </c>
      <c r="E12" s="80"/>
      <c r="F12" s="48" t="s">
        <v>1105</v>
      </c>
      <c r="G12" s="28">
        <v>1735</v>
      </c>
      <c r="H12" s="28">
        <v>1643</v>
      </c>
      <c r="I12" s="15">
        <v>721</v>
      </c>
      <c r="J12" s="15">
        <v>0</v>
      </c>
      <c r="K12" s="39">
        <v>1459</v>
      </c>
      <c r="L12" s="15">
        <v>247</v>
      </c>
    </row>
    <row r="13" spans="1:17" x14ac:dyDescent="0.2">
      <c r="A13" t="s">
        <v>1108</v>
      </c>
      <c r="E13" s="80"/>
      <c r="F13" s="16" t="s">
        <v>1109</v>
      </c>
      <c r="G13" s="23">
        <v>5250</v>
      </c>
      <c r="H13" s="23">
        <v>4890</v>
      </c>
      <c r="I13" s="23">
        <v>1303</v>
      </c>
      <c r="J13" s="15">
        <v>2.2000000000000002</v>
      </c>
      <c r="K13" s="39">
        <v>1577</v>
      </c>
      <c r="L13" s="15">
        <v>570</v>
      </c>
    </row>
    <row r="14" spans="1:17" x14ac:dyDescent="0.2">
      <c r="A14" t="s">
        <v>1112</v>
      </c>
      <c r="E14" s="80"/>
      <c r="F14" s="47" t="s">
        <v>1113</v>
      </c>
      <c r="G14" s="23">
        <v>1250</v>
      </c>
      <c r="H14" s="23">
        <v>1186</v>
      </c>
      <c r="I14" s="15">
        <v>368</v>
      </c>
      <c r="J14" s="15">
        <v>0</v>
      </c>
      <c r="K14" s="39">
        <v>1277</v>
      </c>
      <c r="L14" s="15">
        <v>78</v>
      </c>
    </row>
    <row r="15" spans="1:17" x14ac:dyDescent="0.2">
      <c r="A15" t="s">
        <v>1114</v>
      </c>
      <c r="E15" s="80"/>
      <c r="F15" s="16" t="s">
        <v>1115</v>
      </c>
      <c r="G15" s="23">
        <v>3103</v>
      </c>
      <c r="H15" s="23">
        <v>3029</v>
      </c>
      <c r="I15" s="15">
        <v>665</v>
      </c>
      <c r="J15" s="15">
        <v>4.5999999999999996</v>
      </c>
      <c r="K15" s="39">
        <v>1421</v>
      </c>
      <c r="L15" s="15">
        <v>307</v>
      </c>
    </row>
    <row r="16" spans="1:17" x14ac:dyDescent="0.2">
      <c r="A16" t="s">
        <v>1116</v>
      </c>
      <c r="E16" s="80"/>
      <c r="F16" s="16" t="s">
        <v>1117</v>
      </c>
      <c r="G16" s="23">
        <v>3143</v>
      </c>
      <c r="H16" s="23">
        <v>2800</v>
      </c>
      <c r="I16" s="15">
        <v>536</v>
      </c>
      <c r="J16" s="15">
        <v>8.4</v>
      </c>
      <c r="K16" s="39">
        <v>1156</v>
      </c>
      <c r="L16" s="15">
        <v>256</v>
      </c>
    </row>
    <row r="17" spans="1:12" x14ac:dyDescent="0.2">
      <c r="E17" s="80"/>
      <c r="F17" s="16" t="s">
        <v>1118</v>
      </c>
      <c r="G17" s="23">
        <v>4862</v>
      </c>
      <c r="H17" s="23">
        <v>4373</v>
      </c>
      <c r="I17" s="23">
        <v>1072</v>
      </c>
      <c r="J17" s="15">
        <v>9.1999999999999993</v>
      </c>
      <c r="K17" s="39">
        <v>1367</v>
      </c>
      <c r="L17" s="15">
        <v>577</v>
      </c>
    </row>
    <row r="18" spans="1:12" x14ac:dyDescent="0.2">
      <c r="A18" s="84" t="s">
        <v>1119</v>
      </c>
      <c r="B18" s="80"/>
      <c r="E18" s="80"/>
      <c r="F18" s="47" t="s">
        <v>1120</v>
      </c>
      <c r="G18" s="23">
        <v>2548</v>
      </c>
      <c r="H18" s="23">
        <v>2307</v>
      </c>
      <c r="I18" s="15">
        <v>904</v>
      </c>
      <c r="J18" s="15">
        <v>10.8</v>
      </c>
      <c r="K18" s="39">
        <v>1339</v>
      </c>
      <c r="L18" s="15">
        <v>484</v>
      </c>
    </row>
    <row r="19" spans="1:12" x14ac:dyDescent="0.2">
      <c r="A19" t="s">
        <v>1121</v>
      </c>
      <c r="B19" t="s">
        <v>1638</v>
      </c>
      <c r="E19" s="80"/>
      <c r="F19" s="25" t="s">
        <v>1123</v>
      </c>
      <c r="G19" s="23">
        <v>1678</v>
      </c>
      <c r="H19" s="23">
        <v>1581</v>
      </c>
      <c r="I19" s="15">
        <v>238</v>
      </c>
      <c r="J19" s="15">
        <v>10.199999999999999</v>
      </c>
      <c r="K19" s="39">
        <v>1377</v>
      </c>
      <c r="L19" s="15">
        <v>93</v>
      </c>
    </row>
    <row r="20" spans="1:12" x14ac:dyDescent="0.2">
      <c r="E20" s="80"/>
      <c r="F20" s="25" t="s">
        <v>1124</v>
      </c>
      <c r="G20" s="23">
        <v>1844</v>
      </c>
      <c r="H20" s="23">
        <v>1735</v>
      </c>
      <c r="I20" s="15">
        <v>97</v>
      </c>
      <c r="J20" s="15">
        <v>0</v>
      </c>
      <c r="K20" s="39">
        <v>793</v>
      </c>
      <c r="L20" s="15">
        <v>0</v>
      </c>
    </row>
    <row r="21" spans="1:12" x14ac:dyDescent="0.2">
      <c r="A21" s="82" t="s">
        <v>1125</v>
      </c>
      <c r="B21" s="80"/>
      <c r="E21" s="80"/>
      <c r="F21" s="25" t="s">
        <v>1126</v>
      </c>
      <c r="G21" s="23">
        <v>3750</v>
      </c>
      <c r="H21" s="23">
        <v>3251</v>
      </c>
      <c r="I21" s="23">
        <v>1947</v>
      </c>
      <c r="J21" s="15">
        <v>7.2</v>
      </c>
      <c r="K21" s="39">
        <v>2095</v>
      </c>
      <c r="L21" s="15">
        <v>889</v>
      </c>
    </row>
    <row r="22" spans="1:12" x14ac:dyDescent="0.2">
      <c r="A22" t="s">
        <v>1135</v>
      </c>
      <c r="B22" t="s">
        <v>1639</v>
      </c>
      <c r="E22" s="80"/>
      <c r="F22" s="47" t="s">
        <v>1137</v>
      </c>
      <c r="G22" s="23">
        <v>1801</v>
      </c>
      <c r="H22" s="23">
        <v>1575</v>
      </c>
      <c r="I22" s="15">
        <v>722</v>
      </c>
      <c r="J22" s="15">
        <v>5.2</v>
      </c>
      <c r="K22" s="39">
        <v>1459</v>
      </c>
      <c r="L22" s="15">
        <v>340</v>
      </c>
    </row>
    <row r="23" spans="1:12" x14ac:dyDescent="0.2">
      <c r="E23" s="80"/>
      <c r="F23" s="25" t="s">
        <v>1146</v>
      </c>
      <c r="G23" s="23">
        <v>11872</v>
      </c>
      <c r="H23" s="23">
        <v>10604</v>
      </c>
      <c r="I23" s="23">
        <v>4741</v>
      </c>
      <c r="J23" s="15">
        <v>6.4</v>
      </c>
      <c r="K23" s="39">
        <v>1407</v>
      </c>
      <c r="L23" s="23">
        <v>3353</v>
      </c>
    </row>
    <row r="24" spans="1:12" x14ac:dyDescent="0.2">
      <c r="E24" s="80"/>
      <c r="F24" s="25" t="s">
        <v>1150</v>
      </c>
      <c r="G24" s="23">
        <v>1697</v>
      </c>
      <c r="H24" s="23">
        <v>1491</v>
      </c>
      <c r="I24" s="15">
        <v>319</v>
      </c>
      <c r="J24" s="15">
        <v>20.100000000000001</v>
      </c>
      <c r="K24" s="39">
        <v>1304</v>
      </c>
      <c r="L24" s="15">
        <v>206</v>
      </c>
    </row>
    <row r="25" spans="1:12" x14ac:dyDescent="0.2">
      <c r="E25" s="80"/>
      <c r="F25" s="47" t="s">
        <v>1154</v>
      </c>
      <c r="G25" s="15">
        <v>265</v>
      </c>
      <c r="H25" s="15">
        <v>229</v>
      </c>
      <c r="I25" s="15">
        <v>91</v>
      </c>
      <c r="J25" s="15">
        <v>0</v>
      </c>
      <c r="K25" s="39">
        <v>1223</v>
      </c>
      <c r="L25" s="15">
        <v>8</v>
      </c>
    </row>
    <row r="26" spans="1:12" x14ac:dyDescent="0.2">
      <c r="E26" s="80"/>
      <c r="F26" s="25" t="s">
        <v>1158</v>
      </c>
      <c r="G26" s="23">
        <v>7407</v>
      </c>
      <c r="H26" s="23">
        <v>6883</v>
      </c>
      <c r="I26" s="23">
        <v>1295</v>
      </c>
      <c r="J26" s="15">
        <v>1.7</v>
      </c>
      <c r="K26" s="39">
        <v>1748</v>
      </c>
      <c r="L26" s="15">
        <v>572</v>
      </c>
    </row>
    <row r="27" spans="1:12" x14ac:dyDescent="0.2">
      <c r="A27" s="82"/>
      <c r="B27" s="80"/>
      <c r="E27" s="80"/>
      <c r="F27" s="47" t="s">
        <v>1244</v>
      </c>
      <c r="G27" s="23">
        <v>1233</v>
      </c>
      <c r="H27" s="23">
        <v>1140</v>
      </c>
      <c r="I27" s="15">
        <v>583</v>
      </c>
      <c r="J27" s="15">
        <v>0</v>
      </c>
      <c r="K27" s="39">
        <v>1742</v>
      </c>
      <c r="L27" s="15">
        <v>279</v>
      </c>
    </row>
    <row r="28" spans="1:12" x14ac:dyDescent="0.2">
      <c r="E28" s="80"/>
      <c r="F28" s="47" t="s">
        <v>1164</v>
      </c>
      <c r="G28" s="23">
        <v>3009</v>
      </c>
      <c r="H28" s="23">
        <v>2841</v>
      </c>
      <c r="I28" s="15">
        <v>468</v>
      </c>
      <c r="J28" s="15">
        <v>4.7</v>
      </c>
      <c r="K28" s="39">
        <v>1670</v>
      </c>
      <c r="L28" s="15">
        <v>275</v>
      </c>
    </row>
    <row r="29" spans="1:12" x14ac:dyDescent="0.2">
      <c r="E29" s="80"/>
      <c r="F29" s="25" t="s">
        <v>1166</v>
      </c>
      <c r="G29" s="23">
        <v>9101</v>
      </c>
      <c r="H29" s="23">
        <v>8330</v>
      </c>
      <c r="I29" s="23">
        <v>2524</v>
      </c>
      <c r="J29" s="15">
        <v>0.5</v>
      </c>
      <c r="K29" s="39">
        <v>1356</v>
      </c>
      <c r="L29" s="23">
        <v>1589</v>
      </c>
    </row>
    <row r="30" spans="1:12" x14ac:dyDescent="0.2">
      <c r="E30" s="80"/>
      <c r="F30" s="47" t="s">
        <v>1168</v>
      </c>
      <c r="G30" s="23">
        <v>1446</v>
      </c>
      <c r="H30" s="23">
        <v>1286</v>
      </c>
      <c r="I30" s="15">
        <v>581</v>
      </c>
      <c r="J30" s="15">
        <v>2.1</v>
      </c>
      <c r="K30" s="39">
        <v>1310</v>
      </c>
      <c r="L30" s="15">
        <v>239</v>
      </c>
    </row>
    <row r="31" spans="1:12" x14ac:dyDescent="0.2">
      <c r="E31" s="80"/>
      <c r="F31" s="47" t="s">
        <v>1170</v>
      </c>
      <c r="G31" s="23">
        <v>1373</v>
      </c>
      <c r="H31" s="23">
        <v>1346</v>
      </c>
      <c r="I31" s="15">
        <v>487</v>
      </c>
      <c r="J31" s="15">
        <v>0</v>
      </c>
      <c r="K31" s="39">
        <v>1425</v>
      </c>
      <c r="L31" s="15">
        <v>245</v>
      </c>
    </row>
    <row r="32" spans="1:12" x14ac:dyDescent="0.2">
      <c r="E32" s="80"/>
      <c r="F32" s="47" t="s">
        <v>1172</v>
      </c>
      <c r="G32" s="23">
        <v>3003</v>
      </c>
      <c r="H32" s="23">
        <v>2790</v>
      </c>
      <c r="I32" s="23">
        <v>1073</v>
      </c>
      <c r="J32" s="15">
        <v>0</v>
      </c>
      <c r="K32" s="39">
        <v>1268</v>
      </c>
      <c r="L32" s="15">
        <v>791</v>
      </c>
    </row>
    <row r="33" spans="5:12" x14ac:dyDescent="0.2">
      <c r="E33" s="80"/>
      <c r="F33" s="25" t="s">
        <v>1174</v>
      </c>
      <c r="G33" s="23">
        <v>2216</v>
      </c>
      <c r="H33" s="23">
        <v>1906</v>
      </c>
      <c r="I33" s="15">
        <v>356</v>
      </c>
      <c r="J33" s="15">
        <v>2.7</v>
      </c>
      <c r="K33" s="39">
        <v>867</v>
      </c>
      <c r="L33" s="15">
        <v>123</v>
      </c>
    </row>
    <row r="34" spans="5:12" x14ac:dyDescent="0.2">
      <c r="E34" s="80"/>
      <c r="F34" s="47" t="s">
        <v>1178</v>
      </c>
      <c r="G34" s="15">
        <v>524</v>
      </c>
      <c r="H34" s="15">
        <v>491</v>
      </c>
      <c r="I34" s="17">
        <v>170</v>
      </c>
      <c r="J34" s="15">
        <v>0</v>
      </c>
      <c r="K34" s="39">
        <v>1188</v>
      </c>
      <c r="L34" s="15">
        <v>73</v>
      </c>
    </row>
    <row r="35" spans="5:12" x14ac:dyDescent="0.2">
      <c r="E35" s="80"/>
      <c r="F35" s="25" t="s">
        <v>1180</v>
      </c>
      <c r="G35" s="23">
        <v>11700</v>
      </c>
      <c r="H35" s="23">
        <v>9951</v>
      </c>
      <c r="I35" s="28">
        <v>6476</v>
      </c>
      <c r="J35" s="15">
        <v>3.6</v>
      </c>
      <c r="K35" s="39">
        <v>1188</v>
      </c>
      <c r="L35" s="23">
        <v>3463</v>
      </c>
    </row>
    <row r="36" spans="5:12" x14ac:dyDescent="0.2">
      <c r="E36" s="80"/>
      <c r="F36" s="25" t="s">
        <v>1182</v>
      </c>
      <c r="G36" s="23">
        <v>12127</v>
      </c>
      <c r="H36" s="23">
        <v>11228</v>
      </c>
      <c r="I36" s="28">
        <v>2004</v>
      </c>
      <c r="J36" s="15">
        <v>0.5</v>
      </c>
      <c r="K36" s="39">
        <v>1691</v>
      </c>
      <c r="L36" s="23">
        <v>1090</v>
      </c>
    </row>
    <row r="37" spans="5:12" x14ac:dyDescent="0.2">
      <c r="E37" s="80"/>
      <c r="F37" s="25" t="s">
        <v>1184</v>
      </c>
      <c r="G37" s="23">
        <v>10557</v>
      </c>
      <c r="H37" s="23">
        <v>9899</v>
      </c>
      <c r="I37" s="28">
        <v>2811</v>
      </c>
      <c r="J37" s="15">
        <v>4.3</v>
      </c>
      <c r="K37" s="39">
        <v>1336</v>
      </c>
      <c r="L37" s="23">
        <v>1551</v>
      </c>
    </row>
    <row r="38" spans="5:12" x14ac:dyDescent="0.2">
      <c r="E38" s="80"/>
      <c r="F38" s="25" t="s">
        <v>1186</v>
      </c>
      <c r="G38" s="23">
        <v>6069</v>
      </c>
      <c r="H38" s="23">
        <v>5781</v>
      </c>
      <c r="I38" s="23">
        <v>3886</v>
      </c>
      <c r="J38" s="15">
        <v>1.4</v>
      </c>
      <c r="K38" s="39">
        <v>1295</v>
      </c>
      <c r="L38" s="23">
        <v>2672</v>
      </c>
    </row>
    <row r="39" spans="5:12" x14ac:dyDescent="0.2">
      <c r="E39" s="80"/>
      <c r="F39" s="47" t="s">
        <v>1188</v>
      </c>
      <c r="G39" s="23">
        <v>6069</v>
      </c>
      <c r="H39" s="23">
        <v>5781</v>
      </c>
      <c r="I39" s="23">
        <v>3886</v>
      </c>
      <c r="J39" s="15">
        <v>1.4</v>
      </c>
      <c r="K39" s="39">
        <v>1295</v>
      </c>
      <c r="L39" s="23">
        <v>2672</v>
      </c>
    </row>
    <row r="40" spans="5:12" x14ac:dyDescent="0.2">
      <c r="E40" s="80"/>
      <c r="F40" s="25" t="s">
        <v>1191</v>
      </c>
      <c r="G40" s="23">
        <v>4044</v>
      </c>
      <c r="H40" s="23">
        <v>3566</v>
      </c>
      <c r="I40" s="23">
        <v>1729</v>
      </c>
      <c r="J40" s="15">
        <v>1.5</v>
      </c>
      <c r="K40" s="39">
        <v>1006</v>
      </c>
      <c r="L40" s="23">
        <v>1121</v>
      </c>
    </row>
    <row r="41" spans="5:12" x14ac:dyDescent="0.2">
      <c r="E41" s="80"/>
      <c r="F41" s="25" t="s">
        <v>1195</v>
      </c>
      <c r="G41" s="23">
        <v>1722</v>
      </c>
      <c r="H41" s="23">
        <v>1477</v>
      </c>
      <c r="I41" s="15">
        <v>242</v>
      </c>
      <c r="J41" s="15">
        <v>9.6999999999999993</v>
      </c>
      <c r="K41" s="39">
        <v>1385</v>
      </c>
      <c r="L41" s="15">
        <v>170</v>
      </c>
    </row>
    <row r="42" spans="5:12" x14ac:dyDescent="0.2">
      <c r="E42" s="80"/>
      <c r="F42" s="47" t="s">
        <v>1200</v>
      </c>
      <c r="G42" s="15">
        <v>457</v>
      </c>
      <c r="H42" s="15">
        <v>360</v>
      </c>
      <c r="I42" s="15">
        <v>36</v>
      </c>
      <c r="J42" s="15">
        <v>5.3</v>
      </c>
      <c r="K42" s="39">
        <v>1339</v>
      </c>
      <c r="L42" s="15">
        <v>19</v>
      </c>
    </row>
    <row r="43" spans="5:12" x14ac:dyDescent="0.2">
      <c r="E43" s="80"/>
      <c r="F43" s="25" t="s">
        <v>1201</v>
      </c>
      <c r="G43" s="23">
        <v>12140</v>
      </c>
      <c r="H43" s="23">
        <v>11574</v>
      </c>
      <c r="I43" s="23">
        <v>3851</v>
      </c>
      <c r="J43" s="15">
        <v>3.5</v>
      </c>
      <c r="K43" s="39">
        <v>1483</v>
      </c>
      <c r="L43" s="23">
        <v>2012</v>
      </c>
    </row>
    <row r="44" spans="5:12" x14ac:dyDescent="0.2">
      <c r="E44" s="80"/>
      <c r="F44" s="25" t="s">
        <v>1202</v>
      </c>
      <c r="G44" s="23">
        <v>13071</v>
      </c>
      <c r="H44" s="23">
        <v>11739</v>
      </c>
      <c r="I44" s="23">
        <v>2439</v>
      </c>
      <c r="J44" s="15">
        <v>3.7</v>
      </c>
      <c r="K44" s="39">
        <v>1227</v>
      </c>
      <c r="L44" s="23">
        <v>1419</v>
      </c>
    </row>
    <row r="45" spans="5:12" x14ac:dyDescent="0.2">
      <c r="E45" s="80"/>
      <c r="F45" s="47" t="s">
        <v>1203</v>
      </c>
      <c r="G45" s="23">
        <v>1049</v>
      </c>
      <c r="H45" s="15">
        <v>938</v>
      </c>
      <c r="I45" s="15">
        <v>193</v>
      </c>
      <c r="J45" s="15">
        <v>7.2</v>
      </c>
      <c r="K45" s="39">
        <v>2018</v>
      </c>
      <c r="L45" s="15">
        <v>110</v>
      </c>
    </row>
    <row r="46" spans="5:12" x14ac:dyDescent="0.2">
      <c r="E46" s="80"/>
      <c r="F46" s="47" t="s">
        <v>1204</v>
      </c>
      <c r="G46" s="23">
        <v>1430</v>
      </c>
      <c r="H46" s="23">
        <v>1114</v>
      </c>
      <c r="I46" s="15">
        <v>257</v>
      </c>
      <c r="J46" s="15">
        <v>0</v>
      </c>
      <c r="K46" s="39">
        <v>1163</v>
      </c>
      <c r="L46" s="15">
        <v>98</v>
      </c>
    </row>
    <row r="47" spans="5:12" x14ac:dyDescent="0.2">
      <c r="E47" s="80"/>
      <c r="F47" s="47" t="s">
        <v>1205</v>
      </c>
      <c r="G47" s="23">
        <v>3301</v>
      </c>
      <c r="H47" s="23">
        <v>3130</v>
      </c>
      <c r="I47" s="23">
        <v>1210</v>
      </c>
      <c r="J47" s="15">
        <v>6.2</v>
      </c>
      <c r="K47" s="39">
        <v>1134</v>
      </c>
      <c r="L47" s="15">
        <v>828</v>
      </c>
    </row>
    <row r="48" spans="5:12" x14ac:dyDescent="0.2">
      <c r="E48" s="80"/>
      <c r="F48" s="25" t="s">
        <v>1206</v>
      </c>
      <c r="G48" s="23">
        <v>2872</v>
      </c>
      <c r="H48" s="23">
        <v>2670</v>
      </c>
      <c r="I48" s="15">
        <v>396</v>
      </c>
      <c r="J48" s="15">
        <v>0</v>
      </c>
      <c r="K48" s="39">
        <v>1756</v>
      </c>
      <c r="L48" s="15">
        <v>225</v>
      </c>
    </row>
    <row r="49" spans="5:12" x14ac:dyDescent="0.2">
      <c r="E49" s="80"/>
      <c r="F49" s="25" t="s">
        <v>1207</v>
      </c>
      <c r="G49" s="23">
        <v>4261</v>
      </c>
      <c r="H49" s="23">
        <v>3753</v>
      </c>
      <c r="I49" s="15">
        <v>450</v>
      </c>
      <c r="J49" s="15">
        <v>25.9</v>
      </c>
      <c r="K49" s="39">
        <v>1748</v>
      </c>
      <c r="L49" s="15">
        <v>233</v>
      </c>
    </row>
    <row r="50" spans="5:12" x14ac:dyDescent="0.2">
      <c r="E50" s="80"/>
      <c r="F50" s="47" t="s">
        <v>1208</v>
      </c>
      <c r="G50" s="23">
        <v>3999</v>
      </c>
      <c r="H50" s="23">
        <v>3498</v>
      </c>
      <c r="I50" s="15">
        <v>292</v>
      </c>
      <c r="J50" s="15">
        <v>35</v>
      </c>
      <c r="K50" s="39">
        <v>1745</v>
      </c>
      <c r="L50" s="15">
        <v>149</v>
      </c>
    </row>
    <row r="51" spans="5:12" x14ac:dyDescent="0.2">
      <c r="E51" s="80"/>
    </row>
    <row r="52" spans="5:12" x14ac:dyDescent="0.2">
      <c r="E52" s="80"/>
    </row>
    <row r="53" spans="5:12" x14ac:dyDescent="0.2">
      <c r="E53" s="80"/>
    </row>
    <row r="54" spans="5:12" x14ac:dyDescent="0.2">
      <c r="E54" s="80"/>
    </row>
    <row r="55" spans="5:12" x14ac:dyDescent="0.2">
      <c r="E55" s="80"/>
    </row>
    <row r="56" spans="5:12" x14ac:dyDescent="0.2">
      <c r="E56" s="80"/>
    </row>
    <row r="57" spans="5:12"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tbl-own-vs-rent-per-room</v>
      </c>
    </row>
    <row r="4" spans="1:17" x14ac:dyDescent="0.2">
      <c r="A4" s="16" t="s">
        <v>7</v>
      </c>
      <c r="B4" t="str">
        <f>IF($B$1="","",_xlfn.XLOOKUP($B$1,Master!$F$2:$F$321,Master!$H$2:$H$321,""))</f>
        <v>fig-own-vs-rent-per-room</v>
      </c>
      <c r="E4" s="8"/>
      <c r="F4" s="10" t="s">
        <v>968</v>
      </c>
      <c r="G4" s="10" t="s">
        <v>973</v>
      </c>
      <c r="H4" s="10" t="s">
        <v>973</v>
      </c>
      <c r="I4" s="10" t="s">
        <v>973</v>
      </c>
      <c r="J4" s="10"/>
      <c r="K4" s="10"/>
      <c r="L4" s="10"/>
      <c r="M4" s="10"/>
      <c r="N4" s="10"/>
      <c r="O4" s="10"/>
      <c r="P4" s="10"/>
      <c r="Q4" s="10"/>
    </row>
    <row r="5" spans="1:17" x14ac:dyDescent="0.2">
      <c r="A5" s="84" t="s">
        <v>1081</v>
      </c>
      <c r="B5" s="80"/>
      <c r="E5" s="83" t="s">
        <v>1082</v>
      </c>
      <c r="F5" s="82" t="s">
        <v>1083</v>
      </c>
      <c r="G5" s="82" t="s">
        <v>1640</v>
      </c>
      <c r="H5" s="82" t="s">
        <v>1641</v>
      </c>
      <c r="I5" s="82"/>
    </row>
    <row r="6" spans="1:17" ht="15" customHeight="1" x14ac:dyDescent="0.2">
      <c r="A6" t="s">
        <v>1088</v>
      </c>
      <c r="B6" t="b">
        <v>1</v>
      </c>
      <c r="E6" s="80"/>
      <c r="F6" s="80"/>
      <c r="G6" s="80"/>
      <c r="H6" t="s">
        <v>1642</v>
      </c>
      <c r="I6" t="s">
        <v>1643</v>
      </c>
      <c r="J6" s="15"/>
      <c r="K6" s="15"/>
      <c r="L6" s="15"/>
      <c r="M6" s="15"/>
      <c r="N6" s="15"/>
      <c r="O6" s="15"/>
    </row>
    <row r="7" spans="1:17" ht="15.75" customHeight="1" x14ac:dyDescent="0.2">
      <c r="E7" s="80"/>
      <c r="F7" s="16" t="s">
        <v>1096</v>
      </c>
      <c r="G7" s="23">
        <v>137311</v>
      </c>
      <c r="H7" s="23">
        <v>2240</v>
      </c>
      <c r="I7" s="23">
        <v>2859</v>
      </c>
      <c r="J7" s="15"/>
      <c r="K7" s="15"/>
      <c r="L7" s="15"/>
      <c r="M7" s="15"/>
      <c r="N7" s="15"/>
      <c r="O7" s="15"/>
    </row>
    <row r="8" spans="1:17" x14ac:dyDescent="0.2">
      <c r="E8" s="80"/>
      <c r="F8" s="16" t="s">
        <v>1097</v>
      </c>
      <c r="G8" s="23">
        <v>6149</v>
      </c>
      <c r="H8" s="15">
        <v>140</v>
      </c>
      <c r="I8" s="15">
        <v>39</v>
      </c>
      <c r="J8" s="15"/>
      <c r="K8" s="15"/>
      <c r="L8" s="15"/>
      <c r="M8" s="15"/>
      <c r="N8" s="15"/>
      <c r="O8" s="15"/>
    </row>
    <row r="9" spans="1:17" x14ac:dyDescent="0.2">
      <c r="A9" s="84" t="s">
        <v>1098</v>
      </c>
      <c r="B9" s="80"/>
      <c r="E9" s="80"/>
      <c r="F9" s="47" t="s">
        <v>1099</v>
      </c>
      <c r="G9" s="23">
        <v>1173</v>
      </c>
      <c r="H9" s="15">
        <v>48</v>
      </c>
      <c r="I9" s="15">
        <v>30</v>
      </c>
      <c r="J9" s="15"/>
      <c r="K9" s="15"/>
      <c r="L9" s="15"/>
      <c r="M9" s="15"/>
      <c r="N9" s="15"/>
      <c r="O9" s="15"/>
    </row>
    <row r="10" spans="1:17" x14ac:dyDescent="0.2">
      <c r="A10" t="s">
        <v>1100</v>
      </c>
      <c r="E10" s="80"/>
      <c r="F10" s="47" t="s">
        <v>1101</v>
      </c>
      <c r="G10" s="23">
        <v>2106</v>
      </c>
      <c r="H10">
        <v>12</v>
      </c>
      <c r="I10">
        <v>9</v>
      </c>
    </row>
    <row r="11" spans="1:17" x14ac:dyDescent="0.2">
      <c r="A11" t="s">
        <v>1102</v>
      </c>
      <c r="E11" s="80"/>
      <c r="F11" s="16" t="s">
        <v>1103</v>
      </c>
      <c r="G11" s="23">
        <v>4458</v>
      </c>
      <c r="H11" s="15">
        <v>0</v>
      </c>
      <c r="I11" s="15">
        <v>0</v>
      </c>
      <c r="J11" s="17"/>
      <c r="K11" s="17"/>
      <c r="L11" s="17"/>
      <c r="M11" s="17"/>
      <c r="N11" s="17"/>
    </row>
    <row r="12" spans="1:17" x14ac:dyDescent="0.2">
      <c r="A12" t="s">
        <v>1104</v>
      </c>
      <c r="E12" s="80"/>
      <c r="F12" s="48" t="s">
        <v>1105</v>
      </c>
      <c r="G12" s="28">
        <v>1560</v>
      </c>
      <c r="H12" s="17">
        <v>0</v>
      </c>
      <c r="I12" s="15">
        <v>0</v>
      </c>
      <c r="J12" s="15"/>
      <c r="K12" s="15"/>
      <c r="L12" s="15"/>
    </row>
    <row r="13" spans="1:17" x14ac:dyDescent="0.2">
      <c r="A13" t="s">
        <v>1108</v>
      </c>
      <c r="E13" s="80"/>
      <c r="F13" s="16" t="s">
        <v>1109</v>
      </c>
      <c r="G13" s="14">
        <v>5023</v>
      </c>
      <c r="H13">
        <v>27</v>
      </c>
      <c r="I13">
        <v>12</v>
      </c>
    </row>
    <row r="14" spans="1:17" x14ac:dyDescent="0.2">
      <c r="A14" t="s">
        <v>1112</v>
      </c>
      <c r="E14" s="80"/>
      <c r="F14" s="47" t="s">
        <v>1113</v>
      </c>
      <c r="G14" s="14">
        <v>1230</v>
      </c>
      <c r="H14">
        <v>0</v>
      </c>
      <c r="I14">
        <v>0</v>
      </c>
    </row>
    <row r="15" spans="1:17" x14ac:dyDescent="0.2">
      <c r="A15" t="s">
        <v>1114</v>
      </c>
      <c r="E15" s="80"/>
      <c r="F15" s="25" t="s">
        <v>1115</v>
      </c>
      <c r="G15" s="14">
        <v>3001</v>
      </c>
      <c r="H15">
        <v>0</v>
      </c>
      <c r="I15">
        <v>8</v>
      </c>
    </row>
    <row r="16" spans="1:17" x14ac:dyDescent="0.2">
      <c r="A16" t="s">
        <v>1116</v>
      </c>
      <c r="E16" s="80"/>
      <c r="F16" s="25" t="s">
        <v>1117</v>
      </c>
      <c r="G16" s="14">
        <v>2993</v>
      </c>
      <c r="H16">
        <v>55</v>
      </c>
      <c r="I16">
        <v>30</v>
      </c>
    </row>
    <row r="17" spans="1:11" x14ac:dyDescent="0.2">
      <c r="E17" s="80"/>
      <c r="F17" s="25" t="s">
        <v>1118</v>
      </c>
      <c r="G17" s="14">
        <v>4861</v>
      </c>
      <c r="H17">
        <v>55</v>
      </c>
      <c r="I17">
        <v>23</v>
      </c>
    </row>
    <row r="18" spans="1:11" x14ac:dyDescent="0.2">
      <c r="A18" s="84" t="s">
        <v>1119</v>
      </c>
      <c r="B18" s="80"/>
      <c r="E18" s="80"/>
      <c r="F18" s="47" t="s">
        <v>1120</v>
      </c>
      <c r="G18" s="14">
        <v>2350</v>
      </c>
      <c r="H18">
        <v>7</v>
      </c>
      <c r="I18">
        <v>23</v>
      </c>
    </row>
    <row r="19" spans="1:11" x14ac:dyDescent="0.2">
      <c r="A19" t="s">
        <v>1121</v>
      </c>
      <c r="B19" t="s">
        <v>1644</v>
      </c>
      <c r="E19" s="80"/>
      <c r="F19" s="16" t="s">
        <v>1123</v>
      </c>
      <c r="G19" s="14">
        <v>1645</v>
      </c>
      <c r="H19">
        <v>40</v>
      </c>
      <c r="I19">
        <v>0</v>
      </c>
    </row>
    <row r="20" spans="1:11" x14ac:dyDescent="0.2">
      <c r="E20" s="80"/>
      <c r="F20" s="16" t="s">
        <v>1124</v>
      </c>
      <c r="G20" s="23">
        <v>1745</v>
      </c>
      <c r="H20" s="15">
        <v>11</v>
      </c>
      <c r="I20">
        <v>0</v>
      </c>
    </row>
    <row r="21" spans="1:11" x14ac:dyDescent="0.2">
      <c r="A21" s="82" t="s">
        <v>1125</v>
      </c>
      <c r="B21" s="80"/>
      <c r="E21" s="80"/>
      <c r="F21" s="16" t="s">
        <v>1126</v>
      </c>
      <c r="G21" s="23">
        <v>3938</v>
      </c>
      <c r="H21" s="15">
        <v>29</v>
      </c>
      <c r="I21">
        <v>101</v>
      </c>
    </row>
    <row r="22" spans="1:11" x14ac:dyDescent="0.2">
      <c r="A22" t="s">
        <v>1135</v>
      </c>
      <c r="B22" t="s">
        <v>1243</v>
      </c>
      <c r="E22" s="80"/>
      <c r="F22" s="47" t="s">
        <v>1137</v>
      </c>
      <c r="G22" s="23">
        <v>1648</v>
      </c>
      <c r="H22" s="15">
        <v>0</v>
      </c>
      <c r="I22">
        <v>44</v>
      </c>
    </row>
    <row r="23" spans="1:11" x14ac:dyDescent="0.2">
      <c r="E23" s="80"/>
      <c r="F23" s="16" t="s">
        <v>1146</v>
      </c>
      <c r="G23" s="23">
        <v>10182</v>
      </c>
      <c r="H23" s="15">
        <v>145</v>
      </c>
      <c r="I23">
        <v>184</v>
      </c>
    </row>
    <row r="24" spans="1:11" x14ac:dyDescent="0.2">
      <c r="E24" s="80"/>
      <c r="F24" s="16" t="s">
        <v>1150</v>
      </c>
      <c r="G24" s="14">
        <v>1526</v>
      </c>
      <c r="H24">
        <v>15</v>
      </c>
      <c r="I24">
        <v>0</v>
      </c>
    </row>
    <row r="25" spans="1:11" x14ac:dyDescent="0.2">
      <c r="E25" s="80"/>
      <c r="F25" s="47" t="s">
        <v>1154</v>
      </c>
      <c r="G25" s="15">
        <v>222</v>
      </c>
      <c r="H25" s="15">
        <v>0</v>
      </c>
      <c r="I25">
        <v>0</v>
      </c>
      <c r="K25" t="s">
        <v>1226</v>
      </c>
    </row>
    <row r="26" spans="1:11" x14ac:dyDescent="0.2">
      <c r="E26" s="80"/>
      <c r="F26" s="16" t="s">
        <v>1158</v>
      </c>
      <c r="G26" s="23">
        <v>6855</v>
      </c>
      <c r="H26" s="15">
        <v>138</v>
      </c>
      <c r="I26">
        <v>196</v>
      </c>
    </row>
    <row r="27" spans="1:11" x14ac:dyDescent="0.2">
      <c r="A27" s="82"/>
      <c r="B27" s="80"/>
      <c r="E27" s="80"/>
      <c r="F27" s="47" t="s">
        <v>1162</v>
      </c>
      <c r="G27" s="15">
        <v>792</v>
      </c>
      <c r="H27" s="15">
        <v>0</v>
      </c>
      <c r="I27">
        <v>37</v>
      </c>
    </row>
    <row r="28" spans="1:11" x14ac:dyDescent="0.2">
      <c r="E28" s="80"/>
      <c r="F28" s="47" t="s">
        <v>1164</v>
      </c>
      <c r="G28" s="23">
        <v>2886</v>
      </c>
      <c r="H28" s="15">
        <v>78</v>
      </c>
      <c r="I28">
        <v>146</v>
      </c>
    </row>
    <row r="29" spans="1:11" x14ac:dyDescent="0.2">
      <c r="E29" s="80"/>
      <c r="F29" s="16" t="s">
        <v>1166</v>
      </c>
      <c r="G29" s="23">
        <v>8306</v>
      </c>
      <c r="H29" s="15">
        <v>203</v>
      </c>
      <c r="I29">
        <v>237</v>
      </c>
    </row>
    <row r="30" spans="1:11" x14ac:dyDescent="0.2">
      <c r="E30" s="80"/>
      <c r="F30" s="47" t="s">
        <v>1168</v>
      </c>
      <c r="G30" s="23">
        <v>1401</v>
      </c>
      <c r="H30" s="15">
        <v>46</v>
      </c>
      <c r="I30">
        <v>52</v>
      </c>
    </row>
    <row r="31" spans="1:11" x14ac:dyDescent="0.2">
      <c r="E31" s="80"/>
      <c r="F31" s="47" t="s">
        <v>1170</v>
      </c>
      <c r="G31" s="23">
        <v>1535</v>
      </c>
      <c r="H31" s="15">
        <v>32</v>
      </c>
      <c r="I31">
        <v>0</v>
      </c>
      <c r="K31" t="s">
        <v>1227</v>
      </c>
    </row>
    <row r="32" spans="1:11" x14ac:dyDescent="0.2">
      <c r="E32" s="80"/>
      <c r="F32" s="47" t="s">
        <v>1172</v>
      </c>
      <c r="G32" s="14">
        <v>2621</v>
      </c>
      <c r="H32">
        <v>36</v>
      </c>
      <c r="I32">
        <v>128</v>
      </c>
    </row>
    <row r="33" spans="5:9" x14ac:dyDescent="0.2">
      <c r="E33" s="80"/>
      <c r="F33" s="16" t="s">
        <v>1174</v>
      </c>
      <c r="G33" s="23">
        <v>2094</v>
      </c>
      <c r="H33" s="15">
        <v>33</v>
      </c>
      <c r="I33">
        <v>0</v>
      </c>
    </row>
    <row r="34" spans="5:9" x14ac:dyDescent="0.2">
      <c r="E34" s="80"/>
      <c r="F34" t="s">
        <v>1178</v>
      </c>
      <c r="G34" s="15">
        <v>439</v>
      </c>
      <c r="H34" s="15">
        <v>14</v>
      </c>
      <c r="I34" s="17">
        <v>0</v>
      </c>
    </row>
    <row r="35" spans="5:9" x14ac:dyDescent="0.2">
      <c r="E35" s="80"/>
      <c r="F35" s="16" t="s">
        <v>1180</v>
      </c>
      <c r="G35" s="23">
        <v>10335</v>
      </c>
      <c r="H35" s="15">
        <v>99</v>
      </c>
      <c r="I35" s="17">
        <v>304</v>
      </c>
    </row>
    <row r="36" spans="5:9" x14ac:dyDescent="0.2">
      <c r="E36" s="80"/>
      <c r="F36" s="16" t="s">
        <v>1182</v>
      </c>
      <c r="G36" s="23">
        <v>11553</v>
      </c>
      <c r="H36" s="15">
        <v>82</v>
      </c>
      <c r="I36" s="17">
        <v>90</v>
      </c>
    </row>
    <row r="37" spans="5:9" x14ac:dyDescent="0.2">
      <c r="E37" s="80"/>
      <c r="F37" s="16" t="s">
        <v>1184</v>
      </c>
      <c r="G37" s="23">
        <v>10763</v>
      </c>
      <c r="H37" s="15">
        <v>56</v>
      </c>
      <c r="I37" s="17">
        <v>118</v>
      </c>
    </row>
    <row r="38" spans="5:9" x14ac:dyDescent="0.2">
      <c r="E38" s="80"/>
      <c r="F38" s="16" t="s">
        <v>1186</v>
      </c>
      <c r="G38" s="14">
        <v>6869</v>
      </c>
      <c r="H38">
        <v>780</v>
      </c>
      <c r="I38" s="14">
        <v>1192</v>
      </c>
    </row>
    <row r="39" spans="5:9" x14ac:dyDescent="0.2">
      <c r="E39" s="80"/>
      <c r="F39" s="47" t="s">
        <v>1188</v>
      </c>
      <c r="G39" s="14">
        <v>6869</v>
      </c>
      <c r="H39">
        <v>780</v>
      </c>
      <c r="I39" s="14">
        <v>1192</v>
      </c>
    </row>
    <row r="40" spans="5:9" x14ac:dyDescent="0.2">
      <c r="E40" s="80"/>
      <c r="F40" s="16" t="s">
        <v>1191</v>
      </c>
      <c r="G40" s="14">
        <v>3533</v>
      </c>
      <c r="H40">
        <v>31</v>
      </c>
      <c r="I40">
        <v>24</v>
      </c>
    </row>
    <row r="41" spans="5:9" x14ac:dyDescent="0.2">
      <c r="E41" s="80"/>
      <c r="F41" s="16" t="s">
        <v>1195</v>
      </c>
      <c r="G41" s="14">
        <v>1539</v>
      </c>
      <c r="H41">
        <v>6</v>
      </c>
      <c r="I41">
        <v>6</v>
      </c>
    </row>
    <row r="42" spans="5:9" x14ac:dyDescent="0.2">
      <c r="E42" s="80"/>
      <c r="F42" s="47" t="s">
        <v>1199</v>
      </c>
      <c r="G42" s="14">
        <v>1151</v>
      </c>
      <c r="H42">
        <v>6</v>
      </c>
      <c r="I42">
        <v>6</v>
      </c>
    </row>
    <row r="43" spans="5:9" x14ac:dyDescent="0.2">
      <c r="E43" s="80"/>
      <c r="F43" s="47" t="s">
        <v>1200</v>
      </c>
      <c r="G43">
        <v>388</v>
      </c>
      <c r="H43">
        <v>0</v>
      </c>
      <c r="I43">
        <v>0</v>
      </c>
    </row>
    <row r="44" spans="5:9" x14ac:dyDescent="0.2">
      <c r="E44" s="80"/>
      <c r="F44" s="16" t="s">
        <v>1201</v>
      </c>
      <c r="G44" s="14">
        <v>11910</v>
      </c>
      <c r="H44">
        <v>97</v>
      </c>
      <c r="I44">
        <v>203</v>
      </c>
    </row>
    <row r="45" spans="5:9" x14ac:dyDescent="0.2">
      <c r="E45" s="80"/>
      <c r="F45" s="16" t="s">
        <v>1202</v>
      </c>
      <c r="G45" s="14">
        <v>11743</v>
      </c>
      <c r="H45">
        <v>161</v>
      </c>
      <c r="I45">
        <v>77</v>
      </c>
    </row>
    <row r="46" spans="5:9" x14ac:dyDescent="0.2">
      <c r="E46" s="80"/>
      <c r="F46" s="47" t="s">
        <v>1203</v>
      </c>
      <c r="G46">
        <v>936</v>
      </c>
      <c r="H46">
        <v>19</v>
      </c>
      <c r="I46">
        <v>35</v>
      </c>
    </row>
    <row r="47" spans="5:9" x14ac:dyDescent="0.2">
      <c r="E47" s="80"/>
      <c r="F47" s="47" t="s">
        <v>1204</v>
      </c>
      <c r="G47" s="14">
        <v>1181</v>
      </c>
      <c r="H47">
        <v>49</v>
      </c>
      <c r="I47">
        <v>0</v>
      </c>
    </row>
    <row r="48" spans="5:9" x14ac:dyDescent="0.2">
      <c r="E48" s="80"/>
      <c r="F48" s="47" t="s">
        <v>1205</v>
      </c>
      <c r="G48" s="14">
        <v>2998</v>
      </c>
      <c r="H48">
        <v>0</v>
      </c>
      <c r="I48">
        <v>20</v>
      </c>
    </row>
    <row r="49" spans="5:9" x14ac:dyDescent="0.2">
      <c r="E49" s="80"/>
      <c r="F49" s="16" t="s">
        <v>1206</v>
      </c>
      <c r="G49" s="14">
        <v>2468</v>
      </c>
      <c r="H49">
        <v>0</v>
      </c>
      <c r="I49">
        <v>0</v>
      </c>
    </row>
    <row r="50" spans="5:9" x14ac:dyDescent="0.2">
      <c r="E50" s="80"/>
      <c r="F50" s="16" t="s">
        <v>1207</v>
      </c>
      <c r="G50" s="14">
        <v>3822</v>
      </c>
      <c r="H50">
        <v>37</v>
      </c>
      <c r="I50">
        <v>15</v>
      </c>
    </row>
    <row r="51" spans="5:9" x14ac:dyDescent="0.2">
      <c r="E51" s="80"/>
      <c r="F51" s="47" t="s">
        <v>1162</v>
      </c>
      <c r="G51">
        <v>259</v>
      </c>
      <c r="H51">
        <v>19</v>
      </c>
      <c r="I51">
        <v>15</v>
      </c>
    </row>
    <row r="52" spans="5:9" x14ac:dyDescent="0.2">
      <c r="E52" s="80"/>
      <c r="F52" s="47" t="s">
        <v>1208</v>
      </c>
      <c r="G52" s="14">
        <v>3563</v>
      </c>
      <c r="H52">
        <v>18</v>
      </c>
      <c r="I52">
        <v>0</v>
      </c>
    </row>
    <row r="53" spans="5:9" x14ac:dyDescent="0.2">
      <c r="E53" s="80"/>
    </row>
    <row r="54" spans="5:9" x14ac:dyDescent="0.2">
      <c r="E54" s="80"/>
    </row>
    <row r="55" spans="5:9" x14ac:dyDescent="0.2">
      <c r="E55" s="80"/>
    </row>
    <row r="56" spans="5:9" x14ac:dyDescent="0.2">
      <c r="E56" s="80"/>
    </row>
    <row r="57" spans="5:9" x14ac:dyDescent="0.2">
      <c r="E57" s="80"/>
    </row>
  </sheetData>
  <mergeCells count="10">
    <mergeCell ref="G5:G6"/>
    <mergeCell ref="B1:O1"/>
    <mergeCell ref="A21:B21"/>
    <mergeCell ref="E5:E57"/>
    <mergeCell ref="A9:B9"/>
    <mergeCell ref="A5:B5"/>
    <mergeCell ref="F5:F6"/>
    <mergeCell ref="A18:B18"/>
    <mergeCell ref="A27:B27"/>
    <mergeCell ref="H5:I5"/>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tbl-high-bll</v>
      </c>
    </row>
    <row r="4" spans="1:17" x14ac:dyDescent="0.2">
      <c r="A4" s="16" t="s">
        <v>7</v>
      </c>
      <c r="B4" t="str">
        <f>IF($B$1="","",_xlfn.XLOOKUP($B$1,Master!$F$2:$F$321,Master!$H$2:$H$321,""))</f>
        <v>fig-high-bll</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2018</v>
      </c>
      <c r="H5">
        <v>2019</v>
      </c>
      <c r="I5">
        <v>2020</v>
      </c>
      <c r="J5">
        <v>2021</v>
      </c>
    </row>
    <row r="6" spans="1:17" ht="15" customHeight="1" x14ac:dyDescent="0.2">
      <c r="A6" t="s">
        <v>1088</v>
      </c>
      <c r="B6" t="b">
        <v>0</v>
      </c>
      <c r="E6" s="80"/>
      <c r="F6" t="s">
        <v>1297</v>
      </c>
      <c r="G6" s="15">
        <v>4.7</v>
      </c>
      <c r="H6" s="15">
        <v>5.0999999999999996</v>
      </c>
      <c r="I6" s="15">
        <v>4.7</v>
      </c>
      <c r="J6" s="15">
        <v>3.7</v>
      </c>
      <c r="K6" s="15"/>
      <c r="L6" s="15"/>
      <c r="M6" s="15"/>
      <c r="N6" s="15"/>
      <c r="O6" s="15"/>
    </row>
    <row r="7" spans="1:17" ht="15.75" customHeight="1" x14ac:dyDescent="0.2">
      <c r="E7" s="80"/>
      <c r="F7" t="s">
        <v>1645</v>
      </c>
      <c r="G7" s="15">
        <v>3.5</v>
      </c>
      <c r="H7" s="15">
        <v>3.9</v>
      </c>
      <c r="I7" s="15">
        <v>3.2</v>
      </c>
      <c r="J7" s="15">
        <v>2.8</v>
      </c>
      <c r="K7" s="15"/>
      <c r="L7" s="15"/>
      <c r="M7" s="15"/>
      <c r="N7" s="15"/>
      <c r="O7" s="15"/>
    </row>
    <row r="8" spans="1:17" x14ac:dyDescent="0.2">
      <c r="E8" s="80"/>
      <c r="F8" t="s">
        <v>1298</v>
      </c>
      <c r="G8" s="15">
        <v>6.5</v>
      </c>
      <c r="H8" s="15">
        <v>6.5</v>
      </c>
      <c r="I8" s="15">
        <v>5</v>
      </c>
      <c r="J8" s="15">
        <v>5.0999999999999996</v>
      </c>
      <c r="K8" s="15"/>
      <c r="L8" s="15"/>
      <c r="M8" s="15"/>
      <c r="N8" s="15"/>
      <c r="O8" s="15"/>
    </row>
    <row r="9" spans="1:17" x14ac:dyDescent="0.2">
      <c r="A9" s="84" t="s">
        <v>1098</v>
      </c>
      <c r="B9" s="80"/>
      <c r="E9" s="80"/>
      <c r="F9" t="s">
        <v>1299</v>
      </c>
      <c r="G9" s="15">
        <v>3.6</v>
      </c>
      <c r="H9" s="15">
        <v>3.8</v>
      </c>
      <c r="I9" s="15">
        <v>3.2</v>
      </c>
      <c r="J9" s="15">
        <v>3.3</v>
      </c>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1646</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1647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tbl-internet-access</v>
      </c>
    </row>
    <row r="4" spans="1:17" x14ac:dyDescent="0.2">
      <c r="A4" s="16" t="s">
        <v>7</v>
      </c>
      <c r="B4" t="str">
        <f>IF($B$1="","",_xlfn.XLOOKUP($B$1,Master!$F$2:$F$321,Master!$H$2:$H$321,""))</f>
        <v>fig-internet-access</v>
      </c>
      <c r="E4" s="8"/>
      <c r="F4" s="10" t="s">
        <v>968</v>
      </c>
      <c r="G4" s="10" t="s">
        <v>973</v>
      </c>
      <c r="H4" s="10" t="s">
        <v>973</v>
      </c>
      <c r="I4" s="10" t="s">
        <v>979</v>
      </c>
      <c r="J4" s="10" t="s">
        <v>973</v>
      </c>
      <c r="K4" s="10" t="s">
        <v>979</v>
      </c>
      <c r="L4" s="10" t="s">
        <v>973</v>
      </c>
      <c r="M4" s="10" t="s">
        <v>979</v>
      </c>
      <c r="N4" s="10" t="s">
        <v>973</v>
      </c>
      <c r="O4" s="10" t="s">
        <v>979</v>
      </c>
      <c r="P4" s="10"/>
      <c r="Q4" s="10"/>
    </row>
    <row r="5" spans="1:17" x14ac:dyDescent="0.2">
      <c r="A5" s="84" t="s">
        <v>1081</v>
      </c>
      <c r="B5" s="80"/>
      <c r="E5" s="83" t="s">
        <v>1082</v>
      </c>
      <c r="F5" s="82" t="s">
        <v>1083</v>
      </c>
      <c r="G5" s="82" t="s">
        <v>1648</v>
      </c>
      <c r="H5" s="82" t="s">
        <v>1649</v>
      </c>
      <c r="I5" s="80"/>
      <c r="J5" s="82" t="s">
        <v>1650</v>
      </c>
      <c r="K5" s="80"/>
      <c r="L5" s="82" t="s">
        <v>1651</v>
      </c>
      <c r="M5" s="80"/>
      <c r="N5" s="82" t="s">
        <v>1652</v>
      </c>
      <c r="O5" s="80"/>
    </row>
    <row r="6" spans="1:17" ht="15" customHeight="1" x14ac:dyDescent="0.2">
      <c r="A6" t="s">
        <v>1088</v>
      </c>
      <c r="B6" t="b">
        <v>1</v>
      </c>
      <c r="E6" s="80"/>
      <c r="F6" s="80"/>
      <c r="G6" s="80"/>
      <c r="H6" s="15" t="s">
        <v>1272</v>
      </c>
      <c r="I6" s="15" t="s">
        <v>1344</v>
      </c>
      <c r="J6" s="15" t="s">
        <v>1272</v>
      </c>
      <c r="K6" s="15" t="s">
        <v>1344</v>
      </c>
      <c r="L6" s="15" t="s">
        <v>1272</v>
      </c>
      <c r="M6" s="15" t="s">
        <v>1344</v>
      </c>
      <c r="N6" s="15" t="s">
        <v>1272</v>
      </c>
      <c r="O6" s="15" t="s">
        <v>1344</v>
      </c>
    </row>
    <row r="7" spans="1:17" ht="15.75" customHeight="1" x14ac:dyDescent="0.2">
      <c r="E7" s="80"/>
      <c r="F7" s="16" t="s">
        <v>1096</v>
      </c>
      <c r="G7" s="23">
        <v>137311</v>
      </c>
      <c r="H7" s="23">
        <v>13355</v>
      </c>
      <c r="I7" s="15">
        <v>9.6999999999999993</v>
      </c>
      <c r="J7" s="23">
        <v>121963</v>
      </c>
      <c r="K7" s="15">
        <v>88.8</v>
      </c>
      <c r="L7" s="23">
        <v>1993</v>
      </c>
      <c r="M7" s="15">
        <v>145.1</v>
      </c>
      <c r="N7" s="23">
        <v>12688</v>
      </c>
      <c r="O7" s="15">
        <v>9.1999999999999993</v>
      </c>
    </row>
    <row r="8" spans="1:17" x14ac:dyDescent="0.2">
      <c r="E8" s="80"/>
      <c r="F8" s="16" t="s">
        <v>1097</v>
      </c>
      <c r="G8" s="23">
        <v>6149</v>
      </c>
      <c r="H8" s="15">
        <v>281</v>
      </c>
      <c r="I8" s="15">
        <v>4.5999999999999996</v>
      </c>
      <c r="J8" s="23">
        <v>5768</v>
      </c>
      <c r="K8" s="15">
        <v>93.8</v>
      </c>
      <c r="L8" s="15">
        <v>100</v>
      </c>
      <c r="M8" s="15">
        <v>162.6</v>
      </c>
      <c r="N8" s="15">
        <v>523</v>
      </c>
      <c r="O8" s="15">
        <v>8.5</v>
      </c>
    </row>
    <row r="9" spans="1:17" x14ac:dyDescent="0.2">
      <c r="A9" s="84" t="s">
        <v>1098</v>
      </c>
      <c r="B9" s="80"/>
      <c r="E9" s="80"/>
      <c r="F9" s="47" t="s">
        <v>1099</v>
      </c>
      <c r="G9" s="23">
        <v>1173</v>
      </c>
      <c r="H9" s="15">
        <v>154</v>
      </c>
      <c r="I9" s="15">
        <v>13.1</v>
      </c>
      <c r="J9" s="23">
        <v>1019</v>
      </c>
      <c r="K9" s="15">
        <v>86.9</v>
      </c>
      <c r="L9" s="15">
        <v>0</v>
      </c>
      <c r="M9" s="15">
        <v>0</v>
      </c>
      <c r="N9" s="15">
        <v>93</v>
      </c>
      <c r="O9" s="15">
        <v>7.9</v>
      </c>
    </row>
    <row r="10" spans="1:17" x14ac:dyDescent="0.2">
      <c r="A10" t="s">
        <v>1100</v>
      </c>
      <c r="E10" s="80"/>
      <c r="F10" s="47" t="s">
        <v>1101</v>
      </c>
      <c r="G10" s="23">
        <v>2106</v>
      </c>
      <c r="H10" s="15">
        <v>63</v>
      </c>
      <c r="I10" s="15">
        <v>3</v>
      </c>
      <c r="J10" s="23">
        <v>2011</v>
      </c>
      <c r="K10" s="15">
        <v>95.5</v>
      </c>
      <c r="L10" s="15">
        <v>32</v>
      </c>
      <c r="M10" s="15">
        <v>151.9</v>
      </c>
      <c r="N10" s="15">
        <v>236</v>
      </c>
      <c r="O10" s="15">
        <v>11.2</v>
      </c>
    </row>
    <row r="11" spans="1:17" x14ac:dyDescent="0.2">
      <c r="A11" t="s">
        <v>1102</v>
      </c>
      <c r="E11" s="80"/>
      <c r="F11" s="16" t="s">
        <v>1103</v>
      </c>
      <c r="G11" s="23">
        <v>4458</v>
      </c>
      <c r="H11" s="15">
        <v>282</v>
      </c>
      <c r="I11" s="15">
        <v>6.3</v>
      </c>
      <c r="J11" s="28">
        <v>4143</v>
      </c>
      <c r="K11" s="17">
        <v>92.9</v>
      </c>
      <c r="L11" s="17">
        <v>33</v>
      </c>
      <c r="M11" s="17">
        <v>74</v>
      </c>
      <c r="N11" s="17">
        <v>380</v>
      </c>
      <c r="O11" s="15">
        <v>8.5</v>
      </c>
    </row>
    <row r="12" spans="1:17" x14ac:dyDescent="0.2">
      <c r="A12" t="s">
        <v>1104</v>
      </c>
      <c r="E12" s="80"/>
      <c r="F12" s="48" t="s">
        <v>1105</v>
      </c>
      <c r="G12" s="28">
        <v>1560</v>
      </c>
      <c r="H12" s="17">
        <v>77</v>
      </c>
      <c r="I12" s="15">
        <v>4.9000000000000004</v>
      </c>
      <c r="J12" s="23">
        <v>1483</v>
      </c>
      <c r="K12" s="15">
        <v>95.1</v>
      </c>
      <c r="L12" s="15">
        <v>0</v>
      </c>
      <c r="M12" s="15">
        <v>0</v>
      </c>
      <c r="N12" s="15">
        <v>213</v>
      </c>
      <c r="O12" s="15">
        <v>13.7</v>
      </c>
    </row>
    <row r="13" spans="1:17" x14ac:dyDescent="0.2">
      <c r="A13" t="s">
        <v>1108</v>
      </c>
      <c r="E13" s="80"/>
      <c r="F13" s="16" t="s">
        <v>1109</v>
      </c>
      <c r="G13" s="23">
        <v>5023</v>
      </c>
      <c r="H13" s="15">
        <v>276</v>
      </c>
      <c r="I13" s="15">
        <v>5.5</v>
      </c>
      <c r="J13" s="23">
        <v>4713</v>
      </c>
      <c r="K13" s="15">
        <v>93.8</v>
      </c>
      <c r="L13" s="15">
        <v>34</v>
      </c>
      <c r="M13" s="15">
        <v>67.7</v>
      </c>
      <c r="N13" s="15">
        <v>546</v>
      </c>
      <c r="O13" s="15">
        <v>10.9</v>
      </c>
    </row>
    <row r="14" spans="1:17" x14ac:dyDescent="0.2">
      <c r="A14" t="s">
        <v>1112</v>
      </c>
      <c r="E14" s="80"/>
      <c r="F14" s="47" t="s">
        <v>1113</v>
      </c>
      <c r="G14" s="23">
        <v>1230</v>
      </c>
      <c r="H14" s="15">
        <v>56</v>
      </c>
      <c r="I14" s="15">
        <v>4.5999999999999996</v>
      </c>
      <c r="J14" s="23">
        <v>1170</v>
      </c>
      <c r="K14" s="15">
        <v>95.1</v>
      </c>
      <c r="L14" s="15">
        <v>4</v>
      </c>
      <c r="M14" s="15">
        <v>32.5</v>
      </c>
      <c r="N14" s="15">
        <v>211</v>
      </c>
      <c r="O14" s="15">
        <v>17.2</v>
      </c>
    </row>
    <row r="15" spans="1:17" x14ac:dyDescent="0.2">
      <c r="A15" t="s">
        <v>1114</v>
      </c>
      <c r="E15" s="80"/>
      <c r="F15" s="25" t="s">
        <v>1115</v>
      </c>
      <c r="G15" s="23">
        <v>3001</v>
      </c>
      <c r="H15" s="15">
        <v>273</v>
      </c>
      <c r="I15" s="15">
        <v>9.1</v>
      </c>
      <c r="J15" s="23">
        <v>2692</v>
      </c>
      <c r="K15" s="15">
        <v>89.7</v>
      </c>
      <c r="L15" s="15">
        <v>36</v>
      </c>
      <c r="M15" s="15">
        <v>120</v>
      </c>
      <c r="N15" s="15">
        <v>261</v>
      </c>
      <c r="O15" s="15">
        <v>8.6999999999999993</v>
      </c>
    </row>
    <row r="16" spans="1:17" x14ac:dyDescent="0.2">
      <c r="A16" t="s">
        <v>1116</v>
      </c>
      <c r="E16" s="80"/>
      <c r="F16" s="25" t="s">
        <v>1117</v>
      </c>
      <c r="G16" s="23">
        <v>2993</v>
      </c>
      <c r="H16" s="15">
        <v>207</v>
      </c>
      <c r="I16" s="15">
        <v>6.9</v>
      </c>
      <c r="J16" s="23">
        <v>2774</v>
      </c>
      <c r="K16" s="15">
        <v>92.7</v>
      </c>
      <c r="L16" s="15">
        <v>12</v>
      </c>
      <c r="M16" s="15">
        <v>40.1</v>
      </c>
      <c r="N16" s="15">
        <v>338</v>
      </c>
      <c r="O16" s="15">
        <v>11.3</v>
      </c>
    </row>
    <row r="17" spans="1:15" x14ac:dyDescent="0.2">
      <c r="E17" s="80"/>
      <c r="F17" s="25" t="s">
        <v>1118</v>
      </c>
      <c r="G17" s="23">
        <v>4861</v>
      </c>
      <c r="H17" s="15">
        <v>232</v>
      </c>
      <c r="I17" s="15">
        <v>4.8</v>
      </c>
      <c r="J17" s="23">
        <v>4623</v>
      </c>
      <c r="K17" s="15">
        <v>95.1</v>
      </c>
      <c r="L17" s="15">
        <v>6</v>
      </c>
      <c r="M17" s="15">
        <v>12.3</v>
      </c>
      <c r="N17" s="15">
        <v>449</v>
      </c>
      <c r="O17" s="15">
        <v>9.1999999999999993</v>
      </c>
    </row>
    <row r="18" spans="1:15" x14ac:dyDescent="0.2">
      <c r="A18" s="84" t="s">
        <v>1119</v>
      </c>
      <c r="B18" s="80"/>
      <c r="E18" s="80"/>
      <c r="F18" s="47" t="s">
        <v>1120</v>
      </c>
      <c r="G18" s="23">
        <v>2350</v>
      </c>
      <c r="H18" s="15">
        <v>208</v>
      </c>
      <c r="I18" s="15">
        <v>8.9</v>
      </c>
      <c r="J18" s="23">
        <v>2142</v>
      </c>
      <c r="K18" s="15">
        <v>91.1</v>
      </c>
      <c r="L18" s="15">
        <v>0</v>
      </c>
      <c r="M18" s="15">
        <v>0</v>
      </c>
      <c r="N18" s="15">
        <v>228</v>
      </c>
      <c r="O18" s="15">
        <v>9.6999999999999993</v>
      </c>
    </row>
    <row r="19" spans="1:15" x14ac:dyDescent="0.2">
      <c r="A19" t="s">
        <v>1121</v>
      </c>
      <c r="B19" t="s">
        <v>1653</v>
      </c>
      <c r="E19" s="80"/>
      <c r="F19" s="16" t="s">
        <v>1123</v>
      </c>
      <c r="G19" s="23">
        <v>1645</v>
      </c>
      <c r="H19" s="15">
        <v>52</v>
      </c>
      <c r="I19" s="15">
        <v>3.2</v>
      </c>
      <c r="J19" s="23">
        <v>1580</v>
      </c>
      <c r="K19" s="15">
        <v>96</v>
      </c>
      <c r="L19" s="15">
        <v>13</v>
      </c>
      <c r="M19" s="15">
        <v>79</v>
      </c>
      <c r="N19" s="15">
        <v>163</v>
      </c>
      <c r="O19" s="15">
        <v>9.9</v>
      </c>
    </row>
    <row r="20" spans="1:15" x14ac:dyDescent="0.2">
      <c r="E20" s="80"/>
      <c r="F20" s="16" t="s">
        <v>1124</v>
      </c>
      <c r="G20" s="23">
        <v>1745</v>
      </c>
      <c r="H20" s="15">
        <v>15</v>
      </c>
      <c r="I20" s="15">
        <v>0.9</v>
      </c>
      <c r="J20" s="23">
        <v>1723</v>
      </c>
      <c r="K20" s="15">
        <v>98.7</v>
      </c>
      <c r="L20" s="15">
        <v>7</v>
      </c>
      <c r="M20" s="15">
        <v>40.1</v>
      </c>
      <c r="N20" s="15">
        <v>105</v>
      </c>
      <c r="O20" s="15">
        <v>6</v>
      </c>
    </row>
    <row r="21" spans="1:15" x14ac:dyDescent="0.2">
      <c r="A21" s="82" t="s">
        <v>1125</v>
      </c>
      <c r="B21" s="80"/>
      <c r="E21" s="80"/>
      <c r="F21" s="16" t="s">
        <v>1126</v>
      </c>
      <c r="G21" s="23">
        <v>3938</v>
      </c>
      <c r="H21" s="15">
        <v>163</v>
      </c>
      <c r="I21" s="15">
        <v>4.0999999999999996</v>
      </c>
      <c r="J21" s="23">
        <v>3738</v>
      </c>
      <c r="K21" s="15">
        <v>94.9</v>
      </c>
      <c r="L21" s="15">
        <v>37</v>
      </c>
      <c r="M21" s="15">
        <v>94</v>
      </c>
      <c r="N21" s="15">
        <v>186</v>
      </c>
      <c r="O21" s="15">
        <v>4.7</v>
      </c>
    </row>
    <row r="22" spans="1:15" x14ac:dyDescent="0.2">
      <c r="A22" t="s">
        <v>1135</v>
      </c>
      <c r="B22" t="s">
        <v>1243</v>
      </c>
      <c r="E22" s="80"/>
      <c r="F22" s="47" t="s">
        <v>1137</v>
      </c>
      <c r="G22" s="23">
        <v>1648</v>
      </c>
      <c r="H22" s="15">
        <v>46</v>
      </c>
      <c r="I22" s="15">
        <v>2.8</v>
      </c>
      <c r="J22" s="23">
        <v>1587</v>
      </c>
      <c r="K22" s="15">
        <v>96.3</v>
      </c>
      <c r="L22" s="15">
        <v>15</v>
      </c>
      <c r="M22" s="15">
        <v>91</v>
      </c>
      <c r="N22" s="15">
        <v>71</v>
      </c>
      <c r="O22" s="15">
        <v>4.3</v>
      </c>
    </row>
    <row r="23" spans="1:15" x14ac:dyDescent="0.2">
      <c r="E23" s="80"/>
      <c r="F23" s="16" t="s">
        <v>1146</v>
      </c>
      <c r="G23" s="23">
        <v>10182</v>
      </c>
      <c r="H23" s="15">
        <v>921</v>
      </c>
      <c r="I23" s="15">
        <v>9</v>
      </c>
      <c r="J23" s="23">
        <v>9113</v>
      </c>
      <c r="K23" s="15">
        <v>89.5</v>
      </c>
      <c r="L23" s="15">
        <v>148</v>
      </c>
      <c r="M23" s="15">
        <v>145.4</v>
      </c>
      <c r="N23" s="23">
        <v>1071</v>
      </c>
      <c r="O23" s="15">
        <v>10.5</v>
      </c>
    </row>
    <row r="24" spans="1:15" x14ac:dyDescent="0.2">
      <c r="E24" s="80"/>
      <c r="F24" s="16" t="s">
        <v>1150</v>
      </c>
      <c r="G24" s="23">
        <v>1526</v>
      </c>
      <c r="H24" s="15">
        <v>24</v>
      </c>
      <c r="I24" s="15">
        <v>1.6</v>
      </c>
      <c r="J24" s="23">
        <v>1483</v>
      </c>
      <c r="K24" s="15">
        <v>97.2</v>
      </c>
      <c r="L24" s="15">
        <v>19</v>
      </c>
      <c r="M24" s="15">
        <v>124.5</v>
      </c>
      <c r="N24" s="15">
        <v>126</v>
      </c>
      <c r="O24" s="15">
        <v>8.3000000000000007</v>
      </c>
    </row>
    <row r="25" spans="1:15" x14ac:dyDescent="0.2">
      <c r="E25" s="80"/>
      <c r="F25" s="47" t="s">
        <v>1154</v>
      </c>
      <c r="G25" s="15">
        <v>222</v>
      </c>
      <c r="H25" s="15">
        <v>15</v>
      </c>
      <c r="I25" s="15">
        <v>6.8</v>
      </c>
      <c r="J25" s="15">
        <v>201</v>
      </c>
      <c r="K25" s="15">
        <v>90.5</v>
      </c>
      <c r="L25" s="15">
        <v>6</v>
      </c>
      <c r="M25" s="15">
        <v>270.3</v>
      </c>
      <c r="N25" s="15">
        <v>16</v>
      </c>
      <c r="O25" s="15">
        <v>7.2</v>
      </c>
    </row>
    <row r="26" spans="1:15" x14ac:dyDescent="0.2">
      <c r="E26" s="80"/>
      <c r="F26" s="16" t="s">
        <v>1158</v>
      </c>
      <c r="G26" s="23">
        <v>6855</v>
      </c>
      <c r="H26" s="15">
        <v>320</v>
      </c>
      <c r="I26" s="15">
        <v>4.7</v>
      </c>
      <c r="J26" s="23">
        <v>6444</v>
      </c>
      <c r="K26" s="15">
        <v>94</v>
      </c>
      <c r="L26" s="15">
        <v>91</v>
      </c>
      <c r="M26" s="15">
        <v>132.69999999999999</v>
      </c>
      <c r="N26" s="15">
        <v>359</v>
      </c>
      <c r="O26" s="15">
        <v>5.2</v>
      </c>
    </row>
    <row r="27" spans="1:15" x14ac:dyDescent="0.2">
      <c r="A27" s="82"/>
      <c r="B27" s="80"/>
      <c r="E27" s="80"/>
      <c r="F27" s="47" t="s">
        <v>1162</v>
      </c>
      <c r="G27" s="15">
        <v>792</v>
      </c>
      <c r="H27" s="15">
        <v>45</v>
      </c>
      <c r="I27" s="15">
        <v>5.7</v>
      </c>
      <c r="J27" s="15">
        <v>731</v>
      </c>
      <c r="K27" s="15">
        <v>92.3</v>
      </c>
      <c r="L27" s="15">
        <v>16</v>
      </c>
      <c r="M27" s="15">
        <v>202</v>
      </c>
      <c r="N27" s="15">
        <v>76</v>
      </c>
      <c r="O27" s="15">
        <v>9.6</v>
      </c>
    </row>
    <row r="28" spans="1:15" x14ac:dyDescent="0.2">
      <c r="E28" s="80"/>
      <c r="F28" s="47" t="s">
        <v>1164</v>
      </c>
      <c r="G28" s="23">
        <v>2886</v>
      </c>
      <c r="H28" s="15">
        <v>134</v>
      </c>
      <c r="I28" s="15">
        <v>4.5999999999999996</v>
      </c>
      <c r="J28" s="23">
        <v>2711</v>
      </c>
      <c r="K28" s="15">
        <v>93.9</v>
      </c>
      <c r="L28" s="15">
        <v>41</v>
      </c>
      <c r="M28" s="15">
        <v>142.1</v>
      </c>
      <c r="N28" s="15">
        <v>185</v>
      </c>
      <c r="O28" s="15">
        <v>6.4</v>
      </c>
    </row>
    <row r="29" spans="1:15" x14ac:dyDescent="0.2">
      <c r="E29" s="80"/>
      <c r="F29" s="16" t="s">
        <v>1166</v>
      </c>
      <c r="G29" s="23">
        <v>8306</v>
      </c>
      <c r="H29" s="15">
        <v>476</v>
      </c>
      <c r="I29" s="15">
        <v>5.7</v>
      </c>
      <c r="J29" s="23">
        <v>7753</v>
      </c>
      <c r="K29" s="15">
        <v>93.3</v>
      </c>
      <c r="L29" s="15">
        <v>77</v>
      </c>
      <c r="M29" s="15">
        <v>92.7</v>
      </c>
      <c r="N29" s="15">
        <v>652</v>
      </c>
      <c r="O29" s="15">
        <v>7.8</v>
      </c>
    </row>
    <row r="30" spans="1:15" x14ac:dyDescent="0.2">
      <c r="E30" s="80"/>
      <c r="F30" s="47" t="s">
        <v>1168</v>
      </c>
      <c r="G30" s="23">
        <v>1401</v>
      </c>
      <c r="H30" s="15">
        <v>58</v>
      </c>
      <c r="I30" s="15">
        <v>4.0999999999999996</v>
      </c>
      <c r="J30" s="23">
        <v>1290</v>
      </c>
      <c r="K30" s="15">
        <v>92.1</v>
      </c>
      <c r="L30" s="15">
        <v>53</v>
      </c>
      <c r="M30" s="15">
        <v>378.3</v>
      </c>
      <c r="N30" s="15">
        <v>91</v>
      </c>
      <c r="O30" s="15">
        <v>6.5</v>
      </c>
    </row>
    <row r="31" spans="1:15" x14ac:dyDescent="0.2">
      <c r="E31" s="80"/>
      <c r="F31" s="47" t="s">
        <v>1170</v>
      </c>
      <c r="G31" s="23">
        <v>1535</v>
      </c>
      <c r="H31" s="15">
        <v>43</v>
      </c>
      <c r="I31" s="15">
        <v>2.8</v>
      </c>
      <c r="J31" s="23">
        <v>1492</v>
      </c>
      <c r="K31" s="15">
        <v>97.2</v>
      </c>
      <c r="L31" s="15">
        <v>0</v>
      </c>
      <c r="M31" s="15">
        <v>0</v>
      </c>
      <c r="N31" s="15">
        <v>44</v>
      </c>
      <c r="O31" s="15">
        <v>2.9</v>
      </c>
    </row>
    <row r="32" spans="1:15" x14ac:dyDescent="0.2">
      <c r="E32" s="80"/>
      <c r="F32" s="47" t="s">
        <v>1172</v>
      </c>
      <c r="G32" s="23">
        <v>2621</v>
      </c>
      <c r="H32" s="15">
        <v>320</v>
      </c>
      <c r="I32" s="15">
        <v>12.2</v>
      </c>
      <c r="J32" s="23">
        <v>2291</v>
      </c>
      <c r="K32" s="15">
        <v>87.4</v>
      </c>
      <c r="L32" s="15">
        <v>10</v>
      </c>
      <c r="M32" s="15">
        <v>38.200000000000003</v>
      </c>
      <c r="N32" s="15">
        <v>351</v>
      </c>
      <c r="O32" s="15">
        <v>13.4</v>
      </c>
    </row>
    <row r="33" spans="5:15" x14ac:dyDescent="0.2">
      <c r="E33" s="80"/>
      <c r="F33" s="16" t="s">
        <v>1174</v>
      </c>
      <c r="G33" s="23">
        <v>2094</v>
      </c>
      <c r="H33" s="15">
        <v>170</v>
      </c>
      <c r="I33" s="15">
        <v>8.1</v>
      </c>
      <c r="J33" s="23">
        <v>1910</v>
      </c>
      <c r="K33" s="15">
        <v>91.2</v>
      </c>
      <c r="L33" s="15">
        <v>14</v>
      </c>
      <c r="M33" s="15">
        <v>66.900000000000006</v>
      </c>
      <c r="N33" s="15">
        <v>218</v>
      </c>
      <c r="O33" s="15">
        <v>10.4</v>
      </c>
    </row>
    <row r="34" spans="5:15" x14ac:dyDescent="0.2">
      <c r="E34" s="80"/>
      <c r="F34" t="s">
        <v>1178</v>
      </c>
      <c r="G34" s="15">
        <v>439</v>
      </c>
      <c r="H34" s="15">
        <v>10</v>
      </c>
      <c r="I34" s="17">
        <v>2.2999999999999998</v>
      </c>
      <c r="J34" s="15">
        <v>426</v>
      </c>
      <c r="K34" s="15">
        <v>97</v>
      </c>
      <c r="L34" s="15">
        <v>3</v>
      </c>
      <c r="M34" s="15">
        <v>68.3</v>
      </c>
      <c r="N34" s="15">
        <v>18</v>
      </c>
      <c r="O34" s="15">
        <v>4.0999999999999996</v>
      </c>
    </row>
    <row r="35" spans="5:15" x14ac:dyDescent="0.2">
      <c r="E35" s="80"/>
      <c r="F35" s="16" t="s">
        <v>1180</v>
      </c>
      <c r="G35" s="23">
        <v>10335</v>
      </c>
      <c r="H35" s="23">
        <v>1296</v>
      </c>
      <c r="I35" s="17">
        <v>12.5</v>
      </c>
      <c r="J35" s="23">
        <v>8880</v>
      </c>
      <c r="K35" s="15">
        <v>85.9</v>
      </c>
      <c r="L35" s="15">
        <v>159</v>
      </c>
      <c r="M35" s="15">
        <v>153.80000000000001</v>
      </c>
      <c r="N35" s="23">
        <v>1322</v>
      </c>
      <c r="O35" s="15">
        <v>12.8</v>
      </c>
    </row>
    <row r="36" spans="5:15" x14ac:dyDescent="0.2">
      <c r="E36" s="80"/>
      <c r="F36" s="16" t="s">
        <v>1182</v>
      </c>
      <c r="G36" s="23">
        <v>11553</v>
      </c>
      <c r="H36" s="15">
        <v>481</v>
      </c>
      <c r="I36" s="17">
        <v>4.2</v>
      </c>
      <c r="J36" s="23">
        <v>10881</v>
      </c>
      <c r="K36" s="15">
        <v>94.2</v>
      </c>
      <c r="L36" s="15">
        <v>191</v>
      </c>
      <c r="M36" s="15">
        <v>165.3</v>
      </c>
      <c r="N36" s="15">
        <v>965</v>
      </c>
      <c r="O36" s="15">
        <v>8.4</v>
      </c>
    </row>
    <row r="37" spans="5:15" x14ac:dyDescent="0.2">
      <c r="E37" s="80"/>
      <c r="F37" s="16" t="s">
        <v>1184</v>
      </c>
      <c r="G37" s="23">
        <v>10763</v>
      </c>
      <c r="H37" s="15">
        <v>657</v>
      </c>
      <c r="I37" s="17">
        <v>6.1</v>
      </c>
      <c r="J37" s="23">
        <v>9963</v>
      </c>
      <c r="K37" s="15">
        <v>92.6</v>
      </c>
      <c r="L37" s="15">
        <v>143</v>
      </c>
      <c r="M37" s="15">
        <v>132.9</v>
      </c>
      <c r="N37" s="23">
        <v>1070</v>
      </c>
      <c r="O37" s="15">
        <v>9.9</v>
      </c>
    </row>
    <row r="38" spans="5:15" x14ac:dyDescent="0.2">
      <c r="E38" s="80"/>
      <c r="F38" s="16" t="s">
        <v>1186</v>
      </c>
      <c r="G38" s="23">
        <v>6869</v>
      </c>
      <c r="H38" s="23">
        <v>5130</v>
      </c>
      <c r="I38" s="15">
        <v>74.7</v>
      </c>
      <c r="J38" s="23">
        <v>1646</v>
      </c>
      <c r="K38" s="15">
        <v>24</v>
      </c>
      <c r="L38" s="15">
        <v>93</v>
      </c>
      <c r="M38" s="15">
        <v>135.4</v>
      </c>
      <c r="N38" s="15">
        <v>818</v>
      </c>
      <c r="O38" s="15">
        <v>11.9</v>
      </c>
    </row>
    <row r="39" spans="5:15" x14ac:dyDescent="0.2">
      <c r="E39" s="80"/>
      <c r="F39" s="47" t="s">
        <v>1188</v>
      </c>
      <c r="G39" s="23">
        <v>6869</v>
      </c>
      <c r="H39" s="23">
        <v>5130</v>
      </c>
      <c r="I39" s="15">
        <v>74.7</v>
      </c>
      <c r="J39" s="23">
        <v>1646</v>
      </c>
      <c r="K39" s="15">
        <v>24</v>
      </c>
      <c r="L39" s="15">
        <v>93</v>
      </c>
      <c r="M39" s="15">
        <v>135.4</v>
      </c>
      <c r="N39" s="15">
        <v>818</v>
      </c>
      <c r="O39" s="15">
        <v>11.9</v>
      </c>
    </row>
    <row r="40" spans="5:15" x14ac:dyDescent="0.2">
      <c r="E40" s="80"/>
      <c r="F40" s="16" t="s">
        <v>1191</v>
      </c>
      <c r="G40" s="23">
        <v>3533</v>
      </c>
      <c r="H40" s="15">
        <v>480</v>
      </c>
      <c r="I40" s="15">
        <v>13.6</v>
      </c>
      <c r="J40" s="23">
        <v>2912</v>
      </c>
      <c r="K40" s="15">
        <v>82.4</v>
      </c>
      <c r="L40" s="15">
        <v>141</v>
      </c>
      <c r="M40" s="15">
        <v>399.1</v>
      </c>
      <c r="N40" s="15">
        <v>454</v>
      </c>
      <c r="O40" s="15">
        <v>12.9</v>
      </c>
    </row>
    <row r="41" spans="5:15" x14ac:dyDescent="0.2">
      <c r="E41" s="80"/>
      <c r="F41" s="16" t="s">
        <v>1195</v>
      </c>
      <c r="G41" s="23">
        <v>1539</v>
      </c>
      <c r="H41" s="15">
        <v>50</v>
      </c>
      <c r="I41" s="15">
        <v>3.2</v>
      </c>
      <c r="J41" s="23">
        <v>1458</v>
      </c>
      <c r="K41" s="15">
        <v>94.7</v>
      </c>
      <c r="L41" s="15">
        <v>31</v>
      </c>
      <c r="M41" s="15">
        <v>201.4</v>
      </c>
      <c r="N41" s="15">
        <v>122</v>
      </c>
      <c r="O41" s="15">
        <v>7.9</v>
      </c>
    </row>
    <row r="42" spans="5:15" x14ac:dyDescent="0.2">
      <c r="E42" s="80"/>
      <c r="F42" s="47" t="s">
        <v>1199</v>
      </c>
      <c r="G42" s="23">
        <v>1151</v>
      </c>
      <c r="H42" s="15">
        <v>46</v>
      </c>
      <c r="I42" s="15">
        <v>4</v>
      </c>
      <c r="J42" s="23">
        <v>1074</v>
      </c>
      <c r="K42" s="15">
        <v>93.3</v>
      </c>
      <c r="L42" s="15">
        <v>31</v>
      </c>
      <c r="M42" s="15">
        <v>269.3</v>
      </c>
      <c r="N42" s="15">
        <v>102</v>
      </c>
      <c r="O42" s="15">
        <v>8.9</v>
      </c>
    </row>
    <row r="43" spans="5:15" x14ac:dyDescent="0.2">
      <c r="E43" s="80"/>
      <c r="F43" s="47" t="s">
        <v>1200</v>
      </c>
      <c r="G43" s="15">
        <v>388</v>
      </c>
      <c r="H43" s="15">
        <v>4</v>
      </c>
      <c r="I43" s="15">
        <v>1</v>
      </c>
      <c r="J43" s="15">
        <v>384</v>
      </c>
      <c r="K43" s="15">
        <v>99</v>
      </c>
      <c r="L43" s="15">
        <v>0</v>
      </c>
      <c r="M43" s="15">
        <v>0</v>
      </c>
      <c r="N43" s="15">
        <v>20</v>
      </c>
      <c r="O43" s="15">
        <v>5.2</v>
      </c>
    </row>
    <row r="44" spans="5:15" x14ac:dyDescent="0.2">
      <c r="E44" s="80"/>
      <c r="F44" s="16" t="s">
        <v>1201</v>
      </c>
      <c r="G44" s="23">
        <v>11910</v>
      </c>
      <c r="H44" s="15">
        <v>882</v>
      </c>
      <c r="I44" s="15">
        <v>7.4</v>
      </c>
      <c r="J44" s="23">
        <v>10642</v>
      </c>
      <c r="K44" s="15">
        <v>89.4</v>
      </c>
      <c r="L44" s="15">
        <v>386</v>
      </c>
      <c r="M44" s="15">
        <v>324.10000000000002</v>
      </c>
      <c r="N44" s="23">
        <v>1086</v>
      </c>
      <c r="O44" s="15">
        <v>9.1</v>
      </c>
    </row>
    <row r="45" spans="5:15" x14ac:dyDescent="0.2">
      <c r="E45" s="80"/>
      <c r="F45" s="16" t="s">
        <v>1202</v>
      </c>
      <c r="G45" s="23">
        <v>11743</v>
      </c>
      <c r="H45" s="15">
        <v>446</v>
      </c>
      <c r="I45" s="15">
        <v>3.8</v>
      </c>
      <c r="J45" s="23">
        <v>11132</v>
      </c>
      <c r="K45" s="15">
        <v>94.8</v>
      </c>
      <c r="L45" s="15">
        <v>165</v>
      </c>
      <c r="M45" s="15">
        <v>140.5</v>
      </c>
      <c r="N45" s="15">
        <v>974</v>
      </c>
      <c r="O45" s="15">
        <v>8.3000000000000007</v>
      </c>
    </row>
    <row r="46" spans="5:15" x14ac:dyDescent="0.2">
      <c r="E46" s="80"/>
      <c r="F46" s="47" t="s">
        <v>1203</v>
      </c>
      <c r="G46" s="15">
        <v>936</v>
      </c>
      <c r="H46" s="15">
        <v>21</v>
      </c>
      <c r="I46" s="15">
        <v>2.2000000000000002</v>
      </c>
      <c r="J46" s="15">
        <v>910</v>
      </c>
      <c r="K46" s="15">
        <v>97.2</v>
      </c>
      <c r="L46" s="15">
        <v>5</v>
      </c>
      <c r="M46" s="15">
        <v>53.4</v>
      </c>
      <c r="N46" s="15">
        <v>107</v>
      </c>
      <c r="O46" s="15">
        <v>11.4</v>
      </c>
    </row>
    <row r="47" spans="5:15" x14ac:dyDescent="0.2">
      <c r="E47" s="80"/>
      <c r="F47" s="47" t="s">
        <v>1204</v>
      </c>
      <c r="G47" s="23">
        <v>1181</v>
      </c>
      <c r="H47" s="15">
        <v>123</v>
      </c>
      <c r="I47" s="15">
        <v>10.4</v>
      </c>
      <c r="J47" s="23">
        <v>1007</v>
      </c>
      <c r="K47" s="15">
        <v>85.3</v>
      </c>
      <c r="L47" s="15">
        <v>51</v>
      </c>
      <c r="M47" s="15">
        <v>431.8</v>
      </c>
      <c r="N47" s="15">
        <v>186</v>
      </c>
      <c r="O47" s="15">
        <v>15.7</v>
      </c>
    </row>
    <row r="48" spans="5:15" x14ac:dyDescent="0.2">
      <c r="E48" s="80"/>
      <c r="F48" s="47" t="s">
        <v>1205</v>
      </c>
      <c r="G48" s="23">
        <v>2998</v>
      </c>
      <c r="H48" s="15">
        <v>175</v>
      </c>
      <c r="I48" s="15">
        <v>5.8</v>
      </c>
      <c r="J48" s="23">
        <v>2763</v>
      </c>
      <c r="K48" s="15">
        <v>92.2</v>
      </c>
      <c r="L48" s="15">
        <v>60</v>
      </c>
      <c r="M48" s="15">
        <v>200.1</v>
      </c>
      <c r="N48" s="15">
        <v>277</v>
      </c>
      <c r="O48" s="15">
        <v>9.1999999999999993</v>
      </c>
    </row>
    <row r="49" spans="5:15" x14ac:dyDescent="0.2">
      <c r="E49" s="80"/>
      <c r="F49" s="16" t="s">
        <v>1206</v>
      </c>
      <c r="G49" s="23">
        <v>2468</v>
      </c>
      <c r="H49" s="15">
        <v>114</v>
      </c>
      <c r="I49" s="15">
        <v>4.5999999999999996</v>
      </c>
      <c r="J49" s="23">
        <v>2308</v>
      </c>
      <c r="K49" s="15">
        <v>93.5</v>
      </c>
      <c r="L49" s="15">
        <v>46</v>
      </c>
      <c r="M49" s="15">
        <v>186.4</v>
      </c>
      <c r="N49" s="15">
        <v>128</v>
      </c>
      <c r="O49" s="15">
        <v>5.2</v>
      </c>
    </row>
    <row r="50" spans="5:15" x14ac:dyDescent="0.2">
      <c r="E50" s="80"/>
      <c r="F50" s="16" t="s">
        <v>1207</v>
      </c>
      <c r="G50" s="23">
        <v>3822</v>
      </c>
      <c r="H50" s="15">
        <v>127</v>
      </c>
      <c r="I50" s="15">
        <v>3.3</v>
      </c>
      <c r="J50" s="23">
        <v>3684</v>
      </c>
      <c r="K50" s="15">
        <v>96.4</v>
      </c>
      <c r="L50" s="15">
        <v>11</v>
      </c>
      <c r="M50" s="15">
        <v>28.8</v>
      </c>
      <c r="N50" s="15">
        <v>372</v>
      </c>
      <c r="O50" s="15">
        <v>9.6999999999999993</v>
      </c>
    </row>
    <row r="51" spans="5:15" x14ac:dyDescent="0.2">
      <c r="E51" s="80"/>
      <c r="F51" s="47" t="s">
        <v>1654</v>
      </c>
      <c r="G51" s="15">
        <v>259</v>
      </c>
      <c r="H51" s="15">
        <v>5</v>
      </c>
      <c r="I51" s="15">
        <v>1.9</v>
      </c>
      <c r="J51" s="15">
        <v>254</v>
      </c>
      <c r="K51" s="15">
        <v>98.1</v>
      </c>
      <c r="L51" s="15">
        <v>0</v>
      </c>
      <c r="M51" s="15">
        <v>0</v>
      </c>
      <c r="N51" s="15">
        <v>16</v>
      </c>
      <c r="O51" s="15">
        <v>6.2</v>
      </c>
    </row>
    <row r="52" spans="5:15" x14ac:dyDescent="0.2">
      <c r="E52" s="80"/>
      <c r="F52" s="47" t="s">
        <v>1208</v>
      </c>
      <c r="G52" s="23">
        <v>3563</v>
      </c>
      <c r="H52" s="15">
        <v>122</v>
      </c>
      <c r="I52" s="15">
        <v>3.4</v>
      </c>
      <c r="J52" s="23">
        <v>3430</v>
      </c>
      <c r="K52" s="15">
        <v>96.3</v>
      </c>
      <c r="L52" s="15">
        <v>11</v>
      </c>
      <c r="M52" s="15">
        <v>30.9</v>
      </c>
      <c r="N52" s="15">
        <v>356</v>
      </c>
      <c r="O52" s="15">
        <v>10</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topLeftCell="A3" workbookViewId="0">
      <selection activeCell="H9" sqref="H9"/>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tbl-pop-served-ocdss</v>
      </c>
    </row>
    <row r="4" spans="1:17" x14ac:dyDescent="0.2">
      <c r="A4" s="16" t="s">
        <v>7</v>
      </c>
      <c r="B4" t="str">
        <f>IF($B$1="","",_xlfn.XLOOKUP($B$1,Master!$F$2:$F$321,Master!$H$2:$H$321,""))</f>
        <v>fig-pop-served-ocdss</v>
      </c>
      <c r="E4" s="8"/>
      <c r="F4" s="10" t="s">
        <v>968</v>
      </c>
      <c r="G4" s="10" t="s">
        <v>973</v>
      </c>
      <c r="H4" s="10" t="s">
        <v>973</v>
      </c>
      <c r="I4" s="10" t="s">
        <v>973</v>
      </c>
      <c r="J4" s="10"/>
      <c r="K4" s="10"/>
      <c r="L4" s="10"/>
      <c r="M4" s="10"/>
      <c r="N4" s="10"/>
      <c r="O4" s="10"/>
      <c r="P4" s="10"/>
      <c r="Q4" s="10"/>
    </row>
    <row r="5" spans="1:17" x14ac:dyDescent="0.2">
      <c r="A5" s="84" t="s">
        <v>1081</v>
      </c>
      <c r="B5" s="80"/>
      <c r="E5" s="83" t="s">
        <v>1082</v>
      </c>
      <c r="F5" s="16" t="s">
        <v>1655</v>
      </c>
      <c r="G5">
        <v>2022</v>
      </c>
      <c r="H5">
        <v>2023</v>
      </c>
      <c r="I5">
        <v>2024</v>
      </c>
    </row>
    <row r="6" spans="1:17" ht="15" customHeight="1" x14ac:dyDescent="0.2">
      <c r="A6" t="s">
        <v>1088</v>
      </c>
      <c r="B6" t="b">
        <v>1</v>
      </c>
      <c r="E6" s="80"/>
      <c r="F6" s="37" t="s">
        <v>1656</v>
      </c>
      <c r="G6" s="23">
        <v>3611</v>
      </c>
      <c r="H6" s="23">
        <v>3831</v>
      </c>
      <c r="I6" s="23">
        <v>3620</v>
      </c>
      <c r="J6" s="15"/>
      <c r="K6" s="15"/>
      <c r="L6" s="15"/>
      <c r="M6" s="15"/>
      <c r="N6" s="15"/>
      <c r="O6" s="15"/>
    </row>
    <row r="7" spans="1:17" ht="15.75" customHeight="1" x14ac:dyDescent="0.2">
      <c r="E7" s="80"/>
      <c r="F7" s="37" t="s">
        <v>1657</v>
      </c>
      <c r="G7" s="15">
        <v>248</v>
      </c>
      <c r="H7" s="15">
        <v>220</v>
      </c>
      <c r="I7" s="15">
        <v>201</v>
      </c>
      <c r="J7" s="15"/>
      <c r="K7" s="15"/>
      <c r="L7" s="15"/>
      <c r="M7" s="15"/>
      <c r="N7" s="15"/>
      <c r="O7" s="15"/>
    </row>
    <row r="8" spans="1:17" x14ac:dyDescent="0.2">
      <c r="E8" s="80"/>
      <c r="F8" s="37" t="s">
        <v>1658</v>
      </c>
      <c r="G8" s="15">
        <v>120</v>
      </c>
      <c r="H8" s="15">
        <v>127</v>
      </c>
      <c r="I8" s="15">
        <v>116</v>
      </c>
      <c r="J8" s="15"/>
      <c r="K8" s="15"/>
      <c r="L8" s="15"/>
      <c r="M8" s="15"/>
      <c r="N8" s="15"/>
      <c r="O8" s="15"/>
    </row>
    <row r="9" spans="1:17" x14ac:dyDescent="0.2">
      <c r="A9" s="84" t="s">
        <v>1098</v>
      </c>
      <c r="B9" s="80"/>
      <c r="E9" s="80"/>
      <c r="F9" s="37" t="s">
        <v>1659</v>
      </c>
      <c r="G9" s="15">
        <v>28</v>
      </c>
      <c r="H9">
        <v>23</v>
      </c>
      <c r="I9">
        <v>25</v>
      </c>
      <c r="J9" s="15"/>
      <c r="K9" s="15"/>
      <c r="L9" s="15"/>
      <c r="M9" s="15"/>
      <c r="N9" s="15"/>
      <c r="O9" s="15"/>
    </row>
    <row r="10" spans="1:17" x14ac:dyDescent="0.2">
      <c r="A10" t="s">
        <v>1100</v>
      </c>
      <c r="E10" s="80"/>
      <c r="F10" s="37" t="s">
        <v>1660</v>
      </c>
      <c r="G10" s="15">
        <v>179</v>
      </c>
      <c r="H10" s="15">
        <v>188</v>
      </c>
      <c r="I10" s="15">
        <v>184</v>
      </c>
    </row>
    <row r="11" spans="1:17" x14ac:dyDescent="0.2">
      <c r="A11" t="s">
        <v>1102</v>
      </c>
      <c r="E11" s="80"/>
      <c r="F11" s="90" t="s">
        <v>1661</v>
      </c>
      <c r="G11" s="80"/>
      <c r="H11" s="80"/>
      <c r="I11" s="80"/>
      <c r="J11" s="17"/>
      <c r="K11" s="17"/>
      <c r="L11" s="17"/>
      <c r="M11" s="17"/>
      <c r="N11" s="17"/>
    </row>
    <row r="12" spans="1:17" x14ac:dyDescent="0.2">
      <c r="A12" t="s">
        <v>1104</v>
      </c>
      <c r="E12" s="80"/>
      <c r="F12" s="37" t="s">
        <v>1662</v>
      </c>
      <c r="G12" s="14">
        <v>3434</v>
      </c>
      <c r="H12" s="14">
        <v>3855</v>
      </c>
      <c r="I12" s="14">
        <v>4181</v>
      </c>
      <c r="J12" s="15"/>
      <c r="K12" s="15"/>
      <c r="L12" s="15"/>
    </row>
    <row r="13" spans="1:17" x14ac:dyDescent="0.2">
      <c r="A13" t="s">
        <v>1108</v>
      </c>
      <c r="E13" s="80"/>
      <c r="F13" s="37" t="s">
        <v>1663</v>
      </c>
      <c r="G13" s="14">
        <v>1336</v>
      </c>
      <c r="H13" s="14">
        <v>1471</v>
      </c>
      <c r="I13" s="14">
        <v>1605</v>
      </c>
    </row>
    <row r="14" spans="1:17" x14ac:dyDescent="0.2">
      <c r="A14" t="s">
        <v>1112</v>
      </c>
      <c r="E14" s="80"/>
      <c r="F14" s="37" t="s">
        <v>1664</v>
      </c>
      <c r="G14" s="14">
        <v>2327</v>
      </c>
      <c r="H14" s="14">
        <v>2624</v>
      </c>
      <c r="I14" s="14">
        <v>2873</v>
      </c>
    </row>
    <row r="15" spans="1:17" x14ac:dyDescent="0.2">
      <c r="A15" t="s">
        <v>1114</v>
      </c>
      <c r="E15" s="80"/>
      <c r="F15" s="37" t="s">
        <v>1665</v>
      </c>
      <c r="G15">
        <v>504</v>
      </c>
      <c r="H15">
        <v>527</v>
      </c>
      <c r="I15">
        <v>565</v>
      </c>
    </row>
    <row r="16" spans="1:17" x14ac:dyDescent="0.2">
      <c r="A16" t="s">
        <v>1116</v>
      </c>
      <c r="E16" s="80"/>
      <c r="F16" s="37" t="s">
        <v>1666</v>
      </c>
      <c r="G16">
        <v>832</v>
      </c>
      <c r="H16">
        <v>944</v>
      </c>
      <c r="I16" s="14">
        <v>1040</v>
      </c>
    </row>
    <row r="17" spans="1:11" x14ac:dyDescent="0.2">
      <c r="E17" s="80"/>
      <c r="F17" s="37" t="s">
        <v>1667</v>
      </c>
      <c r="G17" s="14">
        <v>23796</v>
      </c>
      <c r="H17" s="14">
        <v>28602</v>
      </c>
      <c r="I17" s="14">
        <v>20929</v>
      </c>
    </row>
    <row r="18" spans="1:11" x14ac:dyDescent="0.2">
      <c r="A18" s="84" t="s">
        <v>1119</v>
      </c>
      <c r="B18" s="80"/>
      <c r="E18" s="80"/>
      <c r="F18" s="37" t="s">
        <v>1668</v>
      </c>
      <c r="G18" s="14">
        <v>1728</v>
      </c>
      <c r="H18" s="14">
        <v>2572</v>
      </c>
      <c r="I18" s="14">
        <v>3042</v>
      </c>
    </row>
    <row r="19" spans="1:11" x14ac:dyDescent="0.2">
      <c r="A19" t="s">
        <v>1121</v>
      </c>
      <c r="B19" t="s">
        <v>1669</v>
      </c>
      <c r="E19" s="80"/>
      <c r="F19" s="37" t="s">
        <v>1670</v>
      </c>
      <c r="G19" s="23">
        <v>20975</v>
      </c>
      <c r="H19" s="23">
        <v>20739</v>
      </c>
      <c r="I19" s="14">
        <v>19266</v>
      </c>
    </row>
    <row r="20" spans="1:11" x14ac:dyDescent="0.2">
      <c r="E20" s="80"/>
      <c r="F20" s="37" t="s">
        <v>1671</v>
      </c>
      <c r="G20" s="15">
        <v>0</v>
      </c>
      <c r="H20" s="15">
        <v>0</v>
      </c>
      <c r="I20">
        <v>0</v>
      </c>
    </row>
    <row r="21" spans="1:11" x14ac:dyDescent="0.2">
      <c r="A21" s="82" t="s">
        <v>1125</v>
      </c>
      <c r="B21" s="80"/>
      <c r="E21" s="80"/>
      <c r="F21" s="37" t="s">
        <v>1672</v>
      </c>
      <c r="G21" s="23">
        <v>12584</v>
      </c>
      <c r="H21" s="23">
        <v>14560</v>
      </c>
      <c r="I21" s="14">
        <v>12792</v>
      </c>
    </row>
    <row r="22" spans="1:11" x14ac:dyDescent="0.2">
      <c r="A22" t="s">
        <v>1135</v>
      </c>
      <c r="B22" t="s">
        <v>1673</v>
      </c>
      <c r="E22" s="80"/>
      <c r="F22" s="37" t="s">
        <v>1674</v>
      </c>
      <c r="G22" s="23">
        <v>17002</v>
      </c>
      <c r="H22" s="23">
        <v>17784</v>
      </c>
      <c r="I22" s="14">
        <v>18923</v>
      </c>
    </row>
    <row r="23" spans="1:11" x14ac:dyDescent="0.2">
      <c r="E23" s="80"/>
      <c r="F23" s="37" t="s">
        <v>1675</v>
      </c>
      <c r="G23" s="40">
        <v>20823245</v>
      </c>
      <c r="H23" s="40">
        <v>98665429</v>
      </c>
      <c r="I23" s="40">
        <v>119488674</v>
      </c>
    </row>
    <row r="24" spans="1:11" x14ac:dyDescent="0.2">
      <c r="E24" s="80"/>
      <c r="F24" s="37" t="s">
        <v>1676</v>
      </c>
      <c r="G24" s="15">
        <v>254</v>
      </c>
      <c r="H24" s="15">
        <v>302</v>
      </c>
      <c r="I24">
        <v>314</v>
      </c>
    </row>
    <row r="25" spans="1:11" ht="32" customHeight="1" x14ac:dyDescent="0.2">
      <c r="E25" s="80"/>
      <c r="F25" s="37" t="s">
        <v>1677</v>
      </c>
      <c r="G25" s="71" t="s">
        <v>1678</v>
      </c>
      <c r="H25" s="71" t="s">
        <v>1679</v>
      </c>
      <c r="I25" s="20" t="s">
        <v>1680</v>
      </c>
      <c r="K25" t="s">
        <v>1226</v>
      </c>
    </row>
    <row r="26" spans="1:11" x14ac:dyDescent="0.2">
      <c r="E26" s="80"/>
      <c r="F26" s="37" t="s">
        <v>1681</v>
      </c>
      <c r="G26" s="23">
        <v>1733</v>
      </c>
      <c r="H26" s="23">
        <v>2161</v>
      </c>
      <c r="I26" s="14">
        <v>2668</v>
      </c>
    </row>
    <row r="27" spans="1:11" x14ac:dyDescent="0.2">
      <c r="A27" s="82"/>
      <c r="B27" s="80"/>
      <c r="E27" s="80"/>
      <c r="F27" s="37" t="s">
        <v>1682</v>
      </c>
      <c r="G27" s="15">
        <v>265</v>
      </c>
      <c r="H27" s="15">
        <v>487</v>
      </c>
      <c r="I27">
        <v>737</v>
      </c>
    </row>
    <row r="28" spans="1:11" ht="48" customHeight="1" x14ac:dyDescent="0.2">
      <c r="E28" s="80"/>
      <c r="F28" s="37" t="s">
        <v>1683</v>
      </c>
      <c r="G28" s="71" t="s">
        <v>1684</v>
      </c>
      <c r="H28" s="71" t="s">
        <v>1685</v>
      </c>
      <c r="I28" s="71" t="s">
        <v>1686</v>
      </c>
    </row>
    <row r="29" spans="1:11" x14ac:dyDescent="0.2">
      <c r="E29" s="80"/>
      <c r="F29" s="37" t="s">
        <v>1687</v>
      </c>
      <c r="G29" s="15">
        <v>19</v>
      </c>
      <c r="H29" s="15">
        <v>90</v>
      </c>
      <c r="I29">
        <v>230</v>
      </c>
    </row>
    <row r="30" spans="1:11" x14ac:dyDescent="0.2">
      <c r="E30" s="80"/>
      <c r="F30" s="37" t="s">
        <v>1688</v>
      </c>
      <c r="G30" s="15">
        <v>12</v>
      </c>
      <c r="H30" s="15">
        <v>14</v>
      </c>
      <c r="I30">
        <v>12</v>
      </c>
    </row>
    <row r="31" spans="1:11" x14ac:dyDescent="0.2">
      <c r="E31" s="80"/>
      <c r="F31" s="85" t="s">
        <v>1689</v>
      </c>
      <c r="G31" s="80"/>
      <c r="H31" s="80"/>
      <c r="I31" s="80"/>
      <c r="K31" t="s">
        <v>1227</v>
      </c>
    </row>
    <row r="32" spans="1:11" x14ac:dyDescent="0.2">
      <c r="E32" s="80"/>
      <c r="F32" s="37" t="s">
        <v>1690</v>
      </c>
      <c r="G32" s="23">
        <v>10260</v>
      </c>
      <c r="H32" s="23">
        <v>9930</v>
      </c>
      <c r="I32" s="14">
        <v>9724</v>
      </c>
    </row>
    <row r="33" spans="5:9" x14ac:dyDescent="0.2">
      <c r="E33" s="80"/>
      <c r="F33" s="37" t="s">
        <v>1691</v>
      </c>
      <c r="G33" s="39">
        <v>38251624</v>
      </c>
      <c r="H33" s="39">
        <v>39675001</v>
      </c>
      <c r="I33" s="41">
        <v>41707553</v>
      </c>
    </row>
    <row r="34" spans="5:9" x14ac:dyDescent="0.2">
      <c r="E34" s="80"/>
      <c r="F34" s="37" t="s">
        <v>1692</v>
      </c>
      <c r="G34" s="15">
        <v>407</v>
      </c>
      <c r="H34" s="15">
        <v>709</v>
      </c>
      <c r="I34" s="17">
        <v>559</v>
      </c>
    </row>
    <row r="35" spans="5:9" x14ac:dyDescent="0.2">
      <c r="E35" s="80"/>
      <c r="F35" s="37" t="s">
        <v>1693</v>
      </c>
      <c r="G35" s="39">
        <v>637829</v>
      </c>
      <c r="H35" s="39">
        <v>1254285</v>
      </c>
      <c r="I35" s="41">
        <v>371227</v>
      </c>
    </row>
    <row r="36" spans="5:9" ht="48" customHeight="1" x14ac:dyDescent="0.2">
      <c r="E36" s="80"/>
      <c r="F36" s="37" t="s">
        <v>1694</v>
      </c>
      <c r="G36" s="71" t="s">
        <v>1695</v>
      </c>
      <c r="H36" s="71" t="s">
        <v>1696</v>
      </c>
      <c r="I36" s="35" t="s">
        <v>1697</v>
      </c>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G21" sqref="G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tbl-dzcircsystem-count-rate-age-rande-zip</v>
      </c>
    </row>
    <row r="4" spans="1:17" x14ac:dyDescent="0.2">
      <c r="A4" s="16" t="s">
        <v>7</v>
      </c>
      <c r="B4" t="str">
        <f>IF($B$1="","",_xlfn.XLOOKUP($B$1,Master!$F$2:$F$321,Master!$H$2:$H$321,""))</f>
        <v>fig-dzcircsystem-count-rate-age-rande-zip</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4" t="s">
        <v>1081</v>
      </c>
      <c r="B5" s="80"/>
      <c r="E5" s="83" t="s">
        <v>1082</v>
      </c>
      <c r="F5" s="85" t="s">
        <v>1391</v>
      </c>
      <c r="G5" s="82">
        <v>2020</v>
      </c>
      <c r="H5" s="80"/>
      <c r="I5" s="82">
        <v>2021</v>
      </c>
      <c r="J5" s="80"/>
      <c r="K5" s="82">
        <v>2022</v>
      </c>
      <c r="L5" s="80"/>
      <c r="M5" s="82">
        <v>2023</v>
      </c>
      <c r="N5" s="80"/>
      <c r="O5" s="82" t="s">
        <v>2357</v>
      </c>
      <c r="P5" s="80"/>
    </row>
    <row r="6" spans="1:17"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1698</v>
      </c>
      <c r="G7" s="15">
        <v>68</v>
      </c>
      <c r="H7" s="15">
        <v>17.8</v>
      </c>
      <c r="I7" s="15">
        <v>39</v>
      </c>
      <c r="J7" s="15">
        <v>9.8000000000000007</v>
      </c>
      <c r="K7" s="15">
        <v>65</v>
      </c>
      <c r="L7" s="15">
        <v>16.2</v>
      </c>
      <c r="M7" s="15">
        <v>73</v>
      </c>
      <c r="N7" s="15">
        <v>18.100000000000001</v>
      </c>
      <c r="O7" s="15">
        <v>245</v>
      </c>
      <c r="P7" s="15">
        <v>15.5</v>
      </c>
    </row>
    <row r="8" spans="1:17" x14ac:dyDescent="0.2">
      <c r="E8" s="80"/>
      <c r="F8" s="91" t="s">
        <v>1276</v>
      </c>
      <c r="G8" s="80"/>
      <c r="H8" s="80"/>
      <c r="I8" s="80"/>
      <c r="J8" s="80"/>
      <c r="K8" s="80"/>
      <c r="L8" s="80"/>
      <c r="M8" s="80"/>
      <c r="N8" s="80"/>
      <c r="O8" s="80"/>
      <c r="P8" s="80"/>
    </row>
    <row r="9" spans="1:17" x14ac:dyDescent="0.2">
      <c r="A9" s="84" t="s">
        <v>1098</v>
      </c>
      <c r="B9" s="80"/>
      <c r="E9" s="80"/>
      <c r="F9" s="47" t="s">
        <v>1277</v>
      </c>
      <c r="G9" s="15">
        <v>0</v>
      </c>
      <c r="H9" s="15">
        <v>0</v>
      </c>
      <c r="I9" s="15" t="s">
        <v>1031</v>
      </c>
      <c r="J9" s="15" t="s">
        <v>1031</v>
      </c>
      <c r="K9" s="15">
        <v>0</v>
      </c>
      <c r="L9" s="15">
        <v>0</v>
      </c>
      <c r="M9" s="15" t="s">
        <v>1031</v>
      </c>
      <c r="N9" s="15" t="s">
        <v>1031</v>
      </c>
      <c r="O9" s="15" t="s">
        <v>1031</v>
      </c>
      <c r="P9" s="15"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s="15" t="s">
        <v>1031</v>
      </c>
    </row>
    <row r="11" spans="1:17" x14ac:dyDescent="0.2">
      <c r="A11" t="s">
        <v>1102</v>
      </c>
      <c r="E11" s="80"/>
      <c r="F11" s="49" t="s">
        <v>1700</v>
      </c>
      <c r="G11" s="15">
        <v>0</v>
      </c>
      <c r="H11" s="15">
        <v>0</v>
      </c>
      <c r="I11" s="15">
        <v>0</v>
      </c>
      <c r="J11" s="15">
        <v>0</v>
      </c>
      <c r="K11" s="15">
        <v>0</v>
      </c>
      <c r="L11" s="15">
        <v>0</v>
      </c>
      <c r="M11" s="15">
        <v>0</v>
      </c>
      <c r="N11" s="15">
        <v>0</v>
      </c>
      <c r="O11" s="15">
        <v>0</v>
      </c>
      <c r="P11" s="15">
        <v>0</v>
      </c>
    </row>
    <row r="12" spans="1:17" x14ac:dyDescent="0.2">
      <c r="A12" t="s">
        <v>1104</v>
      </c>
      <c r="E12" s="80"/>
      <c r="F12" s="47" t="s">
        <v>1701</v>
      </c>
      <c r="G12" s="15" t="s">
        <v>1031</v>
      </c>
      <c r="H12" s="15" t="s">
        <v>1031</v>
      </c>
      <c r="I12" s="15" t="s">
        <v>1031</v>
      </c>
      <c r="J12" s="17" t="s">
        <v>1031</v>
      </c>
      <c r="K12" s="17" t="s">
        <v>1031</v>
      </c>
      <c r="L12" s="17" t="s">
        <v>1031</v>
      </c>
      <c r="M12" s="17" t="s">
        <v>1031</v>
      </c>
      <c r="N12" s="17" t="s">
        <v>1031</v>
      </c>
      <c r="O12" s="15" t="s">
        <v>1031</v>
      </c>
      <c r="P12" s="15" t="s">
        <v>1031</v>
      </c>
    </row>
    <row r="13" spans="1:17" x14ac:dyDescent="0.2">
      <c r="A13" t="s">
        <v>1108</v>
      </c>
      <c r="E13" s="80"/>
      <c r="F13" s="48" t="s">
        <v>1702</v>
      </c>
      <c r="G13" s="17" t="s">
        <v>1031</v>
      </c>
      <c r="H13" s="17" t="s">
        <v>1031</v>
      </c>
      <c r="I13" s="15" t="s">
        <v>1031</v>
      </c>
      <c r="J13" s="15" t="s">
        <v>1031</v>
      </c>
      <c r="K13" s="15" t="s">
        <v>1031</v>
      </c>
      <c r="L13" s="15" t="s">
        <v>1031</v>
      </c>
      <c r="M13" s="15" t="s">
        <v>1031</v>
      </c>
      <c r="N13" s="15" t="s">
        <v>1031</v>
      </c>
      <c r="O13" s="15">
        <v>14</v>
      </c>
      <c r="P13" s="15">
        <v>7.5</v>
      </c>
    </row>
    <row r="14" spans="1:17" x14ac:dyDescent="0.2">
      <c r="A14" t="s">
        <v>1112</v>
      </c>
      <c r="E14" s="80"/>
      <c r="F14" s="47" t="s">
        <v>1703</v>
      </c>
      <c r="G14" s="15" t="s">
        <v>1031</v>
      </c>
      <c r="H14" s="15" t="s">
        <v>1031</v>
      </c>
      <c r="I14" s="15" t="s">
        <v>1031</v>
      </c>
      <c r="J14" s="15" t="s">
        <v>1031</v>
      </c>
      <c r="K14" s="15" t="s">
        <v>1031</v>
      </c>
      <c r="L14" s="15" t="s">
        <v>1031</v>
      </c>
      <c r="M14" s="15" t="s">
        <v>1031</v>
      </c>
      <c r="N14" s="15" t="s">
        <v>1031</v>
      </c>
      <c r="O14" s="15">
        <v>30</v>
      </c>
      <c r="P14" s="15">
        <v>15.7</v>
      </c>
    </row>
    <row r="15" spans="1:17" x14ac:dyDescent="0.2">
      <c r="A15" t="s">
        <v>1114</v>
      </c>
      <c r="E15" s="80"/>
      <c r="F15" s="47" t="s">
        <v>1704</v>
      </c>
      <c r="G15" s="15">
        <v>28</v>
      </c>
      <c r="H15" s="15">
        <v>53.5</v>
      </c>
      <c r="I15" s="15">
        <v>34</v>
      </c>
      <c r="J15" s="15">
        <v>63.7</v>
      </c>
      <c r="K15" s="15">
        <v>21</v>
      </c>
      <c r="L15" s="15">
        <v>40.1</v>
      </c>
      <c r="M15" s="15">
        <v>32</v>
      </c>
      <c r="N15" s="15">
        <v>62.1</v>
      </c>
      <c r="O15" s="15">
        <v>115</v>
      </c>
      <c r="P15" s="15">
        <v>54.9</v>
      </c>
    </row>
    <row r="16" spans="1:17" x14ac:dyDescent="0.2">
      <c r="A16" t="s">
        <v>1116</v>
      </c>
      <c r="E16" s="80"/>
      <c r="F16" s="47" t="s">
        <v>1705</v>
      </c>
      <c r="G16" s="15">
        <v>84</v>
      </c>
      <c r="H16" s="15">
        <v>172.5</v>
      </c>
      <c r="I16" s="15">
        <v>91</v>
      </c>
      <c r="J16" s="15">
        <v>177.1</v>
      </c>
      <c r="K16" s="15">
        <v>99</v>
      </c>
      <c r="L16" s="15">
        <v>193.4</v>
      </c>
      <c r="M16" s="15">
        <v>98</v>
      </c>
      <c r="N16" s="15">
        <v>190.3</v>
      </c>
      <c r="O16" s="15">
        <v>372</v>
      </c>
      <c r="P16" s="15">
        <v>183.3</v>
      </c>
    </row>
    <row r="17" spans="1:16" x14ac:dyDescent="0.2">
      <c r="E17" s="80"/>
      <c r="F17" s="47" t="s">
        <v>1706</v>
      </c>
      <c r="G17" s="15">
        <v>154</v>
      </c>
      <c r="H17" s="15">
        <v>488.4</v>
      </c>
      <c r="I17" s="15">
        <v>147</v>
      </c>
      <c r="J17" s="15">
        <v>439.2</v>
      </c>
      <c r="K17" s="15">
        <v>159</v>
      </c>
      <c r="L17" s="15">
        <v>469.7</v>
      </c>
      <c r="M17" s="15">
        <v>147</v>
      </c>
      <c r="N17" s="15">
        <v>421.9</v>
      </c>
      <c r="O17" s="15">
        <v>607</v>
      </c>
      <c r="P17" s="15">
        <v>454.8</v>
      </c>
    </row>
    <row r="18" spans="1:16" x14ac:dyDescent="0.2">
      <c r="A18" s="84" t="s">
        <v>1119</v>
      </c>
      <c r="B18" s="80"/>
      <c r="E18" s="80"/>
      <c r="F18" s="47" t="s">
        <v>1707</v>
      </c>
      <c r="G18" s="15">
        <v>196</v>
      </c>
      <c r="H18" s="15">
        <v>1329.3</v>
      </c>
      <c r="I18" s="15">
        <v>209</v>
      </c>
      <c r="J18" s="15">
        <v>1369.6</v>
      </c>
      <c r="K18" s="15">
        <v>230</v>
      </c>
      <c r="L18" s="15">
        <v>1451.7</v>
      </c>
      <c r="M18" s="15">
        <v>236</v>
      </c>
      <c r="N18" s="15">
        <v>1439.3</v>
      </c>
      <c r="O18" s="15">
        <v>871</v>
      </c>
      <c r="P18" s="15">
        <v>1397.4</v>
      </c>
    </row>
    <row r="19" spans="1:16" x14ac:dyDescent="0.2">
      <c r="A19" t="s">
        <v>1121</v>
      </c>
      <c r="B19" t="s">
        <v>1287</v>
      </c>
      <c r="E19" s="80"/>
      <c r="F19" s="47" t="s">
        <v>1288</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1135</v>
      </c>
      <c r="B22" t="s">
        <v>1708</v>
      </c>
      <c r="E22" s="80"/>
      <c r="F22" s="47" t="s">
        <v>1292</v>
      </c>
      <c r="G22" s="15">
        <v>66</v>
      </c>
      <c r="H22" s="15">
        <v>171.6</v>
      </c>
      <c r="I22" s="15">
        <v>72</v>
      </c>
      <c r="J22" s="15">
        <v>181.2</v>
      </c>
      <c r="K22" s="15">
        <v>74</v>
      </c>
      <c r="L22" s="15">
        <v>176.4</v>
      </c>
      <c r="M22" s="15">
        <v>85</v>
      </c>
      <c r="N22" s="15">
        <v>200.1</v>
      </c>
      <c r="O22" s="15">
        <v>297</v>
      </c>
      <c r="P22" s="15">
        <v>182.3</v>
      </c>
    </row>
    <row r="23" spans="1:16" x14ac:dyDescent="0.2">
      <c r="E23" s="80"/>
      <c r="F23" s="47" t="s">
        <v>1293</v>
      </c>
      <c r="G23" s="15">
        <v>63</v>
      </c>
      <c r="H23" s="15">
        <v>78.5</v>
      </c>
      <c r="I23" s="15">
        <v>70</v>
      </c>
      <c r="J23" s="15">
        <v>82</v>
      </c>
      <c r="K23" s="15">
        <v>61</v>
      </c>
      <c r="L23" s="15">
        <v>68.2</v>
      </c>
      <c r="M23" s="15">
        <v>74</v>
      </c>
      <c r="N23" s="15">
        <v>79.099999999999994</v>
      </c>
      <c r="O23" s="15">
        <v>268</v>
      </c>
      <c r="P23" s="15">
        <v>76.900000000000006</v>
      </c>
    </row>
    <row r="24" spans="1:16" x14ac:dyDescent="0.2">
      <c r="E24" s="80"/>
      <c r="F24" s="47" t="s">
        <v>1015</v>
      </c>
      <c r="G24" s="15">
        <v>28</v>
      </c>
      <c r="H24" s="15">
        <v>126.2</v>
      </c>
      <c r="I24" s="15">
        <v>16</v>
      </c>
      <c r="J24" s="15">
        <v>63.2</v>
      </c>
      <c r="K24" s="15">
        <v>24</v>
      </c>
      <c r="L24" s="15">
        <v>88.4</v>
      </c>
      <c r="M24" s="15">
        <v>20</v>
      </c>
      <c r="N24" s="15">
        <v>70</v>
      </c>
      <c r="O24" s="15">
        <v>88</v>
      </c>
      <c r="P24" s="15">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s="15">
        <v>138</v>
      </c>
      <c r="J26" s="15">
        <v>270.89999999999998</v>
      </c>
      <c r="K26" s="15">
        <v>127</v>
      </c>
      <c r="L26" s="15">
        <v>244.9</v>
      </c>
      <c r="M26" s="15">
        <v>125</v>
      </c>
      <c r="N26" s="15">
        <v>235.4</v>
      </c>
      <c r="O26" s="15">
        <v>501</v>
      </c>
      <c r="P26" s="15">
        <v>244</v>
      </c>
    </row>
    <row r="27" spans="1:16" x14ac:dyDescent="0.2">
      <c r="A27" s="82"/>
      <c r="B27" s="80"/>
      <c r="E27" s="80"/>
      <c r="F27" s="47">
        <v>10950</v>
      </c>
      <c r="G27" s="15">
        <v>58</v>
      </c>
      <c r="H27" s="15">
        <v>433.4</v>
      </c>
      <c r="I27" s="15">
        <v>48</v>
      </c>
      <c r="J27" s="15">
        <v>333</v>
      </c>
      <c r="K27" s="15">
        <v>46</v>
      </c>
      <c r="L27" s="15">
        <v>317.2</v>
      </c>
      <c r="M27" s="15">
        <v>43</v>
      </c>
      <c r="N27" s="15">
        <v>291.3</v>
      </c>
      <c r="O27" s="15">
        <v>195</v>
      </c>
      <c r="P27" s="15">
        <v>343.7</v>
      </c>
    </row>
    <row r="28" spans="1:16" x14ac:dyDescent="0.2">
      <c r="E28" s="80"/>
      <c r="F28" s="47">
        <v>12550</v>
      </c>
      <c r="G28" s="15">
        <v>153</v>
      </c>
      <c r="H28" s="15">
        <v>573.79999999999995</v>
      </c>
      <c r="I28" s="15">
        <v>115</v>
      </c>
      <c r="J28" s="15">
        <v>429</v>
      </c>
      <c r="K28" s="15">
        <v>127</v>
      </c>
      <c r="L28" s="15">
        <v>463.4</v>
      </c>
      <c r="M28" s="15">
        <v>113</v>
      </c>
      <c r="N28" s="15">
        <v>413.9</v>
      </c>
      <c r="O28" s="15">
        <v>508</v>
      </c>
      <c r="P28" s="15">
        <v>470</v>
      </c>
    </row>
    <row r="29" spans="1:16" x14ac:dyDescent="0.2">
      <c r="E29" s="80"/>
      <c r="F29" s="47">
        <v>12771</v>
      </c>
      <c r="G29" s="15">
        <v>33</v>
      </c>
      <c r="H29" s="15">
        <v>229</v>
      </c>
      <c r="I29" s="15">
        <v>55</v>
      </c>
      <c r="J29" s="15">
        <v>370.6</v>
      </c>
      <c r="K29" s="15">
        <v>46</v>
      </c>
      <c r="L29" s="15">
        <v>318.3</v>
      </c>
      <c r="M29" s="15">
        <v>52</v>
      </c>
      <c r="N29" s="15">
        <v>362.5</v>
      </c>
      <c r="O29" s="15">
        <v>186</v>
      </c>
      <c r="P29" s="15">
        <v>320.10000000000002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tbl-dzcircsystem-mortal-aar</v>
      </c>
    </row>
    <row r="4" spans="1:17" x14ac:dyDescent="0.2">
      <c r="A4" s="16" t="s">
        <v>7</v>
      </c>
      <c r="B4" t="str">
        <f>IF($B$1="","",_xlfn.XLOOKUP($B$1,Master!$F$2:$F$321,Master!$H$2:$H$321,""))</f>
        <v>fig-dzcircsystem-mortal-aar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s="34" t="s">
        <v>1391</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1710</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tbl-dzcircsystem--mortal-rande</v>
      </c>
    </row>
    <row r="4" spans="1:17" x14ac:dyDescent="0.2">
      <c r="A4" s="16" t="s">
        <v>7</v>
      </c>
      <c r="B4" t="str">
        <f>IF($B$1="","",_xlfn.XLOOKUP($B$1,Master!$F$2:$F$321,Master!$H$2:$H$321,""))</f>
        <v>fig-dzcircsystem--mortal-rande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1289</v>
      </c>
      <c r="G5">
        <v>2020</v>
      </c>
      <c r="H5">
        <v>2021</v>
      </c>
      <c r="I5">
        <v>2022</v>
      </c>
      <c r="J5">
        <v>2023</v>
      </c>
    </row>
    <row r="6" spans="1:17" ht="15" customHeight="1" x14ac:dyDescent="0.2">
      <c r="A6" t="s">
        <v>1088</v>
      </c>
      <c r="B6" t="b">
        <v>0</v>
      </c>
      <c r="E6" s="80"/>
      <c r="F6" t="s">
        <v>1290</v>
      </c>
      <c r="G6" s="15">
        <v>284.39999999999998</v>
      </c>
      <c r="H6" s="15">
        <v>256.2</v>
      </c>
      <c r="I6" s="15">
        <v>169.2</v>
      </c>
      <c r="J6" s="15">
        <v>275.89999999999998</v>
      </c>
      <c r="K6" s="15"/>
      <c r="L6" s="15"/>
      <c r="M6" s="15"/>
      <c r="N6" s="15"/>
      <c r="O6" s="15"/>
    </row>
    <row r="7" spans="1:17" ht="15.75" customHeight="1" x14ac:dyDescent="0.2">
      <c r="E7" s="80"/>
      <c r="F7" t="s">
        <v>1292</v>
      </c>
      <c r="G7" s="15">
        <v>171.6</v>
      </c>
      <c r="H7" s="15">
        <v>181.2</v>
      </c>
      <c r="I7" s="15">
        <v>217.1</v>
      </c>
      <c r="J7" s="15">
        <v>200.1</v>
      </c>
      <c r="K7" s="15"/>
      <c r="L7" s="15"/>
      <c r="M7" s="15"/>
      <c r="N7" s="15"/>
      <c r="O7" s="15"/>
    </row>
    <row r="8" spans="1:17" x14ac:dyDescent="0.2">
      <c r="E8" s="80"/>
      <c r="F8" t="s">
        <v>1296</v>
      </c>
      <c r="G8" s="15">
        <v>78.5</v>
      </c>
      <c r="H8" s="15">
        <v>82</v>
      </c>
      <c r="I8" s="15">
        <v>103.3</v>
      </c>
      <c r="J8" s="15">
        <v>79.099999999999994</v>
      </c>
      <c r="K8" s="15"/>
      <c r="L8" s="15"/>
      <c r="M8" s="15"/>
      <c r="N8" s="15"/>
      <c r="O8" s="15"/>
    </row>
    <row r="9" spans="1:17" x14ac:dyDescent="0.2">
      <c r="A9" s="84" t="s">
        <v>1098</v>
      </c>
      <c r="B9" s="80"/>
      <c r="E9" s="80"/>
      <c r="F9" t="s">
        <v>1293</v>
      </c>
      <c r="G9" s="15">
        <v>126.2</v>
      </c>
      <c r="H9" s="15">
        <v>63.2</v>
      </c>
      <c r="I9" s="15">
        <v>135.9</v>
      </c>
      <c r="J9" s="15">
        <v>70</v>
      </c>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R46" sqref="R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tbl-dzcircsystem--mortal-zip</v>
      </c>
    </row>
    <row r="4" spans="1:17" x14ac:dyDescent="0.2">
      <c r="A4" s="16" t="s">
        <v>7</v>
      </c>
      <c r="B4" t="str">
        <f>IF($B$1="","",_xlfn.XLOOKUP($B$1,Master!$F$2:$F$321,Master!$H$2:$H$321,""))</f>
        <v>fig-dzcircsystem--mortal-zip</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4"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tbl-dzcircsystem-mortal-sex-aar</v>
      </c>
    </row>
    <row r="4" spans="1:17" x14ac:dyDescent="0.2">
      <c r="A4" s="16" t="s">
        <v>7</v>
      </c>
      <c r="B4" t="str">
        <f>IF($B$1="","",_xlfn.XLOOKUP($B$1,Master!$F$2:$F$321,Master!$H$2:$H$321,""))</f>
        <v>fig-dzcircsystem-mortal-sex-aar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264.8</v>
      </c>
      <c r="H6" s="15">
        <v>220.2</v>
      </c>
      <c r="I6" s="15">
        <v>219.7</v>
      </c>
      <c r="J6" s="15">
        <v>238.7</v>
      </c>
      <c r="K6" s="15"/>
      <c r="L6" s="15"/>
      <c r="M6" s="15"/>
      <c r="N6" s="15"/>
      <c r="O6" s="15"/>
    </row>
    <row r="7" spans="1:17" ht="15.75" customHeight="1" x14ac:dyDescent="0.2">
      <c r="E7" s="80"/>
      <c r="F7" t="s">
        <v>1306</v>
      </c>
      <c r="G7" s="15">
        <v>149.1</v>
      </c>
      <c r="H7" s="15">
        <v>159.19999999999999</v>
      </c>
      <c r="I7" s="15">
        <v>158.6</v>
      </c>
      <c r="J7" s="15">
        <v>157.69999999999999</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1307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tbl-heartdz-count-rate-age-rande-zip</v>
      </c>
    </row>
    <row r="4" spans="1:17" x14ac:dyDescent="0.2">
      <c r="A4" s="16" t="s">
        <v>7</v>
      </c>
      <c r="B4" t="str">
        <f>IF($B$1="","",_xlfn.XLOOKUP($B$1,Master!$F$2:$F$321,Master!$H$2:$H$321,""))</f>
        <v>fig-heartdz-count-rate-age-rande-zip</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4" t="s">
        <v>1081</v>
      </c>
      <c r="B5" s="80"/>
      <c r="E5" s="83" t="s">
        <v>1082</v>
      </c>
      <c r="F5" s="85" t="s">
        <v>1391</v>
      </c>
      <c r="G5" s="82">
        <v>2020</v>
      </c>
      <c r="H5" s="80"/>
      <c r="I5" s="82">
        <v>2021</v>
      </c>
      <c r="J5" s="80"/>
      <c r="K5" s="82">
        <v>2022</v>
      </c>
      <c r="L5" s="80"/>
      <c r="M5" s="82">
        <v>2023</v>
      </c>
      <c r="N5" s="80"/>
      <c r="O5" s="82" t="s">
        <v>1271</v>
      </c>
      <c r="P5" s="80"/>
    </row>
    <row r="6" spans="1:17"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1096</v>
      </c>
      <c r="G7" s="15">
        <v>687</v>
      </c>
      <c r="H7" s="15">
        <v>179.8</v>
      </c>
      <c r="I7" s="15">
        <v>628</v>
      </c>
      <c r="J7" s="15">
        <v>157.69999999999999</v>
      </c>
      <c r="K7" s="15">
        <v>632</v>
      </c>
      <c r="L7" s="15">
        <v>157.5</v>
      </c>
      <c r="M7" s="15">
        <v>676</v>
      </c>
      <c r="N7" s="15">
        <v>167.4</v>
      </c>
      <c r="O7" s="15">
        <v>2623</v>
      </c>
      <c r="P7">
        <v>165.6</v>
      </c>
    </row>
    <row r="8" spans="1:17" x14ac:dyDescent="0.2">
      <c r="E8" s="80"/>
      <c r="F8" s="91" t="s">
        <v>1276</v>
      </c>
      <c r="G8" s="80"/>
      <c r="H8" s="80"/>
      <c r="I8" s="80"/>
      <c r="J8" s="80"/>
      <c r="K8" s="80"/>
      <c r="L8" s="80"/>
      <c r="M8" s="80"/>
      <c r="N8" s="80"/>
      <c r="O8" s="80"/>
      <c r="P8" s="80"/>
    </row>
    <row r="9" spans="1:17" x14ac:dyDescent="0.2">
      <c r="A9" s="84" t="s">
        <v>1098</v>
      </c>
      <c r="B9" s="80"/>
      <c r="E9" s="80"/>
      <c r="F9" s="47" t="s">
        <v>1277</v>
      </c>
      <c r="G9" s="15">
        <v>0</v>
      </c>
      <c r="H9" s="15">
        <v>0</v>
      </c>
      <c r="I9" s="15" t="s">
        <v>1031</v>
      </c>
      <c r="J9" s="15" t="s">
        <v>1031</v>
      </c>
      <c r="K9" s="15">
        <v>0</v>
      </c>
      <c r="L9" s="15">
        <v>0</v>
      </c>
      <c r="M9" s="15" t="s">
        <v>1031</v>
      </c>
      <c r="N9" s="15" t="s">
        <v>1031</v>
      </c>
      <c r="O9" s="15" t="s">
        <v>1031</v>
      </c>
      <c r="P9"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7" x14ac:dyDescent="0.2">
      <c r="A11" t="s">
        <v>1102</v>
      </c>
      <c r="E11" s="80"/>
      <c r="F11" s="49" t="s">
        <v>1700</v>
      </c>
      <c r="G11" s="15">
        <v>0</v>
      </c>
      <c r="H11">
        <v>0</v>
      </c>
      <c r="I11">
        <v>0</v>
      </c>
      <c r="J11">
        <v>0</v>
      </c>
      <c r="K11">
        <v>0</v>
      </c>
      <c r="L11">
        <v>0</v>
      </c>
      <c r="M11">
        <v>0</v>
      </c>
      <c r="N11">
        <v>0</v>
      </c>
      <c r="O11">
        <v>0</v>
      </c>
      <c r="P11">
        <v>0</v>
      </c>
    </row>
    <row r="12" spans="1:17"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7" x14ac:dyDescent="0.2">
      <c r="A13" t="s">
        <v>1108</v>
      </c>
      <c r="E13" s="80"/>
      <c r="F13" s="48" t="s">
        <v>1702</v>
      </c>
      <c r="G13" s="17" t="s">
        <v>1031</v>
      </c>
      <c r="H13" s="17" t="s">
        <v>1031</v>
      </c>
      <c r="I13" s="15" t="s">
        <v>1031</v>
      </c>
      <c r="J13" s="15" t="s">
        <v>1031</v>
      </c>
      <c r="K13" s="15" t="s">
        <v>1031</v>
      </c>
      <c r="L13" s="15" t="s">
        <v>1031</v>
      </c>
      <c r="M13" t="s">
        <v>1031</v>
      </c>
      <c r="N13" t="s">
        <v>1031</v>
      </c>
      <c r="O13" t="s">
        <v>1031</v>
      </c>
      <c r="P13" t="s">
        <v>1031</v>
      </c>
    </row>
    <row r="14" spans="1:17" x14ac:dyDescent="0.2">
      <c r="A14" t="s">
        <v>1112</v>
      </c>
      <c r="E14" s="80"/>
      <c r="F14" s="47" t="s">
        <v>1703</v>
      </c>
      <c r="G14" t="s">
        <v>1031</v>
      </c>
      <c r="H14" t="s">
        <v>1031</v>
      </c>
      <c r="I14" t="s">
        <v>1031</v>
      </c>
      <c r="J14" t="s">
        <v>1031</v>
      </c>
      <c r="K14" t="s">
        <v>1031</v>
      </c>
      <c r="L14" t="s">
        <v>1031</v>
      </c>
      <c r="M14" t="s">
        <v>1031</v>
      </c>
      <c r="N14" t="s">
        <v>1031</v>
      </c>
      <c r="O14">
        <v>20</v>
      </c>
      <c r="P14">
        <v>10.5</v>
      </c>
    </row>
    <row r="15" spans="1:17" x14ac:dyDescent="0.2">
      <c r="A15" t="s">
        <v>1114</v>
      </c>
      <c r="E15" s="80"/>
      <c r="F15" s="47" t="s">
        <v>1704</v>
      </c>
      <c r="G15">
        <v>24</v>
      </c>
      <c r="H15">
        <v>45.8</v>
      </c>
      <c r="I15">
        <v>27</v>
      </c>
      <c r="J15">
        <v>50.6</v>
      </c>
      <c r="K15">
        <v>14</v>
      </c>
      <c r="L15">
        <v>26.7</v>
      </c>
      <c r="M15">
        <v>30</v>
      </c>
      <c r="N15">
        <v>58.2</v>
      </c>
      <c r="O15">
        <v>95</v>
      </c>
      <c r="P15">
        <v>45.4</v>
      </c>
    </row>
    <row r="16" spans="1:17" x14ac:dyDescent="0.2">
      <c r="A16" t="s">
        <v>1116</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4"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565</v>
      </c>
      <c r="H21" s="15">
        <v>234.3</v>
      </c>
      <c r="I21">
        <v>507</v>
      </c>
      <c r="J21">
        <v>204.5</v>
      </c>
      <c r="K21">
        <v>518</v>
      </c>
      <c r="L21">
        <v>213.5</v>
      </c>
      <c r="M21">
        <v>532</v>
      </c>
      <c r="N21">
        <v>222.4</v>
      </c>
      <c r="O21">
        <v>2122</v>
      </c>
      <c r="P21">
        <v>218.7</v>
      </c>
    </row>
    <row r="22" spans="1:16" x14ac:dyDescent="0.2">
      <c r="A22" t="s">
        <v>1135</v>
      </c>
      <c r="B22" t="s">
        <v>1711</v>
      </c>
      <c r="E22" s="80"/>
      <c r="F22" s="47" t="s">
        <v>1292</v>
      </c>
      <c r="G22" s="15">
        <v>46</v>
      </c>
      <c r="H22" s="15">
        <v>119.6</v>
      </c>
      <c r="I22">
        <v>58</v>
      </c>
      <c r="J22">
        <v>146</v>
      </c>
      <c r="K22">
        <v>49</v>
      </c>
      <c r="L22">
        <v>116.8</v>
      </c>
      <c r="M22">
        <v>65</v>
      </c>
      <c r="N22">
        <v>153</v>
      </c>
      <c r="O22">
        <v>218</v>
      </c>
      <c r="P22">
        <v>133.9</v>
      </c>
    </row>
    <row r="23" spans="1:16" x14ac:dyDescent="0.2">
      <c r="E23" s="80"/>
      <c r="F23" s="47" t="s">
        <v>1293</v>
      </c>
      <c r="G23" s="15">
        <v>51</v>
      </c>
      <c r="H23" s="15">
        <v>63.5</v>
      </c>
      <c r="I23">
        <v>50</v>
      </c>
      <c r="J23">
        <v>58.6</v>
      </c>
      <c r="K23">
        <v>46</v>
      </c>
      <c r="L23">
        <v>51.4</v>
      </c>
      <c r="M23">
        <v>61</v>
      </c>
      <c r="N23">
        <v>65.2</v>
      </c>
      <c r="O23">
        <v>208</v>
      </c>
      <c r="P23">
        <v>59.7</v>
      </c>
    </row>
    <row r="24" spans="1:16" x14ac:dyDescent="0.2">
      <c r="E24" s="80"/>
      <c r="F24" s="47" t="s">
        <v>1015</v>
      </c>
      <c r="G24" s="15">
        <v>25</v>
      </c>
      <c r="H24" s="15">
        <v>112.7</v>
      </c>
      <c r="I24">
        <v>13</v>
      </c>
      <c r="J24">
        <v>51.4</v>
      </c>
      <c r="K24">
        <v>19</v>
      </c>
      <c r="L24">
        <v>70</v>
      </c>
      <c r="M24">
        <v>18</v>
      </c>
      <c r="N24">
        <v>63</v>
      </c>
      <c r="O24">
        <v>75</v>
      </c>
      <c r="P24">
        <v>74.3</v>
      </c>
    </row>
    <row r="25" spans="1:16" x14ac:dyDescent="0.2">
      <c r="E25" s="80"/>
      <c r="F25" s="91" t="s">
        <v>1294</v>
      </c>
      <c r="G25" s="80"/>
      <c r="H25" s="80"/>
      <c r="I25" s="80"/>
      <c r="J25" s="80"/>
      <c r="K25" s="80"/>
      <c r="L25" s="80"/>
      <c r="M25" s="80"/>
      <c r="N25" s="80"/>
      <c r="O25" s="80"/>
      <c r="P25" s="80"/>
    </row>
    <row r="26" spans="1:16" x14ac:dyDescent="0.2">
      <c r="E26" s="80"/>
      <c r="F26" s="47">
        <v>10940</v>
      </c>
      <c r="G26" s="15">
        <v>88</v>
      </c>
      <c r="H26" s="15">
        <v>178</v>
      </c>
      <c r="I26">
        <v>113</v>
      </c>
      <c r="J26">
        <v>221.9</v>
      </c>
      <c r="K26">
        <v>95</v>
      </c>
      <c r="L26">
        <v>183.2</v>
      </c>
      <c r="M26">
        <v>106</v>
      </c>
      <c r="N26">
        <v>199.6</v>
      </c>
      <c r="O26">
        <v>402</v>
      </c>
      <c r="P26">
        <v>195.7</v>
      </c>
    </row>
    <row r="27" spans="1:16" x14ac:dyDescent="0.2">
      <c r="A27" s="82"/>
      <c r="B27" s="80"/>
      <c r="E27" s="80"/>
      <c r="F27" s="47">
        <v>10950</v>
      </c>
      <c r="G27" s="15">
        <v>43</v>
      </c>
      <c r="H27" s="15">
        <v>321.3</v>
      </c>
      <c r="I27">
        <v>30</v>
      </c>
      <c r="J27">
        <v>208.1</v>
      </c>
      <c r="K27">
        <v>34</v>
      </c>
      <c r="L27">
        <v>234.5</v>
      </c>
      <c r="M27">
        <v>36</v>
      </c>
      <c r="N27">
        <v>243.9</v>
      </c>
      <c r="O27">
        <v>143</v>
      </c>
      <c r="P27">
        <v>251.9</v>
      </c>
    </row>
    <row r="28" spans="1:16" x14ac:dyDescent="0.2">
      <c r="E28" s="80"/>
      <c r="F28" s="47">
        <v>12550</v>
      </c>
      <c r="G28" s="15">
        <v>125</v>
      </c>
      <c r="H28" s="15">
        <v>468.8</v>
      </c>
      <c r="I28">
        <v>94</v>
      </c>
      <c r="J28">
        <v>350.7</v>
      </c>
      <c r="K28">
        <v>102</v>
      </c>
      <c r="L28">
        <v>372.1</v>
      </c>
      <c r="M28">
        <v>86</v>
      </c>
      <c r="N28">
        <v>315</v>
      </c>
      <c r="O28">
        <v>407</v>
      </c>
      <c r="P28">
        <v>376.7</v>
      </c>
    </row>
    <row r="29" spans="1:16" x14ac:dyDescent="0.2">
      <c r="E29" s="80"/>
      <c r="F29" s="47">
        <v>12771</v>
      </c>
      <c r="G29" s="15">
        <v>29</v>
      </c>
      <c r="H29" s="15">
        <v>201.3</v>
      </c>
      <c r="I29">
        <v>46</v>
      </c>
      <c r="J29">
        <v>310</v>
      </c>
      <c r="K29">
        <v>33</v>
      </c>
      <c r="L29">
        <v>228.3</v>
      </c>
      <c r="M29">
        <v>40</v>
      </c>
      <c r="N29">
        <v>278.8</v>
      </c>
      <c r="O29">
        <v>148</v>
      </c>
      <c r="P29">
        <v>254.6</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 ref="F5:F6"/>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tbl-heartdz-mortal-aar</v>
      </c>
    </row>
    <row r="4" spans="1:17" x14ac:dyDescent="0.2">
      <c r="A4" s="16" t="s">
        <v>7</v>
      </c>
      <c r="B4" t="str">
        <f>IF($B$1="","",_xlfn.XLOOKUP($B$1,Master!$F$2:$F$321,Master!$H$2:$H$321,""))</f>
        <v>fig-heartdz-mortal-aar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s="34" t="s">
        <v>1391</v>
      </c>
      <c r="G5">
        <v>2020</v>
      </c>
      <c r="H5">
        <v>2021</v>
      </c>
      <c r="I5">
        <v>2022</v>
      </c>
      <c r="J5">
        <v>2023</v>
      </c>
    </row>
    <row r="6" spans="1:17" ht="15" customHeight="1" x14ac:dyDescent="0.2">
      <c r="A6" t="s">
        <v>1088</v>
      </c>
      <c r="B6" t="b">
        <v>0</v>
      </c>
      <c r="E6" s="80"/>
      <c r="F6" t="s">
        <v>1297</v>
      </c>
      <c r="G6" s="15">
        <v>161.19999999999999</v>
      </c>
      <c r="H6" s="15">
        <v>147.6</v>
      </c>
      <c r="I6" s="15">
        <v>144.80000000000001</v>
      </c>
      <c r="J6" s="15">
        <v>155.80000000000001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tbl-heartdz-mortal-rande</v>
      </c>
    </row>
    <row r="4" spans="1:17" x14ac:dyDescent="0.2">
      <c r="A4" s="16" t="s">
        <v>7</v>
      </c>
      <c r="B4" t="str">
        <f>IF($B$1="","",_xlfn.XLOOKUP($B$1,Master!$F$2:$F$321,Master!$H$2:$H$321,""))</f>
        <v>fig-heartdz-mortal-rande</v>
      </c>
      <c r="E4" s="8"/>
      <c r="F4" s="10" t="s">
        <v>968</v>
      </c>
      <c r="G4" s="10" t="s">
        <v>979</v>
      </c>
      <c r="H4" s="10" t="s">
        <v>979</v>
      </c>
      <c r="I4" s="10" t="s">
        <v>979</v>
      </c>
      <c r="J4" s="10"/>
      <c r="K4" s="10"/>
      <c r="L4" s="10"/>
      <c r="M4" s="10"/>
      <c r="N4" s="10"/>
      <c r="O4" s="10"/>
      <c r="P4" s="10"/>
      <c r="Q4" s="10"/>
    </row>
    <row r="5" spans="1:17" x14ac:dyDescent="0.2">
      <c r="A5" s="84" t="s">
        <v>1081</v>
      </c>
      <c r="B5" s="80"/>
      <c r="E5" s="83" t="s">
        <v>1082</v>
      </c>
      <c r="F5" t="s">
        <v>1289</v>
      </c>
      <c r="G5" t="s">
        <v>1297</v>
      </c>
      <c r="H5" t="s">
        <v>1298</v>
      </c>
      <c r="I5" t="s">
        <v>1299</v>
      </c>
    </row>
    <row r="6" spans="1:17" ht="15" customHeight="1" x14ac:dyDescent="0.2">
      <c r="A6" t="s">
        <v>1088</v>
      </c>
      <c r="B6" t="b">
        <v>0</v>
      </c>
      <c r="E6" s="80"/>
      <c r="F6" t="s">
        <v>1089</v>
      </c>
      <c r="G6" s="15">
        <v>157.6</v>
      </c>
      <c r="H6" s="15">
        <v>166.8</v>
      </c>
      <c r="I6" s="15">
        <v>170.6</v>
      </c>
      <c r="J6" s="15"/>
      <c r="K6" s="15"/>
      <c r="L6" s="15"/>
      <c r="M6" s="15"/>
      <c r="N6" s="15"/>
      <c r="O6" s="15"/>
    </row>
    <row r="7" spans="1:17" ht="15.75" customHeight="1" x14ac:dyDescent="0.2">
      <c r="E7" s="80"/>
      <c r="F7" t="s">
        <v>1290</v>
      </c>
      <c r="G7" s="15">
        <v>163.4</v>
      </c>
      <c r="H7" s="15">
        <v>168.5</v>
      </c>
      <c r="I7" s="15">
        <v>169.2</v>
      </c>
      <c r="J7" s="15"/>
      <c r="K7" s="15"/>
      <c r="L7" s="15"/>
      <c r="M7" s="15"/>
      <c r="N7" s="15"/>
      <c r="O7" s="15"/>
    </row>
    <row r="8" spans="1:17" x14ac:dyDescent="0.2">
      <c r="E8" s="80"/>
      <c r="F8" t="s">
        <v>1292</v>
      </c>
      <c r="G8" s="15">
        <v>156.6</v>
      </c>
      <c r="H8" s="15">
        <v>200.2</v>
      </c>
      <c r="I8" s="15">
        <v>217.1</v>
      </c>
      <c r="J8" s="15"/>
      <c r="K8" s="15"/>
      <c r="L8" s="15"/>
      <c r="M8" s="15"/>
      <c r="N8" s="15"/>
      <c r="O8" s="15"/>
    </row>
    <row r="9" spans="1:17" x14ac:dyDescent="0.2">
      <c r="A9" s="84" t="s">
        <v>1098</v>
      </c>
      <c r="B9" s="80"/>
      <c r="E9" s="80"/>
      <c r="F9" t="s">
        <v>1296</v>
      </c>
      <c r="G9" s="15">
        <v>97.7</v>
      </c>
      <c r="H9" s="15">
        <v>88</v>
      </c>
      <c r="I9" s="15">
        <v>103.3</v>
      </c>
      <c r="J9" s="15"/>
      <c r="K9" s="15"/>
      <c r="L9" s="15"/>
      <c r="M9" s="15"/>
      <c r="N9" s="15"/>
      <c r="O9" s="15"/>
    </row>
    <row r="10" spans="1:17" x14ac:dyDescent="0.2">
      <c r="A10" t="s">
        <v>1100</v>
      </c>
      <c r="B10" t="s">
        <v>1300</v>
      </c>
      <c r="E10" s="80"/>
      <c r="F10" t="s">
        <v>1293</v>
      </c>
      <c r="G10" s="15">
        <v>112.1</v>
      </c>
      <c r="H10">
        <v>109.6</v>
      </c>
      <c r="I10">
        <v>135.9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1713</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tbl-heartdz-mortal-zip</v>
      </c>
    </row>
    <row r="4" spans="1:17" x14ac:dyDescent="0.2">
      <c r="A4" s="16" t="s">
        <v>7</v>
      </c>
      <c r="B4" t="str">
        <f>IF($B$1="","",_xlfn.XLOOKUP($B$1,Master!$F$2:$F$321,Master!$H$2:$H$321,""))</f>
        <v>fig-heartdz-mortal-zip</v>
      </c>
      <c r="E4" s="8"/>
      <c r="F4" s="10" t="s">
        <v>2358</v>
      </c>
      <c r="G4" s="10" t="s">
        <v>979</v>
      </c>
      <c r="H4" s="10" t="s">
        <v>979</v>
      </c>
      <c r="I4" s="10" t="s">
        <v>979</v>
      </c>
      <c r="J4" s="10" t="s">
        <v>979</v>
      </c>
      <c r="K4" s="10"/>
      <c r="L4" s="10"/>
      <c r="M4" s="10"/>
      <c r="N4" s="10"/>
      <c r="O4" s="10"/>
      <c r="P4" s="10"/>
      <c r="Q4" s="10"/>
    </row>
    <row r="5" spans="1:17" x14ac:dyDescent="0.2">
      <c r="A5" s="84" t="s">
        <v>1081</v>
      </c>
      <c r="B5" s="80"/>
      <c r="E5" s="83" t="s">
        <v>1082</v>
      </c>
      <c r="F5" t="s">
        <v>1294</v>
      </c>
      <c r="G5">
        <v>2020</v>
      </c>
      <c r="H5">
        <v>2021</v>
      </c>
      <c r="I5">
        <v>2022</v>
      </c>
      <c r="J5">
        <v>2023</v>
      </c>
    </row>
    <row r="6" spans="1:17" ht="15" customHeight="1" x14ac:dyDescent="0.2">
      <c r="A6" t="s">
        <v>1088</v>
      </c>
      <c r="B6" t="b">
        <v>0</v>
      </c>
      <c r="E6" s="80"/>
      <c r="F6">
        <v>10940</v>
      </c>
      <c r="G6" s="15">
        <v>178</v>
      </c>
      <c r="H6" s="15">
        <v>221.9</v>
      </c>
      <c r="I6" s="15">
        <v>183.2</v>
      </c>
      <c r="J6" s="15">
        <v>199.6</v>
      </c>
      <c r="K6" s="15"/>
      <c r="L6" s="15"/>
      <c r="M6" s="15"/>
      <c r="N6" s="15"/>
      <c r="O6" s="15"/>
    </row>
    <row r="7" spans="1:17" ht="15.75" customHeight="1" x14ac:dyDescent="0.2">
      <c r="E7" s="80"/>
      <c r="F7">
        <v>10950</v>
      </c>
      <c r="G7" s="15">
        <v>321.3</v>
      </c>
      <c r="H7" s="15">
        <v>208.1</v>
      </c>
      <c r="I7" s="15">
        <v>234.5</v>
      </c>
      <c r="J7" s="15">
        <v>243.9</v>
      </c>
      <c r="K7" s="15"/>
      <c r="L7" s="15"/>
      <c r="M7" s="15"/>
      <c r="N7" s="15"/>
      <c r="O7" s="15"/>
    </row>
    <row r="8" spans="1:17" x14ac:dyDescent="0.2">
      <c r="E8" s="80"/>
      <c r="F8">
        <v>12550</v>
      </c>
      <c r="G8" s="15">
        <v>468.8</v>
      </c>
      <c r="H8" s="15">
        <v>350.7</v>
      </c>
      <c r="I8" s="15">
        <v>372.1</v>
      </c>
      <c r="J8" s="15">
        <v>315</v>
      </c>
      <c r="K8" s="15"/>
      <c r="L8" s="15"/>
      <c r="M8" s="15"/>
      <c r="N8" s="15"/>
      <c r="O8" s="15"/>
    </row>
    <row r="9" spans="1:17" x14ac:dyDescent="0.2">
      <c r="A9" s="84" t="s">
        <v>1098</v>
      </c>
      <c r="B9" s="80"/>
      <c r="E9" s="80"/>
      <c r="F9">
        <v>12771</v>
      </c>
      <c r="G9" s="15">
        <v>201.3</v>
      </c>
      <c r="H9" s="15">
        <v>310</v>
      </c>
      <c r="I9" s="15">
        <v>228.3</v>
      </c>
      <c r="J9" s="15">
        <v>278.8</v>
      </c>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tbl-heartdz-mortal-sex-aar</v>
      </c>
    </row>
    <row r="4" spans="1:17" x14ac:dyDescent="0.2">
      <c r="A4" s="16" t="s">
        <v>7</v>
      </c>
      <c r="B4" t="str">
        <f>IF($B$1="","",_xlfn.XLOOKUP($B$1,Master!$F$2:$F$321,Master!$H$2:$H$321,""))</f>
        <v>fig-heartdz-mortal-sex-aar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222.8</v>
      </c>
      <c r="H6" s="15">
        <v>178.9</v>
      </c>
      <c r="I6" s="15">
        <v>178.9</v>
      </c>
      <c r="J6" s="15">
        <v>202.9</v>
      </c>
      <c r="K6" s="15"/>
      <c r="L6" s="15"/>
      <c r="M6" s="15"/>
      <c r="N6" s="15"/>
      <c r="O6" s="15"/>
    </row>
    <row r="7" spans="1:17" ht="15.75" customHeight="1" x14ac:dyDescent="0.2">
      <c r="E7" s="80"/>
      <c r="F7" t="s">
        <v>1306</v>
      </c>
      <c r="G7" s="15">
        <v>116.4</v>
      </c>
      <c r="H7" s="15">
        <v>122.5</v>
      </c>
      <c r="I7" s="15">
        <v>116.5</v>
      </c>
      <c r="J7" s="15">
        <v>119.2</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tbl-cerebrovascdz-hosp-rande-aar</v>
      </c>
    </row>
    <row r="4" spans="1:17" x14ac:dyDescent="0.2">
      <c r="A4" s="16" t="s">
        <v>7</v>
      </c>
      <c r="B4" t="str">
        <f>IF($B$1="","",_xlfn.XLOOKUP($B$1,Master!$F$2:$F$321,Master!$H$2:$H$321,""))</f>
        <v>fig-cerebrovascdz-hosp-rande-aar</v>
      </c>
      <c r="E4" s="8"/>
      <c r="F4" s="10" t="s">
        <v>968</v>
      </c>
      <c r="G4" s="10" t="s">
        <v>979</v>
      </c>
      <c r="H4" s="10" t="s">
        <v>979</v>
      </c>
      <c r="I4" s="10" t="s">
        <v>979</v>
      </c>
      <c r="J4" s="10"/>
      <c r="K4" s="10"/>
      <c r="L4" s="10"/>
      <c r="M4" s="10"/>
      <c r="N4" s="10"/>
      <c r="O4" s="10"/>
      <c r="P4" s="10"/>
      <c r="Q4" s="10"/>
    </row>
    <row r="5" spans="1:17" x14ac:dyDescent="0.2">
      <c r="A5" s="84" t="s">
        <v>1081</v>
      </c>
      <c r="B5" s="80"/>
      <c r="E5" s="83" t="s">
        <v>1082</v>
      </c>
      <c r="F5" t="s">
        <v>1289</v>
      </c>
      <c r="G5" t="s">
        <v>1297</v>
      </c>
      <c r="H5" t="s">
        <v>1298</v>
      </c>
      <c r="I5" t="s">
        <v>1299</v>
      </c>
    </row>
    <row r="6" spans="1:17" ht="15" customHeight="1" x14ac:dyDescent="0.2">
      <c r="A6" t="s">
        <v>1088</v>
      </c>
      <c r="B6" t="b">
        <v>0</v>
      </c>
      <c r="E6" s="80"/>
      <c r="F6" t="s">
        <v>1089</v>
      </c>
      <c r="G6" s="15">
        <v>21.9</v>
      </c>
      <c r="H6" s="15">
        <v>19.600000000000001</v>
      </c>
      <c r="I6" s="15">
        <v>19.8</v>
      </c>
      <c r="J6" s="15"/>
      <c r="K6" s="15"/>
      <c r="L6" s="15"/>
      <c r="M6" s="15"/>
      <c r="N6" s="15"/>
      <c r="O6" s="15"/>
    </row>
    <row r="7" spans="1:17" ht="15.75" customHeight="1" x14ac:dyDescent="0.2">
      <c r="E7" s="80"/>
      <c r="F7" t="s">
        <v>1290</v>
      </c>
      <c r="G7" s="15">
        <v>17.600000000000001</v>
      </c>
      <c r="H7" s="15">
        <v>16.7</v>
      </c>
      <c r="I7" s="15">
        <v>15.4</v>
      </c>
      <c r="J7" s="15"/>
      <c r="K7" s="15"/>
      <c r="L7" s="15"/>
      <c r="M7" s="15"/>
      <c r="N7" s="15"/>
      <c r="O7" s="15"/>
    </row>
    <row r="8" spans="1:17" x14ac:dyDescent="0.2">
      <c r="E8" s="80"/>
      <c r="F8" t="s">
        <v>1292</v>
      </c>
      <c r="G8" s="15">
        <v>29.4</v>
      </c>
      <c r="H8" s="15">
        <v>33.1</v>
      </c>
      <c r="I8" s="15">
        <v>27</v>
      </c>
      <c r="J8" s="15"/>
      <c r="K8" s="15"/>
      <c r="L8" s="15"/>
      <c r="M8" s="15"/>
      <c r="N8" s="15"/>
      <c r="O8" s="15"/>
    </row>
    <row r="9" spans="1:17" x14ac:dyDescent="0.2">
      <c r="A9" s="84" t="s">
        <v>1098</v>
      </c>
      <c r="B9" s="80"/>
      <c r="E9" s="80"/>
      <c r="F9" t="s">
        <v>1296</v>
      </c>
      <c r="G9" s="15">
        <v>16</v>
      </c>
      <c r="H9" s="15">
        <v>11.2</v>
      </c>
      <c r="I9" s="15">
        <v>11.2</v>
      </c>
      <c r="J9" s="15"/>
      <c r="K9" s="15"/>
      <c r="L9" s="15"/>
      <c r="M9" s="15"/>
      <c r="N9" s="15"/>
      <c r="O9" s="15"/>
    </row>
    <row r="10" spans="1:17" x14ac:dyDescent="0.2">
      <c r="A10" t="s">
        <v>1100</v>
      </c>
      <c r="B10" t="s">
        <v>1300</v>
      </c>
      <c r="E10" s="80"/>
      <c r="F10" t="s">
        <v>1293</v>
      </c>
      <c r="G10" s="15">
        <v>15.4</v>
      </c>
      <c r="H10">
        <v>15.4</v>
      </c>
      <c r="I10">
        <v>16.399999999999999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1716</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W38" sqref="W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1077</v>
      </c>
      <c r="B1" s="79" t="s">
        <v>184</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tbl-cerebrovascdz-count-rate-age-rande-zip</v>
      </c>
    </row>
    <row r="4" spans="1:16" x14ac:dyDescent="0.2">
      <c r="A4" s="16" t="s">
        <v>7</v>
      </c>
      <c r="B4" t="str">
        <f>IF($B$1="","",_xlfn.XLOOKUP($B$1,Master!$F$2:$F$321,Master!$H$2:$H$321,""))</f>
        <v>fig-cerebrovascdz-count-rate-age-rande-zip</v>
      </c>
      <c r="E4" s="8"/>
      <c r="F4" s="10" t="s">
        <v>968</v>
      </c>
      <c r="G4" s="10" t="s">
        <v>973</v>
      </c>
      <c r="H4" s="10" t="s">
        <v>979</v>
      </c>
      <c r="I4" s="10" t="s">
        <v>973</v>
      </c>
      <c r="J4" s="10" t="s">
        <v>979</v>
      </c>
      <c r="K4" s="10" t="s">
        <v>973</v>
      </c>
      <c r="L4" s="10" t="s">
        <v>979</v>
      </c>
      <c r="M4" s="10" t="s">
        <v>973</v>
      </c>
      <c r="N4" s="10" t="s">
        <v>979</v>
      </c>
      <c r="O4" s="10" t="s">
        <v>973</v>
      </c>
      <c r="P4" s="10" t="s">
        <v>979</v>
      </c>
    </row>
    <row r="5" spans="1:16" x14ac:dyDescent="0.2">
      <c r="A5" s="84" t="s">
        <v>1081</v>
      </c>
      <c r="B5" s="80"/>
      <c r="E5" s="83" t="s">
        <v>1082</v>
      </c>
      <c r="F5" s="90" t="s">
        <v>1391</v>
      </c>
      <c r="G5" s="82">
        <v>2020</v>
      </c>
      <c r="H5" s="80"/>
      <c r="I5" s="82">
        <v>2021</v>
      </c>
      <c r="J5" s="80"/>
      <c r="K5" s="82">
        <v>2022</v>
      </c>
      <c r="L5" s="80"/>
      <c r="M5" s="82">
        <v>2023</v>
      </c>
      <c r="N5" s="80"/>
      <c r="O5" s="82" t="s">
        <v>2357</v>
      </c>
      <c r="P5" s="80"/>
    </row>
    <row r="6" spans="1:16" ht="15" customHeight="1" x14ac:dyDescent="0.2">
      <c r="A6" t="s">
        <v>1088</v>
      </c>
      <c r="B6" t="b">
        <v>0</v>
      </c>
      <c r="E6" s="80"/>
      <c r="F6" s="90"/>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102</v>
      </c>
      <c r="H7" s="15">
        <v>26.7</v>
      </c>
      <c r="I7" s="15">
        <v>96</v>
      </c>
      <c r="J7" s="15">
        <v>24.1</v>
      </c>
      <c r="K7" s="15">
        <v>122</v>
      </c>
      <c r="L7" s="15">
        <v>30.4</v>
      </c>
      <c r="M7" s="15">
        <v>92</v>
      </c>
      <c r="N7" s="15">
        <v>22.8</v>
      </c>
      <c r="O7" s="15">
        <v>412</v>
      </c>
      <c r="P7">
        <v>26</v>
      </c>
    </row>
    <row r="8" spans="1:16" x14ac:dyDescent="0.2">
      <c r="E8" s="80"/>
      <c r="F8" s="91" t="s">
        <v>1276</v>
      </c>
      <c r="G8" s="80"/>
      <c r="H8" s="80"/>
      <c r="I8" s="80"/>
      <c r="J8" s="80"/>
      <c r="K8" s="80"/>
      <c r="L8" s="80"/>
      <c r="M8" s="80"/>
      <c r="N8" s="80"/>
      <c r="O8" s="80"/>
      <c r="P8" s="80"/>
    </row>
    <row r="9" spans="1:16" x14ac:dyDescent="0.2">
      <c r="A9" s="84" t="s">
        <v>1098</v>
      </c>
      <c r="B9" s="80"/>
      <c r="E9" s="80"/>
      <c r="F9" s="47" t="s">
        <v>1277</v>
      </c>
      <c r="G9" s="15">
        <v>0</v>
      </c>
      <c r="H9" s="15">
        <v>0</v>
      </c>
      <c r="I9" s="15">
        <v>0</v>
      </c>
      <c r="J9" s="15">
        <v>0</v>
      </c>
      <c r="K9" s="15">
        <v>0</v>
      </c>
      <c r="L9" s="15">
        <v>0</v>
      </c>
      <c r="M9" s="15">
        <v>0</v>
      </c>
      <c r="N9" s="15">
        <v>0</v>
      </c>
      <c r="O9" s="15">
        <v>0</v>
      </c>
      <c r="P9">
        <v>0</v>
      </c>
    </row>
    <row r="10" spans="1:16" x14ac:dyDescent="0.2">
      <c r="A10" t="s">
        <v>1100</v>
      </c>
      <c r="B10" t="s">
        <v>1304</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B11" t="s">
        <v>1709</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v>0</v>
      </c>
      <c r="N13">
        <v>0</v>
      </c>
      <c r="O13" t="s">
        <v>1031</v>
      </c>
      <c r="P13" t="s">
        <v>1031</v>
      </c>
    </row>
    <row r="14" spans="1:16" x14ac:dyDescent="0.2">
      <c r="A14" t="s">
        <v>1112</v>
      </c>
      <c r="E14" s="80"/>
      <c r="F14" s="47" t="s">
        <v>1703</v>
      </c>
      <c r="G14" t="s">
        <v>1031</v>
      </c>
      <c r="H14" t="s">
        <v>1031</v>
      </c>
      <c r="I14" t="s">
        <v>1031</v>
      </c>
      <c r="J14" t="s">
        <v>1031</v>
      </c>
      <c r="K14" t="s">
        <v>1031</v>
      </c>
      <c r="L14" t="s">
        <v>1031</v>
      </c>
      <c r="M14" t="s">
        <v>1031</v>
      </c>
      <c r="N14" t="s">
        <v>1031</v>
      </c>
      <c r="O14">
        <v>20</v>
      </c>
      <c r="P14">
        <v>10.5</v>
      </c>
    </row>
    <row r="15" spans="1:16" x14ac:dyDescent="0.2">
      <c r="A15" t="s">
        <v>1114</v>
      </c>
      <c r="B15" t="b">
        <v>1</v>
      </c>
      <c r="E15" s="80"/>
      <c r="F15" s="47" t="s">
        <v>1704</v>
      </c>
      <c r="G15">
        <v>24</v>
      </c>
      <c r="H15">
        <v>45.8</v>
      </c>
      <c r="I15">
        <v>27</v>
      </c>
      <c r="J15">
        <v>50.6</v>
      </c>
      <c r="K15">
        <v>14</v>
      </c>
      <c r="L15">
        <v>26.7</v>
      </c>
      <c r="M15">
        <v>30</v>
      </c>
      <c r="N15">
        <v>58.2</v>
      </c>
      <c r="O15">
        <v>95</v>
      </c>
      <c r="P15">
        <v>45.4</v>
      </c>
    </row>
    <row r="16" spans="1:16" x14ac:dyDescent="0.2">
      <c r="A16" t="s">
        <v>1116</v>
      </c>
      <c r="B16" t="b">
        <v>1</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4"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82</v>
      </c>
      <c r="H21" s="15">
        <v>34</v>
      </c>
      <c r="I21">
        <v>73</v>
      </c>
      <c r="J21">
        <v>29.4</v>
      </c>
      <c r="K21">
        <v>89</v>
      </c>
      <c r="L21">
        <v>36.700000000000003</v>
      </c>
      <c r="M21">
        <v>74</v>
      </c>
      <c r="N21">
        <v>30.9</v>
      </c>
      <c r="O21">
        <v>318</v>
      </c>
      <c r="P21">
        <v>32.799999999999997</v>
      </c>
    </row>
    <row r="22" spans="1:16" x14ac:dyDescent="0.2">
      <c r="A22" t="s">
        <v>1135</v>
      </c>
      <c r="B22" t="s">
        <v>1718</v>
      </c>
      <c r="E22" s="80"/>
      <c r="F22" s="47" t="s">
        <v>1292</v>
      </c>
      <c r="G22" s="15" t="s">
        <v>1031</v>
      </c>
      <c r="H22" s="15" t="s">
        <v>1031</v>
      </c>
      <c r="I22" t="s">
        <v>1031</v>
      </c>
      <c r="J22" t="s">
        <v>1031</v>
      </c>
      <c r="K22">
        <v>19</v>
      </c>
      <c r="L22">
        <v>45.3</v>
      </c>
      <c r="M22" t="s">
        <v>1031</v>
      </c>
      <c r="N22" t="s">
        <v>1031</v>
      </c>
      <c r="O22">
        <v>46</v>
      </c>
      <c r="P22">
        <v>28.1</v>
      </c>
    </row>
    <row r="23" spans="1:16" x14ac:dyDescent="0.2">
      <c r="E23" s="80"/>
      <c r="F23" s="47" t="s">
        <v>1293</v>
      </c>
      <c r="G23" s="15" t="s">
        <v>1031</v>
      </c>
      <c r="H23" s="15" t="s">
        <v>1031</v>
      </c>
      <c r="I23">
        <v>12</v>
      </c>
      <c r="J23">
        <v>14.1</v>
      </c>
      <c r="K23" t="s">
        <v>1031</v>
      </c>
      <c r="L23" t="s">
        <v>1031</v>
      </c>
      <c r="M23" t="s">
        <v>1031</v>
      </c>
      <c r="N23" t="s">
        <v>1031</v>
      </c>
      <c r="O23">
        <v>36</v>
      </c>
      <c r="P23">
        <v>10.4</v>
      </c>
    </row>
    <row r="24" spans="1:16" x14ac:dyDescent="0.2">
      <c r="E24" s="80"/>
      <c r="F24" s="47" t="s">
        <v>1015</v>
      </c>
      <c r="G24" s="15" t="s">
        <v>1031</v>
      </c>
      <c r="H24" s="15" t="s">
        <v>1031</v>
      </c>
      <c r="I24" t="s">
        <v>1031</v>
      </c>
      <c r="J24" t="s">
        <v>1031</v>
      </c>
      <c r="K24" t="s">
        <v>1031</v>
      </c>
      <c r="L24" t="s">
        <v>1031</v>
      </c>
      <c r="M24" t="s">
        <v>1031</v>
      </c>
      <c r="N24" t="s">
        <v>1031</v>
      </c>
      <c r="O24">
        <v>12</v>
      </c>
      <c r="P24">
        <v>11.7</v>
      </c>
    </row>
    <row r="25" spans="1:16" x14ac:dyDescent="0.2">
      <c r="E25" s="80"/>
      <c r="F25" s="91" t="s">
        <v>1294</v>
      </c>
      <c r="G25" s="80"/>
      <c r="H25" s="80"/>
      <c r="I25" s="80"/>
      <c r="J25" s="80"/>
      <c r="K25" s="80"/>
      <c r="L25" s="80"/>
      <c r="M25" s="80"/>
      <c r="N25" s="80"/>
      <c r="O25" s="80"/>
      <c r="P25" s="80"/>
    </row>
    <row r="26" spans="1:16" x14ac:dyDescent="0.2">
      <c r="E26" s="80"/>
      <c r="F26" s="47">
        <v>10940</v>
      </c>
      <c r="G26" s="15">
        <v>13</v>
      </c>
      <c r="H26" s="15">
        <v>26.3</v>
      </c>
      <c r="I26">
        <v>16</v>
      </c>
      <c r="J26">
        <v>31.4</v>
      </c>
      <c r="K26">
        <v>18</v>
      </c>
      <c r="L26">
        <v>34.700000000000003</v>
      </c>
      <c r="M26">
        <v>11</v>
      </c>
      <c r="N26">
        <v>20.7</v>
      </c>
      <c r="O26">
        <v>58</v>
      </c>
      <c r="P26">
        <v>28.3</v>
      </c>
    </row>
    <row r="27" spans="1:16" x14ac:dyDescent="0.2">
      <c r="A27" s="82"/>
      <c r="B27" s="80"/>
      <c r="E27" s="80"/>
      <c r="F27" s="47">
        <v>10950</v>
      </c>
      <c r="G27" s="15">
        <v>11</v>
      </c>
      <c r="H27" s="15">
        <v>82.2</v>
      </c>
      <c r="I27">
        <v>10</v>
      </c>
      <c r="J27">
        <v>69.400000000000006</v>
      </c>
      <c r="K27" t="s">
        <v>1031</v>
      </c>
      <c r="L27" t="s">
        <v>1031</v>
      </c>
      <c r="M27" t="s">
        <v>1031</v>
      </c>
      <c r="N27" t="s">
        <v>1031</v>
      </c>
      <c r="O27">
        <v>33</v>
      </c>
      <c r="P27">
        <v>58.5</v>
      </c>
    </row>
    <row r="28" spans="1:16" x14ac:dyDescent="0.2">
      <c r="E28" s="80"/>
      <c r="F28" s="47">
        <v>12550</v>
      </c>
      <c r="G28" s="15">
        <v>17</v>
      </c>
      <c r="H28" s="15">
        <v>63.8</v>
      </c>
      <c r="I28">
        <v>12</v>
      </c>
      <c r="J28">
        <v>44.8</v>
      </c>
      <c r="K28">
        <v>18</v>
      </c>
      <c r="L28">
        <v>65.7</v>
      </c>
      <c r="M28">
        <v>13</v>
      </c>
      <c r="N28">
        <v>47.6</v>
      </c>
      <c r="O28">
        <v>60</v>
      </c>
      <c r="P28">
        <v>55.5</v>
      </c>
    </row>
    <row r="29" spans="1:16" x14ac:dyDescent="0.2">
      <c r="E29" s="80"/>
      <c r="F29" s="47">
        <v>12771</v>
      </c>
      <c r="G29" s="15" t="s">
        <v>1031</v>
      </c>
      <c r="H29" s="15" t="s">
        <v>1031</v>
      </c>
      <c r="I29" t="s">
        <v>1031</v>
      </c>
      <c r="J29" t="s">
        <v>1031</v>
      </c>
      <c r="K29" t="s">
        <v>1031</v>
      </c>
      <c r="L29" t="s">
        <v>1031</v>
      </c>
      <c r="M29">
        <v>10</v>
      </c>
      <c r="N29">
        <v>69.7</v>
      </c>
      <c r="O29">
        <v>28</v>
      </c>
      <c r="P29">
        <v>48.3</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tbl-cerebrovascdz-mortal-aar</v>
      </c>
    </row>
    <row r="4" spans="1:17" x14ac:dyDescent="0.2">
      <c r="A4" s="16" t="s">
        <v>7</v>
      </c>
      <c r="B4" t="str">
        <f>IF($B$1="","",_xlfn.XLOOKUP($B$1,Master!$F$2:$F$321,Master!$H$2:$H$321,""))</f>
        <v>fig-cerebrovascdz-mortal-aar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s="34" t="s">
        <v>1391</v>
      </c>
      <c r="G5">
        <v>2020</v>
      </c>
      <c r="H5">
        <v>2021</v>
      </c>
      <c r="I5">
        <v>2022</v>
      </c>
      <c r="J5">
        <v>2023</v>
      </c>
    </row>
    <row r="6" spans="1:17" ht="15" customHeight="1" x14ac:dyDescent="0.2">
      <c r="A6" t="s">
        <v>1088</v>
      </c>
      <c r="B6" t="b">
        <v>0</v>
      </c>
      <c r="E6" s="80"/>
      <c r="F6" t="s">
        <v>1297</v>
      </c>
      <c r="G6" s="15">
        <v>24.3</v>
      </c>
      <c r="H6" s="15">
        <v>22.9</v>
      </c>
      <c r="I6" s="15">
        <v>28.3</v>
      </c>
      <c r="J6" s="15">
        <v>21.4</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1391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tbl-cerebrovascdz-mortal-sex-aar</v>
      </c>
    </row>
    <row r="4" spans="1:17" x14ac:dyDescent="0.2">
      <c r="A4" s="16" t="s">
        <v>7</v>
      </c>
      <c r="B4" t="str">
        <f>IF($B$1="","",_xlfn.XLOOKUP($B$1,Master!$F$2:$F$321,Master!$H$2:$H$321,""))</f>
        <v>fig-cerebrovascdz-mortal-sex-aar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24.7</v>
      </c>
      <c r="H6" s="15">
        <v>24.3</v>
      </c>
      <c r="I6" s="15">
        <v>29.3</v>
      </c>
      <c r="J6" s="15">
        <v>19.3</v>
      </c>
      <c r="K6" s="15"/>
      <c r="L6" s="15"/>
      <c r="M6" s="15"/>
      <c r="N6" s="15"/>
      <c r="O6" s="15"/>
    </row>
    <row r="7" spans="1:17" ht="15.75" customHeight="1" x14ac:dyDescent="0.2">
      <c r="E7" s="80"/>
      <c r="F7" t="s">
        <v>1306</v>
      </c>
      <c r="G7" s="15">
        <v>23.5</v>
      </c>
      <c r="H7" s="15">
        <v>22</v>
      </c>
      <c r="I7" s="15">
        <v>26.8</v>
      </c>
      <c r="J7" s="15">
        <v>22.6</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O5" sqref="O5: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1077</v>
      </c>
      <c r="B1" s="79" t="s">
        <v>193</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1009</v>
      </c>
      <c r="G4" s="10" t="s">
        <v>973</v>
      </c>
      <c r="H4" s="10" t="s">
        <v>979</v>
      </c>
      <c r="I4" s="10" t="s">
        <v>973</v>
      </c>
      <c r="J4" s="10" t="s">
        <v>979</v>
      </c>
      <c r="K4" s="10" t="s">
        <v>973</v>
      </c>
      <c r="L4" s="10" t="s">
        <v>979</v>
      </c>
      <c r="M4" s="10" t="s">
        <v>973</v>
      </c>
      <c r="N4" s="10" t="s">
        <v>979</v>
      </c>
      <c r="O4" s="10" t="s">
        <v>973</v>
      </c>
      <c r="P4" s="10" t="s">
        <v>979</v>
      </c>
    </row>
    <row r="5" spans="1:16" x14ac:dyDescent="0.2">
      <c r="A5" s="84" t="s">
        <v>1081</v>
      </c>
      <c r="B5" s="80"/>
      <c r="E5" s="83" t="s">
        <v>1082</v>
      </c>
      <c r="F5" s="85" t="s">
        <v>1391</v>
      </c>
      <c r="G5" s="82">
        <v>2020</v>
      </c>
      <c r="H5" s="80"/>
      <c r="I5" s="82">
        <v>2021</v>
      </c>
      <c r="J5" s="80"/>
      <c r="K5" s="82">
        <v>2022</v>
      </c>
      <c r="L5" s="80"/>
      <c r="M5" s="82">
        <v>2023</v>
      </c>
      <c r="N5" s="80"/>
      <c r="O5" s="82" t="s">
        <v>2357</v>
      </c>
      <c r="P5" s="80"/>
    </row>
    <row r="6" spans="1:16"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68</v>
      </c>
      <c r="H7" s="15">
        <v>17.8</v>
      </c>
      <c r="I7" s="15">
        <v>39</v>
      </c>
      <c r="J7" s="15">
        <v>9.8000000000000007</v>
      </c>
      <c r="K7" s="15">
        <v>65</v>
      </c>
      <c r="L7" s="15">
        <v>16.2</v>
      </c>
      <c r="M7" s="15">
        <v>73</v>
      </c>
      <c r="N7" s="15">
        <v>18.100000000000001</v>
      </c>
      <c r="O7" s="15">
        <v>245</v>
      </c>
      <c r="P7">
        <v>15.5</v>
      </c>
    </row>
    <row r="8" spans="1:16" x14ac:dyDescent="0.2">
      <c r="E8" s="80"/>
      <c r="F8" s="91" t="s">
        <v>1276</v>
      </c>
      <c r="G8" s="80"/>
      <c r="H8" s="80"/>
      <c r="I8" s="80"/>
      <c r="J8" s="80"/>
      <c r="K8" s="80"/>
      <c r="L8" s="80"/>
      <c r="M8" s="80"/>
      <c r="N8" s="80"/>
      <c r="O8" s="80"/>
      <c r="P8" s="80"/>
    </row>
    <row r="9" spans="1:16" x14ac:dyDescent="0.2">
      <c r="A9" s="84" t="s">
        <v>1098</v>
      </c>
      <c r="B9" s="80"/>
      <c r="E9" s="80"/>
      <c r="F9" s="47" t="s">
        <v>1277</v>
      </c>
      <c r="G9" s="15">
        <v>0</v>
      </c>
      <c r="H9" s="15">
        <v>0</v>
      </c>
      <c r="I9" s="15" t="s">
        <v>1031</v>
      </c>
      <c r="J9" s="15" t="s">
        <v>1031</v>
      </c>
      <c r="K9" s="15">
        <v>0</v>
      </c>
      <c r="L9" s="15">
        <v>0</v>
      </c>
      <c r="M9" s="15" t="s">
        <v>1031</v>
      </c>
      <c r="N9" s="15" t="s">
        <v>1031</v>
      </c>
      <c r="O9" s="15" t="s">
        <v>1031</v>
      </c>
      <c r="P9" t="s">
        <v>1031</v>
      </c>
    </row>
    <row r="10" spans="1:16"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t="s">
        <v>1031</v>
      </c>
      <c r="L12" s="17" t="s">
        <v>1031</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t="s">
        <v>1031</v>
      </c>
      <c r="N13" t="s">
        <v>1031</v>
      </c>
      <c r="O13">
        <v>14</v>
      </c>
      <c r="P13">
        <v>7.5</v>
      </c>
    </row>
    <row r="14" spans="1:16" x14ac:dyDescent="0.2">
      <c r="A14" t="s">
        <v>1112</v>
      </c>
      <c r="E14" s="80"/>
      <c r="F14" s="47" t="s">
        <v>1703</v>
      </c>
      <c r="G14" t="s">
        <v>1031</v>
      </c>
      <c r="H14" t="s">
        <v>1031</v>
      </c>
      <c r="I14" t="s">
        <v>1031</v>
      </c>
      <c r="J14" t="s">
        <v>1031</v>
      </c>
      <c r="K14" t="s">
        <v>1031</v>
      </c>
      <c r="L14" t="s">
        <v>1031</v>
      </c>
      <c r="M14" t="s">
        <v>1031</v>
      </c>
      <c r="N14" t="s">
        <v>1031</v>
      </c>
      <c r="O14">
        <v>30</v>
      </c>
      <c r="P14">
        <v>15.7</v>
      </c>
    </row>
    <row r="15" spans="1:16" x14ac:dyDescent="0.2">
      <c r="A15" t="s">
        <v>1114</v>
      </c>
      <c r="E15" s="80"/>
      <c r="F15" s="47" t="s">
        <v>1704</v>
      </c>
      <c r="G15">
        <v>28</v>
      </c>
      <c r="H15">
        <v>53.5</v>
      </c>
      <c r="I15">
        <v>34</v>
      </c>
      <c r="J15">
        <v>63.7</v>
      </c>
      <c r="K15">
        <v>21</v>
      </c>
      <c r="L15">
        <v>40.1</v>
      </c>
      <c r="M15">
        <v>32</v>
      </c>
      <c r="N15">
        <v>62.1</v>
      </c>
      <c r="O15">
        <v>115</v>
      </c>
      <c r="P15">
        <v>54.9</v>
      </c>
    </row>
    <row r="16" spans="1:16" x14ac:dyDescent="0.2">
      <c r="A16" t="s">
        <v>1116</v>
      </c>
      <c r="E16" s="80"/>
      <c r="F16" s="47" t="s">
        <v>1705</v>
      </c>
      <c r="G16">
        <v>84</v>
      </c>
      <c r="H16">
        <v>172.5</v>
      </c>
      <c r="I16">
        <v>91</v>
      </c>
      <c r="J16">
        <v>177.1</v>
      </c>
      <c r="K16">
        <v>99</v>
      </c>
      <c r="L16">
        <v>193.4</v>
      </c>
      <c r="M16">
        <v>98</v>
      </c>
      <c r="N16">
        <v>190.3</v>
      </c>
      <c r="O16">
        <v>372</v>
      </c>
      <c r="P16">
        <v>183.3</v>
      </c>
    </row>
    <row r="17" spans="1:16" x14ac:dyDescent="0.2">
      <c r="E17" s="80"/>
      <c r="F17" s="47" t="s">
        <v>1706</v>
      </c>
      <c r="G17">
        <v>154</v>
      </c>
      <c r="H17">
        <v>488.4</v>
      </c>
      <c r="I17">
        <v>147</v>
      </c>
      <c r="J17">
        <v>439.2</v>
      </c>
      <c r="K17">
        <v>159</v>
      </c>
      <c r="L17">
        <v>469.7</v>
      </c>
      <c r="M17">
        <v>147</v>
      </c>
      <c r="N17">
        <v>421.9</v>
      </c>
      <c r="O17">
        <v>607</v>
      </c>
      <c r="P17">
        <v>454.8</v>
      </c>
    </row>
    <row r="18" spans="1:16" x14ac:dyDescent="0.2">
      <c r="A18" s="84" t="s">
        <v>1119</v>
      </c>
      <c r="B18" s="80"/>
      <c r="E18" s="80"/>
      <c r="F18" s="47" t="s">
        <v>1707</v>
      </c>
      <c r="G18">
        <v>196</v>
      </c>
      <c r="H18">
        <v>1329.3</v>
      </c>
      <c r="I18">
        <v>209</v>
      </c>
      <c r="J18">
        <v>1369.6</v>
      </c>
      <c r="K18">
        <v>230</v>
      </c>
      <c r="L18">
        <v>1451.7</v>
      </c>
      <c r="M18">
        <v>236</v>
      </c>
      <c r="N18">
        <v>1439.3</v>
      </c>
      <c r="O18">
        <v>871</v>
      </c>
      <c r="P18">
        <v>1397.4</v>
      </c>
    </row>
    <row r="19" spans="1:16" x14ac:dyDescent="0.2">
      <c r="A19" t="s">
        <v>1121</v>
      </c>
      <c r="B19" t="s">
        <v>1287</v>
      </c>
      <c r="E19" s="80"/>
      <c r="F19" s="47" t="s">
        <v>1288</v>
      </c>
      <c r="G19">
        <v>365</v>
      </c>
      <c r="H19">
        <v>5105.6000000000004</v>
      </c>
      <c r="I19">
        <v>297</v>
      </c>
      <c r="J19">
        <v>4359.3</v>
      </c>
      <c r="K19">
        <v>295</v>
      </c>
      <c r="L19">
        <v>4202.3</v>
      </c>
      <c r="M19">
        <v>313</v>
      </c>
      <c r="N19">
        <v>4665.3999999999996</v>
      </c>
      <c r="O19">
        <v>1270</v>
      </c>
      <c r="P19">
        <v>4583.1000000000004</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686</v>
      </c>
      <c r="H21" s="15">
        <v>284.39999999999998</v>
      </c>
      <c r="I21">
        <v>635</v>
      </c>
      <c r="J21">
        <v>256.2</v>
      </c>
      <c r="K21">
        <v>656</v>
      </c>
      <c r="L21">
        <v>270.39999999999998</v>
      </c>
      <c r="M21">
        <v>660</v>
      </c>
      <c r="N21">
        <v>275.89999999999998</v>
      </c>
      <c r="O21">
        <v>2637</v>
      </c>
      <c r="P21">
        <v>271.7</v>
      </c>
    </row>
    <row r="22" spans="1:16" x14ac:dyDescent="0.2">
      <c r="A22" t="s">
        <v>1135</v>
      </c>
      <c r="B22" t="s">
        <v>1720</v>
      </c>
      <c r="E22" s="80"/>
      <c r="F22" s="47" t="s">
        <v>1292</v>
      </c>
      <c r="G22" s="15">
        <v>66</v>
      </c>
      <c r="H22" s="15">
        <v>171.6</v>
      </c>
      <c r="I22">
        <v>72</v>
      </c>
      <c r="J22">
        <v>181.2</v>
      </c>
      <c r="K22">
        <v>74</v>
      </c>
      <c r="L22">
        <v>176.4</v>
      </c>
      <c r="M22">
        <v>85</v>
      </c>
      <c r="N22">
        <v>200.1</v>
      </c>
      <c r="O22">
        <v>297</v>
      </c>
      <c r="P22">
        <v>182.3</v>
      </c>
    </row>
    <row r="23" spans="1:16" x14ac:dyDescent="0.2">
      <c r="E23" s="80"/>
      <c r="F23" s="47" t="s">
        <v>1293</v>
      </c>
      <c r="G23" s="15">
        <v>63</v>
      </c>
      <c r="H23" s="15">
        <v>78.5</v>
      </c>
      <c r="I23">
        <v>70</v>
      </c>
      <c r="J23">
        <v>82</v>
      </c>
      <c r="K23">
        <v>61</v>
      </c>
      <c r="L23">
        <v>68.2</v>
      </c>
      <c r="M23">
        <v>74</v>
      </c>
      <c r="N23">
        <v>79.099999999999994</v>
      </c>
      <c r="O23">
        <v>268</v>
      </c>
      <c r="P23">
        <v>76.900000000000006</v>
      </c>
    </row>
    <row r="24" spans="1:16" x14ac:dyDescent="0.2">
      <c r="E24" s="80"/>
      <c r="F24" s="47" t="s">
        <v>1015</v>
      </c>
      <c r="G24" s="15">
        <v>28</v>
      </c>
      <c r="H24" s="15">
        <v>126.2</v>
      </c>
      <c r="I24">
        <v>16</v>
      </c>
      <c r="J24">
        <v>63.2</v>
      </c>
      <c r="K24">
        <v>24</v>
      </c>
      <c r="L24">
        <v>88.4</v>
      </c>
      <c r="M24">
        <v>20</v>
      </c>
      <c r="N24">
        <v>70</v>
      </c>
      <c r="O24">
        <v>88</v>
      </c>
      <c r="P24">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v>138</v>
      </c>
      <c r="J26">
        <v>270.89999999999998</v>
      </c>
      <c r="K26">
        <v>127</v>
      </c>
      <c r="L26">
        <v>244.9</v>
      </c>
      <c r="M26">
        <v>125</v>
      </c>
      <c r="N26">
        <v>235.4</v>
      </c>
      <c r="O26">
        <v>501</v>
      </c>
      <c r="P26">
        <v>244</v>
      </c>
    </row>
    <row r="27" spans="1:16" x14ac:dyDescent="0.2">
      <c r="A27" s="82"/>
      <c r="B27" s="80"/>
      <c r="E27" s="80"/>
      <c r="F27" s="47">
        <v>10950</v>
      </c>
      <c r="G27" s="15">
        <v>58</v>
      </c>
      <c r="H27" s="15">
        <v>433.4</v>
      </c>
      <c r="I27">
        <v>48</v>
      </c>
      <c r="J27">
        <v>333</v>
      </c>
      <c r="K27">
        <v>46</v>
      </c>
      <c r="L27">
        <v>317.2</v>
      </c>
      <c r="M27">
        <v>43</v>
      </c>
      <c r="N27">
        <v>291.3</v>
      </c>
      <c r="O27">
        <v>195</v>
      </c>
      <c r="P27">
        <v>343.7</v>
      </c>
    </row>
    <row r="28" spans="1:16" x14ac:dyDescent="0.2">
      <c r="E28" s="80"/>
      <c r="F28" s="47">
        <v>12550</v>
      </c>
      <c r="G28" s="15">
        <v>153</v>
      </c>
      <c r="H28" s="15">
        <v>573.79999999999995</v>
      </c>
      <c r="I28">
        <v>115</v>
      </c>
      <c r="J28">
        <v>429</v>
      </c>
      <c r="K28">
        <v>127</v>
      </c>
      <c r="L28">
        <v>463.4</v>
      </c>
      <c r="M28">
        <v>113</v>
      </c>
      <c r="N28">
        <v>413.9</v>
      </c>
      <c r="O28">
        <v>508</v>
      </c>
      <c r="P28">
        <v>470</v>
      </c>
    </row>
    <row r="29" spans="1:16" x14ac:dyDescent="0.2">
      <c r="E29" s="80"/>
      <c r="F29" s="47">
        <v>12771</v>
      </c>
      <c r="G29" s="15">
        <v>33</v>
      </c>
      <c r="H29" s="15">
        <v>229</v>
      </c>
      <c r="I29">
        <v>55</v>
      </c>
      <c r="J29">
        <v>370.6</v>
      </c>
      <c r="K29">
        <v>46</v>
      </c>
      <c r="L29">
        <v>318.3</v>
      </c>
      <c r="M29">
        <v>52</v>
      </c>
      <c r="N29">
        <v>362.5</v>
      </c>
      <c r="O29">
        <v>186</v>
      </c>
      <c r="P29">
        <v>320.10000000000002</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tbl-other-dzcircsystem-mortal-aar</v>
      </c>
    </row>
    <row r="4" spans="1:17" x14ac:dyDescent="0.2">
      <c r="A4" s="16" t="s">
        <v>7</v>
      </c>
      <c r="B4" t="str">
        <f>IF($B$1="","",_xlfn.XLOOKUP($B$1,Master!$F$2:$F$321,Master!$H$2:$H$321,""))</f>
        <v>fig-other-dzcircsystem-mortal-aar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tbl-other-dzcircsystem-mortal-rande</v>
      </c>
    </row>
    <row r="4" spans="1:17" x14ac:dyDescent="0.2">
      <c r="A4" s="16" t="s">
        <v>7</v>
      </c>
      <c r="B4" t="str">
        <f>IF($B$1="","",_xlfn.XLOOKUP($B$1,Master!$F$2:$F$321,Master!$H$2:$H$321,""))</f>
        <v>fig-other-dzcircsystem-mortal-rande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1289</v>
      </c>
      <c r="G5">
        <v>2020</v>
      </c>
      <c r="H5">
        <v>2021</v>
      </c>
      <c r="I5">
        <v>2022</v>
      </c>
      <c r="J5">
        <v>2023</v>
      </c>
    </row>
    <row r="6" spans="1:17" ht="15" customHeight="1" x14ac:dyDescent="0.2">
      <c r="A6" t="s">
        <v>1088</v>
      </c>
      <c r="B6" t="b">
        <v>0</v>
      </c>
      <c r="E6" s="80"/>
      <c r="F6" t="s">
        <v>1290</v>
      </c>
      <c r="G6" s="15">
        <v>284.39999999999998</v>
      </c>
      <c r="H6" s="15">
        <v>256.2</v>
      </c>
      <c r="I6" s="15">
        <v>270.39999999999998</v>
      </c>
      <c r="J6" s="15">
        <v>275.89999999999998</v>
      </c>
      <c r="K6" s="15"/>
      <c r="L6" s="15"/>
      <c r="M6" s="15"/>
      <c r="N6" s="15"/>
      <c r="O6" s="15"/>
    </row>
    <row r="7" spans="1:17" ht="15.75" customHeight="1" x14ac:dyDescent="0.2">
      <c r="E7" s="80"/>
      <c r="F7" t="s">
        <v>1292</v>
      </c>
      <c r="G7" s="15">
        <v>171.6</v>
      </c>
      <c r="H7" s="15">
        <v>181.2</v>
      </c>
      <c r="I7" s="15">
        <v>176.4</v>
      </c>
      <c r="J7" s="15">
        <v>200.1</v>
      </c>
      <c r="K7" s="15"/>
      <c r="L7" s="15"/>
      <c r="M7" s="15"/>
      <c r="N7" s="15"/>
      <c r="O7" s="15"/>
    </row>
    <row r="8" spans="1:17" x14ac:dyDescent="0.2">
      <c r="E8" s="80"/>
      <c r="F8" t="s">
        <v>1293</v>
      </c>
      <c r="G8" s="15">
        <v>78.5</v>
      </c>
      <c r="H8" s="15">
        <v>82</v>
      </c>
      <c r="I8" s="15">
        <v>68.2</v>
      </c>
      <c r="J8" s="15">
        <v>79.099999999999994</v>
      </c>
      <c r="K8" s="15"/>
      <c r="L8" s="15"/>
      <c r="M8" s="15"/>
      <c r="N8" s="15"/>
      <c r="O8" s="15"/>
    </row>
    <row r="9" spans="1:17" x14ac:dyDescent="0.2">
      <c r="A9" s="84" t="s">
        <v>1098</v>
      </c>
      <c r="B9" s="80"/>
      <c r="E9" s="80"/>
      <c r="F9" t="s">
        <v>1015</v>
      </c>
      <c r="G9" s="15">
        <v>126.2</v>
      </c>
      <c r="H9" s="15">
        <v>63.2</v>
      </c>
      <c r="I9" s="15">
        <v>88.4</v>
      </c>
      <c r="J9" s="15">
        <v>70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X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tbl-circsystemdz-mortal-zip</v>
      </c>
    </row>
    <row r="4" spans="1:17" x14ac:dyDescent="0.2">
      <c r="A4" s="16" t="s">
        <v>7</v>
      </c>
      <c r="B4" t="str">
        <f>IF($B$1="","",_xlfn.XLOOKUP($B$1,Master!$F$2:$F$321,Master!$H$2:$H$321,""))</f>
        <v>fig-circsystemdz-mortal-zip</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4"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1721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24" x14ac:dyDescent="0.2">
      <c r="E49" s="80"/>
    </row>
    <row r="50" spans="5:24" x14ac:dyDescent="0.2">
      <c r="E50" s="80"/>
      <c r="X50" t="s">
        <v>1226</v>
      </c>
    </row>
    <row r="51" spans="5:24" x14ac:dyDescent="0.2">
      <c r="E51" s="80"/>
    </row>
    <row r="52" spans="5:24" x14ac:dyDescent="0.2">
      <c r="E52" s="80"/>
    </row>
    <row r="53" spans="5:24" x14ac:dyDescent="0.2">
      <c r="E53" s="80"/>
    </row>
    <row r="54" spans="5:24" x14ac:dyDescent="0.2">
      <c r="E54" s="80"/>
    </row>
    <row r="55" spans="5:24" x14ac:dyDescent="0.2">
      <c r="E55" s="80"/>
    </row>
    <row r="56" spans="5:24" x14ac:dyDescent="0.2">
      <c r="E56" s="80"/>
    </row>
    <row r="57" spans="5:24"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1009</v>
      </c>
      <c r="G4" s="10" t="s">
        <v>979</v>
      </c>
      <c r="H4" s="10" t="s">
        <v>979</v>
      </c>
      <c r="I4" s="10" t="s">
        <v>979</v>
      </c>
      <c r="J4" s="10" t="s">
        <v>979</v>
      </c>
      <c r="K4" s="10"/>
      <c r="L4" s="10"/>
      <c r="M4" s="10"/>
      <c r="N4" s="10"/>
      <c r="O4" s="10"/>
      <c r="P4" s="10"/>
      <c r="Q4" s="10"/>
    </row>
    <row r="5" spans="1:17" ht="15.75" customHeight="1" thickBot="1" x14ac:dyDescent="0.25">
      <c r="A5" s="84" t="s">
        <v>1081</v>
      </c>
      <c r="B5" s="80"/>
      <c r="E5" s="83" t="s">
        <v>1082</v>
      </c>
      <c r="F5" s="53" t="s">
        <v>1086</v>
      </c>
      <c r="G5" s="53">
        <v>2020</v>
      </c>
      <c r="H5" s="53">
        <v>2021</v>
      </c>
      <c r="I5" s="53">
        <v>2022</v>
      </c>
      <c r="J5" s="53">
        <v>2023</v>
      </c>
      <c r="K5" s="15"/>
      <c r="L5" s="15"/>
      <c r="M5" s="15"/>
    </row>
    <row r="6" spans="1:17" ht="15" customHeight="1" thickBot="1" x14ac:dyDescent="0.25">
      <c r="A6" t="s">
        <v>1088</v>
      </c>
      <c r="B6" t="b">
        <v>0</v>
      </c>
      <c r="E6" s="80"/>
      <c r="F6" s="53" t="s">
        <v>1305</v>
      </c>
      <c r="G6" s="52">
        <v>264.8</v>
      </c>
      <c r="H6" s="52">
        <v>220.2</v>
      </c>
      <c r="I6" s="52">
        <v>219.7</v>
      </c>
      <c r="J6" s="52">
        <v>238.7</v>
      </c>
      <c r="K6" s="15"/>
      <c r="L6" s="15"/>
      <c r="M6" s="15"/>
      <c r="N6" s="15"/>
      <c r="O6" s="15"/>
    </row>
    <row r="7" spans="1:17" ht="15.75" customHeight="1" thickBot="1" x14ac:dyDescent="0.25">
      <c r="E7" s="80"/>
      <c r="F7" s="53" t="s">
        <v>1306</v>
      </c>
      <c r="G7" s="52">
        <v>149.1</v>
      </c>
      <c r="H7" s="52">
        <v>159.19999999999999</v>
      </c>
      <c r="I7" s="52">
        <v>158.6</v>
      </c>
      <c r="J7" s="52">
        <v>157.69999999999999</v>
      </c>
      <c r="K7" s="15"/>
      <c r="L7" s="15"/>
      <c r="M7" s="15"/>
      <c r="N7" s="15"/>
      <c r="O7" s="15"/>
    </row>
    <row r="8" spans="1:17" x14ac:dyDescent="0.2">
      <c r="E8" s="80"/>
      <c r="F8" s="21"/>
      <c r="K8" s="15"/>
      <c r="L8" s="15"/>
      <c r="M8" s="15"/>
      <c r="N8" s="15"/>
      <c r="O8" s="15"/>
    </row>
    <row r="9" spans="1:17" x14ac:dyDescent="0.2">
      <c r="A9" s="84" t="s">
        <v>1098</v>
      </c>
      <c r="B9" s="80"/>
      <c r="E9" s="80"/>
      <c r="F9" s="54"/>
      <c r="N9" s="15"/>
      <c r="O9" s="15"/>
    </row>
    <row r="10" spans="1:17" x14ac:dyDescent="0.2">
      <c r="A10" t="s">
        <v>1100</v>
      </c>
      <c r="B10" t="s">
        <v>1304</v>
      </c>
      <c r="E10" s="80"/>
      <c r="G10" s="15"/>
      <c r="H10" s="15"/>
      <c r="I10" s="15"/>
      <c r="J10" s="17"/>
      <c r="K10" s="17"/>
      <c r="L10" s="17"/>
      <c r="M10" s="17"/>
    </row>
    <row r="11" spans="1:17" x14ac:dyDescent="0.2">
      <c r="A11" t="s">
        <v>1102</v>
      </c>
      <c r="B11" t="s">
        <v>1303</v>
      </c>
      <c r="E11" s="80"/>
      <c r="F11" s="21"/>
      <c r="G11" s="17"/>
      <c r="H11" s="17"/>
      <c r="I11" s="15"/>
      <c r="J11" s="15"/>
      <c r="K11" s="15"/>
      <c r="L11" s="15"/>
      <c r="N11" s="17"/>
    </row>
    <row r="12" spans="1:17" x14ac:dyDescent="0.2">
      <c r="A12" t="s">
        <v>1104</v>
      </c>
      <c r="E12" s="80"/>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c r="F19" s="15"/>
      <c r="G19" s="15"/>
      <c r="H19" s="15"/>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row>
    <row r="24" spans="1:11" x14ac:dyDescent="0.2">
      <c r="E24" s="80"/>
      <c r="F24" s="15"/>
      <c r="G24" s="15"/>
      <c r="H24" s="15"/>
      <c r="K24" t="s">
        <v>1226</v>
      </c>
    </row>
    <row r="25" spans="1:11" x14ac:dyDescent="0.2">
      <c r="E25" s="80"/>
      <c r="F25" s="15"/>
      <c r="G25" s="15"/>
      <c r="H25" s="15"/>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row>
    <row r="32" spans="1:11" x14ac:dyDescent="0.2">
      <c r="E32" s="80"/>
      <c r="F32" s="15"/>
      <c r="G32" s="15"/>
      <c r="H32" s="15"/>
    </row>
    <row r="33" spans="5:9" x14ac:dyDescent="0.2">
      <c r="E33" s="80"/>
      <c r="F33" s="15"/>
      <c r="G33" s="15"/>
      <c r="H33" s="15"/>
      <c r="I33" s="17"/>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tbl-clrd-hosp-rande-aar</v>
      </c>
    </row>
    <row r="4" spans="1:17" x14ac:dyDescent="0.2">
      <c r="A4" s="16" t="s">
        <v>7</v>
      </c>
      <c r="B4" t="str">
        <f>IF($B$1="","",_xlfn.XLOOKUP($B$1,Master!$F$2:$F$321,Master!$H$2:$H$321,""))</f>
        <v>fig-clrd-hosp-rande-aar</v>
      </c>
      <c r="E4" s="8"/>
      <c r="F4" s="10" t="s">
        <v>1009</v>
      </c>
      <c r="G4" s="10" t="s">
        <v>979</v>
      </c>
      <c r="H4" s="10" t="s">
        <v>979</v>
      </c>
      <c r="I4" s="10" t="s">
        <v>979</v>
      </c>
      <c r="J4" s="10" t="s">
        <v>979</v>
      </c>
      <c r="K4" s="10" t="s">
        <v>979</v>
      </c>
      <c r="L4" s="10"/>
      <c r="M4" s="10"/>
      <c r="N4" s="10"/>
      <c r="O4" s="10"/>
      <c r="P4" s="10"/>
      <c r="Q4" s="10" t="s">
        <v>968</v>
      </c>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13.8</v>
      </c>
      <c r="H6" s="15">
        <v>11.7</v>
      </c>
      <c r="I6" s="15">
        <v>22.5</v>
      </c>
      <c r="J6" s="15">
        <v>2.9</v>
      </c>
      <c r="K6" s="15">
        <v>10.8</v>
      </c>
      <c r="L6" s="15"/>
      <c r="M6" s="15"/>
      <c r="N6" s="15"/>
      <c r="O6" s="15"/>
    </row>
    <row r="7" spans="1:17" ht="15.75" customHeight="1" x14ac:dyDescent="0.2">
      <c r="E7" s="80"/>
      <c r="F7" t="s">
        <v>1298</v>
      </c>
      <c r="G7" s="15">
        <v>12</v>
      </c>
      <c r="H7" s="15">
        <v>9.8000000000000007</v>
      </c>
      <c r="I7" s="15">
        <v>24</v>
      </c>
      <c r="J7" s="15">
        <v>4.0999999999999996</v>
      </c>
      <c r="K7" s="15">
        <v>9.9</v>
      </c>
      <c r="L7" s="15"/>
      <c r="M7" s="15"/>
      <c r="N7" s="15"/>
      <c r="O7" s="15"/>
    </row>
    <row r="8" spans="1:17" x14ac:dyDescent="0.2">
      <c r="E8" s="80"/>
      <c r="F8" t="s">
        <v>1299</v>
      </c>
      <c r="G8" s="15">
        <v>14.3</v>
      </c>
      <c r="H8" s="15">
        <v>9.1</v>
      </c>
      <c r="I8" s="15">
        <v>24.5</v>
      </c>
      <c r="J8" s="15">
        <v>4.4000000000000004</v>
      </c>
      <c r="K8" s="15">
        <v>16.600000000000001</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1722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1723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1077</v>
      </c>
      <c r="B1" s="79" t="s">
        <v>211</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tbl-clrd-count-rate-age-rande-zip</v>
      </c>
    </row>
    <row r="4" spans="1:17" x14ac:dyDescent="0.2">
      <c r="A4" s="16" t="s">
        <v>7</v>
      </c>
      <c r="B4" t="str">
        <f>IF($B$1="","",_xlfn.XLOOKUP($B$1,Master!$F$2:$F$321,Master!$H$2:$H$321,""))</f>
        <v>fig-clrd-count-rate-age-rande-zip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F5" s="85" t="s">
        <v>1391</v>
      </c>
      <c r="G5" s="82">
        <v>2020</v>
      </c>
      <c r="H5" s="80"/>
      <c r="I5" s="82">
        <v>2021</v>
      </c>
      <c r="J5" s="80"/>
      <c r="K5" s="82">
        <v>2022</v>
      </c>
      <c r="L5" s="80"/>
      <c r="M5" s="82">
        <v>2023</v>
      </c>
      <c r="N5" s="80"/>
      <c r="O5" s="82"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155</v>
      </c>
      <c r="H7" s="15">
        <v>40.6</v>
      </c>
      <c r="I7" s="15">
        <v>117</v>
      </c>
      <c r="J7" s="15">
        <v>29.4</v>
      </c>
      <c r="K7" s="15">
        <v>122</v>
      </c>
      <c r="L7" s="15">
        <v>30.4</v>
      </c>
      <c r="M7" s="15">
        <v>99</v>
      </c>
      <c r="N7" s="15">
        <v>24.5</v>
      </c>
      <c r="O7" s="15">
        <v>493</v>
      </c>
      <c r="P7" s="15">
        <v>31.2</v>
      </c>
    </row>
    <row r="8" spans="1:17" x14ac:dyDescent="0.2">
      <c r="E8" s="80"/>
      <c r="F8" s="16" t="s">
        <v>1276</v>
      </c>
      <c r="G8" s="15"/>
      <c r="H8" s="15"/>
      <c r="I8" s="15"/>
      <c r="J8" s="15"/>
      <c r="K8" s="15"/>
      <c r="L8" s="15"/>
      <c r="M8" s="15"/>
      <c r="N8" s="15"/>
      <c r="O8" s="15"/>
      <c r="P8" s="15"/>
    </row>
    <row r="9" spans="1:17" x14ac:dyDescent="0.2">
      <c r="A9" s="84" t="s">
        <v>1098</v>
      </c>
      <c r="B9" s="80"/>
      <c r="E9" s="80"/>
      <c r="F9" s="49" t="s">
        <v>1277</v>
      </c>
      <c r="G9" s="15">
        <v>0</v>
      </c>
      <c r="H9" s="15">
        <v>0</v>
      </c>
      <c r="I9" s="15">
        <v>0</v>
      </c>
      <c r="J9" s="15">
        <v>0</v>
      </c>
      <c r="K9" s="15">
        <v>0</v>
      </c>
      <c r="L9" s="15">
        <v>0</v>
      </c>
      <c r="M9" s="15">
        <v>0</v>
      </c>
      <c r="N9" s="15">
        <v>0</v>
      </c>
      <c r="O9" s="15">
        <v>0</v>
      </c>
      <c r="P9" s="15">
        <v>0</v>
      </c>
    </row>
    <row r="10" spans="1:17" x14ac:dyDescent="0.2">
      <c r="A10" t="s">
        <v>1100</v>
      </c>
      <c r="E10" s="80"/>
      <c r="F10" s="49" t="s">
        <v>1699</v>
      </c>
      <c r="G10" s="15">
        <v>0</v>
      </c>
      <c r="H10" s="15">
        <v>0</v>
      </c>
      <c r="I10" s="15">
        <v>0</v>
      </c>
      <c r="J10" s="15">
        <v>0</v>
      </c>
      <c r="K10" s="15">
        <v>0</v>
      </c>
      <c r="L10" s="15">
        <v>0</v>
      </c>
      <c r="M10" s="15" t="s">
        <v>1031</v>
      </c>
      <c r="N10" s="15" t="s">
        <v>1031</v>
      </c>
      <c r="O10" s="15" t="s">
        <v>1031</v>
      </c>
      <c r="P10" s="15" t="s">
        <v>1031</v>
      </c>
    </row>
    <row r="11" spans="1:17" x14ac:dyDescent="0.2">
      <c r="A11" t="s">
        <v>1102</v>
      </c>
      <c r="E11" s="80"/>
      <c r="F11" s="49" t="s">
        <v>1700</v>
      </c>
      <c r="G11" s="15">
        <v>0</v>
      </c>
      <c r="H11" s="15">
        <v>0</v>
      </c>
      <c r="I11" s="15">
        <v>0</v>
      </c>
      <c r="J11" s="17">
        <v>0</v>
      </c>
      <c r="K11" s="17">
        <v>0</v>
      </c>
      <c r="L11" s="17">
        <v>0</v>
      </c>
      <c r="M11" s="17">
        <v>0</v>
      </c>
      <c r="N11" s="17">
        <v>0</v>
      </c>
      <c r="O11" s="15">
        <v>0</v>
      </c>
      <c r="P11" s="15">
        <v>0</v>
      </c>
    </row>
    <row r="12" spans="1:17" x14ac:dyDescent="0.2">
      <c r="A12" t="s">
        <v>1104</v>
      </c>
      <c r="E12" s="80"/>
      <c r="F12" s="55" t="s">
        <v>1701</v>
      </c>
      <c r="G12" s="17">
        <v>0</v>
      </c>
      <c r="H12" s="17">
        <v>0</v>
      </c>
      <c r="I12" s="15">
        <v>0</v>
      </c>
      <c r="J12" s="15">
        <v>0</v>
      </c>
      <c r="K12" s="15">
        <v>0</v>
      </c>
      <c r="L12" s="15">
        <v>0</v>
      </c>
      <c r="M12" s="15" t="s">
        <v>1031</v>
      </c>
      <c r="N12" s="15" t="s">
        <v>1031</v>
      </c>
      <c r="O12" s="15" t="s">
        <v>1031</v>
      </c>
      <c r="P12" s="15" t="s">
        <v>1031</v>
      </c>
    </row>
    <row r="13" spans="1:17"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17" x14ac:dyDescent="0.2">
      <c r="A14" t="s">
        <v>1112</v>
      </c>
      <c r="E14" s="80"/>
      <c r="F14" s="49" t="s">
        <v>1703</v>
      </c>
      <c r="G14" s="15" t="s">
        <v>1031</v>
      </c>
      <c r="H14" s="15" t="s">
        <v>1031</v>
      </c>
      <c r="I14" s="15">
        <v>0</v>
      </c>
      <c r="J14" s="15">
        <v>0</v>
      </c>
      <c r="K14" s="15" t="s">
        <v>1031</v>
      </c>
      <c r="L14" s="15" t="s">
        <v>1031</v>
      </c>
      <c r="M14" s="15" t="s">
        <v>1031</v>
      </c>
      <c r="N14" s="15" t="s">
        <v>1031</v>
      </c>
      <c r="O14" s="15" t="s">
        <v>1031</v>
      </c>
      <c r="P14" s="15"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12</v>
      </c>
      <c r="P15" s="15">
        <v>5.7</v>
      </c>
    </row>
    <row r="16" spans="1:17" x14ac:dyDescent="0.2">
      <c r="A16" t="s">
        <v>1116</v>
      </c>
      <c r="E16" s="80"/>
      <c r="F16" s="49" t="s">
        <v>1705</v>
      </c>
      <c r="G16" s="15" t="s">
        <v>1031</v>
      </c>
      <c r="H16" s="15" t="s">
        <v>1031</v>
      </c>
      <c r="I16" s="15">
        <v>13</v>
      </c>
      <c r="J16" s="15">
        <v>25.3</v>
      </c>
      <c r="K16" s="15" t="s">
        <v>1031</v>
      </c>
      <c r="L16" s="15" t="s">
        <v>1031</v>
      </c>
      <c r="M16" s="15" t="s">
        <v>1031</v>
      </c>
      <c r="N16" s="15" t="s">
        <v>1031</v>
      </c>
      <c r="O16" s="15">
        <v>38</v>
      </c>
      <c r="P16" s="15">
        <v>18.7</v>
      </c>
    </row>
    <row r="17" spans="1:16" x14ac:dyDescent="0.2">
      <c r="E17" s="80"/>
      <c r="F17" s="49" t="s">
        <v>1706</v>
      </c>
      <c r="G17" s="15">
        <v>30</v>
      </c>
      <c r="H17" s="15">
        <v>95.1</v>
      </c>
      <c r="I17" s="15">
        <v>28</v>
      </c>
      <c r="J17" s="15">
        <v>83.7</v>
      </c>
      <c r="K17" s="15">
        <v>22</v>
      </c>
      <c r="L17" s="15">
        <v>65</v>
      </c>
      <c r="M17" s="15">
        <v>24</v>
      </c>
      <c r="N17" s="15">
        <v>68.900000000000006</v>
      </c>
      <c r="O17" s="15">
        <v>104</v>
      </c>
      <c r="P17" s="15">
        <v>78.2</v>
      </c>
    </row>
    <row r="18" spans="1:16" x14ac:dyDescent="0.2">
      <c r="A18" s="84" t="s">
        <v>1119</v>
      </c>
      <c r="B18" s="80"/>
      <c r="E18" s="80"/>
      <c r="F18" s="49" t="s">
        <v>1707</v>
      </c>
      <c r="G18" s="15">
        <v>50</v>
      </c>
      <c r="H18" s="15">
        <v>339.1</v>
      </c>
      <c r="I18" s="15">
        <v>41</v>
      </c>
      <c r="J18" s="15">
        <v>268.7</v>
      </c>
      <c r="K18" s="15">
        <v>44</v>
      </c>
      <c r="L18" s="15">
        <v>277.7</v>
      </c>
      <c r="M18" s="15">
        <v>31</v>
      </c>
      <c r="N18" s="15">
        <v>189.1</v>
      </c>
      <c r="O18" s="15">
        <v>166</v>
      </c>
      <c r="P18" s="15">
        <v>268.60000000000002</v>
      </c>
    </row>
    <row r="19" spans="1:16" x14ac:dyDescent="0.2">
      <c r="A19" t="s">
        <v>1121</v>
      </c>
      <c r="B19" t="s">
        <v>1287</v>
      </c>
      <c r="E19" s="80"/>
      <c r="F19" s="49" t="s">
        <v>1288</v>
      </c>
      <c r="G19" s="15">
        <v>60</v>
      </c>
      <c r="H19" s="15">
        <v>839.3</v>
      </c>
      <c r="I19" s="15">
        <v>34</v>
      </c>
      <c r="J19" s="15">
        <v>499</v>
      </c>
      <c r="K19" s="15">
        <v>43</v>
      </c>
      <c r="L19" s="15">
        <v>612.5</v>
      </c>
      <c r="M19" s="15">
        <v>28</v>
      </c>
      <c r="N19" s="15">
        <v>417.3</v>
      </c>
      <c r="O19" s="15">
        <v>165</v>
      </c>
      <c r="P19" s="15">
        <v>592.1</v>
      </c>
    </row>
    <row r="20" spans="1:16" x14ac:dyDescent="0.2">
      <c r="E20" s="80"/>
      <c r="F20" s="25" t="s">
        <v>1289</v>
      </c>
      <c r="G20" s="15"/>
      <c r="H20" s="15"/>
      <c r="I20" s="15"/>
      <c r="J20" s="15"/>
      <c r="K20" s="15"/>
      <c r="L20" s="15"/>
      <c r="M20" s="15"/>
      <c r="N20" s="15"/>
      <c r="O20" s="15"/>
      <c r="P20" s="15"/>
    </row>
    <row r="21" spans="1:16" x14ac:dyDescent="0.2">
      <c r="A21" s="82" t="s">
        <v>1125</v>
      </c>
      <c r="B21" s="80"/>
      <c r="E21" s="80"/>
      <c r="F21" s="47" t="s">
        <v>1290</v>
      </c>
      <c r="G21" s="15">
        <v>142</v>
      </c>
      <c r="H21" s="15">
        <v>58.9</v>
      </c>
      <c r="I21" s="15">
        <v>102</v>
      </c>
      <c r="J21" s="15">
        <v>41.1</v>
      </c>
      <c r="K21" s="15">
        <v>104</v>
      </c>
      <c r="L21" s="15">
        <v>42.9</v>
      </c>
      <c r="M21" s="15">
        <v>87</v>
      </c>
      <c r="N21" s="15">
        <v>36.4</v>
      </c>
      <c r="O21" s="15">
        <v>435</v>
      </c>
      <c r="P21" s="15">
        <v>44.8</v>
      </c>
    </row>
    <row r="22" spans="1:16" x14ac:dyDescent="0.2">
      <c r="A22" t="s">
        <v>1135</v>
      </c>
      <c r="B22" t="s">
        <v>1725</v>
      </c>
      <c r="E22" s="80"/>
      <c r="F22" s="47" t="s">
        <v>1292</v>
      </c>
      <c r="G22" s="15" t="s">
        <v>1031</v>
      </c>
      <c r="H22" s="15" t="s">
        <v>1031</v>
      </c>
      <c r="I22" s="15" t="s">
        <v>1031</v>
      </c>
      <c r="J22" s="15" t="s">
        <v>1031</v>
      </c>
      <c r="K22" s="15">
        <v>10</v>
      </c>
      <c r="L22" s="15">
        <v>23.8</v>
      </c>
      <c r="M22" s="15" t="s">
        <v>1031</v>
      </c>
      <c r="N22" s="15" t="s">
        <v>1031</v>
      </c>
      <c r="O22" s="15">
        <v>26</v>
      </c>
      <c r="P22" s="15">
        <v>16</v>
      </c>
    </row>
    <row r="23" spans="1:16" x14ac:dyDescent="0.2">
      <c r="E23" s="80"/>
      <c r="F23" s="47" t="s">
        <v>1293</v>
      </c>
      <c r="G23" s="15" t="s">
        <v>1031</v>
      </c>
      <c r="H23" s="15" t="s">
        <v>1031</v>
      </c>
      <c r="I23" s="15" t="s">
        <v>1031</v>
      </c>
      <c r="J23" s="15" t="s">
        <v>1031</v>
      </c>
      <c r="K23" s="15" t="s">
        <v>1031</v>
      </c>
      <c r="L23" s="15" t="s">
        <v>1031</v>
      </c>
      <c r="M23" s="15" t="s">
        <v>1031</v>
      </c>
      <c r="N23" s="15" t="s">
        <v>1031</v>
      </c>
      <c r="O23" s="15">
        <v>22</v>
      </c>
      <c r="P23" s="15">
        <v>6.3</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c r="G25" s="15"/>
      <c r="H25" s="15"/>
      <c r="I25" s="15"/>
      <c r="J25" s="15"/>
      <c r="K25" s="15"/>
      <c r="L25" s="15"/>
      <c r="M25" s="15"/>
      <c r="N25" s="15"/>
      <c r="O25" s="15"/>
      <c r="P25" s="15"/>
    </row>
    <row r="26" spans="1:16" x14ac:dyDescent="0.2">
      <c r="E26" s="80"/>
      <c r="F26" s="47">
        <v>10940</v>
      </c>
      <c r="G26" s="15">
        <v>23</v>
      </c>
      <c r="H26" s="15">
        <v>46.5</v>
      </c>
      <c r="I26" s="15">
        <v>12</v>
      </c>
      <c r="J26" s="15">
        <v>23.6</v>
      </c>
      <c r="K26" s="15">
        <v>19</v>
      </c>
      <c r="L26" s="15">
        <v>36.6</v>
      </c>
      <c r="M26" s="15">
        <v>12</v>
      </c>
      <c r="N26" s="15">
        <v>22.6</v>
      </c>
      <c r="O26" s="15">
        <v>66</v>
      </c>
      <c r="P26" s="15">
        <v>32.299999999999997</v>
      </c>
    </row>
    <row r="27" spans="1:16" x14ac:dyDescent="0.2">
      <c r="A27" s="82"/>
      <c r="B27" s="80"/>
      <c r="E27" s="80"/>
      <c r="F27" s="47">
        <v>10950</v>
      </c>
      <c r="G27" s="15">
        <v>14</v>
      </c>
      <c r="H27" s="15">
        <v>104.6</v>
      </c>
      <c r="I27" s="15" t="s">
        <v>1031</v>
      </c>
      <c r="J27" s="15" t="s">
        <v>1031</v>
      </c>
      <c r="K27" s="15" t="s">
        <v>1031</v>
      </c>
      <c r="L27" s="15" t="s">
        <v>1031</v>
      </c>
      <c r="M27" s="15" t="s">
        <v>1031</v>
      </c>
      <c r="N27" s="15" t="s">
        <v>1031</v>
      </c>
      <c r="O27" s="15">
        <v>30</v>
      </c>
      <c r="P27" s="15">
        <v>53.6</v>
      </c>
    </row>
    <row r="28" spans="1:16" x14ac:dyDescent="0.2">
      <c r="E28" s="80"/>
      <c r="F28" s="47">
        <v>12550</v>
      </c>
      <c r="G28" s="15">
        <v>16</v>
      </c>
      <c r="H28" s="15">
        <v>60</v>
      </c>
      <c r="I28" s="15">
        <v>20</v>
      </c>
      <c r="J28" s="15">
        <v>74.599999999999994</v>
      </c>
      <c r="K28" s="15">
        <v>14</v>
      </c>
      <c r="L28" s="15">
        <v>51.1</v>
      </c>
      <c r="M28" s="15" t="s">
        <v>1031</v>
      </c>
      <c r="N28" s="15" t="s">
        <v>1031</v>
      </c>
      <c r="O28" s="15">
        <v>58</v>
      </c>
      <c r="P28" s="15">
        <v>53.7</v>
      </c>
    </row>
    <row r="29" spans="1:16" x14ac:dyDescent="0.2">
      <c r="E29" s="80"/>
      <c r="F29" s="47">
        <v>12771</v>
      </c>
      <c r="G29" s="15" t="s">
        <v>1031</v>
      </c>
      <c r="H29" s="15" t="s">
        <v>1031</v>
      </c>
      <c r="I29" s="15" t="s">
        <v>1031</v>
      </c>
      <c r="J29" s="15" t="s">
        <v>1031</v>
      </c>
      <c r="K29" s="15">
        <v>12</v>
      </c>
      <c r="L29" s="15">
        <v>83</v>
      </c>
      <c r="M29" s="15" t="s">
        <v>1031</v>
      </c>
      <c r="N29" s="15" t="s">
        <v>1031</v>
      </c>
      <c r="O29" s="15">
        <v>39</v>
      </c>
      <c r="P29" s="15">
        <v>67.2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tbl-clrd-mortal-aar</v>
      </c>
    </row>
    <row r="4" spans="1:17" x14ac:dyDescent="0.2">
      <c r="A4" s="16" t="s">
        <v>7</v>
      </c>
      <c r="B4" t="str">
        <f>IF($B$1="","",_xlfn.XLOOKUP($B$1,Master!$F$2:$F$321,Master!$H$2:$H$321,""))</f>
        <v>fig-clrd-mortal-aar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37.9</v>
      </c>
      <c r="H6" s="15">
        <v>26.5</v>
      </c>
      <c r="I6" s="15">
        <v>29</v>
      </c>
      <c r="J6" s="15">
        <v>22.9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election activeCell="M16" sqref="M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tbl-clrd-mortal-sex-aar</v>
      </c>
    </row>
    <row r="4" spans="1:17" x14ac:dyDescent="0.2">
      <c r="A4" s="16" t="s">
        <v>7</v>
      </c>
      <c r="B4" t="str">
        <f>IF($B$1="","",_xlfn.XLOOKUP($B$1,Master!$F$2:$F$321,Master!$H$2:$H$321,""))</f>
        <v>fig-clrd-mortal-sex-aar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40</v>
      </c>
      <c r="H6" s="15">
        <v>33</v>
      </c>
      <c r="I6" s="15">
        <v>29</v>
      </c>
      <c r="J6" s="15">
        <v>25.9</v>
      </c>
      <c r="K6" s="15"/>
      <c r="L6" s="15"/>
      <c r="M6" s="15"/>
      <c r="N6" s="15"/>
      <c r="O6" s="15"/>
    </row>
    <row r="7" spans="1:17" ht="15.75" customHeight="1" x14ac:dyDescent="0.2">
      <c r="E7" s="80"/>
      <c r="F7" t="s">
        <v>1306</v>
      </c>
      <c r="G7" s="15">
        <v>37</v>
      </c>
      <c r="H7" s="15">
        <v>24.2</v>
      </c>
      <c r="I7" s="15">
        <v>29.5</v>
      </c>
      <c r="J7" s="15">
        <v>21.5</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1727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tbl-asthma-hosp-rande-aar</v>
      </c>
    </row>
    <row r="4" spans="1:17" x14ac:dyDescent="0.2">
      <c r="A4" s="16" t="s">
        <v>7</v>
      </c>
      <c r="B4" t="str">
        <f>IF($B$1="","",_xlfn.XLOOKUP($B$1,Master!$F$2:$F$321,Master!$H$2:$H$321,""))</f>
        <v>fig-asthma-hosp-rande-aar</v>
      </c>
      <c r="E4" s="8"/>
      <c r="F4" s="10" t="s">
        <v>968</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5.0999999999999996</v>
      </c>
      <c r="H6" s="15">
        <v>3.4</v>
      </c>
      <c r="I6" s="15">
        <v>10.8</v>
      </c>
      <c r="J6" s="15" t="s">
        <v>1728</v>
      </c>
      <c r="K6" s="15">
        <v>5.0999999999999996</v>
      </c>
      <c r="L6" s="15"/>
      <c r="M6" s="15"/>
      <c r="N6" s="15"/>
      <c r="O6" s="15"/>
    </row>
    <row r="7" spans="1:17" ht="15.75" customHeight="1" x14ac:dyDescent="0.2">
      <c r="E7" s="80"/>
      <c r="F7" t="s">
        <v>1298</v>
      </c>
      <c r="G7" s="15">
        <v>4.2</v>
      </c>
      <c r="H7" s="15">
        <v>2.4</v>
      </c>
      <c r="I7" s="15">
        <v>11.9</v>
      </c>
      <c r="J7" s="15">
        <v>2.4</v>
      </c>
      <c r="K7" s="15">
        <v>5.4</v>
      </c>
      <c r="L7" s="15"/>
      <c r="M7" s="15"/>
      <c r="N7" s="15"/>
      <c r="O7" s="15"/>
    </row>
    <row r="8" spans="1:17" x14ac:dyDescent="0.2">
      <c r="E8" s="80"/>
      <c r="F8" t="s">
        <v>1299</v>
      </c>
      <c r="G8" s="15">
        <v>6.6</v>
      </c>
      <c r="H8" s="15">
        <v>2.2999999999999998</v>
      </c>
      <c r="I8" s="15">
        <v>13.8</v>
      </c>
      <c r="J8" s="15">
        <v>2.4</v>
      </c>
      <c r="K8" s="15">
        <v>9.9</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1729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M28" sqref="M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tbl-asthma-hosp-0to17-rande-aar</v>
      </c>
    </row>
    <row r="4" spans="1:17" x14ac:dyDescent="0.2">
      <c r="A4" s="16" t="s">
        <v>7</v>
      </c>
      <c r="B4" t="str">
        <f>IF($B$1="","",_xlfn.XLOOKUP($B$1,Master!$F$2:$F$321,Master!$H$2:$H$321,""))</f>
        <v>fig-asthma-hosp-0to17-rande-aar</v>
      </c>
      <c r="E4" s="8"/>
      <c r="F4" s="10" t="s">
        <v>968</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9.5</v>
      </c>
      <c r="H6" s="15">
        <v>6.5</v>
      </c>
      <c r="I6" s="15">
        <v>17.899999999999999</v>
      </c>
      <c r="J6" s="15" t="s">
        <v>1031</v>
      </c>
      <c r="K6" s="15">
        <v>8.6</v>
      </c>
      <c r="L6" s="15"/>
      <c r="M6" s="15"/>
      <c r="N6" s="15"/>
      <c r="O6" s="15"/>
    </row>
    <row r="7" spans="1:17" ht="15.75" customHeight="1" x14ac:dyDescent="0.2">
      <c r="E7" s="80"/>
      <c r="F7" t="s">
        <v>1298</v>
      </c>
      <c r="G7" s="15">
        <v>8.5</v>
      </c>
      <c r="H7" s="15">
        <v>4.5999999999999996</v>
      </c>
      <c r="I7" s="15">
        <v>22.2</v>
      </c>
      <c r="J7" s="15">
        <v>5.4</v>
      </c>
      <c r="K7" s="15">
        <v>9.1999999999999993</v>
      </c>
      <c r="L7" s="15"/>
      <c r="M7" s="15"/>
      <c r="N7" s="15"/>
      <c r="O7" s="15"/>
    </row>
    <row r="8" spans="1:17" x14ac:dyDescent="0.2">
      <c r="E8" s="80"/>
      <c r="F8" t="s">
        <v>1299</v>
      </c>
      <c r="G8" s="15">
        <v>13.4</v>
      </c>
      <c r="H8" s="15">
        <v>4.5</v>
      </c>
      <c r="I8" s="15">
        <v>26.7</v>
      </c>
      <c r="J8" s="15">
        <v>5.4</v>
      </c>
      <c r="K8" s="15">
        <v>16.100000000000001</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1729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tbl-ppasthma-2to17-crude</v>
      </c>
    </row>
    <row r="4" spans="1:17" x14ac:dyDescent="0.2">
      <c r="A4" s="16" t="s">
        <v>7</v>
      </c>
      <c r="B4" t="str">
        <f>IF($B$1="","",_xlfn.XLOOKUP($B$1,Master!$F$2:$F$321,Master!$H$2:$H$321,""))</f>
        <v>fig-ppasthma-2to17-crude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1297</v>
      </c>
      <c r="G6" s="15">
        <v>5.6</v>
      </c>
      <c r="H6" s="15">
        <v>9.4</v>
      </c>
      <c r="I6" s="15">
        <v>9.5</v>
      </c>
      <c r="J6" s="15">
        <v>7.1</v>
      </c>
      <c r="K6" s="15"/>
      <c r="L6" s="15"/>
      <c r="M6" s="15"/>
      <c r="N6" s="15"/>
      <c r="O6" s="15"/>
    </row>
    <row r="7" spans="1:17" ht="15.75" customHeight="1" x14ac:dyDescent="0.2">
      <c r="E7" s="80"/>
      <c r="F7" t="s">
        <v>1645</v>
      </c>
      <c r="G7" s="15">
        <v>5.9</v>
      </c>
      <c r="H7" s="15">
        <v>10.3</v>
      </c>
      <c r="I7" s="15">
        <v>10.199999999999999</v>
      </c>
      <c r="J7" s="15">
        <v>9.3000000000000007</v>
      </c>
      <c r="K7" s="15"/>
      <c r="L7" s="15"/>
      <c r="M7" s="15"/>
      <c r="N7" s="15"/>
      <c r="O7" s="15"/>
    </row>
    <row r="8" spans="1:17" x14ac:dyDescent="0.2">
      <c r="E8" s="80"/>
      <c r="F8" t="s">
        <v>1298</v>
      </c>
      <c r="G8" s="15">
        <v>6.5</v>
      </c>
      <c r="H8" s="15">
        <v>10</v>
      </c>
      <c r="I8" s="15">
        <v>10.1</v>
      </c>
      <c r="J8" s="15">
        <v>9.9</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1732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tbl-pppneumonia-adult-aar</v>
      </c>
    </row>
    <row r="4" spans="1:17" x14ac:dyDescent="0.2">
      <c r="A4" s="16" t="s">
        <v>7</v>
      </c>
      <c r="B4" t="str">
        <f>IF($B$1="","",_xlfn.XLOOKUP($B$1,Master!$F$2:$F$321,Master!$H$2:$H$321,""))</f>
        <v>fig-pppneumonia-adult-aar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1297</v>
      </c>
      <c r="G6" s="15">
        <v>12.2</v>
      </c>
      <c r="H6" s="15">
        <v>13.9</v>
      </c>
      <c r="I6" s="15">
        <v>15.7</v>
      </c>
      <c r="J6" s="15">
        <v>17.399999999999999</v>
      </c>
      <c r="K6" s="15"/>
      <c r="L6" s="15"/>
      <c r="M6" s="15"/>
      <c r="N6" s="15"/>
      <c r="O6" s="15"/>
    </row>
    <row r="7" spans="1:17" ht="15.75" customHeight="1" x14ac:dyDescent="0.2">
      <c r="E7" s="80"/>
      <c r="F7" t="s">
        <v>1645</v>
      </c>
      <c r="G7" s="15">
        <v>7.9</v>
      </c>
      <c r="H7" s="15">
        <v>8.6</v>
      </c>
      <c r="I7" s="15">
        <v>10.4</v>
      </c>
      <c r="J7" s="15">
        <v>10.6</v>
      </c>
      <c r="K7" s="15"/>
      <c r="L7" s="15"/>
      <c r="M7" s="15"/>
      <c r="N7" s="15"/>
      <c r="O7" s="15"/>
    </row>
    <row r="8" spans="1:17" x14ac:dyDescent="0.2">
      <c r="E8" s="80"/>
      <c r="F8" t="s">
        <v>1298</v>
      </c>
      <c r="G8" s="15">
        <v>8.8000000000000007</v>
      </c>
      <c r="H8" s="15">
        <v>9.4</v>
      </c>
      <c r="I8" s="15">
        <v>11.2</v>
      </c>
      <c r="J8" s="15">
        <v>11.3</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1732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election activeCell="N33" sqref="N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1077</v>
      </c>
      <c r="B1" s="79" t="s">
        <v>232</v>
      </c>
      <c r="C1" s="80"/>
      <c r="D1" s="80"/>
      <c r="E1" s="80"/>
      <c r="F1" s="80"/>
      <c r="G1" s="82"/>
      <c r="H1" s="82"/>
      <c r="I1" s="82"/>
      <c r="J1" s="82"/>
      <c r="K1" s="82"/>
      <c r="L1" s="82"/>
      <c r="M1" s="82"/>
      <c r="N1" s="82"/>
      <c r="O1" s="82"/>
    </row>
    <row r="2" spans="1:21" x14ac:dyDescent="0.2">
      <c r="A2" s="16" t="s">
        <v>1078</v>
      </c>
      <c r="B2" t="s">
        <v>9</v>
      </c>
    </row>
    <row r="3" spans="1:21" x14ac:dyDescent="0.2">
      <c r="A3" s="16" t="s">
        <v>1080</v>
      </c>
      <c r="B3" t="str">
        <f>IF($B$1="","",_xlfn.XLOOKUP($B$1,Master!$F$2:$F$321,Master!$G$2:$G$321,""))</f>
        <v>tbl-pneumoniaflu-count-rate-age-rande-zip</v>
      </c>
    </row>
    <row r="4" spans="1:21" x14ac:dyDescent="0.2">
      <c r="A4" s="16" t="s">
        <v>7</v>
      </c>
      <c r="B4" t="str">
        <f>IF($B$1="","",_xlfn.XLOOKUP($B$1,Master!$F$2:$F$321,Master!$H$2:$H$321,""))</f>
        <v>fig-pneumoniaflu-count-rate-age-rande-zip</v>
      </c>
      <c r="E4" s="8"/>
      <c r="F4" s="10" t="s">
        <v>968</v>
      </c>
      <c r="G4" s="51" t="s">
        <v>968</v>
      </c>
      <c r="H4" s="51" t="s">
        <v>979</v>
      </c>
      <c r="I4" s="51" t="s">
        <v>968</v>
      </c>
      <c r="J4" s="51" t="s">
        <v>979</v>
      </c>
      <c r="K4" s="51" t="s">
        <v>968</v>
      </c>
      <c r="L4" s="51" t="s">
        <v>979</v>
      </c>
      <c r="M4" s="51" t="s">
        <v>968</v>
      </c>
      <c r="N4" s="51" t="s">
        <v>979</v>
      </c>
      <c r="O4" s="51" t="s">
        <v>968</v>
      </c>
      <c r="P4" s="51" t="s">
        <v>979</v>
      </c>
      <c r="Q4" s="10"/>
    </row>
    <row r="5" spans="1:21" x14ac:dyDescent="0.2">
      <c r="A5" s="84" t="s">
        <v>1081</v>
      </c>
      <c r="B5" s="80"/>
      <c r="E5" s="83" t="s">
        <v>1082</v>
      </c>
      <c r="F5" s="85" t="s">
        <v>1391</v>
      </c>
      <c r="G5" s="82">
        <v>2020</v>
      </c>
      <c r="H5" s="82"/>
      <c r="I5" s="82">
        <v>2021</v>
      </c>
      <c r="J5" s="82"/>
      <c r="K5" s="82">
        <v>2022</v>
      </c>
      <c r="L5" s="82"/>
      <c r="M5" s="82">
        <v>2023</v>
      </c>
      <c r="N5" s="82"/>
      <c r="O5" s="82" t="s">
        <v>2357</v>
      </c>
      <c r="P5" s="82"/>
    </row>
    <row r="6" spans="1:21"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21" ht="15.75" customHeight="1" x14ac:dyDescent="0.2">
      <c r="E7" s="80"/>
      <c r="F7" s="56" t="s">
        <v>1698</v>
      </c>
      <c r="G7" s="15">
        <v>68</v>
      </c>
      <c r="H7" s="15">
        <v>17.8</v>
      </c>
      <c r="I7" s="15">
        <v>39</v>
      </c>
      <c r="J7" s="15">
        <v>9.8000000000000007</v>
      </c>
      <c r="K7" s="15">
        <v>65</v>
      </c>
      <c r="L7" s="15">
        <v>16.2</v>
      </c>
      <c r="M7" s="15">
        <v>73</v>
      </c>
      <c r="N7" s="15">
        <v>18.100000000000001</v>
      </c>
      <c r="O7" s="15">
        <v>245</v>
      </c>
      <c r="P7" s="15">
        <v>15.5</v>
      </c>
    </row>
    <row r="8" spans="1:21" x14ac:dyDescent="0.2">
      <c r="E8" s="80"/>
      <c r="F8" s="91" t="s">
        <v>1276</v>
      </c>
      <c r="G8" s="91"/>
      <c r="H8" s="91"/>
      <c r="I8" s="91"/>
      <c r="J8" s="91"/>
      <c r="K8" s="91"/>
      <c r="L8" s="91"/>
      <c r="M8" s="91"/>
      <c r="N8" s="91"/>
      <c r="O8" s="91"/>
      <c r="P8" s="91"/>
    </row>
    <row r="9" spans="1:21" x14ac:dyDescent="0.2">
      <c r="A9" s="84" t="s">
        <v>1098</v>
      </c>
      <c r="B9" s="80"/>
      <c r="E9" s="80"/>
      <c r="F9" s="49" t="s">
        <v>1277</v>
      </c>
      <c r="G9" s="15" t="s">
        <v>1031</v>
      </c>
      <c r="H9" s="15">
        <v>0</v>
      </c>
      <c r="I9" s="15">
        <v>0</v>
      </c>
      <c r="J9" s="15">
        <v>0</v>
      </c>
      <c r="K9" s="15">
        <v>0</v>
      </c>
      <c r="L9" s="15">
        <v>0</v>
      </c>
      <c r="M9" s="15">
        <v>0</v>
      </c>
      <c r="N9" s="15">
        <v>0</v>
      </c>
      <c r="O9" s="15">
        <v>0</v>
      </c>
      <c r="P9" s="15">
        <v>0</v>
      </c>
      <c r="U9" s="45"/>
    </row>
    <row r="10" spans="1:21" x14ac:dyDescent="0.2">
      <c r="A10" t="s">
        <v>1100</v>
      </c>
      <c r="E10" s="80"/>
      <c r="F10" s="49" t="s">
        <v>1699</v>
      </c>
      <c r="G10" s="15" t="s">
        <v>1031</v>
      </c>
      <c r="H10" s="15" t="s">
        <v>1031</v>
      </c>
      <c r="I10" s="15">
        <v>0</v>
      </c>
      <c r="J10" s="15">
        <v>0</v>
      </c>
      <c r="K10" s="15">
        <v>0</v>
      </c>
      <c r="L10" s="15">
        <v>0</v>
      </c>
      <c r="M10" s="15">
        <v>0</v>
      </c>
      <c r="N10" s="15">
        <v>0</v>
      </c>
      <c r="O10" s="15" t="s">
        <v>1031</v>
      </c>
      <c r="P10" s="15" t="s">
        <v>1031</v>
      </c>
      <c r="U10" s="45"/>
    </row>
    <row r="11" spans="1:21" x14ac:dyDescent="0.2">
      <c r="A11" t="s">
        <v>1102</v>
      </c>
      <c r="E11" s="80"/>
      <c r="F11" s="49" t="s">
        <v>1700</v>
      </c>
      <c r="G11" s="15">
        <v>0</v>
      </c>
      <c r="H11" s="15">
        <v>0</v>
      </c>
      <c r="I11" s="15">
        <v>0</v>
      </c>
      <c r="J11" s="15">
        <v>0</v>
      </c>
      <c r="K11" s="15">
        <v>0</v>
      </c>
      <c r="L11" s="15">
        <v>0</v>
      </c>
      <c r="M11" s="15">
        <v>0</v>
      </c>
      <c r="N11" s="15">
        <v>0</v>
      </c>
      <c r="O11" s="15">
        <v>0</v>
      </c>
      <c r="P11" s="15">
        <v>0</v>
      </c>
    </row>
    <row r="12" spans="1:21" x14ac:dyDescent="0.2">
      <c r="A12" t="s">
        <v>1104</v>
      </c>
      <c r="E12" s="80"/>
      <c r="F12" s="55" t="s">
        <v>1701</v>
      </c>
      <c r="G12" s="15">
        <v>0</v>
      </c>
      <c r="H12" s="15">
        <v>0</v>
      </c>
      <c r="I12" s="15">
        <v>0</v>
      </c>
      <c r="J12" s="15">
        <v>0</v>
      </c>
      <c r="K12" s="15">
        <v>0</v>
      </c>
      <c r="L12" s="15">
        <v>0</v>
      </c>
      <c r="M12" s="15">
        <v>0</v>
      </c>
      <c r="N12" s="15">
        <v>0</v>
      </c>
      <c r="O12" s="15">
        <v>0</v>
      </c>
      <c r="P12" s="15">
        <v>0</v>
      </c>
    </row>
    <row r="13" spans="1:21"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21" x14ac:dyDescent="0.2">
      <c r="A14" t="s">
        <v>1112</v>
      </c>
      <c r="E14" s="80"/>
      <c r="F14" s="49" t="s">
        <v>1703</v>
      </c>
      <c r="G14" s="15">
        <v>0</v>
      </c>
      <c r="H14" s="15">
        <v>0</v>
      </c>
      <c r="I14" s="15" t="s">
        <v>1031</v>
      </c>
      <c r="J14" s="15" t="s">
        <v>1031</v>
      </c>
      <c r="K14" s="15" t="s">
        <v>1031</v>
      </c>
      <c r="L14" s="15" t="s">
        <v>1031</v>
      </c>
      <c r="M14" s="15" t="s">
        <v>1031</v>
      </c>
      <c r="N14" s="15" t="s">
        <v>1031</v>
      </c>
      <c r="O14" s="15" t="s">
        <v>1031</v>
      </c>
      <c r="P14" s="15" t="s">
        <v>1031</v>
      </c>
    </row>
    <row r="15" spans="1:21" x14ac:dyDescent="0.2">
      <c r="A15" t="s">
        <v>1114</v>
      </c>
      <c r="E15" s="80"/>
      <c r="F15" s="49" t="s">
        <v>1704</v>
      </c>
      <c r="G15" s="15" t="s">
        <v>1031</v>
      </c>
      <c r="H15" s="15" t="s">
        <v>1031</v>
      </c>
      <c r="I15" s="15">
        <v>0</v>
      </c>
      <c r="J15" s="15">
        <v>0</v>
      </c>
      <c r="K15" s="15" t="s">
        <v>1031</v>
      </c>
      <c r="L15" s="15" t="s">
        <v>1031</v>
      </c>
      <c r="M15" s="15" t="s">
        <v>1031</v>
      </c>
      <c r="N15" s="15" t="s">
        <v>1031</v>
      </c>
      <c r="O15" s="15" t="s">
        <v>1031</v>
      </c>
      <c r="P15" s="15" t="s">
        <v>1031</v>
      </c>
    </row>
    <row r="16" spans="1:21" x14ac:dyDescent="0.2">
      <c r="A16" t="s">
        <v>1116</v>
      </c>
      <c r="E16" s="80"/>
      <c r="F16" s="49" t="s">
        <v>1705</v>
      </c>
      <c r="G16" s="15" t="s">
        <v>1031</v>
      </c>
      <c r="H16" s="15" t="s">
        <v>1031</v>
      </c>
      <c r="I16" s="15" t="s">
        <v>1031</v>
      </c>
      <c r="J16" s="15" t="s">
        <v>1031</v>
      </c>
      <c r="K16" s="15" t="s">
        <v>1031</v>
      </c>
      <c r="L16" s="15" t="s">
        <v>1031</v>
      </c>
      <c r="M16" s="15" t="s">
        <v>1031</v>
      </c>
      <c r="N16" s="15" t="s">
        <v>1031</v>
      </c>
      <c r="O16" s="15">
        <v>21</v>
      </c>
      <c r="P16" s="15">
        <v>10.3</v>
      </c>
    </row>
    <row r="17" spans="1:16" x14ac:dyDescent="0.2">
      <c r="E17" s="80"/>
      <c r="F17" s="49" t="s">
        <v>1706</v>
      </c>
      <c r="G17" s="15">
        <v>14</v>
      </c>
      <c r="H17" s="15">
        <v>44.4</v>
      </c>
      <c r="I17" s="15" t="s">
        <v>1031</v>
      </c>
      <c r="J17" s="15" t="s">
        <v>1031</v>
      </c>
      <c r="K17" s="15">
        <v>16</v>
      </c>
      <c r="L17" s="15">
        <v>47.3</v>
      </c>
      <c r="M17" s="15" t="s">
        <v>1031</v>
      </c>
      <c r="N17" s="15" t="s">
        <v>1031</v>
      </c>
      <c r="O17" s="15">
        <v>44</v>
      </c>
      <c r="P17" s="15">
        <v>33.1</v>
      </c>
    </row>
    <row r="18" spans="1:16" x14ac:dyDescent="0.2">
      <c r="A18" s="84" t="s">
        <v>1119</v>
      </c>
      <c r="B18" s="80"/>
      <c r="E18" s="80"/>
      <c r="F18" s="49" t="s">
        <v>1707</v>
      </c>
      <c r="G18" s="15">
        <v>23</v>
      </c>
      <c r="H18" s="15">
        <v>156</v>
      </c>
      <c r="I18" s="15">
        <v>13</v>
      </c>
      <c r="J18" s="15">
        <v>85.2</v>
      </c>
      <c r="K18" s="15">
        <v>21</v>
      </c>
      <c r="L18" s="15">
        <v>132.5</v>
      </c>
      <c r="M18" s="15">
        <v>26</v>
      </c>
      <c r="N18" s="15">
        <v>158.6</v>
      </c>
      <c r="O18" s="15">
        <v>83</v>
      </c>
      <c r="P18" s="15">
        <v>133.1</v>
      </c>
    </row>
    <row r="19" spans="1:16" x14ac:dyDescent="0.2">
      <c r="A19" t="s">
        <v>1121</v>
      </c>
      <c r="B19" t="s">
        <v>1287</v>
      </c>
      <c r="E19" s="80"/>
      <c r="F19" s="49" t="s">
        <v>1288</v>
      </c>
      <c r="G19" s="15">
        <v>23</v>
      </c>
      <c r="H19" s="15">
        <v>321.7</v>
      </c>
      <c r="I19" s="15">
        <v>13</v>
      </c>
      <c r="J19" s="15">
        <v>190.8</v>
      </c>
      <c r="K19" s="15">
        <v>18</v>
      </c>
      <c r="L19" s="15">
        <v>256.39999999999998</v>
      </c>
      <c r="M19" s="15">
        <v>29</v>
      </c>
      <c r="N19" s="15">
        <v>432.3</v>
      </c>
      <c r="O19" s="15">
        <v>83</v>
      </c>
      <c r="P19" s="15">
        <v>300.3</v>
      </c>
    </row>
    <row r="20" spans="1:16" x14ac:dyDescent="0.2">
      <c r="E20" s="80"/>
      <c r="F20" s="91" t="s">
        <v>1289</v>
      </c>
      <c r="G20" s="91"/>
      <c r="H20" s="91"/>
      <c r="I20" s="91"/>
      <c r="J20" s="91"/>
      <c r="K20" s="91"/>
      <c r="L20" s="91"/>
      <c r="M20" s="91"/>
      <c r="N20" s="91"/>
      <c r="O20" s="91"/>
      <c r="P20" s="91"/>
    </row>
    <row r="21" spans="1:16" x14ac:dyDescent="0.2">
      <c r="A21" s="82" t="s">
        <v>1125</v>
      </c>
      <c r="B21" s="80"/>
      <c r="E21" s="80"/>
      <c r="F21" s="47" t="s">
        <v>1290</v>
      </c>
      <c r="G21" s="15">
        <v>56</v>
      </c>
      <c r="H21" s="15">
        <v>23.2</v>
      </c>
      <c r="I21" s="15">
        <v>31</v>
      </c>
      <c r="J21" s="15">
        <v>12.5</v>
      </c>
      <c r="K21" s="15">
        <v>50</v>
      </c>
      <c r="L21" s="15">
        <v>20.6</v>
      </c>
      <c r="M21" s="15">
        <v>59</v>
      </c>
      <c r="N21" s="15">
        <v>24.7</v>
      </c>
      <c r="O21" s="15">
        <v>196</v>
      </c>
      <c r="P21" s="15">
        <v>20.2</v>
      </c>
    </row>
    <row r="22" spans="1:16" x14ac:dyDescent="0.2">
      <c r="A22" t="s">
        <v>1135</v>
      </c>
      <c r="B22" t="s">
        <v>1735</v>
      </c>
      <c r="E22" s="80"/>
      <c r="F22" s="47" t="s">
        <v>1292</v>
      </c>
      <c r="G22" s="15" t="s">
        <v>1031</v>
      </c>
      <c r="H22" s="15" t="s">
        <v>1031</v>
      </c>
      <c r="I22" s="15" t="s">
        <v>1031</v>
      </c>
      <c r="J22" s="15" t="s">
        <v>1031</v>
      </c>
      <c r="K22" s="15" t="s">
        <v>1031</v>
      </c>
      <c r="L22" s="15" t="s">
        <v>1031</v>
      </c>
      <c r="M22" s="15" t="s">
        <v>1031</v>
      </c>
      <c r="N22" s="15" t="s">
        <v>1031</v>
      </c>
      <c r="O22" s="15">
        <v>18</v>
      </c>
      <c r="P22" s="15">
        <v>11</v>
      </c>
    </row>
    <row r="23" spans="1:16" x14ac:dyDescent="0.2">
      <c r="E23" s="80"/>
      <c r="F23" s="47" t="s">
        <v>1293</v>
      </c>
      <c r="G23" s="15" t="s">
        <v>1031</v>
      </c>
      <c r="H23" s="15" t="s">
        <v>1031</v>
      </c>
      <c r="I23" s="15" t="s">
        <v>1031</v>
      </c>
      <c r="J23" s="15" t="s">
        <v>1031</v>
      </c>
      <c r="K23" s="15" t="s">
        <v>1031</v>
      </c>
      <c r="L23" s="15" t="s">
        <v>1031</v>
      </c>
      <c r="M23" s="15" t="s">
        <v>1031</v>
      </c>
      <c r="N23" s="15" t="s">
        <v>1031</v>
      </c>
      <c r="O23" s="15">
        <v>26</v>
      </c>
      <c r="P23" s="15">
        <v>7.5</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91" t="s">
        <v>1294</v>
      </c>
      <c r="G25" s="91"/>
      <c r="H25" s="91"/>
      <c r="I25" s="91"/>
      <c r="J25" s="91"/>
      <c r="K25" s="91"/>
      <c r="L25" s="91"/>
      <c r="M25" s="91"/>
      <c r="N25" s="91"/>
      <c r="O25" s="91"/>
      <c r="P25" s="91"/>
    </row>
    <row r="26" spans="1:16" x14ac:dyDescent="0.2">
      <c r="E26" s="80"/>
      <c r="F26" s="47">
        <v>10940</v>
      </c>
      <c r="G26" s="15" t="s">
        <v>1031</v>
      </c>
      <c r="H26" s="15" t="s">
        <v>1031</v>
      </c>
      <c r="I26" s="15" t="s">
        <v>1031</v>
      </c>
      <c r="J26" s="15" t="s">
        <v>1031</v>
      </c>
      <c r="K26" s="15" t="s">
        <v>1031</v>
      </c>
      <c r="L26" s="15" t="s">
        <v>1031</v>
      </c>
      <c r="M26" s="15">
        <v>11</v>
      </c>
      <c r="N26" s="15">
        <v>20.7</v>
      </c>
      <c r="O26" s="15">
        <v>38</v>
      </c>
      <c r="P26" s="15">
        <v>18.5</v>
      </c>
    </row>
    <row r="27" spans="1:16" x14ac:dyDescent="0.2">
      <c r="A27" s="82"/>
      <c r="B27" s="80"/>
      <c r="E27" s="80"/>
      <c r="F27" s="47">
        <v>10950</v>
      </c>
      <c r="G27" s="15" t="s">
        <v>1031</v>
      </c>
      <c r="H27" s="15" t="s">
        <v>1031</v>
      </c>
      <c r="I27" s="15" t="s">
        <v>1031</v>
      </c>
      <c r="J27" s="15" t="s">
        <v>1031</v>
      </c>
      <c r="K27" s="15" t="s">
        <v>1031</v>
      </c>
      <c r="L27" s="15" t="s">
        <v>1031</v>
      </c>
      <c r="M27" s="15" t="s">
        <v>1031</v>
      </c>
      <c r="N27" s="15" t="s">
        <v>1031</v>
      </c>
      <c r="O27" s="15">
        <v>17</v>
      </c>
      <c r="P27" s="15">
        <v>29.8</v>
      </c>
    </row>
    <row r="28" spans="1:16" x14ac:dyDescent="0.2">
      <c r="E28" s="80"/>
      <c r="F28" s="47">
        <v>12550</v>
      </c>
      <c r="G28" s="15" t="s">
        <v>1031</v>
      </c>
      <c r="H28" s="15" t="s">
        <v>1031</v>
      </c>
      <c r="I28" s="15" t="s">
        <v>1031</v>
      </c>
      <c r="J28" s="15" t="s">
        <v>1031</v>
      </c>
      <c r="K28" s="15">
        <v>14</v>
      </c>
      <c r="L28" s="15">
        <v>51.1</v>
      </c>
      <c r="M28" s="15" t="s">
        <v>1031</v>
      </c>
      <c r="N28" s="15" t="s">
        <v>1031</v>
      </c>
      <c r="O28" s="15">
        <v>35</v>
      </c>
      <c r="P28" s="15">
        <v>32.200000000000003</v>
      </c>
    </row>
    <row r="29" spans="1:16" x14ac:dyDescent="0.2">
      <c r="E29" s="80"/>
      <c r="F29" s="47">
        <v>12771</v>
      </c>
      <c r="G29" s="15" t="s">
        <v>1031</v>
      </c>
      <c r="H29" s="15" t="s">
        <v>1031</v>
      </c>
      <c r="I29" s="15" t="s">
        <v>1031</v>
      </c>
      <c r="J29" s="15" t="s">
        <v>1031</v>
      </c>
      <c r="K29" s="15" t="s">
        <v>1031</v>
      </c>
      <c r="L29" s="15" t="s">
        <v>1031</v>
      </c>
      <c r="M29" s="15" t="s">
        <v>1031</v>
      </c>
      <c r="N29" s="15" t="s">
        <v>1031</v>
      </c>
      <c r="O29" s="15">
        <v>14</v>
      </c>
      <c r="P29" s="15">
        <v>24.3</v>
      </c>
    </row>
    <row r="30" spans="1:16" x14ac:dyDescent="0.2">
      <c r="E30" s="80"/>
      <c r="F30" s="15"/>
    </row>
    <row r="31" spans="1:16" x14ac:dyDescent="0.2">
      <c r="E31" s="80"/>
      <c r="F31" s="15"/>
    </row>
    <row r="32" spans="1:16" x14ac:dyDescent="0.2">
      <c r="E32" s="80"/>
    </row>
    <row r="33" spans="5:9" x14ac:dyDescent="0.2">
      <c r="E33" s="80"/>
      <c r="F33" s="15"/>
    </row>
    <row r="34" spans="5:9" x14ac:dyDescent="0.2">
      <c r="E34" s="80"/>
      <c r="F34" s="15"/>
      <c r="I34" s="17"/>
    </row>
    <row r="35" spans="5:9" x14ac:dyDescent="0.2">
      <c r="E35" s="80"/>
      <c r="F35" s="15"/>
      <c r="I35" s="17"/>
    </row>
    <row r="36" spans="5:9" x14ac:dyDescent="0.2">
      <c r="E36" s="80"/>
      <c r="F36" s="15"/>
      <c r="I36" s="17"/>
    </row>
    <row r="37" spans="5:9" x14ac:dyDescent="0.2">
      <c r="E37" s="80"/>
      <c r="F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E5:E57"/>
    <mergeCell ref="O5:P5"/>
    <mergeCell ref="A9:B9"/>
    <mergeCell ref="A5:B5"/>
    <mergeCell ref="G5:H5"/>
    <mergeCell ref="K5:L5"/>
    <mergeCell ref="I5:J5"/>
    <mergeCell ref="M5:N5"/>
    <mergeCell ref="A18:B18"/>
    <mergeCell ref="A27:B27"/>
    <mergeCell ref="F5:F6"/>
    <mergeCell ref="F8:P8"/>
    <mergeCell ref="F20:P20"/>
    <mergeCell ref="F25:P25"/>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tbl-pneumoniaflu-mortal-aar</v>
      </c>
    </row>
    <row r="4" spans="1:17" x14ac:dyDescent="0.2">
      <c r="A4" s="16" t="s">
        <v>7</v>
      </c>
      <c r="B4" t="str">
        <f>IF($B$1="","",_xlfn.XLOOKUP($B$1,Master!$F$2:$F$321,Master!$H$2:$H$321,""))</f>
        <v>fig-pneumoniaflu-mortal-aar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16.8</v>
      </c>
      <c r="H6" s="15">
        <v>9.3000000000000007</v>
      </c>
      <c r="I6" s="15">
        <v>15</v>
      </c>
      <c r="J6" s="15">
        <v>17.399999999999999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tbl-pneumoniaflu-mortal-sex-aar</v>
      </c>
    </row>
    <row r="4" spans="1:17" x14ac:dyDescent="0.2">
      <c r="A4" s="16" t="s">
        <v>7</v>
      </c>
      <c r="B4" t="str">
        <f>IF($B$1="","",_xlfn.XLOOKUP($B$1,Master!$F$2:$F$321,Master!$H$2:$H$321,""))</f>
        <v>fig-pneumoniaflu-mortal-sex-aar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23.3</v>
      </c>
      <c r="H6" s="15">
        <v>9.4</v>
      </c>
      <c r="I6" s="15">
        <v>23.9</v>
      </c>
      <c r="J6" s="15">
        <v>21.7</v>
      </c>
      <c r="K6" s="15"/>
      <c r="L6" s="15"/>
      <c r="M6" s="15"/>
      <c r="N6" s="15"/>
      <c r="O6" s="15"/>
    </row>
    <row r="7" spans="1:17" ht="15.75" customHeight="1" x14ac:dyDescent="0.2">
      <c r="E7" s="80"/>
      <c r="F7" t="s">
        <v>1306</v>
      </c>
      <c r="G7" s="15">
        <v>12.3</v>
      </c>
      <c r="H7" s="15">
        <v>8.8000000000000007</v>
      </c>
      <c r="I7" s="15">
        <v>9.6</v>
      </c>
      <c r="J7" s="15">
        <v>14.1</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tbl-dm-anydx-hosp-rande-aar</v>
      </c>
    </row>
    <row r="4" spans="1:17" x14ac:dyDescent="0.2">
      <c r="A4" s="16" t="s">
        <v>7</v>
      </c>
      <c r="B4" t="str">
        <f>IF($B$1="","",_xlfn.XLOOKUP($B$1,Master!$F$2:$F$321,Master!$H$2:$H$321,""))</f>
        <v>fig-dm-anydx-hosp-rande-aar</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1289</v>
      </c>
      <c r="G5" t="s">
        <v>1297</v>
      </c>
      <c r="H5" t="s">
        <v>1298</v>
      </c>
      <c r="I5" t="s">
        <v>1299</v>
      </c>
    </row>
    <row r="6" spans="1:17" ht="15" customHeight="1" x14ac:dyDescent="0.2">
      <c r="A6" t="s">
        <v>1088</v>
      </c>
      <c r="B6" t="b">
        <v>0</v>
      </c>
      <c r="E6" s="80"/>
      <c r="F6" t="s">
        <v>1089</v>
      </c>
      <c r="G6" s="15">
        <v>195.4</v>
      </c>
      <c r="H6" s="15">
        <v>176.6</v>
      </c>
      <c r="I6" s="15">
        <v>196.6</v>
      </c>
      <c r="J6" s="15"/>
      <c r="K6" s="15"/>
      <c r="L6" s="15"/>
      <c r="M6" s="15"/>
      <c r="N6" s="15"/>
      <c r="O6" s="15"/>
    </row>
    <row r="7" spans="1:17" ht="15.75" customHeight="1" x14ac:dyDescent="0.2">
      <c r="E7" s="80"/>
      <c r="F7" t="s">
        <v>1290</v>
      </c>
      <c r="G7" s="15">
        <v>157.19999999999999</v>
      </c>
      <c r="H7" s="15">
        <v>145.5</v>
      </c>
      <c r="I7" s="15">
        <v>136.30000000000001</v>
      </c>
      <c r="J7" s="15"/>
      <c r="K7" s="15"/>
      <c r="L7" s="15"/>
      <c r="M7" s="15"/>
      <c r="N7" s="15"/>
      <c r="O7" s="15"/>
    </row>
    <row r="8" spans="1:17" x14ac:dyDescent="0.2">
      <c r="E8" s="80"/>
      <c r="F8" t="s">
        <v>1292</v>
      </c>
      <c r="G8" s="15">
        <v>298.3</v>
      </c>
      <c r="H8" s="15">
        <v>334.5</v>
      </c>
      <c r="I8" s="15">
        <v>295.3</v>
      </c>
      <c r="J8" s="15"/>
      <c r="K8" s="15"/>
      <c r="L8" s="15"/>
      <c r="M8" s="15"/>
      <c r="N8" s="15"/>
      <c r="O8" s="15"/>
    </row>
    <row r="9" spans="1:17" x14ac:dyDescent="0.2">
      <c r="A9" s="84" t="s">
        <v>1098</v>
      </c>
      <c r="B9" s="80"/>
      <c r="E9" s="80"/>
      <c r="F9" t="s">
        <v>1296</v>
      </c>
      <c r="G9" s="15">
        <v>91.1</v>
      </c>
      <c r="H9" s="15">
        <v>112</v>
      </c>
      <c r="I9" s="15">
        <v>110.2</v>
      </c>
      <c r="J9" s="15"/>
      <c r="K9" s="15"/>
      <c r="L9" s="15"/>
      <c r="M9" s="15"/>
      <c r="N9" s="15"/>
      <c r="O9" s="15"/>
    </row>
    <row r="10" spans="1:17" x14ac:dyDescent="0.2">
      <c r="A10" t="s">
        <v>1100</v>
      </c>
      <c r="B10" t="s">
        <v>1300</v>
      </c>
      <c r="E10" s="80"/>
      <c r="F10" t="s">
        <v>1293</v>
      </c>
      <c r="G10" s="15">
        <v>185.6</v>
      </c>
      <c r="H10">
        <v>183.9</v>
      </c>
      <c r="I10">
        <v>233.8</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1737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tbl-dm-primarydx-hosp-rande-aar</v>
      </c>
    </row>
    <row r="4" spans="1:17" x14ac:dyDescent="0.2">
      <c r="A4" s="16" t="s">
        <v>7</v>
      </c>
      <c r="B4" t="str">
        <f>IF($B$1="","",_xlfn.XLOOKUP($B$1,Master!$F$2:$F$321,Master!$H$2:$H$321,""))</f>
        <v>fig-dm-primarydx-hosp-rande-aar</v>
      </c>
      <c r="E4" s="8"/>
      <c r="F4" s="10" t="s">
        <v>968</v>
      </c>
      <c r="G4" s="10" t="s">
        <v>979</v>
      </c>
      <c r="H4" s="10" t="s">
        <v>979</v>
      </c>
      <c r="I4" s="10" t="s">
        <v>979</v>
      </c>
      <c r="J4" s="10"/>
      <c r="K4" s="10"/>
      <c r="L4" s="10"/>
      <c r="M4" s="10"/>
      <c r="N4" s="10"/>
      <c r="O4" s="10"/>
      <c r="P4" s="10"/>
      <c r="Q4" s="10"/>
    </row>
    <row r="5" spans="1:17" x14ac:dyDescent="0.2">
      <c r="A5" s="84" t="s">
        <v>1081</v>
      </c>
      <c r="B5" s="80"/>
      <c r="E5" s="83" t="s">
        <v>1082</v>
      </c>
      <c r="F5" t="s">
        <v>1289</v>
      </c>
      <c r="G5" t="s">
        <v>1297</v>
      </c>
      <c r="H5" t="s">
        <v>1298</v>
      </c>
      <c r="I5" t="s">
        <v>1299</v>
      </c>
    </row>
    <row r="6" spans="1:17" ht="15" customHeight="1" x14ac:dyDescent="0.2">
      <c r="A6" t="s">
        <v>1088</v>
      </c>
      <c r="B6" t="b">
        <v>0</v>
      </c>
      <c r="E6" s="80"/>
      <c r="F6" t="s">
        <v>1089</v>
      </c>
      <c r="G6" s="15">
        <v>16.100000000000001</v>
      </c>
      <c r="H6" s="15">
        <v>15.7</v>
      </c>
      <c r="I6" s="15">
        <v>17.600000000000001</v>
      </c>
      <c r="J6" s="15"/>
      <c r="K6" s="15"/>
      <c r="L6" s="15"/>
      <c r="M6" s="15"/>
      <c r="N6" s="15"/>
      <c r="O6" s="15"/>
    </row>
    <row r="7" spans="1:17" ht="15.75" customHeight="1" x14ac:dyDescent="0.2">
      <c r="E7" s="80"/>
      <c r="F7" t="s">
        <v>1290</v>
      </c>
      <c r="G7" s="15">
        <v>12.7</v>
      </c>
      <c r="H7" s="15">
        <v>12.3</v>
      </c>
      <c r="I7" s="15">
        <v>11.1</v>
      </c>
      <c r="J7" s="15"/>
      <c r="K7" s="15"/>
      <c r="L7" s="15"/>
      <c r="M7" s="15"/>
      <c r="N7" s="15"/>
      <c r="O7" s="15"/>
    </row>
    <row r="8" spans="1:17" x14ac:dyDescent="0.2">
      <c r="E8" s="80"/>
      <c r="F8" t="s">
        <v>1292</v>
      </c>
      <c r="G8" s="15">
        <v>27.1</v>
      </c>
      <c r="H8" s="15">
        <v>38.4</v>
      </c>
      <c r="I8" s="15">
        <v>33.4</v>
      </c>
      <c r="J8" s="15"/>
      <c r="K8" s="15"/>
      <c r="L8" s="15"/>
      <c r="M8" s="15"/>
      <c r="N8" s="15"/>
      <c r="O8" s="15"/>
    </row>
    <row r="9" spans="1:17" x14ac:dyDescent="0.2">
      <c r="A9" s="84" t="s">
        <v>1098</v>
      </c>
      <c r="B9" s="80"/>
      <c r="E9" s="80"/>
      <c r="F9" t="s">
        <v>1296</v>
      </c>
      <c r="G9" s="15">
        <v>6.5</v>
      </c>
      <c r="H9" s="15">
        <v>5</v>
      </c>
      <c r="I9" s="15">
        <v>5</v>
      </c>
      <c r="J9" s="15"/>
      <c r="K9" s="15"/>
      <c r="L9" s="15"/>
      <c r="M9" s="15"/>
      <c r="N9" s="15"/>
      <c r="O9" s="15"/>
    </row>
    <row r="10" spans="1:17" x14ac:dyDescent="0.2">
      <c r="A10" t="s">
        <v>1100</v>
      </c>
      <c r="B10" t="s">
        <v>1300</v>
      </c>
      <c r="E10" s="80"/>
      <c r="F10" t="s">
        <v>1293</v>
      </c>
      <c r="G10" s="15">
        <v>14.6</v>
      </c>
      <c r="H10">
        <v>16.399999999999999</v>
      </c>
      <c r="I10">
        <v>21.7</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1737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O5" sqref="O5: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247</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tbl-dm-count-rate-age-rande-zip</v>
      </c>
    </row>
    <row r="4" spans="1:17" x14ac:dyDescent="0.2">
      <c r="A4" s="16" t="s">
        <v>7</v>
      </c>
      <c r="B4" t="str">
        <f>IF($B$1="","",_xlfn.XLOOKUP($B$1,Master!$F$2:$F$321,Master!$H$2:$H$321,""))</f>
        <v>fig-dm-count-rate-age-rande-zip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F5" s="85" t="s">
        <v>1391</v>
      </c>
      <c r="G5" s="82">
        <v>2020</v>
      </c>
      <c r="H5" s="80"/>
      <c r="I5" s="82">
        <v>2021</v>
      </c>
      <c r="J5" s="80"/>
      <c r="K5" s="82">
        <v>2022</v>
      </c>
      <c r="L5" s="80"/>
      <c r="M5" s="82">
        <v>2023</v>
      </c>
      <c r="N5" s="80"/>
      <c r="O5" s="82" t="s">
        <v>2357</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87</v>
      </c>
      <c r="H7" s="15">
        <v>22.8</v>
      </c>
      <c r="I7" s="15">
        <v>70</v>
      </c>
      <c r="J7" s="15">
        <v>17.600000000000001</v>
      </c>
      <c r="K7" s="15">
        <v>75</v>
      </c>
      <c r="L7" s="15">
        <v>18.7</v>
      </c>
      <c r="M7" s="15">
        <v>69</v>
      </c>
      <c r="N7" s="15">
        <v>17.100000000000001</v>
      </c>
      <c r="O7" s="15">
        <v>301</v>
      </c>
      <c r="P7" s="15">
        <v>19</v>
      </c>
    </row>
    <row r="8" spans="1:17" x14ac:dyDescent="0.2">
      <c r="E8" s="80"/>
      <c r="F8" s="91" t="s">
        <v>1276</v>
      </c>
      <c r="G8" s="92"/>
      <c r="H8" s="92"/>
      <c r="I8" s="92"/>
      <c r="J8" s="92"/>
      <c r="K8" s="92"/>
      <c r="L8" s="92"/>
      <c r="M8" s="92"/>
      <c r="N8" s="92"/>
      <c r="O8" s="92"/>
      <c r="P8" s="92"/>
    </row>
    <row r="9" spans="1:17" x14ac:dyDescent="0.2">
      <c r="A9" s="84" t="s">
        <v>1098</v>
      </c>
      <c r="B9" s="80"/>
      <c r="E9" s="80"/>
      <c r="F9" s="49" t="s">
        <v>1277</v>
      </c>
      <c r="G9" s="15">
        <v>0</v>
      </c>
      <c r="H9" s="15">
        <v>0</v>
      </c>
      <c r="I9" s="15">
        <v>0</v>
      </c>
      <c r="J9" s="15">
        <v>0</v>
      </c>
      <c r="K9" s="15">
        <v>0</v>
      </c>
      <c r="L9" s="15">
        <v>0</v>
      </c>
      <c r="M9" s="15">
        <v>0</v>
      </c>
      <c r="N9" s="15">
        <v>0</v>
      </c>
      <c r="O9" s="15">
        <v>0</v>
      </c>
      <c r="P9">
        <v>0</v>
      </c>
    </row>
    <row r="10" spans="1:17" x14ac:dyDescent="0.2">
      <c r="A10" t="s">
        <v>1100</v>
      </c>
      <c r="E10" s="80"/>
      <c r="F10" s="49" t="s">
        <v>1699</v>
      </c>
      <c r="G10" s="15">
        <v>0</v>
      </c>
      <c r="H10" s="15">
        <v>0</v>
      </c>
      <c r="I10" s="15">
        <v>0</v>
      </c>
      <c r="J10" s="15">
        <v>0</v>
      </c>
      <c r="K10" s="15">
        <v>0</v>
      </c>
      <c r="L10" s="15">
        <v>0</v>
      </c>
      <c r="M10" s="15">
        <v>0</v>
      </c>
      <c r="N10" s="15">
        <v>0</v>
      </c>
      <c r="O10" s="15">
        <v>0</v>
      </c>
      <c r="P10">
        <v>0</v>
      </c>
    </row>
    <row r="11" spans="1:17" x14ac:dyDescent="0.2">
      <c r="A11" t="s">
        <v>1102</v>
      </c>
      <c r="E11" s="80"/>
      <c r="F11" s="49" t="s">
        <v>1700</v>
      </c>
      <c r="G11" s="15">
        <v>0</v>
      </c>
      <c r="H11" s="15">
        <v>0</v>
      </c>
      <c r="I11" s="17">
        <v>0</v>
      </c>
      <c r="J11" s="17">
        <v>0</v>
      </c>
      <c r="K11" s="17">
        <v>0</v>
      </c>
      <c r="L11" s="17">
        <v>0</v>
      </c>
      <c r="M11" s="17">
        <v>0</v>
      </c>
      <c r="N11" s="15">
        <v>0</v>
      </c>
      <c r="O11" s="15">
        <v>0</v>
      </c>
      <c r="P11">
        <v>0</v>
      </c>
    </row>
    <row r="12" spans="1:17" x14ac:dyDescent="0.2">
      <c r="A12" t="s">
        <v>1104</v>
      </c>
      <c r="E12" s="80"/>
      <c r="F12" s="55" t="s">
        <v>1701</v>
      </c>
      <c r="G12" s="17">
        <v>0</v>
      </c>
      <c r="H12" s="15">
        <v>0</v>
      </c>
      <c r="I12" s="15">
        <v>0</v>
      </c>
      <c r="J12" s="15">
        <v>0</v>
      </c>
      <c r="K12" s="15">
        <v>0</v>
      </c>
      <c r="L12" s="15">
        <v>0</v>
      </c>
      <c r="M12" s="15">
        <v>0</v>
      </c>
      <c r="N12" s="15">
        <v>0</v>
      </c>
      <c r="O12" s="15">
        <v>0</v>
      </c>
      <c r="P12">
        <v>0</v>
      </c>
    </row>
    <row r="13" spans="1:17" x14ac:dyDescent="0.2">
      <c r="A13" t="s">
        <v>1108</v>
      </c>
      <c r="E13" s="80"/>
      <c r="F13" s="49" t="s">
        <v>1702</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1703</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15</v>
      </c>
      <c r="P15">
        <v>7.1</v>
      </c>
    </row>
    <row r="16" spans="1:17" x14ac:dyDescent="0.2">
      <c r="A16" t="s">
        <v>1116</v>
      </c>
      <c r="E16" s="80"/>
      <c r="F16" s="49" t="s">
        <v>1705</v>
      </c>
      <c r="G16" s="15">
        <v>15</v>
      </c>
      <c r="H16" s="15">
        <v>30.8</v>
      </c>
      <c r="I16" s="15">
        <v>14</v>
      </c>
      <c r="J16" s="15">
        <v>27.2</v>
      </c>
      <c r="K16" s="15">
        <v>12</v>
      </c>
      <c r="L16" s="15">
        <v>23.4</v>
      </c>
      <c r="M16" s="15">
        <v>8</v>
      </c>
      <c r="N16" s="15">
        <v>15.5</v>
      </c>
      <c r="O16" s="15">
        <v>49</v>
      </c>
      <c r="P16">
        <v>24.3</v>
      </c>
    </row>
    <row r="17" spans="1:16" x14ac:dyDescent="0.2">
      <c r="E17" s="80"/>
      <c r="F17" s="49" t="s">
        <v>1706</v>
      </c>
      <c r="G17" s="15">
        <v>26</v>
      </c>
      <c r="H17" s="15">
        <v>82.5</v>
      </c>
      <c r="I17" s="15">
        <v>13</v>
      </c>
      <c r="J17" s="15">
        <v>38.799999999999997</v>
      </c>
      <c r="K17" s="15">
        <v>22</v>
      </c>
      <c r="L17" s="15">
        <v>65</v>
      </c>
      <c r="M17" s="15">
        <v>22</v>
      </c>
      <c r="N17" s="15">
        <v>63.1</v>
      </c>
      <c r="O17" s="15">
        <v>83</v>
      </c>
      <c r="P17">
        <v>62.4</v>
      </c>
    </row>
    <row r="18" spans="1:16" x14ac:dyDescent="0.2">
      <c r="A18" s="84" t="s">
        <v>1119</v>
      </c>
      <c r="B18" s="80"/>
      <c r="E18" s="80"/>
      <c r="F18" s="49" t="s">
        <v>1707</v>
      </c>
      <c r="G18" s="15">
        <v>18</v>
      </c>
      <c r="H18" s="15">
        <v>122.1</v>
      </c>
      <c r="I18" s="15">
        <v>20</v>
      </c>
      <c r="J18" s="15">
        <v>131.1</v>
      </c>
      <c r="K18" s="15">
        <v>18</v>
      </c>
      <c r="L18" s="15">
        <v>113.6</v>
      </c>
      <c r="M18" s="15">
        <v>14</v>
      </c>
      <c r="N18" s="15">
        <v>85.4</v>
      </c>
      <c r="O18" s="15">
        <v>70</v>
      </c>
      <c r="P18">
        <v>113</v>
      </c>
    </row>
    <row r="19" spans="1:16" x14ac:dyDescent="0.2">
      <c r="A19" t="s">
        <v>1121</v>
      </c>
      <c r="E19" s="80"/>
      <c r="F19" s="49" t="s">
        <v>1288</v>
      </c>
      <c r="G19" s="15">
        <v>25</v>
      </c>
      <c r="H19" s="15">
        <v>349.7</v>
      </c>
      <c r="I19" s="15">
        <v>14</v>
      </c>
      <c r="J19" s="15">
        <v>205.5</v>
      </c>
      <c r="K19" s="15">
        <v>15</v>
      </c>
      <c r="L19" s="15">
        <v>213.7</v>
      </c>
      <c r="M19" s="15">
        <v>18</v>
      </c>
      <c r="N19" s="15">
        <v>268.3</v>
      </c>
      <c r="O19" s="15">
        <v>72</v>
      </c>
      <c r="P19">
        <v>259.3</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1294</v>
      </c>
      <c r="G25" s="80"/>
      <c r="H25" s="80"/>
      <c r="I25" s="80"/>
      <c r="J25" s="80"/>
      <c r="K25" s="80"/>
      <c r="L25" s="80"/>
      <c r="M25" s="80"/>
      <c r="N25" s="80"/>
      <c r="O25" s="80"/>
      <c r="P25" s="80"/>
    </row>
    <row r="26" spans="1:16" x14ac:dyDescent="0.2">
      <c r="E26" s="80"/>
      <c r="F26" s="47">
        <v>10940</v>
      </c>
      <c r="G26" s="15">
        <v>15</v>
      </c>
      <c r="H26" s="15">
        <v>30.3</v>
      </c>
      <c r="I26" s="15">
        <v>21</v>
      </c>
      <c r="J26" s="15">
        <v>41.2</v>
      </c>
      <c r="K26" s="15">
        <v>20</v>
      </c>
      <c r="L26" s="15">
        <v>38.6</v>
      </c>
      <c r="M26" s="15" t="s">
        <v>1031</v>
      </c>
      <c r="N26" s="15" t="s">
        <v>1031</v>
      </c>
      <c r="O26" s="15">
        <v>65</v>
      </c>
      <c r="P26">
        <v>31.8</v>
      </c>
    </row>
    <row r="27" spans="1:16" x14ac:dyDescent="0.2">
      <c r="A27" s="82"/>
      <c r="B27" s="80"/>
      <c r="E27" s="80"/>
      <c r="F27" s="47">
        <v>10950</v>
      </c>
      <c r="G27" s="15" t="s">
        <v>1031</v>
      </c>
      <c r="H27" s="15" t="s">
        <v>1031</v>
      </c>
      <c r="I27" s="15" t="s">
        <v>1031</v>
      </c>
      <c r="J27" s="15" t="s">
        <v>1031</v>
      </c>
      <c r="K27" s="15" t="s">
        <v>1031</v>
      </c>
      <c r="L27" s="15" t="s">
        <v>1031</v>
      </c>
      <c r="M27" s="15" t="s">
        <v>1031</v>
      </c>
      <c r="N27" s="15" t="s">
        <v>1031</v>
      </c>
      <c r="O27" s="15" t="s">
        <v>1031</v>
      </c>
      <c r="P27" t="s">
        <v>1031</v>
      </c>
    </row>
    <row r="28" spans="1:16" x14ac:dyDescent="0.2">
      <c r="E28" s="80"/>
      <c r="F28" s="47">
        <v>12550</v>
      </c>
      <c r="G28" s="15" t="s">
        <v>1031</v>
      </c>
      <c r="H28" s="15" t="s">
        <v>1031</v>
      </c>
      <c r="I28" s="15" t="s">
        <v>1031</v>
      </c>
      <c r="J28" s="15" t="s">
        <v>1031</v>
      </c>
      <c r="K28" s="15">
        <v>13</v>
      </c>
      <c r="L28" s="15">
        <v>47.4</v>
      </c>
      <c r="M28" s="15" t="s">
        <v>1031</v>
      </c>
      <c r="N28" s="15" t="s">
        <v>1031</v>
      </c>
      <c r="O28" s="15">
        <v>38</v>
      </c>
      <c r="P28">
        <v>35</v>
      </c>
    </row>
    <row r="29" spans="1:16" x14ac:dyDescent="0.2">
      <c r="E29" s="80"/>
      <c r="F29" s="47">
        <v>12771</v>
      </c>
      <c r="G29" s="15" t="s">
        <v>1031</v>
      </c>
      <c r="H29" s="15" t="s">
        <v>1031</v>
      </c>
      <c r="I29" s="15" t="s">
        <v>1031</v>
      </c>
      <c r="J29" s="15" t="s">
        <v>1031</v>
      </c>
      <c r="K29" s="15" t="s">
        <v>1031</v>
      </c>
      <c r="L29" s="15" t="s">
        <v>1031</v>
      </c>
      <c r="M29" s="15" t="s">
        <v>1031</v>
      </c>
      <c r="N29" s="15" t="s">
        <v>1031</v>
      </c>
      <c r="O29" s="15">
        <v>19</v>
      </c>
      <c r="P29">
        <v>32.9</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tbl-dm-mortal-aar</v>
      </c>
    </row>
    <row r="4" spans="1:17" x14ac:dyDescent="0.2">
      <c r="A4" s="16" t="s">
        <v>7</v>
      </c>
      <c r="B4" t="str">
        <f>IF($B$1="","",_xlfn.XLOOKUP($B$1,Master!$F$2:$F$321,Master!$H$2:$H$321,""))</f>
        <v>fig-dm-mortal-aar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19.899999999999999</v>
      </c>
      <c r="H6" s="15">
        <v>16.5</v>
      </c>
      <c r="I6" s="15">
        <v>17</v>
      </c>
      <c r="J6" s="15">
        <v>15.5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tbl-dm-mortal-sex-aar</v>
      </c>
    </row>
    <row r="4" spans="1:17" x14ac:dyDescent="0.2">
      <c r="A4" s="16" t="s">
        <v>7</v>
      </c>
      <c r="B4" t="str">
        <f>IF($B$1="","",_xlfn.XLOOKUP($B$1,Master!$F$2:$F$321,Master!$H$2:$H$321,""))</f>
        <v>fig-dm-mortal-sex-aar</v>
      </c>
      <c r="E4" s="8"/>
      <c r="F4" s="10" t="s">
        <v>968</v>
      </c>
      <c r="G4" s="10" t="s">
        <v>968</v>
      </c>
      <c r="H4" s="10" t="s">
        <v>968</v>
      </c>
      <c r="I4" s="10" t="s">
        <v>968</v>
      </c>
      <c r="J4" s="10" t="s">
        <v>968</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24.8</v>
      </c>
      <c r="H6" s="15">
        <v>20.5</v>
      </c>
      <c r="I6" s="15">
        <v>22.9</v>
      </c>
      <c r="J6" s="15">
        <v>13.9</v>
      </c>
      <c r="K6" s="15"/>
      <c r="L6" s="15"/>
      <c r="M6" s="15"/>
      <c r="N6" s="15"/>
      <c r="O6" s="15"/>
    </row>
    <row r="7" spans="1:17" ht="15.75" customHeight="1" x14ac:dyDescent="0.2">
      <c r="E7" s="80"/>
      <c r="F7" t="s">
        <v>1306</v>
      </c>
      <c r="G7" s="15">
        <v>16</v>
      </c>
      <c r="H7" s="15">
        <v>13.5</v>
      </c>
      <c r="I7" s="15">
        <v>12.2</v>
      </c>
      <c r="J7" s="15">
        <v>17.2</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tbl-overweight-obese-adult</v>
      </c>
    </row>
    <row r="4" spans="1:17" x14ac:dyDescent="0.2">
      <c r="A4" s="16" t="s">
        <v>7</v>
      </c>
      <c r="B4" t="str">
        <f>IF($B$1="","",_xlfn.XLOOKUP($B$1,Master!$F$2:$F$321,Master!$H$2:$H$321,""))</f>
        <v>fig-overweight-obese-adult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4" t="s">
        <v>1081</v>
      </c>
      <c r="B5" s="80"/>
      <c r="E5" s="83"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63.7</v>
      </c>
      <c r="H6" s="15">
        <v>67.599999999999994</v>
      </c>
      <c r="I6" s="15">
        <v>59</v>
      </c>
      <c r="J6" s="15">
        <v>64.2</v>
      </c>
      <c r="K6" s="15">
        <v>63</v>
      </c>
      <c r="L6" s="15">
        <v>59.9</v>
      </c>
      <c r="M6" s="15">
        <v>58.2</v>
      </c>
      <c r="N6" s="15">
        <v>62.3</v>
      </c>
      <c r="O6" s="15">
        <v>62.3</v>
      </c>
    </row>
    <row r="7" spans="1:17" ht="15.75" customHeight="1" x14ac:dyDescent="0.2">
      <c r="E7" s="80"/>
      <c r="F7">
        <v>2016</v>
      </c>
      <c r="G7" s="15">
        <v>61.2</v>
      </c>
      <c r="H7" s="15">
        <v>69.599999999999994</v>
      </c>
      <c r="I7" s="15">
        <v>52.5</v>
      </c>
      <c r="J7" s="15">
        <v>55.6</v>
      </c>
      <c r="K7" s="15">
        <v>64.599999999999994</v>
      </c>
      <c r="L7" s="15">
        <v>64.400000000000006</v>
      </c>
      <c r="M7" s="15">
        <v>56.2</v>
      </c>
      <c r="N7" s="15">
        <v>63.6</v>
      </c>
      <c r="O7" s="15">
        <v>63.6</v>
      </c>
    </row>
    <row r="8" spans="1:17" x14ac:dyDescent="0.2">
      <c r="E8" s="80"/>
      <c r="F8">
        <v>2018</v>
      </c>
      <c r="G8" s="15">
        <v>61.6</v>
      </c>
      <c r="H8" s="15">
        <v>64.7</v>
      </c>
      <c r="I8" s="15">
        <v>63.7</v>
      </c>
      <c r="J8" s="15">
        <v>59.4</v>
      </c>
      <c r="K8" s="15">
        <v>69.900000000000006</v>
      </c>
      <c r="L8" s="15">
        <v>63.2</v>
      </c>
      <c r="M8" s="15">
        <v>59.7</v>
      </c>
      <c r="N8" s="15">
        <v>64.400000000000006</v>
      </c>
      <c r="O8" s="15">
        <v>64.400000000000006</v>
      </c>
    </row>
    <row r="9" spans="1:17" x14ac:dyDescent="0.2">
      <c r="A9" s="84" t="s">
        <v>1098</v>
      </c>
      <c r="B9" s="80"/>
      <c r="E9" s="80"/>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1748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tbl-obese-adult</v>
      </c>
    </row>
    <row r="4" spans="1:17" x14ac:dyDescent="0.2">
      <c r="A4" s="16" t="s">
        <v>7</v>
      </c>
      <c r="B4" t="str">
        <f>IF($B$1="","",_xlfn.XLOOKUP($B$1,Master!$F$2:$F$321,Master!$H$2:$H$321,""))</f>
        <v>fig-obese-adult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4" t="s">
        <v>1081</v>
      </c>
      <c r="B5" s="80"/>
      <c r="E5" s="83"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25.5</v>
      </c>
      <c r="H6" s="15">
        <v>32.5</v>
      </c>
      <c r="I6" s="15">
        <v>20.5</v>
      </c>
      <c r="J6" s="15">
        <v>23.1</v>
      </c>
      <c r="K6" s="15">
        <v>27.7</v>
      </c>
      <c r="L6" s="15">
        <v>26.4</v>
      </c>
      <c r="M6" s="15">
        <v>21</v>
      </c>
      <c r="N6" s="15" t="s">
        <v>1210</v>
      </c>
      <c r="O6" s="15">
        <v>27.4</v>
      </c>
    </row>
    <row r="7" spans="1:17" ht="15.75" customHeight="1" x14ac:dyDescent="0.2">
      <c r="E7" s="80"/>
      <c r="F7">
        <v>2016</v>
      </c>
      <c r="G7" s="15">
        <v>27</v>
      </c>
      <c r="H7" s="15">
        <v>29.7</v>
      </c>
      <c r="I7" s="15">
        <v>19.2</v>
      </c>
      <c r="J7" s="15">
        <v>20.7</v>
      </c>
      <c r="K7" s="15">
        <v>32.9</v>
      </c>
      <c r="L7" s="15">
        <v>31.8</v>
      </c>
      <c r="M7" s="15">
        <v>17.7</v>
      </c>
      <c r="N7" s="15">
        <v>23.1</v>
      </c>
      <c r="O7" s="15">
        <v>27.5</v>
      </c>
    </row>
    <row r="8" spans="1:17" x14ac:dyDescent="0.2">
      <c r="E8" s="80"/>
      <c r="F8">
        <v>2018</v>
      </c>
      <c r="G8" s="15">
        <v>27.4</v>
      </c>
      <c r="H8" s="15">
        <v>24.3</v>
      </c>
      <c r="I8" s="15">
        <v>27.8</v>
      </c>
      <c r="J8" s="15">
        <v>27</v>
      </c>
      <c r="K8" s="15">
        <v>38.9</v>
      </c>
      <c r="L8" s="15">
        <v>28</v>
      </c>
      <c r="M8" s="15">
        <v>24.1</v>
      </c>
      <c r="N8" s="15">
        <v>25.3</v>
      </c>
      <c r="O8" s="15">
        <v>29.7</v>
      </c>
    </row>
    <row r="9" spans="1:17" x14ac:dyDescent="0.2">
      <c r="A9" s="84" t="s">
        <v>1098</v>
      </c>
      <c r="B9" s="80"/>
      <c r="E9" s="80"/>
      <c r="F9">
        <v>2021</v>
      </c>
      <c r="G9" s="15">
        <v>31.4</v>
      </c>
      <c r="H9" s="15">
        <v>38.5</v>
      </c>
      <c r="I9" s="15">
        <v>31.6</v>
      </c>
      <c r="J9" s="15">
        <v>23.1</v>
      </c>
      <c r="K9" s="15">
        <v>33.299999999999997</v>
      </c>
      <c r="L9" s="15">
        <v>32.299999999999997</v>
      </c>
      <c r="M9" s="15">
        <v>26.5</v>
      </c>
      <c r="N9" s="15">
        <v>29.8</v>
      </c>
      <c r="O9" s="15">
        <v>32.1</v>
      </c>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1748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1750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election activeCell="S17" sqref="S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tbl-liverdz-count-rate-age-rande-zip</v>
      </c>
    </row>
    <row r="4" spans="1:17" x14ac:dyDescent="0.2">
      <c r="A4" s="16" t="s">
        <v>7</v>
      </c>
      <c r="B4" t="str">
        <f>IF($B$1="","",_xlfn.XLOOKUP($B$1,Master!$F$2:$F$321,Master!$H$2:$H$321,""))</f>
        <v>fig-liverdz-count-rate-age-rande-zip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4" t="s">
        <v>1081</v>
      </c>
      <c r="B5" s="80"/>
      <c r="E5" s="83" t="s">
        <v>1082</v>
      </c>
      <c r="F5" s="85" t="s">
        <v>1391</v>
      </c>
      <c r="G5" s="82">
        <v>2020</v>
      </c>
      <c r="H5" s="80"/>
      <c r="I5" s="82">
        <v>2021</v>
      </c>
      <c r="J5" s="80"/>
      <c r="K5" s="82">
        <v>2022</v>
      </c>
      <c r="L5" s="80"/>
      <c r="M5" s="82">
        <v>2023</v>
      </c>
      <c r="N5" s="80"/>
      <c r="O5" s="82" t="s">
        <v>2357</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27</v>
      </c>
      <c r="H7" s="15">
        <v>7.1</v>
      </c>
      <c r="I7" s="15">
        <v>36</v>
      </c>
      <c r="J7" s="15">
        <v>9</v>
      </c>
      <c r="K7" s="15">
        <v>33</v>
      </c>
      <c r="L7" s="15">
        <v>8.1999999999999993</v>
      </c>
      <c r="M7" s="15">
        <v>27</v>
      </c>
      <c r="N7" s="15">
        <v>6.7</v>
      </c>
      <c r="O7" s="15">
        <v>123</v>
      </c>
      <c r="P7">
        <v>7.8</v>
      </c>
    </row>
    <row r="8" spans="1:17" x14ac:dyDescent="0.2">
      <c r="E8" s="80"/>
      <c r="F8" s="91" t="s">
        <v>1276</v>
      </c>
      <c r="G8" s="80"/>
      <c r="H8" s="80"/>
      <c r="I8" s="80"/>
      <c r="J8" s="80"/>
      <c r="K8" s="80"/>
      <c r="L8" s="80"/>
      <c r="M8" s="80"/>
      <c r="N8" s="80"/>
      <c r="O8" s="80"/>
      <c r="P8" s="80"/>
    </row>
    <row r="9" spans="1:17" x14ac:dyDescent="0.2">
      <c r="A9" s="84" t="s">
        <v>1098</v>
      </c>
      <c r="B9" s="80"/>
      <c r="E9" s="80"/>
      <c r="F9" s="49" t="s">
        <v>1277</v>
      </c>
      <c r="G9" s="15">
        <v>0</v>
      </c>
      <c r="H9" s="15">
        <v>0</v>
      </c>
      <c r="I9" s="15">
        <v>0</v>
      </c>
      <c r="J9" s="15">
        <v>0</v>
      </c>
      <c r="K9" s="15">
        <v>0</v>
      </c>
      <c r="L9" s="15">
        <v>0</v>
      </c>
      <c r="M9" s="15">
        <v>0</v>
      </c>
      <c r="N9" s="15">
        <v>0</v>
      </c>
      <c r="O9" s="15">
        <v>0</v>
      </c>
      <c r="P9">
        <v>0</v>
      </c>
    </row>
    <row r="10" spans="1:17" x14ac:dyDescent="0.2">
      <c r="A10" t="s">
        <v>1100</v>
      </c>
      <c r="B10" t="s">
        <v>1304</v>
      </c>
      <c r="E10" s="80"/>
      <c r="F10" s="49" t="s">
        <v>1278</v>
      </c>
      <c r="G10" s="15">
        <v>0</v>
      </c>
      <c r="H10" s="15">
        <v>0</v>
      </c>
      <c r="I10" s="15">
        <v>0</v>
      </c>
      <c r="J10" s="15">
        <v>0</v>
      </c>
      <c r="K10" s="15">
        <v>0</v>
      </c>
      <c r="L10" s="15">
        <v>0</v>
      </c>
      <c r="M10" s="15">
        <v>0</v>
      </c>
      <c r="N10" s="15">
        <v>0</v>
      </c>
      <c r="O10" s="15">
        <v>0</v>
      </c>
      <c r="P10">
        <v>0</v>
      </c>
    </row>
    <row r="11" spans="1:17" x14ac:dyDescent="0.2">
      <c r="A11" t="s">
        <v>1102</v>
      </c>
      <c r="B11" t="s">
        <v>1709</v>
      </c>
      <c r="E11" s="80"/>
      <c r="F11" s="49" t="s">
        <v>1279</v>
      </c>
      <c r="G11" s="15">
        <v>0</v>
      </c>
      <c r="H11" s="15">
        <v>0</v>
      </c>
      <c r="I11" s="15">
        <v>0</v>
      </c>
      <c r="J11" s="15">
        <v>0</v>
      </c>
      <c r="K11" s="15">
        <v>0</v>
      </c>
      <c r="L11" s="15">
        <v>0</v>
      </c>
      <c r="M11" s="15">
        <v>0</v>
      </c>
      <c r="N11" s="15">
        <v>0</v>
      </c>
      <c r="O11" s="15">
        <v>0</v>
      </c>
      <c r="P11">
        <v>0</v>
      </c>
    </row>
    <row r="12" spans="1:17" x14ac:dyDescent="0.2">
      <c r="A12" t="s">
        <v>1104</v>
      </c>
      <c r="E12" s="80"/>
      <c r="F12" s="55" t="s">
        <v>1280</v>
      </c>
      <c r="G12" s="15">
        <v>0</v>
      </c>
      <c r="H12" s="15">
        <v>0</v>
      </c>
      <c r="I12" s="15">
        <v>0</v>
      </c>
      <c r="J12" s="15">
        <v>0</v>
      </c>
      <c r="K12" s="15">
        <v>0</v>
      </c>
      <c r="L12" s="15">
        <v>0</v>
      </c>
      <c r="M12" s="15">
        <v>0</v>
      </c>
      <c r="N12" s="15">
        <v>0</v>
      </c>
      <c r="O12" s="15">
        <v>0</v>
      </c>
      <c r="P12">
        <v>0</v>
      </c>
    </row>
    <row r="13" spans="1:17" x14ac:dyDescent="0.2">
      <c r="A13" t="s">
        <v>1108</v>
      </c>
      <c r="E13" s="80"/>
      <c r="F13" s="49" t="s">
        <v>1281</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B15" t="b">
        <v>1</v>
      </c>
      <c r="E15" s="80"/>
      <c r="F15" s="49" t="s">
        <v>1283</v>
      </c>
      <c r="G15" s="15" t="s">
        <v>1031</v>
      </c>
      <c r="H15" s="15" t="s">
        <v>1031</v>
      </c>
      <c r="I15" s="15" t="s">
        <v>1031</v>
      </c>
      <c r="J15" s="15" t="s">
        <v>1031</v>
      </c>
      <c r="K15" s="15" t="s">
        <v>1031</v>
      </c>
      <c r="L15" s="15" t="s">
        <v>1031</v>
      </c>
      <c r="M15" s="15" t="s">
        <v>1031</v>
      </c>
      <c r="N15" s="15" t="s">
        <v>1031</v>
      </c>
      <c r="O15" s="15">
        <v>22</v>
      </c>
      <c r="P15">
        <v>10.4</v>
      </c>
    </row>
    <row r="16" spans="1:17" x14ac:dyDescent="0.2">
      <c r="A16" t="s">
        <v>1116</v>
      </c>
      <c r="B16" t="b">
        <v>1</v>
      </c>
      <c r="E16" s="80"/>
      <c r="F16" s="49" t="s">
        <v>1284</v>
      </c>
      <c r="G16" s="15" t="s">
        <v>1031</v>
      </c>
      <c r="H16" s="15" t="s">
        <v>1031</v>
      </c>
      <c r="I16" s="15">
        <v>11</v>
      </c>
      <c r="J16" s="15">
        <v>21.4</v>
      </c>
      <c r="K16" s="15">
        <v>13</v>
      </c>
      <c r="L16" s="15">
        <v>25.4</v>
      </c>
      <c r="M16" s="15">
        <v>10</v>
      </c>
      <c r="N16" s="15">
        <v>19.399999999999999</v>
      </c>
      <c r="O16" s="15">
        <v>41</v>
      </c>
      <c r="P16">
        <v>20.100000000000001</v>
      </c>
    </row>
    <row r="17" spans="1:16" x14ac:dyDescent="0.2">
      <c r="E17" s="80"/>
      <c r="F17" s="49" t="s">
        <v>1285</v>
      </c>
      <c r="G17" s="15" t="s">
        <v>1031</v>
      </c>
      <c r="H17" s="15" t="s">
        <v>1031</v>
      </c>
      <c r="I17" s="15" t="s">
        <v>1031</v>
      </c>
      <c r="J17" s="15" t="s">
        <v>1031</v>
      </c>
      <c r="K17" s="15" t="s">
        <v>1031</v>
      </c>
      <c r="L17" s="15" t="s">
        <v>1031</v>
      </c>
      <c r="M17" s="15" t="s">
        <v>1031</v>
      </c>
      <c r="N17" s="15" t="s">
        <v>1031</v>
      </c>
      <c r="O17" s="15">
        <v>28</v>
      </c>
      <c r="P17">
        <v>20.8</v>
      </c>
    </row>
    <row r="18" spans="1:16" x14ac:dyDescent="0.2">
      <c r="A18" s="84" t="s">
        <v>1119</v>
      </c>
      <c r="B18" s="80"/>
      <c r="E18" s="80"/>
      <c r="F18" s="49" t="s">
        <v>1286</v>
      </c>
      <c r="G18" s="15" t="s">
        <v>1031</v>
      </c>
      <c r="H18" s="15" t="s">
        <v>1031</v>
      </c>
      <c r="I18" s="15" t="s">
        <v>1031</v>
      </c>
      <c r="J18" s="15" t="s">
        <v>1031</v>
      </c>
      <c r="K18" s="15" t="s">
        <v>1031</v>
      </c>
      <c r="L18" s="15" t="s">
        <v>1031</v>
      </c>
      <c r="M18" s="15" t="s">
        <v>1031</v>
      </c>
      <c r="N18" s="15" t="s">
        <v>1031</v>
      </c>
      <c r="O18" s="15">
        <v>14</v>
      </c>
      <c r="P18">
        <v>22.6</v>
      </c>
    </row>
    <row r="19" spans="1:16" x14ac:dyDescent="0.2">
      <c r="A19" t="s">
        <v>1121</v>
      </c>
      <c r="B19" t="s">
        <v>1287</v>
      </c>
      <c r="E19" s="80"/>
      <c r="F19" s="49" t="s">
        <v>1288</v>
      </c>
      <c r="G19" s="15" t="s">
        <v>1031</v>
      </c>
      <c r="H19" s="15" t="s">
        <v>1031</v>
      </c>
      <c r="I19" s="15" t="s">
        <v>1031</v>
      </c>
      <c r="J19" s="15" t="s">
        <v>1031</v>
      </c>
      <c r="K19" s="15" t="s">
        <v>1031</v>
      </c>
      <c r="L19" s="15" t="s">
        <v>1031</v>
      </c>
      <c r="M19" s="15" t="s">
        <v>1031</v>
      </c>
      <c r="N19" s="15" t="s">
        <v>1031</v>
      </c>
      <c r="O19" s="15" t="s">
        <v>1031</v>
      </c>
      <c r="P19" t="s">
        <v>1031</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B22" t="s">
        <v>1751</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1752</v>
      </c>
      <c r="G25" s="80"/>
      <c r="H25" s="80"/>
      <c r="I25" s="80"/>
      <c r="J25" s="80"/>
      <c r="K25" s="80"/>
      <c r="L25" s="80"/>
      <c r="M25" s="80"/>
      <c r="N25" s="80"/>
      <c r="O25" s="80"/>
      <c r="P25" s="80"/>
    </row>
    <row r="26" spans="1:16" x14ac:dyDescent="0.2">
      <c r="E26" s="80"/>
      <c r="F26" s="47">
        <v>10940</v>
      </c>
      <c r="G26" s="15">
        <v>21</v>
      </c>
      <c r="H26" s="15">
        <v>42.5</v>
      </c>
      <c r="I26" s="15">
        <v>31</v>
      </c>
      <c r="J26" s="15">
        <v>60.9</v>
      </c>
      <c r="K26" s="15">
        <v>31</v>
      </c>
      <c r="L26" s="15">
        <v>59.8</v>
      </c>
      <c r="M26" s="15">
        <v>21</v>
      </c>
      <c r="N26" s="15">
        <v>39.5</v>
      </c>
      <c r="O26" s="15">
        <v>104</v>
      </c>
      <c r="P26">
        <v>50.7</v>
      </c>
    </row>
    <row r="27" spans="1:16" x14ac:dyDescent="0.2">
      <c r="A27" s="82"/>
      <c r="B27" s="80"/>
      <c r="E27" s="80"/>
      <c r="F27" s="47">
        <v>10950</v>
      </c>
      <c r="G27" s="15" t="s">
        <v>1031</v>
      </c>
      <c r="H27" s="15" t="s">
        <v>1031</v>
      </c>
      <c r="I27" s="15" t="s">
        <v>1031</v>
      </c>
      <c r="J27" s="15" t="s">
        <v>1031</v>
      </c>
      <c r="K27" s="15">
        <v>0</v>
      </c>
      <c r="L27" s="15">
        <v>0</v>
      </c>
      <c r="M27" s="15" t="s">
        <v>1031</v>
      </c>
      <c r="N27" s="15" t="s">
        <v>1031</v>
      </c>
      <c r="O27" s="15" t="s">
        <v>1031</v>
      </c>
      <c r="P27" t="s">
        <v>1031</v>
      </c>
    </row>
    <row r="28" spans="1:16" x14ac:dyDescent="0.2">
      <c r="E28" s="80"/>
      <c r="F28" s="47">
        <v>12550</v>
      </c>
      <c r="G28" s="15" t="s">
        <v>1031</v>
      </c>
      <c r="H28" s="15" t="s">
        <v>1031</v>
      </c>
      <c r="I28" s="15" t="s">
        <v>1031</v>
      </c>
      <c r="J28" s="15" t="s">
        <v>1031</v>
      </c>
      <c r="K28" s="15" t="s">
        <v>1031</v>
      </c>
      <c r="L28" s="15" t="s">
        <v>1031</v>
      </c>
      <c r="M28" s="15" t="s">
        <v>1031</v>
      </c>
      <c r="N28" s="15" t="s">
        <v>1031</v>
      </c>
      <c r="O28" s="15">
        <v>11</v>
      </c>
      <c r="P28">
        <v>10.199999999999999</v>
      </c>
    </row>
    <row r="29" spans="1:16" x14ac:dyDescent="0.2">
      <c r="E29" s="80"/>
      <c r="F29" s="47">
        <v>12771</v>
      </c>
      <c r="G29" s="15" t="s">
        <v>1031</v>
      </c>
      <c r="H29" s="15" t="s">
        <v>1031</v>
      </c>
      <c r="I29" s="15">
        <v>0</v>
      </c>
      <c r="J29" s="15">
        <v>0</v>
      </c>
      <c r="K29" s="15">
        <v>0</v>
      </c>
      <c r="L29" s="15">
        <v>0</v>
      </c>
      <c r="M29" s="15" t="s">
        <v>1031</v>
      </c>
      <c r="N29" s="15" t="s">
        <v>1031</v>
      </c>
      <c r="O29" s="15" t="s">
        <v>1031</v>
      </c>
      <c r="P29" t="s">
        <v>1031</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tbl-liverdz-mortal-aar</v>
      </c>
    </row>
    <row r="4" spans="1:17" x14ac:dyDescent="0.2">
      <c r="A4" s="16" t="s">
        <v>7</v>
      </c>
      <c r="B4" t="str">
        <f>IF($B$1="","",_xlfn.XLOOKUP($B$1,Master!$F$2:$F$321,Master!$H$2:$H$321,""))</f>
        <v>fig-liverdz-mortal-aar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6.5</v>
      </c>
      <c r="H6" s="15">
        <v>8.5</v>
      </c>
      <c r="I6" s="15">
        <v>7</v>
      </c>
      <c r="J6" s="15">
        <v>5.8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tbl-liverdz-mortal-sex-aar</v>
      </c>
    </row>
    <row r="4" spans="1:17" x14ac:dyDescent="0.2">
      <c r="A4" s="16" t="s">
        <v>7</v>
      </c>
      <c r="B4" t="str">
        <f>IF($B$1="","",_xlfn.XLOOKUP($B$1,Master!$F$2:$F$321,Master!$H$2:$H$321,""))</f>
        <v>fig-liverdz-mortal-sex-aar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12</v>
      </c>
      <c r="H6" s="15">
        <v>10.4</v>
      </c>
      <c r="I6" s="15">
        <v>10.4</v>
      </c>
      <c r="J6" s="15">
        <v>6.7</v>
      </c>
      <c r="K6" s="15"/>
      <c r="L6" s="15"/>
      <c r="M6" s="15"/>
      <c r="N6" s="15"/>
      <c r="O6" s="15"/>
    </row>
    <row r="7" spans="1:17" ht="15.75" customHeight="1" x14ac:dyDescent="0.2">
      <c r="E7" s="80"/>
      <c r="F7" t="s">
        <v>1306</v>
      </c>
      <c r="G7" s="15">
        <v>1.6</v>
      </c>
      <c r="H7" s="15">
        <v>6.4</v>
      </c>
      <c r="I7" s="15">
        <v>4.2</v>
      </c>
      <c r="J7" s="15">
        <v>4.5999999999999996</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tbl-ckd-edvisit-aar</v>
      </c>
    </row>
    <row r="4" spans="1:17" x14ac:dyDescent="0.2">
      <c r="A4" s="16" t="s">
        <v>7</v>
      </c>
      <c r="B4" t="str">
        <f>IF($B$1="","",_xlfn.XLOOKUP($B$1,Master!$F$2:$F$321,Master!$H$2:$H$321,""))</f>
        <v>fig-ckd-edvisit-aar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2018</v>
      </c>
      <c r="H5">
        <v>2019</v>
      </c>
      <c r="I5">
        <v>2020</v>
      </c>
      <c r="J5">
        <v>2021</v>
      </c>
    </row>
    <row r="6" spans="1:17" ht="15" customHeight="1" x14ac:dyDescent="0.2">
      <c r="A6" t="s">
        <v>1088</v>
      </c>
      <c r="B6" t="b">
        <v>0</v>
      </c>
      <c r="E6" s="80"/>
      <c r="F6" t="s">
        <v>1297</v>
      </c>
      <c r="G6" s="15">
        <v>167.5</v>
      </c>
      <c r="H6" s="15">
        <v>167.2</v>
      </c>
      <c r="I6" s="15">
        <v>165.2</v>
      </c>
      <c r="J6" s="15">
        <v>157.30000000000001</v>
      </c>
      <c r="K6" s="15"/>
      <c r="L6" s="15"/>
      <c r="M6" s="15"/>
      <c r="N6" s="15"/>
      <c r="O6" s="15"/>
    </row>
    <row r="7" spans="1:17" ht="15.75" customHeight="1" x14ac:dyDescent="0.2">
      <c r="E7" s="80"/>
      <c r="F7" t="s">
        <v>1645</v>
      </c>
      <c r="G7" s="15">
        <v>114.1</v>
      </c>
      <c r="H7" s="15">
        <v>125.9</v>
      </c>
      <c r="I7" s="15">
        <v>110</v>
      </c>
      <c r="J7" s="15">
        <v>120.3</v>
      </c>
      <c r="K7" s="15"/>
      <c r="L7" s="15"/>
      <c r="M7" s="15"/>
      <c r="N7" s="15"/>
      <c r="O7" s="15"/>
    </row>
    <row r="8" spans="1:17" x14ac:dyDescent="0.2">
      <c r="E8" s="80"/>
      <c r="F8" t="s">
        <v>1298</v>
      </c>
      <c r="G8" s="15">
        <v>131.9</v>
      </c>
      <c r="H8" s="15">
        <v>141.19999999999999</v>
      </c>
      <c r="I8" s="15">
        <v>128.19999999999999</v>
      </c>
      <c r="J8" s="15">
        <v>137.30000000000001</v>
      </c>
      <c r="K8" s="15"/>
      <c r="L8" s="15"/>
      <c r="M8" s="15"/>
      <c r="N8" s="15"/>
      <c r="O8" s="15"/>
    </row>
    <row r="9" spans="1:17" x14ac:dyDescent="0.2">
      <c r="A9" s="84" t="s">
        <v>1098</v>
      </c>
      <c r="B9" s="80"/>
      <c r="E9" s="80"/>
      <c r="F9" t="s">
        <v>1299</v>
      </c>
      <c r="G9" s="15">
        <v>139.6</v>
      </c>
      <c r="H9" s="15">
        <v>152</v>
      </c>
      <c r="I9" s="15">
        <v>136.5</v>
      </c>
      <c r="J9" s="15">
        <v>143.30000000000001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1755</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election activeCell="M33" sqref="M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tbl-ckd-hosp-rate</v>
      </c>
    </row>
    <row r="4" spans="1:17" x14ac:dyDescent="0.2">
      <c r="A4" s="16" t="s">
        <v>7</v>
      </c>
      <c r="B4" t="str">
        <f>IF($B$1="","",_xlfn.XLOOKUP($B$1,Master!$F$2:$F$321,Master!$H$2:$H$321,""))</f>
        <v>fig-ckd-hosp-rate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2018</v>
      </c>
      <c r="H5">
        <v>2019</v>
      </c>
      <c r="I5">
        <v>2020</v>
      </c>
      <c r="J5">
        <v>2021</v>
      </c>
    </row>
    <row r="6" spans="1:17" ht="15" customHeight="1" x14ac:dyDescent="0.2">
      <c r="A6" t="s">
        <v>1088</v>
      </c>
      <c r="B6" t="b">
        <v>0</v>
      </c>
      <c r="E6" s="80"/>
      <c r="F6" t="s">
        <v>1297</v>
      </c>
      <c r="G6" s="15">
        <v>137</v>
      </c>
      <c r="H6" s="15">
        <v>135.6</v>
      </c>
      <c r="I6" s="15">
        <v>131.30000000000001</v>
      </c>
      <c r="J6" s="15">
        <v>122.5</v>
      </c>
      <c r="K6" s="15"/>
      <c r="L6" s="15"/>
      <c r="M6" s="15"/>
      <c r="N6" s="15"/>
      <c r="O6" s="15"/>
    </row>
    <row r="7" spans="1:17" ht="15.75" customHeight="1" x14ac:dyDescent="0.2">
      <c r="E7" s="80"/>
      <c r="F7" t="s">
        <v>1645</v>
      </c>
      <c r="G7" s="15">
        <v>104.1</v>
      </c>
      <c r="H7" s="15">
        <v>111.7</v>
      </c>
      <c r="I7" s="15">
        <v>97.8</v>
      </c>
      <c r="J7" s="15">
        <v>100.9</v>
      </c>
      <c r="K7" s="15"/>
      <c r="L7" s="15"/>
      <c r="M7" s="15"/>
      <c r="N7" s="15"/>
      <c r="O7" s="15"/>
    </row>
    <row r="8" spans="1:17" x14ac:dyDescent="0.2">
      <c r="E8" s="80"/>
      <c r="F8" t="s">
        <v>1298</v>
      </c>
      <c r="G8" s="15">
        <v>116.6</v>
      </c>
      <c r="H8" s="15">
        <v>121.3</v>
      </c>
      <c r="I8" s="15">
        <v>109.3</v>
      </c>
      <c r="J8" s="15">
        <v>113.9</v>
      </c>
      <c r="K8" s="15"/>
      <c r="L8" s="15"/>
      <c r="M8" s="15"/>
      <c r="N8" s="15"/>
      <c r="O8" s="15"/>
    </row>
    <row r="9" spans="1:17" x14ac:dyDescent="0.2">
      <c r="A9" s="84" t="s">
        <v>1098</v>
      </c>
      <c r="B9" s="80"/>
      <c r="E9" s="80"/>
      <c r="F9" t="s">
        <v>1299</v>
      </c>
      <c r="G9" s="15">
        <v>123.1</v>
      </c>
      <c r="H9" s="15">
        <v>128.9</v>
      </c>
      <c r="I9" s="15">
        <v>116.6</v>
      </c>
      <c r="J9" s="15">
        <v>119.3</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1755</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election activeCell="J14" sqref="J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6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tbl-allsitesca-incidence-aar</v>
      </c>
    </row>
    <row r="4" spans="1:17" x14ac:dyDescent="0.2">
      <c r="A4" s="16" t="s">
        <v>7</v>
      </c>
      <c r="B4" t="str">
        <f>IF($B$1="","",_xlfn.XLOOKUP($B$1,Master!$F$2:$F$321,Master!$H$2:$H$321,""))</f>
        <v>fig-allsitesca-incidence-aar</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1757</v>
      </c>
      <c r="G6" s="15">
        <v>470.3</v>
      </c>
      <c r="H6" s="15">
        <v>499.1</v>
      </c>
      <c r="I6" s="15">
        <v>466.8</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zoomScale="98"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283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tbl-allsitesca-incidence-rande-aar</v>
      </c>
    </row>
    <row r="4" spans="1:17" x14ac:dyDescent="0.2">
      <c r="A4" s="16" t="s">
        <v>7</v>
      </c>
      <c r="B4" t="str">
        <f>IF($B$1="","",_xlfn.XLOOKUP($B$1,Master!$F$2:$F$321,Master!$H$2:$H$321,""))</f>
        <v>fig-allsitesca-incidence-rande-aar</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470.3</v>
      </c>
      <c r="H6" s="15">
        <v>497.8</v>
      </c>
      <c r="I6" s="15">
        <v>436.8</v>
      </c>
      <c r="J6" s="15" t="s">
        <v>1031</v>
      </c>
      <c r="K6" s="15">
        <v>298.7</v>
      </c>
      <c r="L6" s="15">
        <v>356</v>
      </c>
      <c r="M6" s="15"/>
      <c r="N6" s="15"/>
      <c r="O6" s="15"/>
    </row>
    <row r="7" spans="1:17" ht="15.75" customHeight="1" x14ac:dyDescent="0.2">
      <c r="E7" s="80"/>
      <c r="F7" t="s">
        <v>1298</v>
      </c>
      <c r="G7" s="15">
        <v>499.1</v>
      </c>
      <c r="H7" s="15">
        <v>517.1</v>
      </c>
      <c r="I7" s="15">
        <v>487.1</v>
      </c>
      <c r="J7" s="15">
        <v>448.8</v>
      </c>
      <c r="K7" s="15">
        <v>327.10000000000002</v>
      </c>
      <c r="L7" s="15">
        <v>361.8</v>
      </c>
      <c r="M7" s="15"/>
      <c r="N7" s="15"/>
      <c r="O7" s="15"/>
    </row>
    <row r="8" spans="1:17" x14ac:dyDescent="0.2">
      <c r="E8" s="80"/>
      <c r="F8" t="s">
        <v>1299</v>
      </c>
      <c r="G8" s="15">
        <v>466.8</v>
      </c>
      <c r="H8" s="15">
        <v>505.1</v>
      </c>
      <c r="I8" s="15">
        <v>441.6</v>
      </c>
      <c r="J8" s="15">
        <v>448.8</v>
      </c>
      <c r="K8" s="15">
        <v>341.8</v>
      </c>
      <c r="L8" s="15">
        <v>350.9</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election activeCell="P49" sqref="P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286</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tbl-neoplasm-count-rate-age-rande-zip</v>
      </c>
    </row>
    <row r="4" spans="1:17" x14ac:dyDescent="0.2">
      <c r="A4" s="16" t="s">
        <v>7</v>
      </c>
      <c r="B4" t="str">
        <f>IF($B$1="","",_xlfn.XLOOKUP($B$1,Master!$F$2:$F$321,Master!$H$2:$H$321,""))</f>
        <v>fig-neoplasm-count-rate-age-rande-zip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F5" s="85" t="s">
        <v>1391</v>
      </c>
      <c r="G5" s="82">
        <v>2020</v>
      </c>
      <c r="H5" s="80"/>
      <c r="I5" s="82">
        <v>2021</v>
      </c>
      <c r="J5" s="80"/>
      <c r="K5" s="82">
        <v>2022</v>
      </c>
      <c r="L5" s="80"/>
      <c r="M5" s="82">
        <v>2023</v>
      </c>
      <c r="N5" s="80"/>
      <c r="O5" s="82" t="s">
        <v>2357</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601</v>
      </c>
      <c r="H7" s="15">
        <v>157.30000000000001</v>
      </c>
      <c r="I7" s="15">
        <v>596</v>
      </c>
      <c r="J7" s="15">
        <v>149.6</v>
      </c>
      <c r="K7" s="15">
        <v>561</v>
      </c>
      <c r="L7" s="15">
        <v>139.80000000000001</v>
      </c>
      <c r="M7" s="15">
        <v>624</v>
      </c>
      <c r="N7" s="15">
        <v>154.5</v>
      </c>
      <c r="O7" s="15">
        <v>2382</v>
      </c>
      <c r="P7">
        <v>150.30000000000001</v>
      </c>
    </row>
    <row r="8" spans="1:17" x14ac:dyDescent="0.2">
      <c r="E8" s="80"/>
      <c r="F8" s="91" t="s">
        <v>1276</v>
      </c>
      <c r="G8" s="80"/>
      <c r="H8" s="80"/>
      <c r="I8" s="80"/>
      <c r="J8" s="80"/>
      <c r="K8" s="80"/>
      <c r="L8" s="80"/>
      <c r="M8" s="80"/>
      <c r="N8" s="80"/>
      <c r="O8" s="80"/>
      <c r="P8" s="80"/>
    </row>
    <row r="9" spans="1:17" x14ac:dyDescent="0.2">
      <c r="A9" s="84" t="s">
        <v>1098</v>
      </c>
      <c r="B9" s="80"/>
      <c r="E9" s="80"/>
      <c r="F9" s="49" t="s">
        <v>1277</v>
      </c>
      <c r="G9" s="15">
        <v>0</v>
      </c>
      <c r="H9" s="15">
        <v>0</v>
      </c>
      <c r="I9" s="15">
        <v>0</v>
      </c>
      <c r="J9" s="15">
        <v>0</v>
      </c>
      <c r="K9" s="15">
        <v>0</v>
      </c>
      <c r="L9" s="15">
        <v>0</v>
      </c>
      <c r="M9" s="15">
        <v>0</v>
      </c>
      <c r="N9" s="15">
        <v>0</v>
      </c>
      <c r="O9">
        <v>0</v>
      </c>
      <c r="P9">
        <v>0</v>
      </c>
    </row>
    <row r="10" spans="1:17" x14ac:dyDescent="0.2">
      <c r="A10" t="s">
        <v>1100</v>
      </c>
      <c r="E10" s="80"/>
      <c r="F10" s="49" t="s">
        <v>1278</v>
      </c>
      <c r="G10" s="15">
        <v>0</v>
      </c>
      <c r="H10" s="15">
        <v>0</v>
      </c>
      <c r="I10" s="15">
        <v>0</v>
      </c>
      <c r="J10" s="15">
        <v>0</v>
      </c>
      <c r="K10" s="15">
        <v>0</v>
      </c>
      <c r="L10" s="15">
        <v>0</v>
      </c>
      <c r="M10" s="15" t="s">
        <v>1031</v>
      </c>
      <c r="N10" s="15" t="s">
        <v>1031</v>
      </c>
      <c r="O10" t="s">
        <v>1031</v>
      </c>
      <c r="P10" t="s">
        <v>1031</v>
      </c>
    </row>
    <row r="11" spans="1:17" x14ac:dyDescent="0.2">
      <c r="A11" t="s">
        <v>1102</v>
      </c>
      <c r="E11" s="80"/>
      <c r="F11" s="49" t="s">
        <v>1279</v>
      </c>
      <c r="G11" s="15" t="s">
        <v>1031</v>
      </c>
      <c r="H11" s="15" t="s">
        <v>1031</v>
      </c>
      <c r="I11" s="15">
        <v>0</v>
      </c>
      <c r="J11" s="15">
        <v>0</v>
      </c>
      <c r="K11" s="15" t="s">
        <v>1031</v>
      </c>
      <c r="L11" s="15" t="s">
        <v>1031</v>
      </c>
      <c r="M11" s="15">
        <v>0</v>
      </c>
      <c r="N11" s="15">
        <v>0</v>
      </c>
      <c r="O11" t="s">
        <v>1031</v>
      </c>
      <c r="P11" t="s">
        <v>1031</v>
      </c>
    </row>
    <row r="12" spans="1:17" x14ac:dyDescent="0.2">
      <c r="A12" t="s">
        <v>1104</v>
      </c>
      <c r="E12" s="80"/>
      <c r="F12" s="55" t="s">
        <v>1280</v>
      </c>
      <c r="G12" s="15" t="s">
        <v>1031</v>
      </c>
      <c r="H12" s="15" t="s">
        <v>1031</v>
      </c>
      <c r="I12" s="15">
        <v>0</v>
      </c>
      <c r="J12" s="15">
        <v>0</v>
      </c>
      <c r="K12" s="15">
        <v>0</v>
      </c>
      <c r="L12" s="15">
        <v>0</v>
      </c>
      <c r="M12" s="15" t="s">
        <v>1031</v>
      </c>
      <c r="N12" s="15" t="s">
        <v>1031</v>
      </c>
      <c r="O12" t="s">
        <v>1031</v>
      </c>
      <c r="P12" t="s">
        <v>1031</v>
      </c>
    </row>
    <row r="13" spans="1:17" x14ac:dyDescent="0.2">
      <c r="A13" t="s">
        <v>1108</v>
      </c>
      <c r="E13" s="80"/>
      <c r="F13" s="49" t="s">
        <v>1281</v>
      </c>
      <c r="G13" s="15" t="s">
        <v>1031</v>
      </c>
      <c r="H13" s="15" t="s">
        <v>1031</v>
      </c>
      <c r="I13" s="15" t="s">
        <v>1031</v>
      </c>
      <c r="J13" s="15" t="s">
        <v>1031</v>
      </c>
      <c r="K13" s="15" t="s">
        <v>1031</v>
      </c>
      <c r="L13" s="15" t="s">
        <v>1031</v>
      </c>
      <c r="M13" s="15" t="s">
        <v>1031</v>
      </c>
      <c r="N13" s="15" t="s">
        <v>1031</v>
      </c>
      <c r="O13"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v>28</v>
      </c>
      <c r="P14">
        <v>14.6</v>
      </c>
    </row>
    <row r="15" spans="1:17" x14ac:dyDescent="0.2">
      <c r="A15" t="s">
        <v>1114</v>
      </c>
      <c r="E15" s="80"/>
      <c r="F15" s="49" t="s">
        <v>1283</v>
      </c>
      <c r="G15" s="15">
        <v>37</v>
      </c>
      <c r="H15" s="15">
        <v>70.7</v>
      </c>
      <c r="I15" s="15">
        <v>32</v>
      </c>
      <c r="J15" s="15">
        <v>60</v>
      </c>
      <c r="K15" s="15">
        <v>28</v>
      </c>
      <c r="L15" s="15">
        <v>53.5</v>
      </c>
      <c r="M15" s="15">
        <v>43</v>
      </c>
      <c r="N15" s="15">
        <v>83.5</v>
      </c>
      <c r="O15">
        <v>140</v>
      </c>
      <c r="P15">
        <v>66.900000000000006</v>
      </c>
    </row>
    <row r="16" spans="1:17" x14ac:dyDescent="0.2">
      <c r="A16" t="s">
        <v>1116</v>
      </c>
      <c r="E16" s="80"/>
      <c r="F16" s="49" t="s">
        <v>1284</v>
      </c>
      <c r="G16" s="15">
        <v>122</v>
      </c>
      <c r="H16" s="15">
        <v>250.5</v>
      </c>
      <c r="I16" s="15">
        <v>109</v>
      </c>
      <c r="J16" s="15">
        <v>212.1</v>
      </c>
      <c r="K16" s="15">
        <v>98</v>
      </c>
      <c r="L16" s="15">
        <v>191.5</v>
      </c>
      <c r="M16" s="15">
        <v>103</v>
      </c>
      <c r="N16" s="15">
        <v>200</v>
      </c>
      <c r="O16">
        <v>432</v>
      </c>
      <c r="P16">
        <v>213.5</v>
      </c>
    </row>
    <row r="17" spans="1:16" x14ac:dyDescent="0.2">
      <c r="E17" s="80"/>
      <c r="F17" s="49" t="s">
        <v>1285</v>
      </c>
      <c r="G17" s="15">
        <v>150</v>
      </c>
      <c r="H17" s="15">
        <v>475.7</v>
      </c>
      <c r="I17" s="15">
        <v>175</v>
      </c>
      <c r="J17" s="15">
        <v>522.9</v>
      </c>
      <c r="K17" s="15">
        <v>179</v>
      </c>
      <c r="L17" s="15">
        <v>528.79999999999995</v>
      </c>
      <c r="M17" s="15">
        <v>185</v>
      </c>
      <c r="N17" s="15">
        <v>531</v>
      </c>
      <c r="O17">
        <v>689</v>
      </c>
      <c r="P17">
        <v>514.6</v>
      </c>
    </row>
    <row r="18" spans="1:16" x14ac:dyDescent="0.2">
      <c r="A18" s="84" t="s">
        <v>1119</v>
      </c>
      <c r="B18" s="80"/>
      <c r="E18" s="80"/>
      <c r="F18" s="49" t="s">
        <v>1286</v>
      </c>
      <c r="G18" s="15">
        <v>164</v>
      </c>
      <c r="H18" s="15">
        <v>1112.2</v>
      </c>
      <c r="I18" s="15">
        <v>156</v>
      </c>
      <c r="J18" s="15">
        <v>1022.3</v>
      </c>
      <c r="K18" s="15">
        <v>154</v>
      </c>
      <c r="L18" s="15">
        <v>972</v>
      </c>
      <c r="M18" s="15">
        <v>186</v>
      </c>
      <c r="N18" s="15">
        <v>1134.4000000000001</v>
      </c>
      <c r="O18">
        <v>660</v>
      </c>
      <c r="P18">
        <v>1060.2</v>
      </c>
    </row>
    <row r="19" spans="1:16" x14ac:dyDescent="0.2">
      <c r="A19" t="s">
        <v>1121</v>
      </c>
      <c r="B19" t="s">
        <v>1287</v>
      </c>
      <c r="E19" s="80"/>
      <c r="F19" s="49" t="s">
        <v>1288</v>
      </c>
      <c r="G19" s="15">
        <v>116</v>
      </c>
      <c r="H19" s="15">
        <v>1622.6</v>
      </c>
      <c r="I19" s="15">
        <v>116</v>
      </c>
      <c r="J19" s="15">
        <v>1702.6</v>
      </c>
      <c r="K19" s="15">
        <v>88</v>
      </c>
      <c r="L19" s="15">
        <v>1253.5999999999999</v>
      </c>
      <c r="M19" s="15">
        <v>96</v>
      </c>
      <c r="N19" s="15">
        <v>1430.9</v>
      </c>
      <c r="O19">
        <v>416</v>
      </c>
      <c r="P19">
        <v>1502.4</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493</v>
      </c>
      <c r="H21" s="15">
        <v>204.4</v>
      </c>
      <c r="I21" s="15">
        <v>495</v>
      </c>
      <c r="J21" s="15">
        <v>199.7</v>
      </c>
      <c r="K21" s="15">
        <v>451</v>
      </c>
      <c r="L21" s="15">
        <v>185.9</v>
      </c>
      <c r="M21" s="15">
        <v>511</v>
      </c>
      <c r="N21" s="15">
        <v>213.6</v>
      </c>
      <c r="O21">
        <v>1950</v>
      </c>
      <c r="P21">
        <v>200.9</v>
      </c>
    </row>
    <row r="22" spans="1:16" x14ac:dyDescent="0.2">
      <c r="A22" t="s">
        <v>1135</v>
      </c>
      <c r="B22" t="s">
        <v>1764</v>
      </c>
      <c r="E22" s="80"/>
      <c r="F22" s="47" t="s">
        <v>1292</v>
      </c>
      <c r="G22" s="15">
        <v>46</v>
      </c>
      <c r="H22" s="15">
        <v>119.6</v>
      </c>
      <c r="I22" s="15">
        <v>40</v>
      </c>
      <c r="J22" s="15">
        <v>100.7</v>
      </c>
      <c r="K22" s="15">
        <v>38</v>
      </c>
      <c r="L22" s="15">
        <v>90.6</v>
      </c>
      <c r="M22" s="15">
        <v>54</v>
      </c>
      <c r="N22" s="15">
        <v>127.1</v>
      </c>
      <c r="O22">
        <v>178</v>
      </c>
      <c r="P22">
        <v>109.5</v>
      </c>
    </row>
    <row r="23" spans="1:16" x14ac:dyDescent="0.2">
      <c r="E23" s="80"/>
      <c r="F23" s="47" t="s">
        <v>1293</v>
      </c>
      <c r="G23" s="15">
        <v>50</v>
      </c>
      <c r="H23" s="15">
        <v>62.3</v>
      </c>
      <c r="I23" s="15">
        <v>48</v>
      </c>
      <c r="J23" s="15">
        <v>56.2</v>
      </c>
      <c r="K23" s="15">
        <v>52</v>
      </c>
      <c r="L23" s="15">
        <v>58.1</v>
      </c>
      <c r="M23" s="15">
        <v>39</v>
      </c>
      <c r="N23" s="15">
        <v>41.7</v>
      </c>
      <c r="O23">
        <v>189</v>
      </c>
      <c r="P23">
        <v>54.6</v>
      </c>
    </row>
    <row r="24" spans="1:16" x14ac:dyDescent="0.2">
      <c r="E24" s="80"/>
      <c r="F24" s="47" t="s">
        <v>1015</v>
      </c>
      <c r="G24" s="15">
        <v>12</v>
      </c>
      <c r="H24" s="15">
        <v>54.1</v>
      </c>
      <c r="I24" s="15">
        <v>13</v>
      </c>
      <c r="J24" s="15">
        <v>51.4</v>
      </c>
      <c r="K24" s="15">
        <v>20</v>
      </c>
      <c r="L24" s="15">
        <v>73.599999999999994</v>
      </c>
      <c r="M24" s="15">
        <v>20</v>
      </c>
      <c r="N24" s="15">
        <v>70</v>
      </c>
      <c r="O24">
        <v>65</v>
      </c>
      <c r="P24">
        <v>62.3</v>
      </c>
    </row>
    <row r="25" spans="1:16" x14ac:dyDescent="0.2">
      <c r="E25" s="80"/>
      <c r="F25" s="91" t="s">
        <v>1752</v>
      </c>
      <c r="G25" s="80"/>
      <c r="H25" s="80"/>
      <c r="I25" s="80"/>
      <c r="J25" s="80"/>
      <c r="K25" s="80"/>
      <c r="L25" s="80"/>
      <c r="M25" s="80"/>
      <c r="N25" s="80"/>
      <c r="O25" s="80"/>
      <c r="P25" s="80"/>
    </row>
    <row r="26" spans="1:16" x14ac:dyDescent="0.2">
      <c r="E26" s="80"/>
      <c r="F26" s="47">
        <v>10940</v>
      </c>
      <c r="G26" s="15">
        <v>85</v>
      </c>
      <c r="H26" s="15">
        <v>172</v>
      </c>
      <c r="I26" s="15">
        <v>75</v>
      </c>
      <c r="J26" s="15">
        <v>147.30000000000001</v>
      </c>
      <c r="K26" s="15">
        <v>82</v>
      </c>
      <c r="L26" s="15">
        <v>158.1</v>
      </c>
      <c r="M26" s="15">
        <v>80</v>
      </c>
      <c r="N26" s="15">
        <v>150.69999999999999</v>
      </c>
      <c r="O26">
        <v>322</v>
      </c>
      <c r="P26">
        <v>157</v>
      </c>
    </row>
    <row r="27" spans="1:16" x14ac:dyDescent="0.2">
      <c r="A27" s="82"/>
      <c r="B27" s="80"/>
      <c r="E27" s="80"/>
      <c r="F27" s="47">
        <v>10950</v>
      </c>
      <c r="G27" s="15">
        <v>41</v>
      </c>
      <c r="H27" s="15">
        <v>306.3</v>
      </c>
      <c r="I27" s="15">
        <v>32</v>
      </c>
      <c r="J27" s="15">
        <v>222</v>
      </c>
      <c r="K27" s="15">
        <v>37</v>
      </c>
      <c r="L27" s="15">
        <v>255.1</v>
      </c>
      <c r="M27" s="15">
        <v>32</v>
      </c>
      <c r="N27" s="15">
        <v>216.8</v>
      </c>
      <c r="O27">
        <v>142</v>
      </c>
      <c r="P27">
        <v>250.1</v>
      </c>
    </row>
    <row r="28" spans="1:16" x14ac:dyDescent="0.2">
      <c r="E28" s="80"/>
      <c r="F28" s="47">
        <v>12550</v>
      </c>
      <c r="G28" s="15">
        <v>80</v>
      </c>
      <c r="H28" s="15">
        <v>300</v>
      </c>
      <c r="I28" s="15">
        <v>79</v>
      </c>
      <c r="J28" s="15">
        <v>294.7</v>
      </c>
      <c r="K28" s="15">
        <v>67</v>
      </c>
      <c r="L28" s="15">
        <v>244.4</v>
      </c>
      <c r="M28" s="15">
        <v>79</v>
      </c>
      <c r="N28" s="15">
        <v>289.39999999999998</v>
      </c>
      <c r="O28">
        <v>305</v>
      </c>
      <c r="P28">
        <v>282.10000000000002</v>
      </c>
    </row>
    <row r="29" spans="1:16" x14ac:dyDescent="0.2">
      <c r="E29" s="80"/>
      <c r="F29" s="47">
        <v>12771</v>
      </c>
      <c r="G29" s="15">
        <v>31</v>
      </c>
      <c r="H29" s="15">
        <v>215.2</v>
      </c>
      <c r="I29" s="15">
        <v>30</v>
      </c>
      <c r="J29" s="15">
        <v>202.2</v>
      </c>
      <c r="K29" s="15">
        <v>27</v>
      </c>
      <c r="L29" s="15">
        <v>186.8</v>
      </c>
      <c r="M29" s="15">
        <v>37</v>
      </c>
      <c r="N29" s="15">
        <v>257.89999999999998</v>
      </c>
      <c r="O29">
        <v>125</v>
      </c>
      <c r="P29">
        <v>215</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election activeCell="F14" sqref="F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tbl-neoplasm-mortal-aar</v>
      </c>
    </row>
    <row r="4" spans="1:17" x14ac:dyDescent="0.2">
      <c r="A4" s="16" t="s">
        <v>7</v>
      </c>
      <c r="B4" t="str">
        <f>IF($B$1="","",_xlfn.XLOOKUP($B$1,Master!$F$2:$F$321,Master!$H$2:$H$321,""))</f>
        <v>fig-neoplasm-mortal-aar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141.69999999999999</v>
      </c>
      <c r="H6" s="15">
        <v>136</v>
      </c>
      <c r="I6" s="15">
        <v>126.1</v>
      </c>
      <c r="J6" s="15">
        <v>140.1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tbl-neoplasm-mortal-rande</v>
      </c>
    </row>
    <row r="4" spans="1:17" x14ac:dyDescent="0.2">
      <c r="A4" s="16" t="s">
        <v>7</v>
      </c>
      <c r="B4" t="str">
        <f>IF($B$1="","",_xlfn.XLOOKUP($B$1,Master!$F$2:$F$321,Master!$H$2:$H$321,""))</f>
        <v>fig-neoplasm-mortal-rande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1289</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47" t="s">
        <v>1290</v>
      </c>
      <c r="G7" s="15">
        <v>204.4</v>
      </c>
      <c r="H7" s="15">
        <v>199.7</v>
      </c>
      <c r="I7" s="15">
        <v>185.9</v>
      </c>
      <c r="J7" s="15">
        <v>213.6</v>
      </c>
      <c r="K7" s="15"/>
      <c r="L7" s="15"/>
      <c r="M7" s="15"/>
      <c r="N7" s="15"/>
      <c r="O7" s="15"/>
    </row>
    <row r="8" spans="1:17" x14ac:dyDescent="0.2">
      <c r="E8" s="80"/>
      <c r="F8" s="47" t="s">
        <v>1292</v>
      </c>
      <c r="G8" s="15">
        <v>119.6</v>
      </c>
      <c r="H8" s="15">
        <v>100.7</v>
      </c>
      <c r="I8" s="15">
        <v>90.6</v>
      </c>
      <c r="J8" s="15">
        <v>127.1</v>
      </c>
      <c r="K8" s="15"/>
      <c r="L8" s="15"/>
      <c r="M8" s="15"/>
      <c r="N8" s="15"/>
      <c r="O8" s="15"/>
    </row>
    <row r="9" spans="1:17" x14ac:dyDescent="0.2">
      <c r="A9" s="84" t="s">
        <v>1098</v>
      </c>
      <c r="B9" s="80"/>
      <c r="E9" s="80"/>
      <c r="F9" s="47" t="s">
        <v>1293</v>
      </c>
      <c r="G9" s="15">
        <v>62.3</v>
      </c>
      <c r="H9" s="15">
        <v>56.2</v>
      </c>
      <c r="I9" s="15">
        <v>58.1</v>
      </c>
      <c r="J9" s="15">
        <v>41.7</v>
      </c>
      <c r="K9" s="15"/>
      <c r="L9" s="15"/>
      <c r="M9" s="15"/>
      <c r="N9" s="15"/>
      <c r="O9" s="15"/>
    </row>
    <row r="10" spans="1:17" x14ac:dyDescent="0.2">
      <c r="A10" t="s">
        <v>1100</v>
      </c>
      <c r="B10" t="s">
        <v>1304</v>
      </c>
      <c r="E10" s="80"/>
      <c r="F10" s="47" t="s">
        <v>1015</v>
      </c>
      <c r="G10" s="15">
        <v>54.1</v>
      </c>
      <c r="H10">
        <v>51.4</v>
      </c>
      <c r="I10">
        <v>73.599999999999994</v>
      </c>
      <c r="J10">
        <v>70</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election activeCell="F7" sqref="F7: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tbl-neoplasm-mortal-zip</v>
      </c>
    </row>
    <row r="4" spans="1:17" x14ac:dyDescent="0.2">
      <c r="A4" s="16" t="s">
        <v>7</v>
      </c>
      <c r="B4" t="str">
        <f>IF($B$1="","",_xlfn.XLOOKUP($B$1,Master!$F$2:$F$321,Master!$H$2:$H$321,""))</f>
        <v>fig-neoplasm-mortal-zip</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1715</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37">
        <v>10940</v>
      </c>
      <c r="G7" s="15">
        <v>172</v>
      </c>
      <c r="H7" s="15">
        <v>147.30000000000001</v>
      </c>
      <c r="I7" s="15">
        <v>158.1</v>
      </c>
      <c r="J7" s="15">
        <v>150.69999999999999</v>
      </c>
      <c r="K7" s="15"/>
      <c r="L7" s="15"/>
      <c r="M7" s="15"/>
      <c r="N7" s="15"/>
      <c r="O7" s="15"/>
    </row>
    <row r="8" spans="1:17" x14ac:dyDescent="0.2">
      <c r="E8" s="80"/>
      <c r="F8" s="37">
        <v>10950</v>
      </c>
      <c r="G8" s="15">
        <v>306.3</v>
      </c>
      <c r="H8" s="15">
        <v>222</v>
      </c>
      <c r="I8" s="15">
        <v>255.1</v>
      </c>
      <c r="J8" s="15">
        <v>216.8</v>
      </c>
      <c r="K8" s="15"/>
      <c r="L8" s="15"/>
      <c r="M8" s="15"/>
      <c r="N8" s="15"/>
      <c r="O8" s="15"/>
    </row>
    <row r="9" spans="1:17" x14ac:dyDescent="0.2">
      <c r="A9" s="84" t="s">
        <v>1098</v>
      </c>
      <c r="B9" s="80"/>
      <c r="E9" s="80"/>
      <c r="F9" s="37">
        <v>12550</v>
      </c>
      <c r="G9" s="15">
        <v>300</v>
      </c>
      <c r="H9" s="15">
        <v>294.7</v>
      </c>
      <c r="I9" s="15">
        <v>244.4</v>
      </c>
      <c r="J9" s="15">
        <v>289.39999999999998</v>
      </c>
      <c r="K9" s="15"/>
      <c r="L9" s="15"/>
      <c r="M9" s="15"/>
      <c r="N9" s="15"/>
      <c r="O9" s="15"/>
    </row>
    <row r="10" spans="1:17" x14ac:dyDescent="0.2">
      <c r="A10" t="s">
        <v>1100</v>
      </c>
      <c r="B10" t="s">
        <v>1304</v>
      </c>
      <c r="E10" s="80"/>
      <c r="F10" s="37">
        <v>12771</v>
      </c>
      <c r="G10" s="15">
        <v>215.2</v>
      </c>
      <c r="H10">
        <v>202.2</v>
      </c>
      <c r="I10">
        <v>186.8</v>
      </c>
      <c r="J10">
        <v>257.89999999999998</v>
      </c>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tbl-neoplasm-mortal-sex-aar</v>
      </c>
    </row>
    <row r="4" spans="1:17" x14ac:dyDescent="0.2">
      <c r="A4" s="16" t="s">
        <v>7</v>
      </c>
      <c r="B4" t="str">
        <f>IF($B$1="","",_xlfn.XLOOKUP($B$1,Master!$F$2:$F$321,Master!$H$2:$H$321,""))</f>
        <v>fig-neoplasm-mortal-sex-aar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160.69999999999999</v>
      </c>
      <c r="H6" s="15">
        <v>147.19999999999999</v>
      </c>
      <c r="I6" s="15">
        <v>139.9</v>
      </c>
      <c r="J6" s="15">
        <v>159.6</v>
      </c>
      <c r="K6" s="15"/>
      <c r="L6" s="15"/>
      <c r="M6" s="15"/>
      <c r="N6" s="15"/>
      <c r="O6" s="15"/>
    </row>
    <row r="7" spans="1:17" ht="15.75" customHeight="1" x14ac:dyDescent="0.2">
      <c r="E7" s="80"/>
      <c r="F7" t="s">
        <v>1306</v>
      </c>
      <c r="G7" s="15">
        <v>131.5</v>
      </c>
      <c r="H7" s="15">
        <v>129.5</v>
      </c>
      <c r="I7" s="15">
        <v>118.1</v>
      </c>
      <c r="J7" s="15">
        <v>126.1</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tbl-cancerall-mortal-aar-three</v>
      </c>
    </row>
    <row r="4" spans="1:17" x14ac:dyDescent="0.2">
      <c r="A4" s="16" t="s">
        <v>7</v>
      </c>
      <c r="B4" t="str">
        <f>IF($B$1="","",_xlfn.XLOOKUP($B$1,Master!$F$2:$F$321,Master!$H$2:$H$321,""))</f>
        <v>fig-cancerall-mortal-aar-three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196</v>
      </c>
      <c r="H6" s="15">
        <v>194.6</v>
      </c>
      <c r="I6" s="15">
        <v>183.3</v>
      </c>
      <c r="J6" s="15">
        <v>156.4</v>
      </c>
      <c r="K6" s="15"/>
      <c r="L6" s="15"/>
      <c r="M6" s="15"/>
      <c r="N6" s="15"/>
      <c r="O6" s="15"/>
    </row>
    <row r="7" spans="1:17" ht="15.75" customHeight="1" x14ac:dyDescent="0.2">
      <c r="E7" s="80"/>
      <c r="F7" t="s">
        <v>1645</v>
      </c>
      <c r="G7" s="15">
        <v>128.1</v>
      </c>
      <c r="H7" s="15">
        <v>135.1</v>
      </c>
      <c r="I7" s="15">
        <v>127.1</v>
      </c>
      <c r="J7" s="15">
        <v>117</v>
      </c>
      <c r="K7" s="15"/>
      <c r="L7" s="15"/>
      <c r="M7" s="15"/>
      <c r="N7" s="15"/>
      <c r="O7" s="15"/>
    </row>
    <row r="8" spans="1:17" x14ac:dyDescent="0.2">
      <c r="E8" s="80"/>
      <c r="F8" t="s">
        <v>1298</v>
      </c>
      <c r="G8" s="15">
        <v>146.80000000000001</v>
      </c>
      <c r="H8" s="15">
        <v>144.80000000000001</v>
      </c>
      <c r="I8" s="15">
        <v>138.6</v>
      </c>
      <c r="J8" s="15">
        <v>135.9</v>
      </c>
      <c r="K8" s="15"/>
      <c r="L8" s="15"/>
      <c r="M8" s="15"/>
      <c r="N8" s="15"/>
      <c r="O8" s="15"/>
    </row>
    <row r="9" spans="1:17" x14ac:dyDescent="0.2">
      <c r="A9" s="84" t="s">
        <v>1098</v>
      </c>
      <c r="B9" s="80"/>
      <c r="E9" s="80"/>
      <c r="F9" t="s">
        <v>1299</v>
      </c>
      <c r="G9" s="15">
        <v>138.9</v>
      </c>
      <c r="H9" s="15">
        <v>134.6</v>
      </c>
      <c r="I9" s="15">
        <v>129.5</v>
      </c>
      <c r="J9" s="15">
        <v>123.7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tbl-cancerall-mortal-aar-five</v>
      </c>
    </row>
    <row r="4" spans="1:17" x14ac:dyDescent="0.2">
      <c r="A4" s="16" t="s">
        <v>7</v>
      </c>
      <c r="B4" t="str">
        <f>IF($B$1="","",_xlfn.XLOOKUP($B$1,Master!$F$2:$F$321,Master!$H$2:$H$321,""))</f>
        <v>fig-cancerall-mortal-aar-five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1757</v>
      </c>
      <c r="G6" s="15">
        <v>167.1</v>
      </c>
      <c r="H6" s="15">
        <v>138.6</v>
      </c>
      <c r="I6" s="15">
        <v>101.2</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307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tbl-cancerall-incidence-rande-aar-five</v>
      </c>
    </row>
    <row r="4" spans="1:17" x14ac:dyDescent="0.2">
      <c r="A4" s="16" t="s">
        <v>7</v>
      </c>
      <c r="B4" t="str">
        <f>IF($B$1="","",_xlfn.XLOOKUP($B$1,Master!$F$2:$F$321,Master!$H$2:$H$321,""))</f>
        <v>fig-cancerall-incidence-rande-aar-five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167.1</v>
      </c>
      <c r="H6" s="15">
        <v>169.8</v>
      </c>
      <c r="I6" s="15">
        <v>189.2</v>
      </c>
      <c r="J6" s="15" t="s">
        <v>1031</v>
      </c>
      <c r="K6" s="15">
        <v>206.8</v>
      </c>
      <c r="L6" s="15">
        <v>114.6</v>
      </c>
      <c r="M6" s="15"/>
      <c r="N6" s="15"/>
      <c r="O6" s="15"/>
    </row>
    <row r="7" spans="1:17" ht="15.75" customHeight="1" x14ac:dyDescent="0.2">
      <c r="E7" s="80"/>
      <c r="F7" t="s">
        <v>1298</v>
      </c>
      <c r="G7" s="15">
        <v>138.6</v>
      </c>
      <c r="H7" s="15">
        <v>142.6</v>
      </c>
      <c r="I7" s="15">
        <v>150.5</v>
      </c>
      <c r="J7" s="15">
        <v>121.1</v>
      </c>
      <c r="K7" s="15">
        <v>81.2</v>
      </c>
      <c r="L7" s="15">
        <v>90</v>
      </c>
      <c r="M7" s="15"/>
      <c r="N7" s="15"/>
      <c r="O7" s="15"/>
    </row>
    <row r="8" spans="1:17" x14ac:dyDescent="0.2">
      <c r="E8" s="80"/>
      <c r="F8" t="s">
        <v>1299</v>
      </c>
      <c r="G8" s="15">
        <v>126.6</v>
      </c>
      <c r="H8" s="15">
        <v>134.30000000000001</v>
      </c>
      <c r="I8" s="15">
        <v>132.30000000000001</v>
      </c>
      <c r="J8" s="15">
        <v>121.1</v>
      </c>
      <c r="K8" s="15">
        <v>83.7</v>
      </c>
      <c r="L8" s="15">
        <v>94.1</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tbl-lungbronchus-incidence-aar-single</v>
      </c>
    </row>
    <row r="4" spans="1:17" x14ac:dyDescent="0.2">
      <c r="A4" s="16" t="s">
        <v>7</v>
      </c>
      <c r="B4" t="str">
        <f>IF($B$1="","",_xlfn.XLOOKUP($B$1,Master!$F$2:$F$321,Master!$H$2:$H$321,""))</f>
        <v>fig-lungbronchus-incidence-aar-single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62.7</v>
      </c>
      <c r="H6" s="15">
        <v>62.5</v>
      </c>
      <c r="I6" s="15">
        <v>61.8</v>
      </c>
      <c r="J6" s="15">
        <v>59.8</v>
      </c>
      <c r="K6" s="15"/>
      <c r="L6" s="15"/>
      <c r="M6" s="15"/>
      <c r="N6" s="15"/>
      <c r="O6" s="15"/>
    </row>
    <row r="7" spans="1:17" ht="15.75" customHeight="1" x14ac:dyDescent="0.2">
      <c r="E7" s="80"/>
      <c r="F7" t="s">
        <v>1645</v>
      </c>
      <c r="G7" s="15">
        <v>54.7</v>
      </c>
      <c r="H7" s="15">
        <v>53.7</v>
      </c>
      <c r="I7" s="15">
        <v>52.3</v>
      </c>
      <c r="J7" s="15">
        <v>47</v>
      </c>
      <c r="K7" s="15"/>
      <c r="L7" s="15"/>
      <c r="M7" s="15"/>
      <c r="N7" s="15"/>
      <c r="O7" s="15"/>
    </row>
    <row r="8" spans="1:17" x14ac:dyDescent="0.2">
      <c r="E8" s="80"/>
      <c r="F8" t="s">
        <v>1298</v>
      </c>
      <c r="G8" s="15">
        <v>66.400000000000006</v>
      </c>
      <c r="H8" s="15">
        <v>64.2</v>
      </c>
      <c r="I8" s="15">
        <v>62.3</v>
      </c>
      <c r="J8" s="15">
        <v>55.5</v>
      </c>
      <c r="K8" s="15"/>
      <c r="L8" s="15"/>
      <c r="M8" s="15"/>
      <c r="N8" s="15"/>
      <c r="O8" s="15"/>
    </row>
    <row r="9" spans="1:17" x14ac:dyDescent="0.2">
      <c r="A9" s="84" t="s">
        <v>1098</v>
      </c>
      <c r="B9" s="80"/>
      <c r="E9" s="80"/>
      <c r="F9" t="s">
        <v>1299</v>
      </c>
      <c r="G9" s="15">
        <v>59</v>
      </c>
      <c r="H9" s="15">
        <v>56.9</v>
      </c>
      <c r="I9" s="15">
        <v>54.9</v>
      </c>
      <c r="J9" s="15">
        <v>47.7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tbl-lungbronchus-incidence-aar-five</v>
      </c>
    </row>
    <row r="4" spans="1:17" x14ac:dyDescent="0.2">
      <c r="A4" s="16" t="s">
        <v>7</v>
      </c>
      <c r="B4" t="str">
        <f>IF($B$1="","",_xlfn.XLOOKUP($B$1,Master!$F$2:$F$321,Master!$H$2:$H$321,""))</f>
        <v>fig-lungbronchus-incidence-aar-five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1757</v>
      </c>
      <c r="G6" s="15">
        <v>59.9</v>
      </c>
      <c r="H6" s="15">
        <v>59.9</v>
      </c>
      <c r="I6" s="15">
        <v>52.4</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tbl-lungbronchus-incidence-rande-aar-five</v>
      </c>
    </row>
    <row r="4" spans="1:17" x14ac:dyDescent="0.2">
      <c r="A4" s="16" t="s">
        <v>7</v>
      </c>
      <c r="B4" t="str">
        <f>IF($B$1="","",_xlfn.XLOOKUP($B$1,Master!$F$2:$F$321,Master!$H$2:$H$321,""))</f>
        <v>fig-lungbronchus-incidence-rande-aar-five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59.9</v>
      </c>
      <c r="H6" s="15">
        <v>66</v>
      </c>
      <c r="I6" s="15">
        <v>48.8</v>
      </c>
      <c r="J6" s="15" t="s">
        <v>1031</v>
      </c>
      <c r="K6" s="15">
        <v>28.8</v>
      </c>
      <c r="L6" s="15">
        <v>36.299999999999997</v>
      </c>
      <c r="M6" s="15"/>
      <c r="N6" s="15"/>
      <c r="O6" s="15"/>
    </row>
    <row r="7" spans="1:17" ht="15.75" customHeight="1" x14ac:dyDescent="0.2">
      <c r="E7" s="80"/>
      <c r="F7" t="s">
        <v>1298</v>
      </c>
      <c r="G7" s="15">
        <v>59.9</v>
      </c>
      <c r="H7" s="15">
        <v>63.4</v>
      </c>
      <c r="I7" s="15">
        <v>54.5</v>
      </c>
      <c r="J7" s="15">
        <v>70</v>
      </c>
      <c r="K7" s="15">
        <v>30.9</v>
      </c>
      <c r="L7" s="15">
        <v>31.7</v>
      </c>
      <c r="M7" s="15"/>
      <c r="N7" s="15"/>
      <c r="O7" s="15"/>
    </row>
    <row r="8" spans="1:17" x14ac:dyDescent="0.2">
      <c r="E8" s="80"/>
      <c r="F8" t="s">
        <v>1299</v>
      </c>
      <c r="G8" s="15">
        <v>52.4</v>
      </c>
      <c r="H8" s="15">
        <v>59.5</v>
      </c>
      <c r="I8" s="15">
        <v>43.2</v>
      </c>
      <c r="J8" s="15">
        <v>70</v>
      </c>
      <c r="K8" s="15">
        <v>42.4</v>
      </c>
      <c r="L8" s="15">
        <v>29</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election activeCell="I23" sqref="I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tbl-lungbronchus-mortal-aar-single</v>
      </c>
    </row>
    <row r="4" spans="1:17" x14ac:dyDescent="0.2">
      <c r="A4" s="16" t="s">
        <v>7</v>
      </c>
      <c r="B4" t="str">
        <f>IF($B$1="","",_xlfn.XLOOKUP($B$1,Master!$F$2:$F$321,Master!$H$2:$H$321,""))</f>
        <v>fig-lungbronchus-mortal-aar-single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44.6</v>
      </c>
      <c r="H6" s="15">
        <v>42.9</v>
      </c>
      <c r="I6" s="15">
        <v>39.9</v>
      </c>
      <c r="J6" s="15">
        <v>35.299999999999997</v>
      </c>
      <c r="K6" s="15"/>
      <c r="L6" s="15"/>
      <c r="M6" s="15"/>
      <c r="N6" s="15"/>
      <c r="O6" s="15"/>
    </row>
    <row r="7" spans="1:17" ht="15.75" customHeight="1" x14ac:dyDescent="0.2">
      <c r="E7" s="80"/>
      <c r="F7" t="s">
        <v>1645</v>
      </c>
      <c r="G7" s="15">
        <v>27.9</v>
      </c>
      <c r="H7" s="15">
        <v>28.8</v>
      </c>
      <c r="I7" s="15">
        <v>26.7</v>
      </c>
      <c r="J7" s="15">
        <v>23.4</v>
      </c>
      <c r="K7" s="15"/>
      <c r="L7" s="15"/>
      <c r="M7" s="15"/>
      <c r="N7" s="15"/>
      <c r="O7" s="15"/>
    </row>
    <row r="8" spans="1:17" x14ac:dyDescent="0.2">
      <c r="E8" s="80"/>
      <c r="F8" t="s">
        <v>1298</v>
      </c>
      <c r="G8" s="15">
        <v>35.4</v>
      </c>
      <c r="H8" s="15">
        <v>34.799999999999997</v>
      </c>
      <c r="I8" s="15">
        <v>32.6</v>
      </c>
      <c r="J8" s="15">
        <v>30.1</v>
      </c>
      <c r="K8" s="15"/>
      <c r="L8" s="15"/>
      <c r="M8" s="15"/>
      <c r="N8" s="15"/>
      <c r="O8" s="15"/>
    </row>
    <row r="9" spans="1:17" x14ac:dyDescent="0.2">
      <c r="A9" s="84" t="s">
        <v>1098</v>
      </c>
      <c r="B9" s="80"/>
      <c r="E9" s="80"/>
      <c r="F9" t="s">
        <v>1299</v>
      </c>
      <c r="G9" s="15">
        <v>30.9</v>
      </c>
      <c r="H9" s="15">
        <v>30</v>
      </c>
      <c r="I9" s="15">
        <v>27.8</v>
      </c>
      <c r="J9" s="15">
        <v>25.5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tbl-lungbronchus-mortal-aar-five</v>
      </c>
    </row>
    <row r="4" spans="1:17" x14ac:dyDescent="0.2">
      <c r="A4" s="16" t="s">
        <v>7</v>
      </c>
      <c r="B4" t="str">
        <f>IF($B$1="","",_xlfn.XLOOKUP($B$1,Master!$F$2:$F$321,Master!$H$2:$H$321,""))</f>
        <v>fig-lungbronchus-mortal-aar-five</v>
      </c>
      <c r="E4" s="8"/>
      <c r="F4" s="10" t="s">
        <v>968</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37.9</v>
      </c>
      <c r="H6" s="15">
        <v>31.3</v>
      </c>
      <c r="I6" s="15">
        <v>26.5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325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tbl-lungbronchus-mortal-rande-aar-five</v>
      </c>
    </row>
    <row r="4" spans="1:17" x14ac:dyDescent="0.2">
      <c r="A4" s="16" t="s">
        <v>7</v>
      </c>
      <c r="B4" t="str">
        <f>IF($B$1="","",_xlfn.XLOOKUP($B$1,Master!$F$2:$F$321,Master!$H$2:$H$321,""))</f>
        <v>fig-lungbronchus-mortal-rande-aar-five</v>
      </c>
      <c r="E4" s="8"/>
      <c r="F4" s="10" t="s">
        <v>968</v>
      </c>
      <c r="G4" s="10" t="s">
        <v>968</v>
      </c>
      <c r="H4" s="10" t="s">
        <v>968</v>
      </c>
      <c r="I4" s="10" t="s">
        <v>968</v>
      </c>
      <c r="J4" s="10" t="s">
        <v>968</v>
      </c>
      <c r="K4" s="10" t="s">
        <v>968</v>
      </c>
      <c r="L4" s="10" t="s">
        <v>968</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37.9</v>
      </c>
      <c r="H6" s="15">
        <v>41.9</v>
      </c>
      <c r="I6" s="15">
        <v>31.7</v>
      </c>
      <c r="J6" s="15" t="s">
        <v>1031</v>
      </c>
      <c r="K6" s="15" t="s">
        <v>1031</v>
      </c>
      <c r="L6" s="15">
        <v>19.600000000000001</v>
      </c>
      <c r="M6" s="15"/>
      <c r="N6" s="15"/>
      <c r="O6" s="15"/>
    </row>
    <row r="7" spans="1:17" ht="15.75" customHeight="1" x14ac:dyDescent="0.2">
      <c r="E7" s="80"/>
      <c r="F7" t="s">
        <v>1298</v>
      </c>
      <c r="G7" s="15">
        <v>31.3</v>
      </c>
      <c r="H7" s="15">
        <v>33.4</v>
      </c>
      <c r="I7" s="15">
        <v>28.5</v>
      </c>
      <c r="J7" s="15">
        <v>35.1</v>
      </c>
      <c r="K7" s="15">
        <v>14.2</v>
      </c>
      <c r="L7" s="15">
        <v>12.9</v>
      </c>
      <c r="M7" s="15"/>
      <c r="N7" s="15"/>
      <c r="O7" s="15"/>
    </row>
    <row r="8" spans="1:17" x14ac:dyDescent="0.2">
      <c r="E8" s="80"/>
      <c r="F8" t="s">
        <v>1299</v>
      </c>
      <c r="G8" s="15">
        <v>26.5</v>
      </c>
      <c r="H8" s="15">
        <v>30.5</v>
      </c>
      <c r="I8" s="15">
        <v>22.2</v>
      </c>
      <c r="J8" s="15">
        <v>35.1</v>
      </c>
      <c r="K8" s="15">
        <v>18</v>
      </c>
      <c r="L8" s="15">
        <v>13.7</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G5</f>
        <v>Total</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t="s">
        <v>1773</v>
      </c>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tbl-colonrectum-incidence-aar-five</v>
      </c>
    </row>
    <row r="4" spans="1:17" x14ac:dyDescent="0.2">
      <c r="A4" s="16" t="s">
        <v>7</v>
      </c>
      <c r="B4" t="str">
        <f>IF($B$1="","",_xlfn.XLOOKUP($B$1,Master!$F$2:$F$321,Master!$H$2:$H$321,""))</f>
        <v>fig-colonrectum-incidence-aar-five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36</v>
      </c>
      <c r="H6" s="15">
        <v>36.799999999999997</v>
      </c>
      <c r="I6" s="15">
        <v>35.799999999999997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tbl-colonrectum-incidence-rande-aar-five</v>
      </c>
    </row>
    <row r="4" spans="1:17" x14ac:dyDescent="0.2">
      <c r="A4" s="16" t="s">
        <v>7</v>
      </c>
      <c r="B4" t="str">
        <f>IF($B$1="","",_xlfn.XLOOKUP($B$1,Master!$F$2:$F$321,Master!$H$2:$H$321,""))</f>
        <v>fig-colonrectum-incidence-rande-aar-five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36</v>
      </c>
      <c r="H6" s="15">
        <v>37.799999999999997</v>
      </c>
      <c r="I6" s="15">
        <v>30.3</v>
      </c>
      <c r="J6" s="15" t="s">
        <v>1031</v>
      </c>
      <c r="K6" s="15">
        <v>26.2</v>
      </c>
      <c r="L6" s="15">
        <v>30.2</v>
      </c>
      <c r="M6" s="15"/>
      <c r="N6" s="15"/>
      <c r="O6" s="15"/>
    </row>
    <row r="7" spans="1:17" ht="15.75" customHeight="1" x14ac:dyDescent="0.2">
      <c r="E7" s="80"/>
      <c r="F7" t="s">
        <v>1298</v>
      </c>
      <c r="G7" s="15">
        <v>36.799999999999997</v>
      </c>
      <c r="H7" s="15">
        <v>37.200000000000003</v>
      </c>
      <c r="I7" s="15">
        <v>40.4</v>
      </c>
      <c r="J7" s="15">
        <v>38.700000000000003</v>
      </c>
      <c r="K7" s="15">
        <v>29.8</v>
      </c>
      <c r="L7" s="15">
        <v>30.1</v>
      </c>
      <c r="M7" s="15"/>
      <c r="N7" s="15"/>
      <c r="O7" s="15"/>
    </row>
    <row r="8" spans="1:17" x14ac:dyDescent="0.2">
      <c r="E8" s="80"/>
      <c r="F8" t="s">
        <v>1299</v>
      </c>
      <c r="G8" s="15">
        <v>35.799999999999997</v>
      </c>
      <c r="H8" s="15">
        <v>36.799999999999997</v>
      </c>
      <c r="I8" s="15">
        <v>37.299999999999997</v>
      </c>
      <c r="J8" s="15">
        <v>38.700000000000003</v>
      </c>
      <c r="K8" s="15">
        <v>30.1</v>
      </c>
      <c r="L8" s="15">
        <v>30.1</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election activeCell="L9" sqref="L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tbl-colonrectum-mortal-aar-five</v>
      </c>
    </row>
    <row r="4" spans="1:17" x14ac:dyDescent="0.2">
      <c r="A4" s="16" t="s">
        <v>7</v>
      </c>
      <c r="B4" t="str">
        <f>IF($B$1="","",_xlfn.XLOOKUP($B$1,Master!$F$2:$F$321,Master!$H$2:$H$321,""))</f>
        <v>fig-colonrectum-mortal-aar-five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14.8</v>
      </c>
      <c r="H6" s="15">
        <v>11.4</v>
      </c>
      <c r="I6" s="15">
        <v>10.9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tbl-colonrectum-mortal-rande-aar-five</v>
      </c>
    </row>
    <row r="4" spans="1:17" x14ac:dyDescent="0.2">
      <c r="A4" s="16" t="s">
        <v>7</v>
      </c>
      <c r="B4" t="str">
        <f>IF($B$1="","",_xlfn.XLOOKUP($B$1,Master!$F$2:$F$321,Master!$H$2:$H$321,""))</f>
        <v>fig-colonrectum-mortal-rande-aar-five</v>
      </c>
      <c r="E4" s="8"/>
      <c r="F4" s="10" t="s">
        <v>1009</v>
      </c>
      <c r="G4" s="10" t="s">
        <v>968</v>
      </c>
      <c r="H4" s="10" t="s">
        <v>968</v>
      </c>
      <c r="I4" s="10" t="s">
        <v>968</v>
      </c>
      <c r="J4" s="10" t="s">
        <v>968</v>
      </c>
      <c r="K4" s="10" t="s">
        <v>968</v>
      </c>
      <c r="L4" s="10"/>
      <c r="M4" s="10"/>
      <c r="N4" s="10"/>
      <c r="O4" s="10"/>
      <c r="P4" s="10"/>
      <c r="Q4" s="10"/>
    </row>
    <row r="5" spans="1:17" x14ac:dyDescent="0.2">
      <c r="A5" s="84" t="s">
        <v>1081</v>
      </c>
      <c r="B5" s="80"/>
      <c r="E5" s="83" t="s">
        <v>1082</v>
      </c>
      <c r="F5" t="s">
        <v>1391</v>
      </c>
      <c r="G5" t="s">
        <v>1089</v>
      </c>
      <c r="H5" t="s">
        <v>1290</v>
      </c>
      <c r="I5" t="s">
        <v>1292</v>
      </c>
      <c r="J5" t="s">
        <v>1296</v>
      </c>
      <c r="K5" t="s">
        <v>1762</v>
      </c>
    </row>
    <row r="6" spans="1:17" ht="15" customHeight="1" x14ac:dyDescent="0.2">
      <c r="A6" t="s">
        <v>1088</v>
      </c>
      <c r="B6" t="b">
        <v>0</v>
      </c>
      <c r="E6" s="80"/>
      <c r="F6" t="s">
        <v>1297</v>
      </c>
      <c r="G6" s="15">
        <v>14.8</v>
      </c>
      <c r="H6" s="15">
        <v>14.3</v>
      </c>
      <c r="I6" s="15">
        <v>20.8</v>
      </c>
      <c r="J6" s="15" t="s">
        <v>1031</v>
      </c>
      <c r="K6" s="15">
        <v>10</v>
      </c>
      <c r="L6" s="15"/>
      <c r="M6" s="15"/>
      <c r="N6" s="15"/>
      <c r="O6" s="15"/>
    </row>
    <row r="7" spans="1:17" ht="15.75" customHeight="1" x14ac:dyDescent="0.2">
      <c r="E7" s="80"/>
      <c r="F7" t="s">
        <v>1298</v>
      </c>
      <c r="G7" s="15">
        <v>11.4</v>
      </c>
      <c r="H7" s="15">
        <v>11.5</v>
      </c>
      <c r="I7" s="15">
        <v>14.5</v>
      </c>
      <c r="J7" s="15">
        <v>8.6999999999999993</v>
      </c>
      <c r="K7" s="15">
        <v>7.9</v>
      </c>
      <c r="L7" s="15"/>
      <c r="M7" s="15"/>
      <c r="N7" s="15"/>
      <c r="O7" s="15"/>
    </row>
    <row r="8" spans="1:17" x14ac:dyDescent="0.2">
      <c r="E8" s="80"/>
      <c r="F8" t="s">
        <v>1299</v>
      </c>
      <c r="G8" s="15">
        <v>10.9</v>
      </c>
      <c r="H8" s="15">
        <v>11.1</v>
      </c>
      <c r="I8" s="15">
        <v>13.2</v>
      </c>
      <c r="J8" s="15">
        <v>7.8</v>
      </c>
      <c r="K8" s="15">
        <v>8.6</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tbl-femalebreast-incidence-aar-single</v>
      </c>
    </row>
    <row r="4" spans="1:17" x14ac:dyDescent="0.2">
      <c r="A4" s="16" t="s">
        <v>7</v>
      </c>
      <c r="B4" t="str">
        <f>IF($B$1="","",_xlfn.XLOOKUP($B$1,Master!$F$2:$F$321,Master!$H$2:$H$321,""))</f>
        <v>fig-femalebreast-incidence-aar-single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139.80000000000001</v>
      </c>
      <c r="H6" s="15">
        <v>134.30000000000001</v>
      </c>
      <c r="I6" s="15">
        <v>127.3</v>
      </c>
      <c r="J6" s="15">
        <v>125.8</v>
      </c>
      <c r="K6" s="15"/>
      <c r="L6" s="15"/>
      <c r="M6" s="15"/>
      <c r="N6" s="15"/>
      <c r="O6" s="15"/>
    </row>
    <row r="7" spans="1:17" ht="15.75" customHeight="1" x14ac:dyDescent="0.2">
      <c r="E7" s="80"/>
      <c r="F7" t="s">
        <v>1645</v>
      </c>
      <c r="G7" s="15">
        <v>141</v>
      </c>
      <c r="H7" s="15">
        <v>136.69999999999999</v>
      </c>
      <c r="I7" s="15">
        <v>140.69999999999999</v>
      </c>
      <c r="J7" s="15">
        <v>124.8</v>
      </c>
      <c r="K7" s="15"/>
      <c r="L7" s="15"/>
      <c r="M7" s="15"/>
      <c r="N7" s="15"/>
      <c r="O7" s="15"/>
    </row>
    <row r="8" spans="1:17" x14ac:dyDescent="0.2">
      <c r="E8" s="80"/>
      <c r="F8" t="s">
        <v>1298</v>
      </c>
      <c r="G8" s="15">
        <v>141.1</v>
      </c>
      <c r="H8" s="15">
        <v>140.5</v>
      </c>
      <c r="I8" s="15">
        <v>145.9</v>
      </c>
      <c r="J8" s="15">
        <v>129.69999999999999</v>
      </c>
      <c r="K8" s="15"/>
      <c r="L8" s="15"/>
      <c r="M8" s="15"/>
      <c r="N8" s="15"/>
      <c r="O8" s="15"/>
    </row>
    <row r="9" spans="1:17" x14ac:dyDescent="0.2">
      <c r="A9" s="84" t="s">
        <v>1098</v>
      </c>
      <c r="B9" s="80"/>
      <c r="E9" s="80"/>
      <c r="F9" t="s">
        <v>1299</v>
      </c>
      <c r="G9" s="15">
        <v>135.6</v>
      </c>
      <c r="H9" s="15">
        <v>136.6</v>
      </c>
      <c r="I9" s="15">
        <v>139.5</v>
      </c>
      <c r="J9" s="15">
        <v>122.5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tbl-femalebreast-incidence-aar-five</v>
      </c>
    </row>
    <row r="4" spans="1:17" x14ac:dyDescent="0.2">
      <c r="A4" s="16" t="s">
        <v>7</v>
      </c>
      <c r="B4" t="str">
        <f>IF($B$1="","",_xlfn.XLOOKUP($B$1,Master!$F$2:$F$321,Master!$H$2:$H$321,""))</f>
        <v>fig-femalebreast-incidence-aar-five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129.6</v>
      </c>
      <c r="H6" s="15">
        <v>141.19999999999999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tbl-femalebreast-incidence-rande-aar-five</v>
      </c>
    </row>
    <row r="4" spans="1:17" x14ac:dyDescent="0.2">
      <c r="A4" s="16" t="s">
        <v>7</v>
      </c>
      <c r="B4" t="str">
        <f>IF($B$1="","",_xlfn.XLOOKUP($B$1,Master!$F$2:$F$321,Master!$H$2:$H$321,""))</f>
        <v>fig-femalebreast-incidence-rande-aar-five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129.6</v>
      </c>
      <c r="H6" s="15">
        <v>137.1</v>
      </c>
      <c r="I6" s="15">
        <v>129.9</v>
      </c>
      <c r="J6" s="15" t="s">
        <v>1031</v>
      </c>
      <c r="K6" s="15">
        <v>111.9</v>
      </c>
      <c r="L6" s="15">
        <v>95.8</v>
      </c>
      <c r="M6" s="15"/>
      <c r="N6" s="15"/>
      <c r="O6" s="15"/>
    </row>
    <row r="7" spans="1:17" ht="15.75" customHeight="1" x14ac:dyDescent="0.2">
      <c r="E7" s="80"/>
      <c r="F7" t="s">
        <v>1298</v>
      </c>
      <c r="G7" s="15">
        <v>141.19999999999999</v>
      </c>
      <c r="H7" s="15">
        <v>146.6</v>
      </c>
      <c r="I7" s="15">
        <v>134.1</v>
      </c>
      <c r="J7" s="15">
        <v>122.8</v>
      </c>
      <c r="K7" s="15">
        <v>122.5</v>
      </c>
      <c r="L7" s="15">
        <v>100.6</v>
      </c>
      <c r="M7" s="15"/>
      <c r="N7" s="15"/>
      <c r="O7" s="15"/>
    </row>
    <row r="8" spans="1:17" x14ac:dyDescent="0.2">
      <c r="E8" s="80"/>
      <c r="F8" t="s">
        <v>1299</v>
      </c>
      <c r="G8" s="15">
        <v>135.5</v>
      </c>
      <c r="H8" s="15">
        <v>147.30000000000001</v>
      </c>
      <c r="I8" s="15">
        <v>128.4</v>
      </c>
      <c r="J8" s="15">
        <v>122.8</v>
      </c>
      <c r="K8" s="15">
        <v>116</v>
      </c>
      <c r="L8" s="15">
        <v>98.6</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tbl-femalebreast-mortal-aar-single</v>
      </c>
    </row>
    <row r="4" spans="1:17" x14ac:dyDescent="0.2">
      <c r="A4" s="16" t="s">
        <v>7</v>
      </c>
      <c r="B4" t="str">
        <f>IF($B$1="","",_xlfn.XLOOKUP($B$1,Master!$F$2:$F$321,Master!$H$2:$H$321,""))</f>
        <v>fig-femalebreast-mortal-aar-single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26.8</v>
      </c>
      <c r="H6" s="15">
        <v>26.2</v>
      </c>
      <c r="I6" s="15">
        <v>25.2</v>
      </c>
      <c r="J6" s="15">
        <v>22</v>
      </c>
      <c r="K6" s="15"/>
      <c r="L6" s="15"/>
      <c r="M6" s="15"/>
      <c r="N6" s="15"/>
      <c r="O6" s="15"/>
    </row>
    <row r="7" spans="1:17" ht="15.75" customHeight="1" x14ac:dyDescent="0.2">
      <c r="E7" s="80"/>
      <c r="F7" t="s">
        <v>1645</v>
      </c>
      <c r="G7" s="15">
        <v>19.399999999999999</v>
      </c>
      <c r="H7" s="15">
        <v>20.5</v>
      </c>
      <c r="I7" s="15">
        <v>19</v>
      </c>
      <c r="J7" s="15">
        <v>17.899999999999999</v>
      </c>
      <c r="K7" s="15"/>
      <c r="L7" s="15"/>
      <c r="M7" s="15"/>
      <c r="N7" s="15"/>
      <c r="O7" s="15"/>
    </row>
    <row r="8" spans="1:17" x14ac:dyDescent="0.2">
      <c r="E8" s="80"/>
      <c r="F8" t="s">
        <v>1298</v>
      </c>
      <c r="G8" s="15">
        <v>17.899999999999999</v>
      </c>
      <c r="H8" s="15">
        <v>19</v>
      </c>
      <c r="I8" s="15">
        <v>17.7</v>
      </c>
      <c r="J8" s="15">
        <v>18</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tbl-femalebreast-mortal-aar-five</v>
      </c>
    </row>
    <row r="4" spans="1:17" x14ac:dyDescent="0.2">
      <c r="A4" s="16" t="s">
        <v>7</v>
      </c>
      <c r="B4" t="str">
        <f>IF($B$1="","",_xlfn.XLOOKUP($B$1,Master!$F$2:$F$321,Master!$H$2:$H$321,""))</f>
        <v>fig-femalebreast-mortal-aar-five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23.5</v>
      </c>
      <c r="H6" s="15">
        <v>17.7</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election activeCell="K28" sqref="K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tbl-femalebreast-mortal-rande-aar-five</v>
      </c>
    </row>
    <row r="4" spans="1:17" x14ac:dyDescent="0.2">
      <c r="A4" s="16" t="s">
        <v>7</v>
      </c>
      <c r="B4" t="str">
        <f>IF($B$1="","",_xlfn.XLOOKUP($B$1,Master!$F$2:$F$321,Master!$H$2:$H$321,""))</f>
        <v>fig-femalebreast-mortal-rande-aar-five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23.5</v>
      </c>
      <c r="H6" s="15">
        <v>23.3</v>
      </c>
      <c r="I6" s="15">
        <v>34.6</v>
      </c>
      <c r="J6" s="15" t="s">
        <v>1031</v>
      </c>
      <c r="K6" s="15" t="s">
        <v>1031</v>
      </c>
      <c r="L6" s="15">
        <v>13.7</v>
      </c>
      <c r="M6" s="15"/>
      <c r="N6" s="15"/>
      <c r="O6" s="15"/>
    </row>
    <row r="7" spans="1:17" ht="15.75" customHeight="1" x14ac:dyDescent="0.2">
      <c r="E7" s="80"/>
      <c r="F7" t="s">
        <v>1298</v>
      </c>
      <c r="G7" s="15">
        <v>17.7</v>
      </c>
      <c r="H7" s="15">
        <v>17.7</v>
      </c>
      <c r="I7" s="15">
        <v>24.5</v>
      </c>
      <c r="J7" s="15">
        <v>26.2</v>
      </c>
      <c r="K7" s="15">
        <v>10.1</v>
      </c>
      <c r="L7" s="15">
        <v>11.2</v>
      </c>
      <c r="M7" s="15"/>
      <c r="N7" s="15"/>
      <c r="O7" s="15"/>
    </row>
    <row r="8" spans="1:17" x14ac:dyDescent="0.2">
      <c r="E8" s="80"/>
      <c r="F8" t="s">
        <v>1299</v>
      </c>
      <c r="G8" s="15">
        <v>17</v>
      </c>
      <c r="H8" s="15">
        <v>17.3</v>
      </c>
      <c r="I8" s="15">
        <v>22.6</v>
      </c>
      <c r="J8" s="15">
        <v>26.2</v>
      </c>
      <c r="K8" s="15">
        <v>9.1</v>
      </c>
      <c r="L8" s="15">
        <v>11.9</v>
      </c>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K17" sqref="K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tbl-cervixuteri-incidence-aar-single</v>
      </c>
    </row>
    <row r="4" spans="1:17" x14ac:dyDescent="0.2">
      <c r="A4" s="16" t="s">
        <v>7</v>
      </c>
      <c r="B4" t="str">
        <f>IF($B$1="","",_xlfn.XLOOKUP($B$1,Master!$F$2:$F$321,Master!$H$2:$H$321,""))</f>
        <v>fig-cervixuteri-incidence-aar-single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10.8</v>
      </c>
      <c r="H6" s="15">
        <v>9.4</v>
      </c>
      <c r="I6" s="15">
        <v>7.2</v>
      </c>
      <c r="J6" s="15">
        <v>7.6</v>
      </c>
      <c r="K6" s="15"/>
      <c r="L6" s="15"/>
      <c r="M6" s="15"/>
      <c r="N6" s="15"/>
      <c r="O6" s="15"/>
    </row>
    <row r="7" spans="1:17" ht="15.75" customHeight="1" x14ac:dyDescent="0.2">
      <c r="E7" s="80"/>
      <c r="F7" t="s">
        <v>1645</v>
      </c>
      <c r="G7" s="15">
        <v>7.3</v>
      </c>
      <c r="H7" s="15">
        <v>6.3</v>
      </c>
      <c r="I7" s="15">
        <v>6.6</v>
      </c>
      <c r="J7" s="15">
        <v>6</v>
      </c>
      <c r="K7" s="15"/>
      <c r="L7" s="15"/>
      <c r="M7" s="15"/>
      <c r="N7" s="15"/>
      <c r="O7" s="15"/>
    </row>
    <row r="8" spans="1:17" x14ac:dyDescent="0.2">
      <c r="E8" s="80"/>
      <c r="F8" t="s">
        <v>1298</v>
      </c>
      <c r="G8" s="15">
        <v>7.3</v>
      </c>
      <c r="H8" s="15">
        <v>6.3</v>
      </c>
      <c r="I8" s="15">
        <v>6.6</v>
      </c>
      <c r="J8" s="15">
        <v>6</v>
      </c>
      <c r="K8" s="15"/>
      <c r="L8" s="15"/>
      <c r="M8" s="15"/>
      <c r="N8" s="15"/>
      <c r="O8" s="15"/>
    </row>
    <row r="9" spans="1:17" x14ac:dyDescent="0.2">
      <c r="A9" s="84" t="s">
        <v>1098</v>
      </c>
      <c r="B9" s="80"/>
      <c r="E9" s="80"/>
      <c r="F9" t="s">
        <v>1299</v>
      </c>
      <c r="G9" s="15">
        <v>8.1999999999999993</v>
      </c>
      <c r="H9" s="15">
        <v>7.2</v>
      </c>
      <c r="I9" s="15">
        <v>7.4</v>
      </c>
      <c r="J9" s="15">
        <v>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G20" s="15"/>
      <c r="H20" s="15"/>
    </row>
    <row r="21" spans="1:11" x14ac:dyDescent="0.2">
      <c r="A21" s="82" t="s">
        <v>1125</v>
      </c>
      <c r="B21" s="80"/>
      <c r="E21" s="80"/>
      <c r="F21" s="15"/>
      <c r="G21" s="15"/>
      <c r="H21" s="15"/>
    </row>
    <row r="22" spans="1:11" x14ac:dyDescent="0.2">
      <c r="A22" t="s">
        <v>1135</v>
      </c>
      <c r="B22" t="s">
        <v>1778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tbl-cervixuteri-incidence-aar-five</v>
      </c>
    </row>
    <row r="4" spans="1:17" x14ac:dyDescent="0.2">
      <c r="A4" s="16" t="s">
        <v>7</v>
      </c>
      <c r="B4" t="str">
        <f>IF($B$1="","",_xlfn.XLOOKUP($B$1,Master!$F$2:$F$321,Master!$H$2:$H$321,""))</f>
        <v>fig-cervixuteri-incidence-aar-five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7.5</v>
      </c>
      <c r="H6" s="15">
        <v>6.4</v>
      </c>
      <c r="I6" s="15">
        <v>6.9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election activeCell="H15" sqref="H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tbl-cervixuteri-mortal-aar-single</v>
      </c>
    </row>
    <row r="4" spans="1:17" x14ac:dyDescent="0.2">
      <c r="A4" s="16" t="s">
        <v>7</v>
      </c>
      <c r="B4" t="str">
        <f>IF($B$1="","",_xlfn.XLOOKUP($B$1,Master!$F$2:$F$321,Master!$H$2:$H$321,""))</f>
        <v>fig-cervixuteri-mortal-aar-single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3.3</v>
      </c>
      <c r="H6" s="15">
        <v>3.6</v>
      </c>
      <c r="I6" s="15">
        <v>3.3</v>
      </c>
      <c r="J6" s="15">
        <v>2.9</v>
      </c>
      <c r="K6" s="15"/>
      <c r="L6" s="15"/>
      <c r="M6" s="15"/>
      <c r="N6" s="15"/>
      <c r="O6" s="15"/>
    </row>
    <row r="7" spans="1:17" ht="15.75" customHeight="1" x14ac:dyDescent="0.2">
      <c r="E7" s="80"/>
      <c r="F7" t="s">
        <v>1645</v>
      </c>
      <c r="G7" s="15">
        <v>1.9</v>
      </c>
      <c r="H7" s="15">
        <v>1.5</v>
      </c>
      <c r="I7" s="15">
        <v>1.2</v>
      </c>
      <c r="J7" s="15">
        <v>1.5</v>
      </c>
      <c r="K7" s="15"/>
      <c r="L7" s="15"/>
      <c r="M7" s="15"/>
      <c r="N7" s="15"/>
      <c r="O7" s="15"/>
    </row>
    <row r="8" spans="1:17" x14ac:dyDescent="0.2">
      <c r="E8" s="80"/>
      <c r="F8" t="s">
        <v>1298</v>
      </c>
      <c r="G8" s="15">
        <v>1.9</v>
      </c>
      <c r="H8" s="15">
        <v>1.5</v>
      </c>
      <c r="I8" s="15">
        <v>1.9</v>
      </c>
      <c r="J8" s="15">
        <v>1.4</v>
      </c>
      <c r="K8" s="15"/>
      <c r="L8" s="15"/>
      <c r="M8" s="15"/>
      <c r="N8" s="15"/>
      <c r="O8" s="15"/>
    </row>
    <row r="9" spans="1:17" x14ac:dyDescent="0.2">
      <c r="A9" s="84" t="s">
        <v>1098</v>
      </c>
      <c r="B9" s="80"/>
      <c r="E9" s="80"/>
      <c r="F9" t="s">
        <v>1299</v>
      </c>
      <c r="G9" s="15">
        <v>2.1</v>
      </c>
      <c r="H9" s="15">
        <v>1.8</v>
      </c>
      <c r="I9" s="15">
        <v>1.7</v>
      </c>
      <c r="J9" s="15">
        <v>1.6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tbl-cervixuteri-mortal-aar-five</v>
      </c>
    </row>
    <row r="4" spans="1:17" x14ac:dyDescent="0.2">
      <c r="A4" s="16" t="s">
        <v>7</v>
      </c>
      <c r="B4" t="str">
        <f>IF($B$1="","",_xlfn.XLOOKUP($B$1,Master!$F$2:$F$321,Master!$H$2:$H$321,""))</f>
        <v>fig-cervixuteri-mortal-aar-five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2.7</v>
      </c>
      <c r="H6" s="15">
        <v>1.6</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election activeCell="M39" sqref="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tbl-prostate-incidence-aar-single</v>
      </c>
    </row>
    <row r="4" spans="1:17" x14ac:dyDescent="0.2">
      <c r="A4" s="16" t="s">
        <v>7</v>
      </c>
      <c r="B4" t="str">
        <f>IF($B$1="","",_xlfn.XLOOKUP($B$1,Master!$F$2:$F$321,Master!$H$2:$H$321,""))</f>
        <v>fig-prostate-incidence-aar-single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114.2</v>
      </c>
      <c r="H6" s="15">
        <v>123.7</v>
      </c>
      <c r="I6" s="15">
        <v>118</v>
      </c>
      <c r="J6" s="15">
        <v>122.1</v>
      </c>
      <c r="K6" s="15"/>
      <c r="L6" s="15"/>
      <c r="M6" s="15"/>
      <c r="N6" s="15"/>
      <c r="O6" s="15"/>
    </row>
    <row r="7" spans="1:17" ht="15.75" customHeight="1" x14ac:dyDescent="0.2">
      <c r="E7" s="80"/>
      <c r="F7" t="s">
        <v>1645</v>
      </c>
      <c r="G7" s="15">
        <v>130.5</v>
      </c>
      <c r="H7" s="15">
        <v>126.6</v>
      </c>
      <c r="I7" s="15">
        <v>132.80000000000001</v>
      </c>
      <c r="J7" s="15">
        <v>112.9</v>
      </c>
      <c r="K7" s="15"/>
      <c r="L7" s="15"/>
      <c r="M7" s="15"/>
      <c r="N7" s="15"/>
      <c r="O7" s="15"/>
    </row>
    <row r="8" spans="1:17" x14ac:dyDescent="0.2">
      <c r="E8" s="80"/>
      <c r="F8" t="s">
        <v>1298</v>
      </c>
      <c r="G8" s="15">
        <v>133</v>
      </c>
      <c r="H8" s="15">
        <v>139.30000000000001</v>
      </c>
      <c r="I8" s="15">
        <v>142.1</v>
      </c>
      <c r="J8" s="15">
        <v>122.7</v>
      </c>
      <c r="K8" s="15"/>
      <c r="L8" s="15"/>
      <c r="M8" s="15"/>
      <c r="N8" s="15"/>
      <c r="O8" s="15"/>
    </row>
    <row r="9" spans="1:17" x14ac:dyDescent="0.2">
      <c r="A9" s="84" t="s">
        <v>1098</v>
      </c>
      <c r="B9" s="80"/>
      <c r="E9" s="80"/>
      <c r="F9" t="s">
        <v>1299</v>
      </c>
      <c r="G9" s="15">
        <v>130.69999999999999</v>
      </c>
      <c r="H9" s="15">
        <v>135</v>
      </c>
      <c r="I9" s="15">
        <v>138</v>
      </c>
      <c r="J9" s="15">
        <v>117.7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tbl-prostate-incidence-aar-five</v>
      </c>
    </row>
    <row r="4" spans="1:17" x14ac:dyDescent="0.2">
      <c r="A4" s="16" t="s">
        <v>7</v>
      </c>
      <c r="B4" t="str">
        <f>IF($B$1="","",_xlfn.XLOOKUP($B$1,Master!$F$2:$F$321,Master!$H$2:$H$321,""))</f>
        <v>fig-prostate-incidence-aar-five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126.9</v>
      </c>
      <c r="H6" s="15">
        <v>140.19999999999999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election activeCell="O29" sqref="O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tbl-prostate-incidence-rande-aar-five</v>
      </c>
    </row>
    <row r="4" spans="1:17" x14ac:dyDescent="0.2">
      <c r="A4" s="16" t="s">
        <v>7</v>
      </c>
      <c r="B4" t="str">
        <f>IF($B$1="","",_xlfn.XLOOKUP($B$1,Master!$F$2:$F$321,Master!$H$2:$H$321,""))</f>
        <v>fig-prostate-incidence-rande-aar-five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126.9</v>
      </c>
      <c r="H6" s="15">
        <v>117.1</v>
      </c>
      <c r="I6" s="15">
        <v>217.7</v>
      </c>
      <c r="J6" s="15" t="s">
        <v>1031</v>
      </c>
      <c r="K6" s="15" t="s">
        <v>1031</v>
      </c>
      <c r="L6" s="15">
        <v>112.9</v>
      </c>
      <c r="M6" s="15"/>
      <c r="N6" s="15"/>
      <c r="O6" s="15"/>
    </row>
    <row r="7" spans="1:17" ht="15.75" customHeight="1" x14ac:dyDescent="0.2">
      <c r="E7" s="80"/>
      <c r="F7" t="s">
        <v>1298</v>
      </c>
      <c r="G7" s="15">
        <v>140.19999999999999</v>
      </c>
      <c r="H7" s="15">
        <v>136.80000000000001</v>
      </c>
      <c r="I7" s="15">
        <v>229.7</v>
      </c>
      <c r="J7" s="15">
        <v>118.5</v>
      </c>
      <c r="K7" s="15">
        <v>75.2</v>
      </c>
      <c r="L7" s="15">
        <v>107.9</v>
      </c>
      <c r="M7" s="15"/>
      <c r="N7" s="15"/>
      <c r="O7" s="15"/>
    </row>
    <row r="8" spans="1:17" x14ac:dyDescent="0.2">
      <c r="E8" s="80"/>
      <c r="F8" t="s">
        <v>1299</v>
      </c>
      <c r="G8" s="15">
        <v>135.5</v>
      </c>
      <c r="H8" s="15">
        <v>132</v>
      </c>
      <c r="I8" s="15">
        <v>209.9</v>
      </c>
      <c r="J8" s="15">
        <v>118.5</v>
      </c>
      <c r="K8" s="15">
        <v>63.3</v>
      </c>
      <c r="L8" s="15">
        <v>109.9</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election activeCell="K25" sqref="K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tbl-prostate-mortal-aar-single</v>
      </c>
    </row>
    <row r="4" spans="1:17" x14ac:dyDescent="0.2">
      <c r="A4" s="16" t="s">
        <v>7</v>
      </c>
      <c r="B4" t="str">
        <f>IF($B$1="","",_xlfn.XLOOKUP($B$1,Master!$F$2:$F$321,Master!$H$2:$H$321,""))</f>
        <v>fig-prostate-mortal-aar-single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23.4</v>
      </c>
      <c r="H6" s="15">
        <v>20</v>
      </c>
      <c r="I6" s="15">
        <v>19.899999999999999</v>
      </c>
      <c r="J6" s="15">
        <v>16.600000000000001</v>
      </c>
      <c r="K6" s="15"/>
      <c r="L6" s="15"/>
      <c r="M6" s="15"/>
      <c r="N6" s="15"/>
      <c r="O6" s="15"/>
    </row>
    <row r="7" spans="1:17" ht="15.75" customHeight="1" x14ac:dyDescent="0.2">
      <c r="E7" s="80"/>
      <c r="F7" t="s">
        <v>1645</v>
      </c>
      <c r="G7" s="15">
        <v>15.5</v>
      </c>
      <c r="H7" s="15">
        <v>15.9</v>
      </c>
      <c r="I7" s="15">
        <v>13.2</v>
      </c>
      <c r="J7" s="15">
        <v>13.8</v>
      </c>
      <c r="K7" s="15"/>
      <c r="L7" s="15"/>
      <c r="M7" s="15"/>
      <c r="N7" s="15"/>
      <c r="O7" s="15"/>
    </row>
    <row r="8" spans="1:17" x14ac:dyDescent="0.2">
      <c r="E8" s="80"/>
      <c r="F8" t="s">
        <v>1298</v>
      </c>
      <c r="G8" s="15">
        <v>17.2</v>
      </c>
      <c r="H8" s="15">
        <v>16.2</v>
      </c>
      <c r="I8" s="15">
        <v>15.2</v>
      </c>
      <c r="J8" s="15">
        <v>16.2</v>
      </c>
      <c r="K8" s="15"/>
      <c r="L8" s="15"/>
      <c r="M8" s="15"/>
      <c r="N8" s="15"/>
      <c r="O8" s="15"/>
    </row>
    <row r="9" spans="1:17" x14ac:dyDescent="0.2">
      <c r="A9" s="84" t="s">
        <v>1098</v>
      </c>
      <c r="B9" s="80"/>
      <c r="E9" s="80"/>
      <c r="F9" t="s">
        <v>1299</v>
      </c>
      <c r="G9" s="15">
        <v>17.8</v>
      </c>
      <c r="H9" s="15">
        <v>16.600000000000001</v>
      </c>
      <c r="I9" s="15">
        <v>15.9</v>
      </c>
      <c r="J9" s="15">
        <v>15.4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tbl-prostate-mortal-aar-five</v>
      </c>
    </row>
    <row r="4" spans="1:17" x14ac:dyDescent="0.2">
      <c r="A4" s="16" t="s">
        <v>7</v>
      </c>
      <c r="B4" t="str">
        <f>IF($B$1="","",_xlfn.XLOOKUP($B$1,Master!$F$2:$F$321,Master!$H$2:$H$321,""))</f>
        <v>fig-prostate-mortal-aar-five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18.2</v>
      </c>
      <c r="H6" s="15">
        <v>15.9</v>
      </c>
      <c r="I6" s="15">
        <v>15.5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tbl-prostate-mortal-rande-aar-five</v>
      </c>
    </row>
    <row r="4" spans="1:17" x14ac:dyDescent="0.2">
      <c r="A4" s="16" t="s">
        <v>7</v>
      </c>
      <c r="B4" t="str">
        <f>IF($B$1="","",_xlfn.XLOOKUP($B$1,Master!$F$2:$F$321,Master!$H$2:$H$321,""))</f>
        <v>fig-prostate-mortal-rande-aar-five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1762</v>
      </c>
    </row>
    <row r="6" spans="1:17" ht="15" customHeight="1" x14ac:dyDescent="0.2">
      <c r="A6" t="s">
        <v>1088</v>
      </c>
      <c r="B6" t="b">
        <v>0</v>
      </c>
      <c r="E6" s="80"/>
      <c r="F6" t="s">
        <v>1297</v>
      </c>
      <c r="G6" s="15">
        <v>18.2</v>
      </c>
      <c r="H6" s="15">
        <v>17.399999999999999</v>
      </c>
      <c r="I6" s="15">
        <v>37.299999999999997</v>
      </c>
      <c r="J6" s="15" t="s">
        <v>1031</v>
      </c>
      <c r="K6" s="15" t="s">
        <v>1031</v>
      </c>
      <c r="L6" s="15"/>
      <c r="M6" s="15"/>
      <c r="N6" s="15"/>
      <c r="O6" s="15"/>
    </row>
    <row r="7" spans="1:17" ht="15.75" customHeight="1" x14ac:dyDescent="0.2">
      <c r="E7" s="80"/>
      <c r="F7" t="s">
        <v>1298</v>
      </c>
      <c r="G7" s="15">
        <v>15.9</v>
      </c>
      <c r="H7" s="15">
        <v>15.7</v>
      </c>
      <c r="I7" s="15">
        <v>26.8</v>
      </c>
      <c r="J7" s="15">
        <v>7.3</v>
      </c>
      <c r="K7" s="15">
        <v>11.7</v>
      </c>
      <c r="L7" s="15"/>
      <c r="M7" s="15"/>
      <c r="N7" s="15"/>
      <c r="O7" s="15"/>
    </row>
    <row r="8" spans="1:17" x14ac:dyDescent="0.2">
      <c r="E8" s="80"/>
      <c r="F8" t="s">
        <v>1299</v>
      </c>
      <c r="G8" s="15">
        <v>15.5</v>
      </c>
      <c r="H8" s="15">
        <v>14.5</v>
      </c>
      <c r="I8" s="15">
        <v>28.6</v>
      </c>
      <c r="J8" s="15">
        <v>6.3</v>
      </c>
      <c r="K8" s="15">
        <v>14.2</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388</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tbl-cd-count-rate</v>
      </c>
    </row>
    <row r="4" spans="1:17" x14ac:dyDescent="0.2">
      <c r="A4" s="16" t="s">
        <v>7</v>
      </c>
      <c r="B4" t="str">
        <f>IF($B$1="","",_xlfn.XLOOKUP($B$1,Master!$F$2:$F$321,Master!$H$2:$H$321,""))</f>
        <v>fig-cd-count-rate</v>
      </c>
      <c r="E4" s="8"/>
      <c r="F4" s="10" t="s">
        <v>968</v>
      </c>
      <c r="G4" s="10" t="s">
        <v>968</v>
      </c>
      <c r="H4" s="10" t="s">
        <v>979</v>
      </c>
      <c r="I4" s="10" t="s">
        <v>968</v>
      </c>
      <c r="J4" s="10" t="s">
        <v>979</v>
      </c>
      <c r="K4" s="10" t="s">
        <v>968</v>
      </c>
      <c r="L4" s="10" t="s">
        <v>979</v>
      </c>
      <c r="M4" s="10" t="s">
        <v>968</v>
      </c>
      <c r="N4" s="10" t="s">
        <v>979</v>
      </c>
      <c r="O4" s="10"/>
      <c r="P4" s="10"/>
      <c r="Q4" s="10"/>
    </row>
    <row r="5" spans="1:17" x14ac:dyDescent="0.2">
      <c r="A5" s="84" t="s">
        <v>1081</v>
      </c>
      <c r="B5" s="80"/>
      <c r="E5" s="83" t="s">
        <v>1082</v>
      </c>
      <c r="F5" s="82" t="s">
        <v>1781</v>
      </c>
      <c r="G5" s="82">
        <v>2021</v>
      </c>
      <c r="H5" s="80"/>
      <c r="I5" s="82">
        <v>2022</v>
      </c>
      <c r="J5" s="80"/>
      <c r="K5" s="82">
        <v>2023</v>
      </c>
      <c r="L5" s="80"/>
      <c r="M5" s="82" t="s">
        <v>1089</v>
      </c>
      <c r="N5" s="80"/>
    </row>
    <row r="6" spans="1:17" x14ac:dyDescent="0.2">
      <c r="A6" t="s">
        <v>1088</v>
      </c>
      <c r="B6" t="b">
        <v>0</v>
      </c>
      <c r="E6" s="80"/>
      <c r="F6" s="80"/>
      <c r="G6" s="15" t="s">
        <v>1272</v>
      </c>
      <c r="H6" s="15" t="s">
        <v>1273</v>
      </c>
      <c r="I6" s="15" t="s">
        <v>1272</v>
      </c>
      <c r="J6" s="15" t="s">
        <v>1273</v>
      </c>
      <c r="K6" s="15" t="s">
        <v>1272</v>
      </c>
      <c r="L6" s="15" t="s">
        <v>1273</v>
      </c>
      <c r="M6" s="15" t="s">
        <v>1272</v>
      </c>
      <c r="N6" s="15" t="s">
        <v>1273</v>
      </c>
      <c r="O6" s="15"/>
    </row>
    <row r="7" spans="1:17" ht="15.75" customHeight="1" x14ac:dyDescent="0.2">
      <c r="E7" s="80"/>
      <c r="F7" s="37" t="s">
        <v>1782</v>
      </c>
      <c r="G7" s="17" t="s">
        <v>1031</v>
      </c>
      <c r="H7" s="17" t="s">
        <v>1031</v>
      </c>
      <c r="I7" s="17" t="s">
        <v>1031</v>
      </c>
      <c r="J7" s="17" t="s">
        <v>1031</v>
      </c>
      <c r="K7" s="17" t="s">
        <v>1031</v>
      </c>
      <c r="L7" s="17" t="s">
        <v>1031</v>
      </c>
      <c r="M7" s="17">
        <v>5</v>
      </c>
      <c r="N7" s="17">
        <v>0.4</v>
      </c>
      <c r="O7" s="15"/>
    </row>
    <row r="8" spans="1:17" x14ac:dyDescent="0.2">
      <c r="E8" s="80"/>
      <c r="F8" s="37" t="s">
        <v>1783</v>
      </c>
      <c r="G8" s="17">
        <v>69</v>
      </c>
      <c r="H8" s="17">
        <v>17.3</v>
      </c>
      <c r="I8" s="17">
        <v>38</v>
      </c>
      <c r="J8" s="17">
        <v>9.5</v>
      </c>
      <c r="K8" s="17">
        <v>76</v>
      </c>
      <c r="L8" s="17">
        <v>18.8</v>
      </c>
      <c r="M8" s="17">
        <v>183</v>
      </c>
      <c r="N8" s="17">
        <v>15.2</v>
      </c>
      <c r="O8" s="15"/>
    </row>
    <row r="9" spans="1:17" x14ac:dyDescent="0.2">
      <c r="A9" s="84" t="s">
        <v>1098</v>
      </c>
      <c r="B9" s="80"/>
      <c r="E9" s="80"/>
      <c r="F9" s="37" t="s">
        <v>1784</v>
      </c>
      <c r="G9" s="17">
        <v>66</v>
      </c>
      <c r="H9" s="17">
        <v>16.600000000000001</v>
      </c>
      <c r="I9" s="17">
        <v>33</v>
      </c>
      <c r="J9" s="17">
        <v>8.1999999999999993</v>
      </c>
      <c r="K9" s="17">
        <v>82</v>
      </c>
      <c r="L9" s="17">
        <v>20.3</v>
      </c>
      <c r="M9" s="17">
        <v>181</v>
      </c>
      <c r="N9" s="17">
        <v>15</v>
      </c>
      <c r="O9" s="15"/>
    </row>
    <row r="10" spans="1:17" x14ac:dyDescent="0.2">
      <c r="A10" t="s">
        <v>1100</v>
      </c>
      <c r="E10" s="80"/>
      <c r="F10" s="37" t="s">
        <v>1785</v>
      </c>
      <c r="G10" s="17">
        <v>48</v>
      </c>
      <c r="H10" s="17">
        <v>12.1</v>
      </c>
      <c r="I10" s="17">
        <v>58</v>
      </c>
      <c r="J10" s="17">
        <v>14.5</v>
      </c>
      <c r="K10" s="17">
        <v>74</v>
      </c>
      <c r="L10" s="17">
        <v>18.3</v>
      </c>
      <c r="M10" s="17">
        <v>180</v>
      </c>
      <c r="N10" s="17">
        <v>14.9</v>
      </c>
    </row>
    <row r="11" spans="1:17" x14ac:dyDescent="0.2">
      <c r="A11" t="s">
        <v>1102</v>
      </c>
      <c r="E11" s="80"/>
      <c r="F11" s="37" t="s">
        <v>1786</v>
      </c>
      <c r="G11" s="17" t="s">
        <v>1031</v>
      </c>
      <c r="H11" s="17" t="s">
        <v>1031</v>
      </c>
      <c r="I11" s="17" t="s">
        <v>1031</v>
      </c>
      <c r="J11" s="17" t="s">
        <v>1031</v>
      </c>
      <c r="K11" s="17" t="s">
        <v>1031</v>
      </c>
      <c r="L11" s="17" t="s">
        <v>1031</v>
      </c>
      <c r="M11" s="17">
        <v>7</v>
      </c>
      <c r="N11" s="17">
        <v>0.6</v>
      </c>
    </row>
    <row r="12" spans="1:17" x14ac:dyDescent="0.2">
      <c r="A12" t="s">
        <v>1104</v>
      </c>
      <c r="E12" s="80"/>
      <c r="F12" s="37" t="s">
        <v>1787</v>
      </c>
      <c r="G12" s="17">
        <v>1438</v>
      </c>
      <c r="H12" s="17">
        <v>361.1</v>
      </c>
      <c r="I12" s="17">
        <v>1381</v>
      </c>
      <c r="J12" s="17">
        <v>344.2</v>
      </c>
      <c r="K12" s="17">
        <v>1491</v>
      </c>
      <c r="L12" s="17">
        <v>369.2</v>
      </c>
      <c r="M12" s="17">
        <v>4310</v>
      </c>
      <c r="N12" s="17">
        <v>358.1</v>
      </c>
    </row>
    <row r="13" spans="1:17" x14ac:dyDescent="0.2">
      <c r="A13" t="s">
        <v>1108</v>
      </c>
      <c r="E13" s="80"/>
      <c r="F13" s="57" t="s">
        <v>1317</v>
      </c>
      <c r="G13" s="17">
        <v>60495</v>
      </c>
      <c r="H13" s="17">
        <v>15189.2</v>
      </c>
      <c r="I13" s="17">
        <v>67448</v>
      </c>
      <c r="J13" s="17">
        <v>16810</v>
      </c>
      <c r="K13" s="17">
        <v>20504</v>
      </c>
      <c r="L13" s="17">
        <v>5077.3</v>
      </c>
      <c r="M13" s="17">
        <v>148447</v>
      </c>
      <c r="N13" s="17">
        <v>12358.8</v>
      </c>
    </row>
    <row r="14" spans="1:17" x14ac:dyDescent="0.2">
      <c r="A14" t="s">
        <v>1112</v>
      </c>
      <c r="E14" s="80"/>
      <c r="F14" s="37" t="s">
        <v>1788</v>
      </c>
      <c r="G14" s="17" t="s">
        <v>1031</v>
      </c>
      <c r="H14" s="17" t="s">
        <v>1031</v>
      </c>
      <c r="I14" s="17">
        <v>23</v>
      </c>
      <c r="J14" s="17">
        <v>5.7</v>
      </c>
      <c r="K14" s="17">
        <v>32</v>
      </c>
      <c r="L14" s="17">
        <v>7.9</v>
      </c>
      <c r="M14" s="17">
        <v>58</v>
      </c>
      <c r="N14" s="17">
        <v>4.8</v>
      </c>
    </row>
    <row r="15" spans="1:17" x14ac:dyDescent="0.2">
      <c r="A15" t="s">
        <v>1114</v>
      </c>
      <c r="E15" s="80"/>
      <c r="F15" s="37" t="s">
        <v>1789</v>
      </c>
      <c r="G15" s="17" t="s">
        <v>1031</v>
      </c>
      <c r="H15" s="17" t="s">
        <v>1031</v>
      </c>
      <c r="I15" s="17" t="s">
        <v>1031</v>
      </c>
      <c r="J15" s="17" t="s">
        <v>1031</v>
      </c>
      <c r="K15" s="17" t="s">
        <v>1031</v>
      </c>
      <c r="L15" s="17" t="s">
        <v>1031</v>
      </c>
      <c r="M15" s="17">
        <v>6</v>
      </c>
      <c r="N15" s="17">
        <v>0.5</v>
      </c>
    </row>
    <row r="16" spans="1:17" x14ac:dyDescent="0.2">
      <c r="A16" t="s">
        <v>1116</v>
      </c>
      <c r="E16" s="80"/>
      <c r="F16" s="37" t="s">
        <v>1790</v>
      </c>
      <c r="G16" s="17">
        <v>0</v>
      </c>
      <c r="H16" s="17">
        <v>0</v>
      </c>
      <c r="I16" s="17">
        <v>0</v>
      </c>
      <c r="J16" s="17">
        <v>0</v>
      </c>
      <c r="K16" s="17" t="s">
        <v>1031</v>
      </c>
      <c r="L16" s="17" t="s">
        <v>1031</v>
      </c>
      <c r="M16" s="17">
        <v>5</v>
      </c>
      <c r="N16" s="17">
        <v>0.4</v>
      </c>
    </row>
    <row r="17" spans="1:14" x14ac:dyDescent="0.2">
      <c r="E17" s="80"/>
      <c r="F17" s="37" t="s">
        <v>1791</v>
      </c>
      <c r="G17" s="17" t="s">
        <v>1031</v>
      </c>
      <c r="H17" s="17" t="s">
        <v>1031</v>
      </c>
      <c r="I17" s="17">
        <v>10</v>
      </c>
      <c r="J17" s="17">
        <v>2.5</v>
      </c>
      <c r="K17" s="17">
        <v>19</v>
      </c>
      <c r="L17" s="17">
        <v>4.7</v>
      </c>
      <c r="M17" s="17">
        <v>37</v>
      </c>
      <c r="N17" s="17">
        <v>3.1</v>
      </c>
    </row>
    <row r="18" spans="1:14" x14ac:dyDescent="0.2">
      <c r="A18" s="84" t="s">
        <v>1119</v>
      </c>
      <c r="B18" s="80"/>
      <c r="E18" s="80"/>
      <c r="F18" s="37" t="s">
        <v>1792</v>
      </c>
      <c r="G18" s="17" t="s">
        <v>1031</v>
      </c>
      <c r="H18" s="17" t="s">
        <v>1031</v>
      </c>
      <c r="I18" s="17">
        <v>10</v>
      </c>
      <c r="J18" s="17">
        <v>2.5</v>
      </c>
      <c r="K18" s="17">
        <v>15</v>
      </c>
      <c r="L18" s="17">
        <v>3.7</v>
      </c>
      <c r="M18" s="17">
        <v>34</v>
      </c>
      <c r="N18" s="17">
        <v>2.8</v>
      </c>
    </row>
    <row r="19" spans="1:14" x14ac:dyDescent="0.2">
      <c r="A19" t="s">
        <v>1121</v>
      </c>
      <c r="B19" t="s">
        <v>1793</v>
      </c>
      <c r="E19" s="80"/>
      <c r="F19" s="37" t="s">
        <v>1794</v>
      </c>
      <c r="G19" s="17">
        <v>0</v>
      </c>
      <c r="H19" s="17">
        <v>0</v>
      </c>
      <c r="I19" s="17">
        <v>0</v>
      </c>
      <c r="J19" s="17">
        <v>0</v>
      </c>
      <c r="K19" s="17" t="s">
        <v>1031</v>
      </c>
      <c r="L19" s="17" t="s">
        <v>1031</v>
      </c>
      <c r="M19" s="17">
        <v>4</v>
      </c>
      <c r="N19" s="17">
        <v>0.3</v>
      </c>
    </row>
    <row r="20" spans="1:14" x14ac:dyDescent="0.2">
      <c r="E20" s="80"/>
      <c r="F20" s="37" t="s">
        <v>1795</v>
      </c>
      <c r="G20" s="17">
        <v>26</v>
      </c>
      <c r="H20" s="17">
        <v>6.5</v>
      </c>
      <c r="I20" s="17">
        <v>34</v>
      </c>
      <c r="J20" s="17">
        <v>8.5</v>
      </c>
      <c r="K20" s="17">
        <v>27</v>
      </c>
      <c r="L20" s="17">
        <v>6.7</v>
      </c>
      <c r="M20" s="17">
        <v>87</v>
      </c>
      <c r="N20" s="17">
        <v>7.2</v>
      </c>
    </row>
    <row r="21" spans="1:14" x14ac:dyDescent="0.2">
      <c r="A21" s="82" t="s">
        <v>1125</v>
      </c>
      <c r="B21" s="80"/>
      <c r="E21" s="80"/>
      <c r="F21" s="37" t="s">
        <v>1796</v>
      </c>
      <c r="G21" s="17">
        <v>334</v>
      </c>
      <c r="H21" s="17">
        <v>83.9</v>
      </c>
      <c r="I21" s="17">
        <v>293</v>
      </c>
      <c r="J21" s="17">
        <v>73</v>
      </c>
      <c r="K21" s="17">
        <v>354</v>
      </c>
      <c r="L21" s="17">
        <v>87.7</v>
      </c>
      <c r="M21" s="17">
        <v>981</v>
      </c>
      <c r="N21" s="17">
        <v>81.5</v>
      </c>
    </row>
    <row r="22" spans="1:14" x14ac:dyDescent="0.2">
      <c r="A22" t="s">
        <v>1135</v>
      </c>
      <c r="B22" t="s">
        <v>1797</v>
      </c>
      <c r="E22" s="80"/>
      <c r="F22" s="37" t="s">
        <v>1798</v>
      </c>
      <c r="G22" s="17" t="s">
        <v>1031</v>
      </c>
      <c r="H22" s="17" t="s">
        <v>1031</v>
      </c>
      <c r="I22" s="17">
        <v>10</v>
      </c>
      <c r="J22" s="17">
        <v>2.5</v>
      </c>
      <c r="K22" s="17">
        <v>15</v>
      </c>
      <c r="L22" s="17">
        <v>3.7</v>
      </c>
      <c r="M22" s="17">
        <v>30</v>
      </c>
      <c r="N22" s="17">
        <v>2.5</v>
      </c>
    </row>
    <row r="23" spans="1:14" x14ac:dyDescent="0.2">
      <c r="E23" s="80"/>
      <c r="F23" s="37" t="s">
        <v>1799</v>
      </c>
      <c r="G23" s="17" t="s">
        <v>1031</v>
      </c>
      <c r="H23" s="17" t="s">
        <v>1031</v>
      </c>
      <c r="I23" s="17" t="s">
        <v>1031</v>
      </c>
      <c r="J23" s="17" t="s">
        <v>1031</v>
      </c>
      <c r="K23" s="17" t="s">
        <v>1031</v>
      </c>
      <c r="L23" s="17" t="s">
        <v>1031</v>
      </c>
      <c r="M23" s="17">
        <v>3</v>
      </c>
      <c r="N23" s="17">
        <v>0.2</v>
      </c>
    </row>
    <row r="24" spans="1:14" x14ac:dyDescent="0.2">
      <c r="E24" s="80"/>
      <c r="F24" s="37" t="s">
        <v>1800</v>
      </c>
      <c r="G24" s="17">
        <v>0</v>
      </c>
      <c r="H24" s="17">
        <v>0</v>
      </c>
      <c r="I24" s="17">
        <v>0</v>
      </c>
      <c r="J24" s="17">
        <v>0</v>
      </c>
      <c r="K24" s="17">
        <v>0</v>
      </c>
      <c r="L24" s="17">
        <v>0</v>
      </c>
      <c r="M24" s="17">
        <v>0</v>
      </c>
      <c r="N24" s="17">
        <v>0</v>
      </c>
    </row>
    <row r="25" spans="1:14" x14ac:dyDescent="0.2">
      <c r="E25" s="80"/>
      <c r="F25" s="37" t="s">
        <v>1801</v>
      </c>
      <c r="G25" s="17">
        <v>55</v>
      </c>
      <c r="H25" s="17">
        <v>13.8</v>
      </c>
      <c r="I25" s="17">
        <v>68</v>
      </c>
      <c r="J25" s="17">
        <v>16.899999999999999</v>
      </c>
      <c r="K25" s="17">
        <v>68</v>
      </c>
      <c r="L25" s="17">
        <v>16.8</v>
      </c>
      <c r="M25" s="17">
        <v>191</v>
      </c>
      <c r="N25" s="17">
        <v>15.9</v>
      </c>
    </row>
    <row r="26" spans="1:14" x14ac:dyDescent="0.2">
      <c r="E26" s="80"/>
      <c r="F26" s="37" t="s">
        <v>1802</v>
      </c>
      <c r="G26" s="17" t="s">
        <v>1031</v>
      </c>
      <c r="H26" s="17" t="s">
        <v>1031</v>
      </c>
      <c r="I26" s="17">
        <v>10</v>
      </c>
      <c r="J26" s="17">
        <v>2.5</v>
      </c>
      <c r="K26" s="17" t="s">
        <v>1031</v>
      </c>
      <c r="L26" s="17" t="s">
        <v>1031</v>
      </c>
      <c r="M26" s="17">
        <v>23</v>
      </c>
      <c r="N26" s="17">
        <v>1.9</v>
      </c>
    </row>
    <row r="27" spans="1:14" x14ac:dyDescent="0.2">
      <c r="A27" s="82"/>
      <c r="B27" s="80"/>
      <c r="E27" s="80"/>
      <c r="F27" s="37" t="s">
        <v>1803</v>
      </c>
      <c r="G27" s="17">
        <v>160</v>
      </c>
      <c r="H27" s="17">
        <v>40.200000000000003</v>
      </c>
      <c r="I27" s="17">
        <v>109</v>
      </c>
      <c r="J27" s="17">
        <v>27.2</v>
      </c>
      <c r="K27" s="17">
        <v>118</v>
      </c>
      <c r="L27" s="17">
        <v>29.2</v>
      </c>
      <c r="M27" s="17">
        <v>387</v>
      </c>
      <c r="N27" s="17">
        <v>32.200000000000003</v>
      </c>
    </row>
    <row r="28" spans="1:14" x14ac:dyDescent="0.2">
      <c r="E28" s="80"/>
      <c r="F28" s="37" t="s">
        <v>1804</v>
      </c>
      <c r="G28" s="17">
        <v>1311</v>
      </c>
      <c r="H28" s="17">
        <v>329.2</v>
      </c>
      <c r="I28" s="17">
        <v>11866</v>
      </c>
      <c r="J28" s="17">
        <v>2957.4</v>
      </c>
      <c r="K28" s="17">
        <v>4127</v>
      </c>
      <c r="L28" s="17">
        <v>1021.9</v>
      </c>
      <c r="M28" s="17">
        <v>17304</v>
      </c>
      <c r="N28" s="17">
        <v>1436.2</v>
      </c>
    </row>
    <row r="29" spans="1:14" x14ac:dyDescent="0.2">
      <c r="E29" s="80"/>
      <c r="F29" s="37" t="s">
        <v>1805</v>
      </c>
      <c r="G29" s="17">
        <v>71</v>
      </c>
      <c r="H29" s="17">
        <v>17.8</v>
      </c>
      <c r="I29" s="17">
        <v>165</v>
      </c>
      <c r="J29" s="17">
        <v>41.1</v>
      </c>
      <c r="K29" s="17">
        <v>1660</v>
      </c>
      <c r="L29" s="17">
        <v>411.1</v>
      </c>
      <c r="M29" s="17">
        <v>1896</v>
      </c>
      <c r="N29" s="17">
        <v>156.69999999999999</v>
      </c>
    </row>
    <row r="30" spans="1:14" x14ac:dyDescent="0.2">
      <c r="E30" s="80"/>
      <c r="F30" s="37" t="s">
        <v>1806</v>
      </c>
      <c r="G30" s="17">
        <v>498</v>
      </c>
      <c r="H30" s="17">
        <v>125</v>
      </c>
      <c r="I30" s="17">
        <v>1231</v>
      </c>
      <c r="J30" s="17">
        <v>306.8</v>
      </c>
      <c r="K30" s="17">
        <v>347</v>
      </c>
      <c r="L30" s="17">
        <v>85.9</v>
      </c>
      <c r="M30" s="17">
        <v>2076</v>
      </c>
      <c r="N30" s="17">
        <v>172.6</v>
      </c>
    </row>
    <row r="31" spans="1:14" x14ac:dyDescent="0.2">
      <c r="E31" s="80"/>
      <c r="F31" s="37" t="s">
        <v>1807</v>
      </c>
      <c r="G31" s="17">
        <v>12</v>
      </c>
      <c r="H31" s="17">
        <v>3</v>
      </c>
      <c r="I31" s="17">
        <v>10</v>
      </c>
      <c r="J31" s="17">
        <v>2.5</v>
      </c>
      <c r="K31" s="17">
        <v>14</v>
      </c>
      <c r="L31" s="17">
        <v>3.5</v>
      </c>
      <c r="M31" s="17">
        <v>36</v>
      </c>
      <c r="N31" s="17">
        <v>3</v>
      </c>
    </row>
    <row r="32" spans="1:14" x14ac:dyDescent="0.2">
      <c r="E32" s="80"/>
      <c r="F32" s="37" t="s">
        <v>1808</v>
      </c>
      <c r="G32" s="17">
        <v>0</v>
      </c>
      <c r="H32" s="17">
        <v>0</v>
      </c>
      <c r="I32" s="17" t="s">
        <v>1031</v>
      </c>
      <c r="J32" s="17" t="s">
        <v>1031</v>
      </c>
      <c r="K32" s="17" t="s">
        <v>1031</v>
      </c>
      <c r="L32" s="17" t="s">
        <v>1031</v>
      </c>
      <c r="M32" s="17">
        <v>2</v>
      </c>
      <c r="N32" s="17">
        <v>0.2</v>
      </c>
    </row>
    <row r="33" spans="5:14" x14ac:dyDescent="0.2">
      <c r="E33" s="80"/>
      <c r="F33" s="37" t="s">
        <v>1809</v>
      </c>
      <c r="G33" s="17">
        <v>94</v>
      </c>
      <c r="H33" s="17">
        <v>23.6</v>
      </c>
      <c r="I33" s="17">
        <v>939</v>
      </c>
      <c r="J33" s="17">
        <v>234</v>
      </c>
      <c r="K33" s="17">
        <v>1208</v>
      </c>
      <c r="L33" s="17">
        <v>299.10000000000002</v>
      </c>
      <c r="M33" s="17">
        <v>2241</v>
      </c>
      <c r="N33" s="17">
        <v>185.6</v>
      </c>
    </row>
    <row r="34" spans="5:14" x14ac:dyDescent="0.2">
      <c r="E34" s="80"/>
      <c r="F34" s="37" t="s">
        <v>1810</v>
      </c>
      <c r="G34" s="17">
        <v>0</v>
      </c>
      <c r="H34" s="17">
        <v>0</v>
      </c>
      <c r="I34" s="17" t="s">
        <v>1031</v>
      </c>
      <c r="J34" s="17" t="s">
        <v>1031</v>
      </c>
      <c r="K34" s="17" t="s">
        <v>1031</v>
      </c>
      <c r="L34" s="17" t="s">
        <v>1031</v>
      </c>
      <c r="M34" s="17">
        <v>4</v>
      </c>
      <c r="N34" s="17">
        <v>0.3</v>
      </c>
    </row>
    <row r="35" spans="5:14" x14ac:dyDescent="0.2">
      <c r="E35" s="80"/>
      <c r="F35" s="37" t="s">
        <v>1811</v>
      </c>
      <c r="G35" s="17">
        <v>0</v>
      </c>
      <c r="H35" s="17">
        <v>0</v>
      </c>
      <c r="I35" s="17">
        <v>0</v>
      </c>
      <c r="J35" s="17">
        <v>0</v>
      </c>
      <c r="K35" s="17">
        <v>0</v>
      </c>
      <c r="L35" s="17">
        <v>0</v>
      </c>
      <c r="M35" s="17">
        <v>0</v>
      </c>
      <c r="N35" s="17">
        <v>0</v>
      </c>
    </row>
    <row r="36" spans="5:14" x14ac:dyDescent="0.2">
      <c r="E36" s="80"/>
      <c r="F36" s="37" t="s">
        <v>1812</v>
      </c>
      <c r="G36" s="17">
        <v>0</v>
      </c>
      <c r="H36" s="17">
        <v>0</v>
      </c>
      <c r="I36" s="17" t="s">
        <v>1031</v>
      </c>
      <c r="J36" s="17" t="s">
        <v>1031</v>
      </c>
      <c r="K36" s="17" t="s">
        <v>1031</v>
      </c>
      <c r="L36" s="17" t="s">
        <v>1031</v>
      </c>
      <c r="M36" s="17">
        <v>12</v>
      </c>
      <c r="N36" s="17">
        <v>1</v>
      </c>
    </row>
    <row r="37" spans="5:14" x14ac:dyDescent="0.2">
      <c r="E37" s="80"/>
      <c r="F37" s="37" t="s">
        <v>1813</v>
      </c>
      <c r="G37" s="17">
        <v>0</v>
      </c>
      <c r="H37" s="17">
        <v>0</v>
      </c>
      <c r="I37" s="17">
        <v>0</v>
      </c>
      <c r="J37" s="17">
        <v>0</v>
      </c>
      <c r="K37" s="17">
        <v>0</v>
      </c>
      <c r="L37" s="17">
        <v>0</v>
      </c>
      <c r="M37" s="17">
        <v>0</v>
      </c>
      <c r="N37" s="17">
        <v>0</v>
      </c>
    </row>
    <row r="38" spans="5:14" x14ac:dyDescent="0.2">
      <c r="E38" s="80"/>
      <c r="F38" s="37" t="s">
        <v>1814</v>
      </c>
      <c r="G38" s="17">
        <v>12</v>
      </c>
      <c r="H38" s="17">
        <v>3</v>
      </c>
      <c r="I38" s="17">
        <v>37</v>
      </c>
      <c r="J38" s="17">
        <v>9.1999999999999993</v>
      </c>
      <c r="K38" s="17">
        <v>110</v>
      </c>
      <c r="L38" s="17">
        <v>27.2</v>
      </c>
      <c r="M38" s="17">
        <v>159</v>
      </c>
      <c r="N38" s="17">
        <v>13.2</v>
      </c>
    </row>
    <row r="39" spans="5:14" x14ac:dyDescent="0.2">
      <c r="E39" s="80"/>
      <c r="F39" s="37" t="s">
        <v>1815</v>
      </c>
      <c r="G39" s="17" t="s">
        <v>1031</v>
      </c>
      <c r="H39" s="17" t="s">
        <v>1031</v>
      </c>
      <c r="I39" s="17">
        <v>0</v>
      </c>
      <c r="J39" s="17">
        <v>0</v>
      </c>
      <c r="K39" s="17">
        <v>0</v>
      </c>
      <c r="L39" s="17">
        <v>0</v>
      </c>
      <c r="M39" s="17">
        <v>1</v>
      </c>
      <c r="N39" s="17">
        <v>0.1</v>
      </c>
    </row>
    <row r="40" spans="5:14" x14ac:dyDescent="0.2">
      <c r="E40" s="80"/>
      <c r="F40" s="37" t="s">
        <v>1816</v>
      </c>
      <c r="G40" s="17">
        <v>0</v>
      </c>
      <c r="H40" s="17">
        <v>0</v>
      </c>
      <c r="I40" s="17">
        <v>422</v>
      </c>
      <c r="J40" s="17">
        <v>104.5</v>
      </c>
      <c r="K40" s="17">
        <v>422</v>
      </c>
      <c r="L40" s="17">
        <v>34.799999999999997</v>
      </c>
      <c r="M40" s="17">
        <v>422</v>
      </c>
      <c r="N40" s="17">
        <v>34.799999999999997</v>
      </c>
    </row>
    <row r="41" spans="5:14" x14ac:dyDescent="0.2">
      <c r="E41" s="80"/>
      <c r="F41" s="37" t="s">
        <v>1817</v>
      </c>
      <c r="G41" s="17">
        <v>32</v>
      </c>
      <c r="H41" s="17">
        <v>8</v>
      </c>
      <c r="I41" s="17">
        <v>42</v>
      </c>
      <c r="J41" s="17">
        <v>10.5</v>
      </c>
      <c r="K41" s="17">
        <v>52</v>
      </c>
      <c r="L41" s="17">
        <v>12.9</v>
      </c>
      <c r="M41" s="17">
        <v>126</v>
      </c>
      <c r="N41" s="17">
        <v>10.5</v>
      </c>
    </row>
    <row r="42" spans="5:14" x14ac:dyDescent="0.2">
      <c r="E42" s="80"/>
      <c r="F42" s="37" t="s">
        <v>1818</v>
      </c>
      <c r="G42" s="17" t="s">
        <v>1031</v>
      </c>
      <c r="H42" s="17" t="s">
        <v>1031</v>
      </c>
      <c r="I42" s="17" t="s">
        <v>1031</v>
      </c>
      <c r="J42" s="17" t="s">
        <v>1031</v>
      </c>
      <c r="K42" s="17">
        <v>184</v>
      </c>
      <c r="L42" s="17">
        <v>45.6</v>
      </c>
      <c r="M42" s="17">
        <v>192</v>
      </c>
      <c r="N42" s="17">
        <v>15.9</v>
      </c>
    </row>
    <row r="43" spans="5:14" x14ac:dyDescent="0.2">
      <c r="E43" s="80"/>
      <c r="F43" s="37" t="s">
        <v>1819</v>
      </c>
      <c r="G43" s="17">
        <v>11</v>
      </c>
      <c r="H43" s="17">
        <v>2.8</v>
      </c>
      <c r="I43" s="17">
        <v>15</v>
      </c>
      <c r="J43" s="17">
        <v>3.7</v>
      </c>
      <c r="K43" s="17">
        <v>21</v>
      </c>
      <c r="L43" s="17">
        <v>5.2</v>
      </c>
      <c r="M43" s="17">
        <v>47</v>
      </c>
      <c r="N43" s="17">
        <v>3.9</v>
      </c>
    </row>
    <row r="44" spans="5:14" x14ac:dyDescent="0.2">
      <c r="E44" s="80"/>
      <c r="F44" s="37" t="s">
        <v>1820</v>
      </c>
      <c r="G44" s="17">
        <v>40</v>
      </c>
      <c r="H44" s="17">
        <v>10</v>
      </c>
      <c r="I44" s="17">
        <v>34</v>
      </c>
      <c r="J44" s="17">
        <v>8.5</v>
      </c>
      <c r="K44" s="17">
        <v>39</v>
      </c>
      <c r="L44" s="17">
        <v>9.6999999999999993</v>
      </c>
      <c r="M44" s="17">
        <v>113</v>
      </c>
      <c r="N44" s="17">
        <v>9.4</v>
      </c>
    </row>
    <row r="45" spans="5:14" x14ac:dyDescent="0.2">
      <c r="E45" s="80"/>
      <c r="F45" s="37" t="s">
        <v>1821</v>
      </c>
      <c r="G45" s="17">
        <v>12</v>
      </c>
      <c r="H45" s="17">
        <v>3</v>
      </c>
      <c r="I45" s="17">
        <v>23</v>
      </c>
      <c r="J45" s="17">
        <v>5.7</v>
      </c>
      <c r="K45" s="17">
        <v>24</v>
      </c>
      <c r="L45" s="17">
        <v>5.9</v>
      </c>
      <c r="M45" s="17">
        <v>59</v>
      </c>
      <c r="N45" s="17">
        <v>4.9000000000000004</v>
      </c>
    </row>
    <row r="46" spans="5:14" x14ac:dyDescent="0.2">
      <c r="E46" s="80"/>
      <c r="F46" t="s">
        <v>1822</v>
      </c>
      <c r="G46" s="17">
        <v>124</v>
      </c>
      <c r="H46" s="17">
        <v>31.1</v>
      </c>
      <c r="I46" s="17">
        <v>124</v>
      </c>
      <c r="J46" s="17">
        <v>30.9</v>
      </c>
      <c r="K46" s="17">
        <v>131</v>
      </c>
      <c r="L46" s="17">
        <v>32.4</v>
      </c>
      <c r="M46" s="17">
        <v>379</v>
      </c>
      <c r="N46" s="17">
        <v>31.5</v>
      </c>
    </row>
    <row r="47" spans="5:14" x14ac:dyDescent="0.2">
      <c r="E47" s="80"/>
      <c r="F47" t="s">
        <v>1823</v>
      </c>
      <c r="G47" s="17" t="s">
        <v>1031</v>
      </c>
      <c r="H47" s="17" t="s">
        <v>1031</v>
      </c>
      <c r="I47" s="17" t="s">
        <v>1031</v>
      </c>
      <c r="J47" s="17" t="s">
        <v>1031</v>
      </c>
      <c r="K47" s="17" t="s">
        <v>1031</v>
      </c>
      <c r="L47" s="17" t="s">
        <v>1031</v>
      </c>
      <c r="M47" s="17">
        <v>23</v>
      </c>
      <c r="N47" s="17">
        <v>1.9</v>
      </c>
    </row>
    <row r="48" spans="5:14" x14ac:dyDescent="0.2">
      <c r="E48" s="80"/>
      <c r="F48" t="s">
        <v>1824</v>
      </c>
      <c r="G48" s="17">
        <v>0</v>
      </c>
      <c r="H48" s="17">
        <v>0</v>
      </c>
      <c r="I48" s="17">
        <v>0</v>
      </c>
      <c r="J48" s="17">
        <v>0</v>
      </c>
      <c r="K48" s="17" t="s">
        <v>1031</v>
      </c>
      <c r="L48" s="17" t="s">
        <v>1031</v>
      </c>
      <c r="M48" s="17">
        <v>2</v>
      </c>
      <c r="N48" s="17">
        <v>0.2</v>
      </c>
    </row>
    <row r="49" spans="5:14" x14ac:dyDescent="0.2">
      <c r="E49" s="80"/>
      <c r="F49" t="s">
        <v>1825</v>
      </c>
      <c r="G49" s="17" t="s">
        <v>1031</v>
      </c>
      <c r="H49" s="17" t="s">
        <v>1031</v>
      </c>
      <c r="I49" s="17">
        <v>0</v>
      </c>
      <c r="J49" s="17">
        <v>0</v>
      </c>
      <c r="K49" s="17" t="s">
        <v>1031</v>
      </c>
      <c r="L49" s="17" t="s">
        <v>1031</v>
      </c>
      <c r="M49" s="17">
        <v>4</v>
      </c>
      <c r="N49" s="17">
        <v>0.3</v>
      </c>
    </row>
    <row r="50" spans="5:14" x14ac:dyDescent="0.2">
      <c r="E50" s="80"/>
      <c r="F50" t="s">
        <v>1826</v>
      </c>
      <c r="G50" s="17" t="s">
        <v>1031</v>
      </c>
      <c r="H50" s="17" t="s">
        <v>1031</v>
      </c>
      <c r="I50" s="17" t="s">
        <v>1031</v>
      </c>
      <c r="J50" s="17" t="s">
        <v>1031</v>
      </c>
      <c r="K50" s="17">
        <v>16</v>
      </c>
      <c r="L50" s="17">
        <v>4</v>
      </c>
      <c r="M50" s="17">
        <v>30</v>
      </c>
      <c r="N50" s="17">
        <v>2</v>
      </c>
    </row>
    <row r="51" spans="5:14" x14ac:dyDescent="0.2">
      <c r="E51" s="80"/>
    </row>
    <row r="52" spans="5:14" x14ac:dyDescent="0.2">
      <c r="E52" s="80"/>
    </row>
    <row r="53" spans="5:14" x14ac:dyDescent="0.2">
      <c r="E53" s="80"/>
    </row>
    <row r="54" spans="5:14" x14ac:dyDescent="0.2">
      <c r="E54" s="80"/>
    </row>
    <row r="55" spans="5:14" x14ac:dyDescent="0.2">
      <c r="E55" s="80"/>
    </row>
    <row r="56" spans="5:14" x14ac:dyDescent="0.2">
      <c r="E56" s="80"/>
    </row>
    <row r="57" spans="5:14" x14ac:dyDescent="0.2">
      <c r="E57" s="80"/>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tbl-hepatitisa-rate</v>
      </c>
    </row>
    <row r="4" spans="1:17" x14ac:dyDescent="0.2">
      <c r="A4" s="16" t="s">
        <v>7</v>
      </c>
      <c r="B4" t="str">
        <f>IF($B$1="","",_xlfn.XLOOKUP($B$1,Master!$F$2:$F$321,Master!$H$2:$H$321,""))</f>
        <v>fig-hepatitisa-rate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1.6</v>
      </c>
      <c r="H6" s="15">
        <v>0.3</v>
      </c>
      <c r="I6" s="15">
        <v>0.2</v>
      </c>
      <c r="J6" s="15">
        <v>0.2</v>
      </c>
      <c r="K6" s="15"/>
      <c r="L6" s="15"/>
      <c r="M6" s="15"/>
      <c r="N6" s="15"/>
      <c r="O6" s="15"/>
    </row>
    <row r="7" spans="1:17" ht="15.75" customHeight="1" x14ac:dyDescent="0.2">
      <c r="E7" s="80"/>
      <c r="F7" t="s">
        <v>1298</v>
      </c>
      <c r="G7" s="15">
        <v>2</v>
      </c>
      <c r="H7" s="15">
        <v>0.9</v>
      </c>
      <c r="I7" s="15">
        <v>0.3</v>
      </c>
      <c r="J7" s="15">
        <v>0.3</v>
      </c>
      <c r="K7" s="15"/>
      <c r="L7" s="15"/>
      <c r="M7" s="15"/>
      <c r="N7" s="15"/>
      <c r="O7" s="15"/>
    </row>
    <row r="8" spans="1:17" x14ac:dyDescent="0.2">
      <c r="E8" s="80"/>
      <c r="F8" t="s">
        <v>1299</v>
      </c>
      <c r="G8" s="15">
        <v>1.6</v>
      </c>
      <c r="H8" s="15">
        <v>1</v>
      </c>
      <c r="I8" s="15">
        <v>0.4</v>
      </c>
      <c r="J8" s="15">
        <v>0.5</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1827</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tbl-hepatitisb-chronic-rate</v>
      </c>
    </row>
    <row r="4" spans="1:17" x14ac:dyDescent="0.2">
      <c r="A4" s="16" t="s">
        <v>7</v>
      </c>
      <c r="B4" t="str">
        <f>IF($B$1="","",_xlfn.XLOOKUP($B$1,Master!$F$2:$F$321,Master!$H$2:$H$321,""))</f>
        <v>fig-hepatitisb-chronic-rate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v>2020</v>
      </c>
      <c r="G6" s="15">
        <v>13.8</v>
      </c>
      <c r="H6" s="15">
        <v>13.6</v>
      </c>
      <c r="I6" s="15">
        <v>32.4</v>
      </c>
      <c r="J6" s="15"/>
      <c r="K6" s="15"/>
      <c r="L6" s="15"/>
      <c r="M6" s="15"/>
      <c r="N6" s="15"/>
      <c r="O6" s="15"/>
    </row>
    <row r="7" spans="1:17" ht="15.75" customHeight="1" x14ac:dyDescent="0.2">
      <c r="E7" s="80"/>
      <c r="F7">
        <v>2021</v>
      </c>
      <c r="G7" s="15">
        <v>14</v>
      </c>
      <c r="H7" s="15">
        <v>15.7</v>
      </c>
      <c r="I7" s="15">
        <v>35.6</v>
      </c>
      <c r="J7" s="15"/>
      <c r="K7" s="15"/>
      <c r="L7" s="15"/>
      <c r="M7" s="15"/>
      <c r="N7" s="15"/>
      <c r="O7" s="15"/>
    </row>
    <row r="8" spans="1:17" x14ac:dyDescent="0.2">
      <c r="E8" s="80"/>
      <c r="F8">
        <v>2022</v>
      </c>
      <c r="G8" s="15">
        <v>16.3</v>
      </c>
      <c r="H8" s="15">
        <v>17</v>
      </c>
      <c r="I8" s="15">
        <v>37.1</v>
      </c>
      <c r="J8" s="15"/>
      <c r="K8" s="15"/>
      <c r="L8" s="15"/>
      <c r="M8" s="15"/>
      <c r="N8" s="15"/>
      <c r="O8" s="15"/>
    </row>
    <row r="9" spans="1:17" x14ac:dyDescent="0.2">
      <c r="A9" s="84" t="s">
        <v>1098</v>
      </c>
      <c r="B9" s="80"/>
      <c r="E9" s="80"/>
      <c r="F9">
        <v>2023</v>
      </c>
      <c r="G9" s="15">
        <v>16.7</v>
      </c>
      <c r="H9" s="15">
        <v>18.2</v>
      </c>
      <c r="I9" s="15">
        <v>44.1</v>
      </c>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1827</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tbl-hepatitisc-acute-rate</v>
      </c>
    </row>
    <row r="4" spans="1:17" x14ac:dyDescent="0.2">
      <c r="A4" s="16" t="s">
        <v>7</v>
      </c>
      <c r="B4" t="str">
        <f>IF($B$1="","",_xlfn.XLOOKUP($B$1,Master!$F$2:$F$321,Master!$H$2:$H$321,""))</f>
        <v>fig-hepatitisc-acute-rate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0.8</v>
      </c>
      <c r="H6" s="15">
        <v>2.6</v>
      </c>
      <c r="I6" s="15">
        <v>2.2000000000000002</v>
      </c>
      <c r="J6" s="15">
        <v>1.5</v>
      </c>
      <c r="K6" s="15"/>
      <c r="L6" s="15"/>
      <c r="M6" s="15"/>
      <c r="N6" s="15"/>
      <c r="O6" s="15"/>
    </row>
    <row r="7" spans="1:17" ht="15.75" customHeight="1" x14ac:dyDescent="0.2">
      <c r="E7" s="80"/>
      <c r="F7" t="s">
        <v>1298</v>
      </c>
      <c r="G7" s="15">
        <v>1.6</v>
      </c>
      <c r="H7" s="15">
        <v>2.5</v>
      </c>
      <c r="I7" s="15">
        <v>2.2999999999999998</v>
      </c>
      <c r="J7" s="15">
        <v>1.8</v>
      </c>
      <c r="K7" s="15"/>
      <c r="L7" s="15"/>
      <c r="M7" s="15"/>
      <c r="N7" s="15"/>
      <c r="O7" s="15"/>
    </row>
    <row r="8" spans="1:17" x14ac:dyDescent="0.2">
      <c r="E8" s="80"/>
      <c r="F8" t="s">
        <v>1299</v>
      </c>
      <c r="G8" s="15">
        <v>2.2000000000000002</v>
      </c>
      <c r="H8" s="15">
        <v>2.1</v>
      </c>
      <c r="I8" s="15">
        <v>2</v>
      </c>
      <c r="J8" s="15">
        <v>1.9</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1827</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election activeCell="H14" sqref="H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tbl-hepatitisc-chronic-rate</v>
      </c>
    </row>
    <row r="4" spans="1:17" x14ac:dyDescent="0.2">
      <c r="A4" s="16" t="s">
        <v>7</v>
      </c>
      <c r="B4" t="str">
        <f>IF($B$1="","",_xlfn.XLOOKUP($B$1,Master!$F$2:$F$321,Master!$H$2:$H$321,""))</f>
        <v>fig-hepatitisc-chronic-rate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37.6</v>
      </c>
      <c r="H6" s="15">
        <v>41</v>
      </c>
      <c r="I6" s="15">
        <v>24.6</v>
      </c>
      <c r="J6" s="15">
        <v>24.4</v>
      </c>
      <c r="K6" s="15"/>
      <c r="L6" s="15"/>
      <c r="M6" s="15"/>
      <c r="N6" s="15"/>
      <c r="O6" s="15"/>
    </row>
    <row r="7" spans="1:17" ht="15.75" customHeight="1" x14ac:dyDescent="0.2">
      <c r="E7" s="80"/>
      <c r="F7" t="s">
        <v>1298</v>
      </c>
      <c r="G7" s="15">
        <v>34.200000000000003</v>
      </c>
      <c r="H7" s="15">
        <v>31.1</v>
      </c>
      <c r="I7" s="15">
        <v>25.2</v>
      </c>
      <c r="J7" s="15">
        <v>22</v>
      </c>
      <c r="K7" s="15"/>
      <c r="L7" s="15"/>
      <c r="M7" s="15"/>
      <c r="N7" s="15"/>
      <c r="O7" s="15"/>
    </row>
    <row r="8" spans="1:17" x14ac:dyDescent="0.2">
      <c r="E8" s="80"/>
      <c r="F8" t="s">
        <v>1299</v>
      </c>
      <c r="G8" s="15">
        <v>39.4</v>
      </c>
      <c r="H8" s="15">
        <v>31.9</v>
      </c>
      <c r="I8" s="15">
        <v>28.3</v>
      </c>
      <c r="J8" s="15">
        <v>25.6</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1827</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election activeCell="J40" sqref="J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tbl-chlamydia-count-rate-sex-rande-age-zip</v>
      </c>
    </row>
    <row r="4" spans="1:17" x14ac:dyDescent="0.2">
      <c r="A4" s="16" t="s">
        <v>7</v>
      </c>
      <c r="B4" t="str">
        <f>IF($B$1="","",_xlfn.XLOOKUP($B$1,Master!$F$2:$F$321,Master!$H$2:$H$321,""))</f>
        <v>fig-chlamydia-count-rate-sex-rande-age-zip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4" t="s">
        <v>1081</v>
      </c>
      <c r="B5" s="80"/>
      <c r="E5" s="83" t="s">
        <v>1082</v>
      </c>
      <c r="G5" s="82">
        <v>2021</v>
      </c>
      <c r="H5" s="80"/>
      <c r="I5" s="82">
        <v>2022</v>
      </c>
      <c r="J5" s="80"/>
      <c r="K5" s="82">
        <v>2023</v>
      </c>
      <c r="L5" s="80"/>
      <c r="M5" s="82">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s="16" t="s">
        <v>1089</v>
      </c>
      <c r="G7" s="15">
        <v>1438</v>
      </c>
      <c r="H7" s="15">
        <v>361.1</v>
      </c>
      <c r="I7" s="15">
        <v>1381</v>
      </c>
      <c r="J7" s="15">
        <v>344.2</v>
      </c>
      <c r="K7" s="15">
        <v>1491</v>
      </c>
      <c r="L7" s="15">
        <v>369.2</v>
      </c>
      <c r="M7" s="15">
        <v>1375</v>
      </c>
      <c r="N7" s="15">
        <v>340.5</v>
      </c>
      <c r="O7" s="15"/>
    </row>
    <row r="8" spans="1:17" x14ac:dyDescent="0.2">
      <c r="E8" s="80"/>
      <c r="F8" s="92" t="s">
        <v>1086</v>
      </c>
      <c r="G8" s="80"/>
      <c r="H8" s="80"/>
      <c r="I8" s="80"/>
      <c r="J8" s="80"/>
      <c r="K8" s="80"/>
      <c r="L8" s="80"/>
      <c r="M8" s="80"/>
      <c r="N8" s="80"/>
      <c r="O8" s="15"/>
    </row>
    <row r="9" spans="1:17" x14ac:dyDescent="0.2">
      <c r="A9" s="84" t="s">
        <v>1098</v>
      </c>
      <c r="B9" s="80"/>
      <c r="E9" s="80"/>
      <c r="F9" s="47" t="s">
        <v>1094</v>
      </c>
      <c r="G9" s="15">
        <v>500</v>
      </c>
      <c r="H9" s="15">
        <v>249.3</v>
      </c>
      <c r="I9" s="15">
        <v>461</v>
      </c>
      <c r="J9" s="15">
        <v>229.6</v>
      </c>
      <c r="K9" s="15">
        <v>534</v>
      </c>
      <c r="L9" s="15">
        <v>265</v>
      </c>
      <c r="M9" s="15">
        <v>525</v>
      </c>
      <c r="N9" s="15">
        <v>260.5</v>
      </c>
      <c r="O9" s="15"/>
    </row>
    <row r="10" spans="1:17" x14ac:dyDescent="0.2">
      <c r="A10" t="s">
        <v>1100</v>
      </c>
      <c r="E10" s="80"/>
      <c r="F10" s="47" t="s">
        <v>1095</v>
      </c>
      <c r="G10" s="15">
        <v>938</v>
      </c>
      <c r="H10" s="15">
        <v>474.4</v>
      </c>
      <c r="I10" s="15">
        <v>920</v>
      </c>
      <c r="J10" s="15">
        <v>458.9</v>
      </c>
      <c r="K10" s="15">
        <v>957</v>
      </c>
      <c r="L10" s="15">
        <v>473</v>
      </c>
      <c r="M10" s="15">
        <v>850</v>
      </c>
      <c r="N10" s="15">
        <v>420.1</v>
      </c>
      <c r="O10" s="15"/>
    </row>
    <row r="11" spans="1:17" x14ac:dyDescent="0.2">
      <c r="A11" t="s">
        <v>1102</v>
      </c>
      <c r="E11" s="80"/>
      <c r="F11" s="92" t="s">
        <v>1289</v>
      </c>
      <c r="G11" s="80"/>
      <c r="H11" s="80"/>
      <c r="I11" s="80"/>
      <c r="J11" s="80"/>
      <c r="K11" s="80"/>
      <c r="L11" s="80"/>
      <c r="M11" s="80"/>
      <c r="N11" s="80"/>
      <c r="O11" s="15"/>
    </row>
    <row r="12" spans="1:17" x14ac:dyDescent="0.2">
      <c r="A12" t="s">
        <v>1104</v>
      </c>
      <c r="E12" s="80"/>
      <c r="F12" s="47" t="s">
        <v>1828</v>
      </c>
      <c r="G12" s="15">
        <v>200</v>
      </c>
      <c r="H12" s="15">
        <v>80.7</v>
      </c>
      <c r="I12" s="15">
        <v>224</v>
      </c>
      <c r="J12" s="17">
        <v>92.3</v>
      </c>
      <c r="K12" s="17">
        <v>216</v>
      </c>
      <c r="L12" s="17">
        <v>90.3</v>
      </c>
      <c r="M12" s="17">
        <v>225</v>
      </c>
      <c r="N12" s="17">
        <v>94.1</v>
      </c>
      <c r="O12" s="15"/>
    </row>
    <row r="13" spans="1:17" x14ac:dyDescent="0.2">
      <c r="A13" t="s">
        <v>1108</v>
      </c>
      <c r="E13" s="80"/>
      <c r="F13" s="48" t="s">
        <v>1829</v>
      </c>
      <c r="G13" s="17">
        <v>278</v>
      </c>
      <c r="H13" s="17">
        <v>699.8</v>
      </c>
      <c r="I13" s="15">
        <v>241</v>
      </c>
      <c r="J13" s="15">
        <v>574.6</v>
      </c>
      <c r="K13" s="15">
        <v>298</v>
      </c>
      <c r="L13" s="15">
        <v>701.5</v>
      </c>
      <c r="M13" s="15">
        <v>296</v>
      </c>
      <c r="N13" s="15">
        <v>696.8</v>
      </c>
      <c r="O13" s="15"/>
    </row>
    <row r="14" spans="1:17" x14ac:dyDescent="0.2">
      <c r="A14" t="s">
        <v>1112</v>
      </c>
      <c r="E14" s="80"/>
      <c r="F14" s="47" t="s">
        <v>1830</v>
      </c>
      <c r="G14" s="15">
        <v>387</v>
      </c>
      <c r="H14" s="15">
        <v>453.5</v>
      </c>
      <c r="I14" s="15">
        <v>428</v>
      </c>
      <c r="J14" s="15">
        <v>478.2</v>
      </c>
      <c r="K14" s="15">
        <v>489</v>
      </c>
      <c r="L14" s="15">
        <v>522.4</v>
      </c>
      <c r="M14" s="15">
        <v>527</v>
      </c>
      <c r="N14" s="15">
        <v>563</v>
      </c>
      <c r="O14" s="15"/>
    </row>
    <row r="15" spans="1:17" x14ac:dyDescent="0.2">
      <c r="A15" t="s">
        <v>1114</v>
      </c>
      <c r="E15" s="80"/>
      <c r="F15" s="92" t="s">
        <v>1085</v>
      </c>
      <c r="G15" s="80"/>
      <c r="H15" s="80"/>
      <c r="I15" s="80"/>
      <c r="J15" s="80"/>
      <c r="K15" s="80"/>
      <c r="L15" s="80"/>
      <c r="M15" s="80"/>
      <c r="N15" s="80"/>
      <c r="O15" s="15"/>
    </row>
    <row r="16" spans="1:17" x14ac:dyDescent="0.2">
      <c r="A16" t="s">
        <v>1116</v>
      </c>
      <c r="E16" s="80"/>
      <c r="F16" s="47" t="s">
        <v>1831</v>
      </c>
      <c r="G16" s="15">
        <v>11</v>
      </c>
      <c r="H16" s="15">
        <v>13.1</v>
      </c>
      <c r="I16" s="15" t="s">
        <v>1031</v>
      </c>
      <c r="J16" s="15" t="s">
        <v>1031</v>
      </c>
      <c r="K16" s="15">
        <v>12</v>
      </c>
      <c r="L16" s="15">
        <v>14.1</v>
      </c>
      <c r="M16" s="15" t="s">
        <v>1031</v>
      </c>
      <c r="N16" s="15" t="s">
        <v>1031</v>
      </c>
      <c r="O16" s="15"/>
    </row>
    <row r="17" spans="1:15" x14ac:dyDescent="0.2">
      <c r="E17" s="80"/>
      <c r="F17" s="47" t="s">
        <v>1832</v>
      </c>
      <c r="G17" s="15">
        <v>335</v>
      </c>
      <c r="H17" s="15">
        <v>1100.5999999999999</v>
      </c>
      <c r="I17" s="15">
        <v>326</v>
      </c>
      <c r="J17" s="15">
        <v>1029.0999999999999</v>
      </c>
      <c r="K17" s="15">
        <v>378</v>
      </c>
      <c r="L17" s="15">
        <v>1197.2</v>
      </c>
      <c r="M17" s="15">
        <v>335</v>
      </c>
      <c r="N17" s="15">
        <v>1061</v>
      </c>
      <c r="O17" s="15"/>
    </row>
    <row r="18" spans="1:15" x14ac:dyDescent="0.2">
      <c r="A18" s="84" t="s">
        <v>1119</v>
      </c>
      <c r="B18" s="80"/>
      <c r="E18" s="80"/>
      <c r="F18" s="47" t="s">
        <v>1701</v>
      </c>
      <c r="G18" s="15">
        <v>534</v>
      </c>
      <c r="H18" s="15">
        <v>1829.9</v>
      </c>
      <c r="I18" s="15">
        <v>528</v>
      </c>
      <c r="J18" s="15">
        <v>1780.1</v>
      </c>
      <c r="K18" s="15">
        <v>515</v>
      </c>
      <c r="L18" s="15">
        <v>1796.4</v>
      </c>
      <c r="M18" s="15">
        <v>466</v>
      </c>
      <c r="N18" s="15">
        <v>1625.5</v>
      </c>
      <c r="O18" s="15"/>
    </row>
    <row r="19" spans="1:15" x14ac:dyDescent="0.2">
      <c r="A19" t="s">
        <v>1121</v>
      </c>
      <c r="B19" t="s">
        <v>1833</v>
      </c>
      <c r="E19" s="80"/>
      <c r="F19" s="47" t="s">
        <v>1834</v>
      </c>
      <c r="G19" s="15">
        <v>286</v>
      </c>
      <c r="H19" s="15">
        <v>1209.7</v>
      </c>
      <c r="I19" s="15">
        <v>254</v>
      </c>
      <c r="J19" s="15">
        <v>1061.3</v>
      </c>
      <c r="K19" s="15">
        <v>254</v>
      </c>
      <c r="L19" s="15">
        <v>1058.8</v>
      </c>
      <c r="M19" s="15">
        <v>242</v>
      </c>
      <c r="N19" s="15">
        <v>1008.8</v>
      </c>
      <c r="O19" s="15"/>
    </row>
    <row r="20" spans="1:15" x14ac:dyDescent="0.2">
      <c r="E20" s="80"/>
      <c r="F20" s="47" t="s">
        <v>1835</v>
      </c>
      <c r="G20" s="15">
        <v>124</v>
      </c>
      <c r="H20" s="15">
        <v>540.20000000000005</v>
      </c>
      <c r="I20" s="15">
        <v>139</v>
      </c>
      <c r="J20" s="15">
        <v>592.4</v>
      </c>
      <c r="K20" s="15">
        <v>149</v>
      </c>
      <c r="L20" s="15">
        <v>622.70000000000005</v>
      </c>
      <c r="M20" s="15">
        <v>130</v>
      </c>
      <c r="N20" s="15">
        <v>543.29999999999995</v>
      </c>
      <c r="O20" s="15"/>
    </row>
    <row r="21" spans="1:15" x14ac:dyDescent="0.2">
      <c r="A21" s="82" t="s">
        <v>1125</v>
      </c>
      <c r="B21" s="80"/>
      <c r="E21" s="80"/>
      <c r="F21" s="47" t="s">
        <v>1836</v>
      </c>
      <c r="G21" s="15">
        <v>70</v>
      </c>
      <c r="H21" s="15">
        <v>294.60000000000002</v>
      </c>
      <c r="I21" s="15">
        <v>60</v>
      </c>
      <c r="J21" s="15">
        <v>250.4</v>
      </c>
      <c r="K21" s="15">
        <v>93</v>
      </c>
      <c r="L21" s="15">
        <v>379.1</v>
      </c>
      <c r="M21" s="15">
        <v>86</v>
      </c>
      <c r="N21" s="15">
        <v>350.6</v>
      </c>
      <c r="O21" s="15"/>
    </row>
    <row r="22" spans="1:15" x14ac:dyDescent="0.2">
      <c r="A22" t="s">
        <v>1135</v>
      </c>
      <c r="B22" t="s">
        <v>1837</v>
      </c>
      <c r="E22" s="80"/>
      <c r="F22" s="47" t="s">
        <v>1838</v>
      </c>
      <c r="G22" s="15">
        <v>42</v>
      </c>
      <c r="H22" s="15">
        <v>175.2</v>
      </c>
      <c r="I22" s="15">
        <v>28</v>
      </c>
      <c r="J22" s="15">
        <v>113.1</v>
      </c>
      <c r="K22" s="15">
        <v>42</v>
      </c>
      <c r="L22" s="15">
        <v>166.6</v>
      </c>
      <c r="M22" s="15">
        <v>46</v>
      </c>
      <c r="N22" s="15">
        <v>182.5</v>
      </c>
      <c r="O22" s="15"/>
    </row>
    <row r="23" spans="1:15" x14ac:dyDescent="0.2">
      <c r="E23" s="80"/>
      <c r="F23" s="47" t="s">
        <v>1839</v>
      </c>
      <c r="G23" s="15">
        <v>14</v>
      </c>
      <c r="H23" s="15">
        <v>54.7</v>
      </c>
      <c r="I23" s="15">
        <v>17</v>
      </c>
      <c r="J23" s="15">
        <v>67.900000000000006</v>
      </c>
      <c r="K23" s="15">
        <v>20</v>
      </c>
      <c r="L23" s="15">
        <v>81.400000000000006</v>
      </c>
      <c r="M23" s="15">
        <v>22</v>
      </c>
      <c r="N23" s="15">
        <v>89.5</v>
      </c>
      <c r="O23" s="15"/>
    </row>
    <row r="24" spans="1:15" x14ac:dyDescent="0.2">
      <c r="E24" s="80"/>
      <c r="F24" s="47" t="s">
        <v>1840</v>
      </c>
      <c r="G24" s="15">
        <v>22</v>
      </c>
      <c r="H24" s="15">
        <v>16.3</v>
      </c>
      <c r="I24" s="15">
        <v>20</v>
      </c>
      <c r="J24" s="15">
        <v>14.8</v>
      </c>
      <c r="K24" s="15">
        <v>28</v>
      </c>
      <c r="L24" s="15">
        <v>20.5</v>
      </c>
      <c r="M24" s="15">
        <v>40</v>
      </c>
      <c r="N24" s="15">
        <v>29.3</v>
      </c>
      <c r="O24" s="15"/>
    </row>
    <row r="25" spans="1:15" x14ac:dyDescent="0.2">
      <c r="E25" s="80"/>
      <c r="F25" s="92" t="s">
        <v>1294</v>
      </c>
      <c r="G25" s="80"/>
      <c r="H25" s="80"/>
      <c r="I25" s="80"/>
      <c r="J25" s="80"/>
      <c r="K25" s="80"/>
      <c r="L25" s="80"/>
      <c r="M25" s="80"/>
      <c r="N25" s="80"/>
      <c r="O25" s="15"/>
    </row>
    <row r="26" spans="1:15" x14ac:dyDescent="0.2">
      <c r="E26" s="80"/>
      <c r="F26" s="47">
        <v>10918</v>
      </c>
      <c r="G26" s="15">
        <v>20</v>
      </c>
      <c r="H26" s="15">
        <v>156.80000000000001</v>
      </c>
      <c r="I26" s="15">
        <v>35</v>
      </c>
      <c r="J26" s="15">
        <v>288</v>
      </c>
      <c r="K26" s="15">
        <v>22</v>
      </c>
      <c r="L26" s="15">
        <v>184.3</v>
      </c>
      <c r="M26" s="15">
        <v>26</v>
      </c>
      <c r="N26" s="15">
        <v>217.8</v>
      </c>
      <c r="O26" s="15"/>
    </row>
    <row r="27" spans="1:15" x14ac:dyDescent="0.2">
      <c r="A27" s="82"/>
      <c r="B27" s="80"/>
      <c r="E27" s="80"/>
      <c r="F27" s="47">
        <v>10924</v>
      </c>
      <c r="G27" s="15">
        <v>39</v>
      </c>
      <c r="H27" s="15">
        <v>281.39999999999998</v>
      </c>
      <c r="I27" s="15">
        <v>33</v>
      </c>
      <c r="J27" s="15">
        <v>236.3</v>
      </c>
      <c r="K27" s="15">
        <v>40</v>
      </c>
      <c r="L27" s="15">
        <v>293.89999999999998</v>
      </c>
      <c r="M27" s="15">
        <v>39</v>
      </c>
      <c r="N27" s="15">
        <v>286.5</v>
      </c>
      <c r="O27" s="15"/>
    </row>
    <row r="28" spans="1:15" x14ac:dyDescent="0.2">
      <c r="E28" s="80"/>
      <c r="F28" s="47">
        <v>10928</v>
      </c>
      <c r="G28" s="15">
        <v>20</v>
      </c>
      <c r="H28" s="15">
        <v>408.2</v>
      </c>
      <c r="I28" s="15">
        <v>18</v>
      </c>
      <c r="J28" s="15">
        <v>345.6</v>
      </c>
      <c r="K28" s="15">
        <v>24</v>
      </c>
      <c r="L28" s="15">
        <v>455.1</v>
      </c>
      <c r="M28" s="15">
        <v>13</v>
      </c>
      <c r="N28" s="15">
        <v>246.5</v>
      </c>
      <c r="O28" s="15"/>
    </row>
    <row r="29" spans="1:15" x14ac:dyDescent="0.2">
      <c r="E29" s="80"/>
      <c r="F29" s="47">
        <v>10930</v>
      </c>
      <c r="G29" s="15">
        <v>25</v>
      </c>
      <c r="H29" s="15">
        <v>237.3</v>
      </c>
      <c r="I29" s="15">
        <v>24</v>
      </c>
      <c r="J29" s="15">
        <v>232.4</v>
      </c>
      <c r="K29" s="15">
        <v>18</v>
      </c>
      <c r="L29" s="15">
        <v>174</v>
      </c>
      <c r="M29" s="15">
        <v>31</v>
      </c>
      <c r="N29" s="15">
        <v>299.7</v>
      </c>
      <c r="O29" s="15"/>
    </row>
    <row r="30" spans="1:15" x14ac:dyDescent="0.2">
      <c r="E30" s="80"/>
      <c r="F30" s="47">
        <v>10940</v>
      </c>
      <c r="G30" s="15">
        <v>299</v>
      </c>
      <c r="H30" s="15">
        <v>587.1</v>
      </c>
      <c r="I30" s="15">
        <v>301</v>
      </c>
      <c r="J30" s="15">
        <v>580.5</v>
      </c>
      <c r="K30" s="15">
        <v>314</v>
      </c>
      <c r="L30" s="15">
        <v>591.29999999999995</v>
      </c>
      <c r="M30" s="15">
        <v>319</v>
      </c>
      <c r="N30" s="15">
        <v>600.79999999999995</v>
      </c>
      <c r="O30" s="15"/>
    </row>
    <row r="31" spans="1:15" x14ac:dyDescent="0.2">
      <c r="E31" s="80"/>
      <c r="F31" s="47">
        <v>10941</v>
      </c>
      <c r="G31" s="15">
        <v>44</v>
      </c>
      <c r="H31" s="15">
        <v>305.2</v>
      </c>
      <c r="I31" s="15">
        <v>72</v>
      </c>
      <c r="J31" s="15">
        <v>496.5</v>
      </c>
      <c r="K31" s="15">
        <v>63</v>
      </c>
      <c r="L31" s="15">
        <v>426.8</v>
      </c>
      <c r="M31" s="15">
        <v>48</v>
      </c>
      <c r="N31" s="15">
        <v>325.2</v>
      </c>
      <c r="O31" s="15"/>
    </row>
    <row r="32" spans="1:15" x14ac:dyDescent="0.2">
      <c r="E32" s="80"/>
      <c r="F32" s="47">
        <v>10950</v>
      </c>
      <c r="G32" s="15">
        <v>78</v>
      </c>
      <c r="H32" s="15">
        <v>126.9</v>
      </c>
      <c r="I32" s="15">
        <v>93</v>
      </c>
      <c r="J32" s="15">
        <v>147.6</v>
      </c>
      <c r="K32" s="15">
        <v>95</v>
      </c>
      <c r="L32" s="15">
        <v>145.30000000000001</v>
      </c>
      <c r="M32" s="15">
        <v>94</v>
      </c>
      <c r="N32" s="15">
        <v>143.80000000000001</v>
      </c>
      <c r="O32" s="15"/>
    </row>
    <row r="33" spans="5:15" x14ac:dyDescent="0.2">
      <c r="E33" s="80"/>
      <c r="F33" s="47">
        <v>10990</v>
      </c>
      <c r="G33" s="15">
        <v>32</v>
      </c>
      <c r="H33" s="15">
        <v>152.19999999999999</v>
      </c>
      <c r="I33" s="15">
        <v>25</v>
      </c>
      <c r="J33" s="15">
        <v>121.8</v>
      </c>
      <c r="K33" s="15">
        <v>27</v>
      </c>
      <c r="L33" s="15">
        <v>132.5</v>
      </c>
      <c r="M33" s="15">
        <v>32</v>
      </c>
      <c r="N33" s="15">
        <v>157.1</v>
      </c>
      <c r="O33" s="15"/>
    </row>
    <row r="34" spans="5:15" x14ac:dyDescent="0.2">
      <c r="E34" s="80"/>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80"/>
      <c r="F35" s="47">
        <v>12549</v>
      </c>
      <c r="G35" s="15">
        <v>14</v>
      </c>
      <c r="H35" s="15">
        <v>130.19999999999999</v>
      </c>
      <c r="I35" s="17">
        <v>21</v>
      </c>
      <c r="J35" s="15">
        <v>197.5</v>
      </c>
      <c r="K35" s="15">
        <v>31</v>
      </c>
      <c r="L35" s="15">
        <v>284.5</v>
      </c>
      <c r="M35" s="15">
        <v>14</v>
      </c>
      <c r="N35" s="15">
        <v>128.5</v>
      </c>
      <c r="O35" s="15"/>
    </row>
    <row r="36" spans="5:15" x14ac:dyDescent="0.2">
      <c r="E36" s="80"/>
      <c r="F36" s="47">
        <v>12550</v>
      </c>
      <c r="G36" s="15">
        <v>443</v>
      </c>
      <c r="H36" s="15">
        <v>797.3</v>
      </c>
      <c r="I36" s="17">
        <v>389</v>
      </c>
      <c r="J36" s="15">
        <v>702.1</v>
      </c>
      <c r="K36" s="15">
        <v>405</v>
      </c>
      <c r="L36" s="15">
        <v>736.4</v>
      </c>
      <c r="M36" s="15">
        <v>336</v>
      </c>
      <c r="N36" s="15">
        <v>611</v>
      </c>
      <c r="O36" s="15"/>
    </row>
    <row r="37" spans="5:15" x14ac:dyDescent="0.2">
      <c r="E37" s="80"/>
      <c r="F37" s="47">
        <v>12553</v>
      </c>
      <c r="G37" s="15">
        <v>109</v>
      </c>
      <c r="H37" s="15">
        <v>406.6</v>
      </c>
      <c r="I37" s="17">
        <v>99</v>
      </c>
      <c r="J37" s="15">
        <v>361.2</v>
      </c>
      <c r="K37" s="15">
        <v>116</v>
      </c>
      <c r="L37" s="15">
        <v>424.9</v>
      </c>
      <c r="M37" s="15">
        <v>95</v>
      </c>
      <c r="N37" s="15">
        <v>348</v>
      </c>
      <c r="O37" s="15"/>
    </row>
    <row r="38" spans="5:15" x14ac:dyDescent="0.2">
      <c r="E38" s="80"/>
      <c r="F38" s="47">
        <v>12566</v>
      </c>
      <c r="G38" s="15">
        <v>15</v>
      </c>
      <c r="H38" s="15">
        <v>115.1</v>
      </c>
      <c r="I38" s="17">
        <v>10</v>
      </c>
      <c r="J38" s="15">
        <v>80.599999999999994</v>
      </c>
      <c r="K38" s="15">
        <v>10</v>
      </c>
      <c r="L38" s="15">
        <v>85.3</v>
      </c>
      <c r="M38" s="15" t="s">
        <v>1031</v>
      </c>
      <c r="N38" s="15" t="s">
        <v>1031</v>
      </c>
      <c r="O38" s="15"/>
    </row>
    <row r="39" spans="5:15" x14ac:dyDescent="0.2">
      <c r="E39" s="80"/>
      <c r="F39" s="47">
        <v>12586</v>
      </c>
      <c r="G39" s="15">
        <v>27</v>
      </c>
      <c r="H39" s="15">
        <v>222.3</v>
      </c>
      <c r="I39" s="15">
        <v>33</v>
      </c>
      <c r="J39" s="15">
        <v>257.8</v>
      </c>
      <c r="K39" s="15">
        <v>49</v>
      </c>
      <c r="L39" s="15">
        <v>380.6</v>
      </c>
      <c r="M39" s="15">
        <v>43</v>
      </c>
      <c r="N39" s="15">
        <v>334</v>
      </c>
      <c r="O39" s="15"/>
    </row>
    <row r="40" spans="5:15" x14ac:dyDescent="0.2">
      <c r="E40" s="80"/>
      <c r="F40" s="47">
        <v>12771</v>
      </c>
      <c r="G40" s="15">
        <v>38</v>
      </c>
      <c r="H40" s="15">
        <v>256.10000000000002</v>
      </c>
      <c r="I40" s="15">
        <v>43</v>
      </c>
      <c r="J40" s="15">
        <v>297.5</v>
      </c>
      <c r="K40" s="15">
        <v>47</v>
      </c>
      <c r="L40" s="15">
        <v>327.60000000000002</v>
      </c>
      <c r="M40" s="15">
        <v>47</v>
      </c>
      <c r="N40" s="15">
        <v>327.60000000000002</v>
      </c>
      <c r="O40" s="15"/>
    </row>
    <row r="41" spans="5:15" x14ac:dyDescent="0.2">
      <c r="E41" s="80"/>
    </row>
    <row r="42" spans="5:15" x14ac:dyDescent="0.2">
      <c r="E42" s="80"/>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tbl-chlamydia-aar</v>
      </c>
    </row>
    <row r="4" spans="1:17" x14ac:dyDescent="0.2">
      <c r="A4" s="16" t="s">
        <v>7</v>
      </c>
      <c r="B4" t="str">
        <f>IF($B$1="","",_xlfn.XLOOKUP($B$1,Master!$F$2:$F$321,Master!$H$2:$H$321,""))</f>
        <v>fig-chlamydia-aar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373.3</v>
      </c>
      <c r="H6" s="15">
        <v>361.3</v>
      </c>
      <c r="I6" s="15">
        <v>340.4</v>
      </c>
      <c r="J6" s="15">
        <v>374.8</v>
      </c>
      <c r="K6" s="15"/>
      <c r="L6" s="15"/>
      <c r="M6" s="15"/>
      <c r="N6" s="15"/>
      <c r="O6" s="15"/>
    </row>
    <row r="7" spans="1:17" ht="15.75" customHeight="1" x14ac:dyDescent="0.2">
      <c r="E7" s="80"/>
      <c r="F7" t="s">
        <v>1645</v>
      </c>
      <c r="G7" s="15">
        <v>330.8</v>
      </c>
      <c r="H7" s="15">
        <v>345.8</v>
      </c>
      <c r="I7" s="15">
        <v>359.8</v>
      </c>
      <c r="J7" s="15">
        <v>386.9</v>
      </c>
      <c r="K7" s="15"/>
      <c r="L7" s="15"/>
      <c r="M7" s="15"/>
      <c r="N7" s="15"/>
      <c r="O7" s="15"/>
    </row>
    <row r="8" spans="1:17" x14ac:dyDescent="0.2">
      <c r="E8" s="80"/>
      <c r="F8" t="s">
        <v>1298</v>
      </c>
      <c r="G8" s="15">
        <v>394.2</v>
      </c>
      <c r="H8" s="15">
        <v>374.2</v>
      </c>
      <c r="I8" s="15">
        <v>372.5</v>
      </c>
      <c r="J8" s="15">
        <v>403.7</v>
      </c>
      <c r="K8" s="15"/>
      <c r="L8" s="15"/>
      <c r="M8" s="15"/>
      <c r="N8" s="15"/>
      <c r="O8" s="15"/>
    </row>
    <row r="9" spans="1:17" x14ac:dyDescent="0.2">
      <c r="A9" s="84" t="s">
        <v>1098</v>
      </c>
      <c r="B9" s="80"/>
      <c r="E9" s="80"/>
      <c r="F9" t="s">
        <v>1299</v>
      </c>
      <c r="G9" s="15">
        <v>529.6</v>
      </c>
      <c r="H9" s="15">
        <v>546</v>
      </c>
      <c r="I9" s="15">
        <v>553.4</v>
      </c>
      <c r="J9" s="15">
        <v>595.29999999999995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1841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tbl-chlamydia-rande</v>
      </c>
    </row>
    <row r="4" spans="1:17" x14ac:dyDescent="0.2">
      <c r="A4" s="16" t="s">
        <v>7</v>
      </c>
      <c r="B4" t="str">
        <f>IF($B$1="","",_xlfn.XLOOKUP($B$1,Master!$F$2:$F$321,Master!$H$2:$H$321,""))</f>
        <v>fig-chlamydia-rande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1289</v>
      </c>
      <c r="G5">
        <v>2021</v>
      </c>
      <c r="H5">
        <v>2022</v>
      </c>
      <c r="I5">
        <v>2023</v>
      </c>
      <c r="J5">
        <v>2024</v>
      </c>
    </row>
    <row r="6" spans="1:17" ht="15" customHeight="1" x14ac:dyDescent="0.2">
      <c r="A6" t="s">
        <v>1088</v>
      </c>
      <c r="B6" t="b">
        <v>0</v>
      </c>
      <c r="E6" s="80"/>
      <c r="F6" t="s">
        <v>1828</v>
      </c>
      <c r="G6" s="15">
        <v>80.7</v>
      </c>
      <c r="H6" s="15">
        <v>92.3</v>
      </c>
      <c r="I6" s="15">
        <v>90.3</v>
      </c>
      <c r="J6" s="15">
        <v>94.1</v>
      </c>
      <c r="K6" s="15"/>
      <c r="L6" s="15"/>
      <c r="M6" s="15"/>
      <c r="N6" s="15"/>
      <c r="O6" s="15"/>
    </row>
    <row r="7" spans="1:17" ht="15.75" customHeight="1" x14ac:dyDescent="0.2">
      <c r="E7" s="80"/>
      <c r="F7" t="s">
        <v>1829</v>
      </c>
      <c r="G7" s="15">
        <v>699.8</v>
      </c>
      <c r="H7" s="15">
        <v>574.6</v>
      </c>
      <c r="I7" s="15">
        <v>701.5</v>
      </c>
      <c r="J7" s="15">
        <v>696.8</v>
      </c>
      <c r="K7" s="15"/>
      <c r="L7" s="15"/>
      <c r="M7" s="15"/>
      <c r="N7" s="15"/>
      <c r="O7" s="15"/>
    </row>
    <row r="8" spans="1:17" x14ac:dyDescent="0.2">
      <c r="E8" s="80"/>
      <c r="F8" t="s">
        <v>1830</v>
      </c>
      <c r="G8" s="15">
        <v>453.5</v>
      </c>
      <c r="H8" s="15">
        <v>478.2</v>
      </c>
      <c r="I8" s="15">
        <v>522.4</v>
      </c>
      <c r="J8" s="15">
        <v>563</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1833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tbl-gonorrhea-count-rate-sex-rande-age-zip</v>
      </c>
    </row>
    <row r="4" spans="1:17" x14ac:dyDescent="0.2">
      <c r="A4" s="16" t="s">
        <v>7</v>
      </c>
      <c r="B4" t="str">
        <f>IF($B$1="","",_xlfn.XLOOKUP($B$1,Master!$F$2:$F$321,Master!$H$2:$H$321,""))</f>
        <v>fig-gonorrhea-count-rate-sex-rande-age-zip</v>
      </c>
      <c r="E4" s="8"/>
      <c r="F4" s="10" t="s">
        <v>968</v>
      </c>
      <c r="G4" s="10" t="s">
        <v>968</v>
      </c>
      <c r="H4" s="10" t="s">
        <v>979</v>
      </c>
      <c r="I4" s="10" t="s">
        <v>968</v>
      </c>
      <c r="J4" s="10" t="s">
        <v>979</v>
      </c>
      <c r="K4" s="10" t="s">
        <v>968</v>
      </c>
      <c r="L4" s="10" t="s">
        <v>979</v>
      </c>
      <c r="M4" s="10" t="s">
        <v>968</v>
      </c>
      <c r="N4" s="10" t="s">
        <v>979</v>
      </c>
      <c r="O4" s="10"/>
      <c r="P4" s="10"/>
      <c r="Q4" s="10"/>
    </row>
    <row r="5" spans="1:17" x14ac:dyDescent="0.2">
      <c r="A5" s="84" t="s">
        <v>1081</v>
      </c>
      <c r="B5" s="80"/>
      <c r="E5" s="83" t="s">
        <v>1082</v>
      </c>
      <c r="G5" s="82">
        <v>2020</v>
      </c>
      <c r="H5" s="80"/>
      <c r="I5" s="82">
        <v>2021</v>
      </c>
      <c r="J5" s="80"/>
      <c r="K5" s="82">
        <v>2022</v>
      </c>
      <c r="L5" s="80"/>
      <c r="M5" s="82">
        <v>2023</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c r="P6" s="15"/>
    </row>
    <row r="7" spans="1:17" ht="15.75" customHeight="1" x14ac:dyDescent="0.2">
      <c r="E7" s="80"/>
      <c r="F7" t="s">
        <v>1089</v>
      </c>
      <c r="G7">
        <v>334</v>
      </c>
      <c r="H7">
        <v>83.9</v>
      </c>
      <c r="I7">
        <v>293</v>
      </c>
      <c r="J7">
        <v>73</v>
      </c>
      <c r="K7">
        <v>354</v>
      </c>
      <c r="L7">
        <v>87.7</v>
      </c>
      <c r="M7">
        <v>329</v>
      </c>
      <c r="N7">
        <v>81.5</v>
      </c>
      <c r="O7" s="15"/>
    </row>
    <row r="8" spans="1:17" x14ac:dyDescent="0.2">
      <c r="E8" s="80"/>
      <c r="F8" s="92" t="s">
        <v>1086</v>
      </c>
      <c r="G8" s="80"/>
      <c r="H8" s="80"/>
      <c r="I8" s="80"/>
      <c r="J8" s="80"/>
      <c r="K8" s="80"/>
      <c r="L8" s="80"/>
      <c r="M8" s="80"/>
      <c r="N8" s="80"/>
    </row>
    <row r="9" spans="1:17" x14ac:dyDescent="0.2">
      <c r="A9" s="84" t="s">
        <v>1098</v>
      </c>
      <c r="B9" s="80"/>
      <c r="E9" s="80"/>
      <c r="F9" s="49" t="s">
        <v>1094</v>
      </c>
      <c r="G9">
        <v>182</v>
      </c>
      <c r="H9">
        <v>90.8</v>
      </c>
      <c r="I9">
        <v>179</v>
      </c>
      <c r="J9">
        <v>89.2</v>
      </c>
      <c r="K9">
        <v>222</v>
      </c>
      <c r="L9">
        <v>110.2</v>
      </c>
      <c r="M9">
        <v>209</v>
      </c>
      <c r="N9">
        <v>103.7</v>
      </c>
      <c r="O9" s="15"/>
    </row>
    <row r="10" spans="1:17" x14ac:dyDescent="0.2">
      <c r="A10" t="s">
        <v>1100</v>
      </c>
      <c r="E10" s="80"/>
      <c r="F10" s="49" t="s">
        <v>1095</v>
      </c>
      <c r="G10">
        <v>152</v>
      </c>
      <c r="H10">
        <v>76.900000000000006</v>
      </c>
      <c r="I10">
        <v>114</v>
      </c>
      <c r="J10">
        <v>56.9</v>
      </c>
      <c r="K10">
        <v>132</v>
      </c>
      <c r="L10">
        <v>65.2</v>
      </c>
      <c r="M10">
        <v>120</v>
      </c>
      <c r="N10">
        <v>59.3</v>
      </c>
      <c r="O10" s="15"/>
    </row>
    <row r="11" spans="1:17" x14ac:dyDescent="0.2">
      <c r="A11" t="s">
        <v>1102</v>
      </c>
      <c r="E11" s="80"/>
      <c r="F11" s="92" t="s">
        <v>1289</v>
      </c>
      <c r="G11" s="80"/>
      <c r="H11" s="80"/>
      <c r="I11" s="80"/>
      <c r="J11" s="80"/>
      <c r="K11" s="80"/>
      <c r="L11" s="80"/>
      <c r="M11" s="80"/>
      <c r="N11" s="80"/>
    </row>
    <row r="12" spans="1:17" x14ac:dyDescent="0.2">
      <c r="A12" t="s">
        <v>1104</v>
      </c>
      <c r="E12" s="80"/>
      <c r="F12" s="48" t="s">
        <v>1828</v>
      </c>
      <c r="G12">
        <v>54</v>
      </c>
      <c r="H12">
        <v>21.8</v>
      </c>
      <c r="I12">
        <v>61</v>
      </c>
      <c r="J12">
        <v>25.1</v>
      </c>
      <c r="K12">
        <v>62</v>
      </c>
      <c r="L12">
        <v>25.9</v>
      </c>
      <c r="M12">
        <v>54</v>
      </c>
      <c r="N12">
        <v>22.6</v>
      </c>
    </row>
    <row r="13" spans="1:17" x14ac:dyDescent="0.2">
      <c r="A13" t="s">
        <v>1108</v>
      </c>
      <c r="E13" s="80"/>
      <c r="F13" s="47" t="s">
        <v>1829</v>
      </c>
      <c r="G13">
        <v>126</v>
      </c>
      <c r="H13">
        <v>317.2</v>
      </c>
      <c r="I13">
        <v>106</v>
      </c>
      <c r="J13">
        <v>252.7</v>
      </c>
      <c r="K13">
        <v>127</v>
      </c>
      <c r="L13">
        <v>299</v>
      </c>
      <c r="M13">
        <v>139</v>
      </c>
      <c r="N13">
        <v>327.2</v>
      </c>
    </row>
    <row r="14" spans="1:17" x14ac:dyDescent="0.2">
      <c r="A14" t="s">
        <v>1112</v>
      </c>
      <c r="E14" s="80"/>
      <c r="F14" s="47" t="s">
        <v>1830</v>
      </c>
      <c r="G14">
        <v>79</v>
      </c>
      <c r="H14">
        <v>92.6</v>
      </c>
      <c r="I14">
        <v>64</v>
      </c>
      <c r="J14">
        <v>71.5</v>
      </c>
      <c r="K14">
        <v>94</v>
      </c>
      <c r="L14">
        <v>100.4</v>
      </c>
      <c r="M14">
        <v>77</v>
      </c>
      <c r="N14">
        <v>82.3</v>
      </c>
    </row>
    <row r="15" spans="1:17" x14ac:dyDescent="0.2">
      <c r="A15" t="s">
        <v>1114</v>
      </c>
      <c r="E15" s="80"/>
      <c r="F15" s="82" t="s">
        <v>1085</v>
      </c>
      <c r="G15" s="80"/>
      <c r="H15" s="80"/>
      <c r="I15" s="80"/>
      <c r="J15" s="80"/>
      <c r="K15" s="80"/>
      <c r="L15" s="80"/>
      <c r="M15" s="80"/>
      <c r="N15" s="80"/>
    </row>
    <row r="16" spans="1:17" x14ac:dyDescent="0.2">
      <c r="A16" t="s">
        <v>1116</v>
      </c>
      <c r="E16" s="80"/>
      <c r="F16" s="47" t="s">
        <v>1831</v>
      </c>
      <c r="G16" t="s">
        <v>1031</v>
      </c>
      <c r="H16" t="s">
        <v>1031</v>
      </c>
      <c r="I16" t="s">
        <v>1031</v>
      </c>
      <c r="J16" t="s">
        <v>1031</v>
      </c>
      <c r="K16">
        <v>0</v>
      </c>
      <c r="L16">
        <v>0</v>
      </c>
      <c r="M16" t="s">
        <v>1031</v>
      </c>
      <c r="N16" t="s">
        <v>1031</v>
      </c>
    </row>
    <row r="17" spans="1:14" x14ac:dyDescent="0.2">
      <c r="E17" s="80"/>
      <c r="F17" s="47" t="s">
        <v>1832</v>
      </c>
      <c r="G17">
        <v>51</v>
      </c>
      <c r="H17">
        <v>167.6</v>
      </c>
      <c r="I17">
        <v>54</v>
      </c>
      <c r="J17">
        <v>170.5</v>
      </c>
      <c r="K17">
        <v>44</v>
      </c>
      <c r="L17">
        <v>139.4</v>
      </c>
      <c r="M17">
        <v>35</v>
      </c>
      <c r="N17">
        <v>110.9</v>
      </c>
    </row>
    <row r="18" spans="1:14" x14ac:dyDescent="0.2">
      <c r="A18" s="84" t="s">
        <v>1119</v>
      </c>
      <c r="B18" s="80"/>
      <c r="E18" s="80"/>
      <c r="F18" s="47" t="s">
        <v>1701</v>
      </c>
      <c r="G18">
        <v>112</v>
      </c>
      <c r="H18">
        <v>383.8</v>
      </c>
      <c r="I18">
        <v>78</v>
      </c>
      <c r="J18">
        <v>263</v>
      </c>
      <c r="K18">
        <v>86</v>
      </c>
      <c r="L18">
        <v>300</v>
      </c>
      <c r="M18">
        <v>83</v>
      </c>
      <c r="N18">
        <v>289.5</v>
      </c>
    </row>
    <row r="19" spans="1:14" x14ac:dyDescent="0.2">
      <c r="A19" t="s">
        <v>1121</v>
      </c>
      <c r="B19" t="s">
        <v>1833</v>
      </c>
      <c r="E19" s="80"/>
      <c r="F19" s="47" t="s">
        <v>1834</v>
      </c>
      <c r="G19">
        <v>69</v>
      </c>
      <c r="H19">
        <v>291.8</v>
      </c>
      <c r="I19">
        <v>57</v>
      </c>
      <c r="J19">
        <v>238.2</v>
      </c>
      <c r="K19">
        <v>54</v>
      </c>
      <c r="L19">
        <v>225.1</v>
      </c>
      <c r="M19">
        <v>64</v>
      </c>
      <c r="N19">
        <v>266.8</v>
      </c>
    </row>
    <row r="20" spans="1:14" x14ac:dyDescent="0.2">
      <c r="E20" s="80"/>
      <c r="F20" s="47" t="s">
        <v>1835</v>
      </c>
      <c r="G20">
        <v>50</v>
      </c>
      <c r="H20">
        <v>217.8</v>
      </c>
      <c r="I20">
        <v>45</v>
      </c>
      <c r="J20">
        <v>191.8</v>
      </c>
      <c r="K20">
        <v>59</v>
      </c>
      <c r="L20">
        <v>246.6</v>
      </c>
      <c r="M20">
        <v>39</v>
      </c>
      <c r="N20">
        <v>163</v>
      </c>
    </row>
    <row r="21" spans="1:14" x14ac:dyDescent="0.2">
      <c r="A21" s="82" t="s">
        <v>1125</v>
      </c>
      <c r="B21" s="80"/>
      <c r="E21" s="80"/>
      <c r="F21" s="47" t="s">
        <v>1836</v>
      </c>
      <c r="G21">
        <v>23</v>
      </c>
      <c r="H21">
        <v>96.8</v>
      </c>
      <c r="I21">
        <v>24</v>
      </c>
      <c r="J21">
        <v>100.1</v>
      </c>
      <c r="K21">
        <v>45</v>
      </c>
      <c r="L21">
        <v>183.4</v>
      </c>
      <c r="M21">
        <v>39</v>
      </c>
      <c r="N21">
        <v>159</v>
      </c>
    </row>
    <row r="22" spans="1:14" x14ac:dyDescent="0.2">
      <c r="A22" t="s">
        <v>1135</v>
      </c>
      <c r="B22" t="s">
        <v>1837</v>
      </c>
      <c r="E22" s="80"/>
      <c r="F22" s="47" t="s">
        <v>1838</v>
      </c>
      <c r="G22">
        <v>15</v>
      </c>
      <c r="H22">
        <v>62.6</v>
      </c>
      <c r="I22" t="s">
        <v>1031</v>
      </c>
      <c r="J22" t="s">
        <v>1031</v>
      </c>
      <c r="K22">
        <v>24</v>
      </c>
      <c r="L22">
        <v>95.2</v>
      </c>
      <c r="M22">
        <v>29</v>
      </c>
      <c r="N22">
        <v>115</v>
      </c>
    </row>
    <row r="23" spans="1:14" x14ac:dyDescent="0.2">
      <c r="E23" s="80"/>
      <c r="F23" s="47" t="s">
        <v>1839</v>
      </c>
      <c r="G23" t="s">
        <v>1031</v>
      </c>
      <c r="H23" t="s">
        <v>1031</v>
      </c>
      <c r="I23" t="s">
        <v>1031</v>
      </c>
      <c r="J23" t="s">
        <v>1031</v>
      </c>
      <c r="K23">
        <v>14</v>
      </c>
      <c r="L23">
        <v>57</v>
      </c>
      <c r="M23">
        <v>14</v>
      </c>
      <c r="N23">
        <v>57</v>
      </c>
    </row>
    <row r="24" spans="1:14" x14ac:dyDescent="0.2">
      <c r="E24" s="80"/>
      <c r="F24" s="47" t="s">
        <v>1840</v>
      </c>
      <c r="G24" t="s">
        <v>1031</v>
      </c>
      <c r="H24" t="s">
        <v>1031</v>
      </c>
      <c r="I24">
        <v>20</v>
      </c>
      <c r="J24">
        <v>14.8</v>
      </c>
      <c r="K24">
        <v>28</v>
      </c>
      <c r="L24">
        <v>20.5</v>
      </c>
      <c r="M24">
        <v>25</v>
      </c>
      <c r="N24">
        <v>18.3</v>
      </c>
    </row>
    <row r="25" spans="1:14" x14ac:dyDescent="0.2">
      <c r="E25" s="80"/>
      <c r="F25" s="92" t="s">
        <v>1294</v>
      </c>
      <c r="G25" s="80"/>
      <c r="H25" s="80"/>
      <c r="I25" s="80"/>
      <c r="J25" s="80"/>
      <c r="K25" s="80"/>
      <c r="L25" s="80"/>
      <c r="M25" s="80"/>
      <c r="N25" s="80"/>
    </row>
    <row r="26" spans="1:14" x14ac:dyDescent="0.2">
      <c r="E26" s="80"/>
      <c r="F26" s="47">
        <v>10924</v>
      </c>
      <c r="G26" t="s">
        <v>1031</v>
      </c>
      <c r="H26" t="s">
        <v>1031</v>
      </c>
      <c r="I26" t="s">
        <v>1031</v>
      </c>
      <c r="J26" t="s">
        <v>1031</v>
      </c>
      <c r="K26">
        <v>15</v>
      </c>
      <c r="L26">
        <v>110.2</v>
      </c>
      <c r="M26" t="s">
        <v>1031</v>
      </c>
      <c r="N26" t="s">
        <v>1031</v>
      </c>
    </row>
    <row r="27" spans="1:14" x14ac:dyDescent="0.2">
      <c r="A27" s="82"/>
      <c r="B27" s="80"/>
      <c r="E27" s="80"/>
      <c r="F27" s="47">
        <v>10940</v>
      </c>
      <c r="G27">
        <v>73</v>
      </c>
      <c r="H27">
        <v>143.30000000000001</v>
      </c>
      <c r="I27">
        <v>70</v>
      </c>
      <c r="J27">
        <v>135</v>
      </c>
      <c r="K27">
        <v>66</v>
      </c>
      <c r="L27">
        <v>124.3</v>
      </c>
      <c r="M27">
        <v>87</v>
      </c>
      <c r="N27">
        <v>163.80000000000001</v>
      </c>
    </row>
    <row r="28" spans="1:14" x14ac:dyDescent="0.2">
      <c r="E28" s="80"/>
      <c r="F28" s="47">
        <v>10950</v>
      </c>
      <c r="G28" t="s">
        <v>1031</v>
      </c>
      <c r="H28" t="s">
        <v>1031</v>
      </c>
      <c r="I28">
        <v>17</v>
      </c>
      <c r="J28">
        <v>27</v>
      </c>
      <c r="K28">
        <v>14</v>
      </c>
      <c r="L28">
        <v>21.4</v>
      </c>
      <c r="M28">
        <v>14</v>
      </c>
      <c r="N28">
        <v>21.4</v>
      </c>
    </row>
    <row r="29" spans="1:14" x14ac:dyDescent="0.2">
      <c r="E29" s="80"/>
      <c r="F29" s="47">
        <v>10941</v>
      </c>
      <c r="G29">
        <v>11</v>
      </c>
      <c r="H29">
        <v>76.3</v>
      </c>
      <c r="I29">
        <v>19</v>
      </c>
      <c r="J29">
        <v>131</v>
      </c>
      <c r="K29">
        <v>12</v>
      </c>
      <c r="L29">
        <v>81.3</v>
      </c>
      <c r="M29">
        <v>16</v>
      </c>
      <c r="N29">
        <v>108.4</v>
      </c>
    </row>
    <row r="30" spans="1:14" x14ac:dyDescent="0.2">
      <c r="E30" s="80"/>
      <c r="F30" s="47">
        <v>12550</v>
      </c>
      <c r="G30">
        <v>121</v>
      </c>
      <c r="H30">
        <v>217.8</v>
      </c>
      <c r="I30">
        <v>89</v>
      </c>
      <c r="J30">
        <v>160.6</v>
      </c>
      <c r="K30">
        <v>129</v>
      </c>
      <c r="L30">
        <v>234.6</v>
      </c>
      <c r="M30">
        <v>91</v>
      </c>
      <c r="N30">
        <v>165.5</v>
      </c>
    </row>
    <row r="31" spans="1:14" x14ac:dyDescent="0.2">
      <c r="E31" s="80"/>
      <c r="F31" s="47">
        <v>12553</v>
      </c>
      <c r="G31">
        <v>26</v>
      </c>
      <c r="H31">
        <v>97</v>
      </c>
      <c r="I31">
        <v>25</v>
      </c>
      <c r="J31">
        <v>91.2</v>
      </c>
      <c r="K31">
        <v>28</v>
      </c>
      <c r="L31">
        <v>102.6</v>
      </c>
      <c r="M31">
        <v>28</v>
      </c>
      <c r="N31">
        <v>102.6</v>
      </c>
    </row>
    <row r="32" spans="1:14" x14ac:dyDescent="0.2">
      <c r="E32" s="80"/>
      <c r="F32" s="47">
        <v>12771</v>
      </c>
      <c r="G32" s="15">
        <v>13</v>
      </c>
      <c r="H32" s="15">
        <v>87.6</v>
      </c>
      <c r="I32">
        <v>11</v>
      </c>
      <c r="J32">
        <v>76.099999999999994</v>
      </c>
      <c r="K32">
        <v>11</v>
      </c>
      <c r="L32">
        <v>76.7</v>
      </c>
      <c r="M32" t="s">
        <v>1031</v>
      </c>
      <c r="N32" t="s">
        <v>1031</v>
      </c>
    </row>
    <row r="33" spans="5:9" x14ac:dyDescent="0.2">
      <c r="E33" s="80"/>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tbl-gonorrhea-aar</v>
      </c>
    </row>
    <row r="4" spans="1:17" x14ac:dyDescent="0.2">
      <c r="A4" s="16" t="s">
        <v>7</v>
      </c>
      <c r="B4" t="str">
        <f>IF($B$1="","",_xlfn.XLOOKUP($B$1,Master!$F$2:$F$321,Master!$H$2:$H$321,""))</f>
        <v>fig-gonorrhea-aar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109.3</v>
      </c>
      <c r="H6" s="15">
        <v>86.5</v>
      </c>
      <c r="I6" s="15">
        <v>74.2</v>
      </c>
      <c r="J6" s="15">
        <v>93.7</v>
      </c>
      <c r="K6" s="15"/>
      <c r="L6" s="15"/>
      <c r="M6" s="15"/>
      <c r="N6" s="15"/>
      <c r="O6" s="15"/>
    </row>
    <row r="7" spans="1:17" ht="15.75" customHeight="1" x14ac:dyDescent="0.2">
      <c r="E7" s="80"/>
      <c r="F7" t="s">
        <v>1645</v>
      </c>
      <c r="G7" s="15">
        <v>100.5</v>
      </c>
      <c r="H7" s="15">
        <v>92.3</v>
      </c>
      <c r="I7" s="15">
        <v>85.9</v>
      </c>
      <c r="J7" s="15">
        <v>96.3</v>
      </c>
      <c r="K7" s="15"/>
      <c r="L7" s="15"/>
      <c r="M7" s="15"/>
      <c r="N7" s="15"/>
      <c r="O7" s="15"/>
    </row>
    <row r="8" spans="1:17" x14ac:dyDescent="0.2">
      <c r="E8" s="80"/>
      <c r="F8" t="s">
        <v>1298</v>
      </c>
      <c r="G8" s="15">
        <v>168.8</v>
      </c>
      <c r="H8" s="15">
        <v>142.6</v>
      </c>
      <c r="I8" s="15">
        <v>134.30000000000001</v>
      </c>
      <c r="J8" s="15">
        <v>131.5</v>
      </c>
      <c r="K8" s="15"/>
      <c r="L8" s="15"/>
      <c r="M8" s="15"/>
      <c r="N8" s="15"/>
      <c r="O8" s="15"/>
    </row>
    <row r="9" spans="1:17" x14ac:dyDescent="0.2">
      <c r="A9" s="84" t="s">
        <v>1098</v>
      </c>
      <c r="B9" s="80"/>
      <c r="E9" s="80"/>
      <c r="F9" t="s">
        <v>1299</v>
      </c>
      <c r="G9" s="15">
        <v>228.3</v>
      </c>
      <c r="H9" s="15">
        <v>228.8</v>
      </c>
      <c r="I9" s="15">
        <v>230.9</v>
      </c>
      <c r="J9" s="15">
        <v>249.8</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1841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tbl-gonorrhea-rande</v>
      </c>
    </row>
    <row r="4" spans="1:17" x14ac:dyDescent="0.2">
      <c r="A4" s="16" t="s">
        <v>7</v>
      </c>
      <c r="B4" t="str">
        <f>IF($B$1="","",_xlfn.XLOOKUP($B$1,Master!$F$2:$F$321,Master!$H$2:$H$321,""))</f>
        <v>fig-gonorrhea-rande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1289</v>
      </c>
      <c r="G5">
        <v>2021</v>
      </c>
      <c r="H5">
        <v>2022</v>
      </c>
      <c r="I5">
        <v>2023</v>
      </c>
      <c r="J5">
        <v>2024</v>
      </c>
    </row>
    <row r="6" spans="1:17" ht="15" customHeight="1" x14ac:dyDescent="0.2">
      <c r="A6" t="s">
        <v>1088</v>
      </c>
      <c r="B6" t="b">
        <v>0</v>
      </c>
      <c r="E6" s="80"/>
      <c r="F6" t="s">
        <v>1828</v>
      </c>
      <c r="G6" s="15">
        <v>21.8</v>
      </c>
      <c r="H6" s="15">
        <v>25.1</v>
      </c>
      <c r="I6" s="15">
        <v>25.9</v>
      </c>
      <c r="J6" s="15">
        <v>22.6</v>
      </c>
      <c r="K6" s="15"/>
      <c r="L6" s="15"/>
      <c r="M6" s="15"/>
      <c r="N6" s="15"/>
      <c r="O6" s="15"/>
    </row>
    <row r="7" spans="1:17" ht="15.75" customHeight="1" x14ac:dyDescent="0.2">
      <c r="E7" s="80"/>
      <c r="F7" t="s">
        <v>1829</v>
      </c>
      <c r="G7" s="15">
        <v>317.2</v>
      </c>
      <c r="H7" s="15">
        <v>252.7</v>
      </c>
      <c r="I7" s="15">
        <v>299</v>
      </c>
      <c r="J7" s="15">
        <v>327.2</v>
      </c>
      <c r="K7" s="15"/>
      <c r="L7" s="15"/>
      <c r="M7" s="15"/>
      <c r="N7" s="15"/>
      <c r="O7" s="15"/>
    </row>
    <row r="8" spans="1:17" x14ac:dyDescent="0.2">
      <c r="E8" s="80"/>
      <c r="F8" t="s">
        <v>1830</v>
      </c>
      <c r="G8" s="15">
        <v>92.6</v>
      </c>
      <c r="H8" s="15">
        <v>71.5</v>
      </c>
      <c r="I8" s="15">
        <v>100.4</v>
      </c>
      <c r="J8" s="15">
        <v>82.3</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1833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election activeCell="F6" sqref="F6:J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tbl-hiv-prevalence-rate-rande-age-sex</v>
      </c>
    </row>
    <row r="4" spans="1:17" x14ac:dyDescent="0.2">
      <c r="A4" s="16" t="s">
        <v>7</v>
      </c>
      <c r="B4" t="str">
        <f>IF($B$1="","",_xlfn.XLOOKUP($B$1,Master!$F$2:$F$321,Master!$H$2:$H$321,""))</f>
        <v>fig-hiv-prevalence-rate-rande-age-sex</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G5">
        <v>2021</v>
      </c>
      <c r="H5">
        <v>2022</v>
      </c>
      <c r="I5">
        <v>2023</v>
      </c>
      <c r="J5">
        <v>2024</v>
      </c>
    </row>
    <row r="6" spans="1:17" ht="15" customHeight="1" x14ac:dyDescent="0.2">
      <c r="A6" t="s">
        <v>1088</v>
      </c>
      <c r="B6" t="b">
        <v>1</v>
      </c>
      <c r="E6" s="80"/>
      <c r="F6" s="91" t="s">
        <v>1382</v>
      </c>
      <c r="G6" s="91"/>
      <c r="H6" s="91"/>
      <c r="I6" s="91"/>
      <c r="J6" s="91"/>
      <c r="K6" s="15"/>
      <c r="L6" s="15"/>
      <c r="M6" s="15"/>
      <c r="N6" s="15"/>
      <c r="O6" s="15"/>
    </row>
    <row r="7" spans="1:17" ht="15.75" customHeight="1" x14ac:dyDescent="0.2">
      <c r="E7" s="80"/>
      <c r="F7" s="56" t="s">
        <v>1095</v>
      </c>
      <c r="G7" s="15">
        <v>570.6</v>
      </c>
      <c r="H7" s="15">
        <v>592.4</v>
      </c>
      <c r="I7" s="15">
        <v>577.70000000000005</v>
      </c>
      <c r="J7" s="15">
        <v>583.6</v>
      </c>
      <c r="K7" s="15"/>
      <c r="L7" s="15"/>
      <c r="M7" s="15"/>
      <c r="N7" s="15"/>
      <c r="O7" s="15"/>
    </row>
    <row r="8" spans="1:17" x14ac:dyDescent="0.2">
      <c r="E8" s="80"/>
      <c r="F8" s="56" t="s">
        <v>1094</v>
      </c>
      <c r="G8" s="15">
        <v>772.1</v>
      </c>
      <c r="H8" s="15">
        <v>740.2</v>
      </c>
      <c r="I8" s="15">
        <v>749.3</v>
      </c>
      <c r="J8" s="15">
        <v>762.4</v>
      </c>
      <c r="K8" s="15"/>
      <c r="L8" s="15"/>
      <c r="M8" s="15"/>
      <c r="N8" s="15"/>
      <c r="O8" s="15"/>
    </row>
    <row r="9" spans="1:17" x14ac:dyDescent="0.2">
      <c r="A9" s="84" t="s">
        <v>1098</v>
      </c>
      <c r="B9" s="80"/>
      <c r="E9" s="80"/>
      <c r="F9" s="58" t="s">
        <v>1843</v>
      </c>
      <c r="G9" s="15">
        <v>116</v>
      </c>
      <c r="H9" s="15">
        <v>63.2</v>
      </c>
      <c r="I9" s="15" t="s">
        <v>1031</v>
      </c>
      <c r="J9" s="15" t="s">
        <v>1031</v>
      </c>
      <c r="K9" s="15"/>
      <c r="L9" s="15"/>
      <c r="M9" s="15"/>
      <c r="N9" s="15"/>
      <c r="O9" s="15"/>
    </row>
    <row r="10" spans="1:17" x14ac:dyDescent="0.2">
      <c r="A10" t="s">
        <v>1100</v>
      </c>
      <c r="E10" s="80"/>
      <c r="F10" s="58" t="s">
        <v>1702</v>
      </c>
      <c r="G10" s="15">
        <v>445.8</v>
      </c>
      <c r="H10" s="15">
        <v>353.1</v>
      </c>
      <c r="I10" s="15">
        <v>468.2</v>
      </c>
      <c r="J10" s="15">
        <v>544.1</v>
      </c>
    </row>
    <row r="11" spans="1:17" x14ac:dyDescent="0.2">
      <c r="A11" t="s">
        <v>1102</v>
      </c>
      <c r="E11" s="80"/>
      <c r="F11" s="58" t="s">
        <v>1703</v>
      </c>
      <c r="G11" s="15">
        <v>534.29999999999995</v>
      </c>
      <c r="H11">
        <v>534.20000000000005</v>
      </c>
      <c r="I11">
        <v>433.9</v>
      </c>
      <c r="J11">
        <v>512.1</v>
      </c>
      <c r="K11" s="17"/>
      <c r="L11" s="17"/>
      <c r="M11" s="17"/>
      <c r="N11" s="17"/>
    </row>
    <row r="12" spans="1:17" x14ac:dyDescent="0.2">
      <c r="A12" t="s">
        <v>1104</v>
      </c>
      <c r="E12" s="80"/>
      <c r="F12" s="58" t="s">
        <v>1704</v>
      </c>
      <c r="G12" s="15">
        <v>869</v>
      </c>
      <c r="H12" s="15">
        <v>860.6</v>
      </c>
      <c r="I12" s="15">
        <v>764.9</v>
      </c>
      <c r="J12" s="17">
        <v>679.4</v>
      </c>
      <c r="K12" s="15"/>
      <c r="L12" s="15"/>
    </row>
    <row r="13" spans="1:17" x14ac:dyDescent="0.2">
      <c r="A13" t="s">
        <v>1108</v>
      </c>
      <c r="E13" s="80"/>
      <c r="F13" s="59" t="s">
        <v>1705</v>
      </c>
      <c r="G13" s="17">
        <v>1263.8</v>
      </c>
      <c r="H13" s="17">
        <v>1251.7</v>
      </c>
      <c r="I13" s="15">
        <v>1276.3</v>
      </c>
      <c r="J13" s="15">
        <v>1183.8</v>
      </c>
    </row>
    <row r="14" spans="1:17" x14ac:dyDescent="0.2">
      <c r="A14" t="s">
        <v>1112</v>
      </c>
      <c r="E14" s="80"/>
      <c r="F14" s="58" t="s">
        <v>1844</v>
      </c>
      <c r="G14">
        <v>1130.4000000000001</v>
      </c>
      <c r="H14">
        <v>1305.7</v>
      </c>
      <c r="I14">
        <v>1334.5</v>
      </c>
      <c r="J14">
        <v>1379.2</v>
      </c>
    </row>
    <row r="15" spans="1:17" x14ac:dyDescent="0.2">
      <c r="A15" t="s">
        <v>1114</v>
      </c>
      <c r="E15" s="80"/>
      <c r="F15" s="91" t="s">
        <v>1381</v>
      </c>
      <c r="G15" s="91"/>
      <c r="H15" s="91"/>
      <c r="I15" s="91"/>
      <c r="J15" s="91"/>
    </row>
    <row r="16" spans="1:17" x14ac:dyDescent="0.2">
      <c r="A16" t="s">
        <v>1116</v>
      </c>
      <c r="E16" s="80"/>
      <c r="F16" s="56" t="s">
        <v>1095</v>
      </c>
      <c r="G16">
        <v>53.6</v>
      </c>
      <c r="H16">
        <v>55.8</v>
      </c>
      <c r="I16">
        <v>57.7</v>
      </c>
      <c r="J16">
        <v>52.3</v>
      </c>
    </row>
    <row r="17" spans="1:11" x14ac:dyDescent="0.2">
      <c r="E17" s="80"/>
      <c r="F17" s="56" t="s">
        <v>1094</v>
      </c>
      <c r="G17">
        <v>150</v>
      </c>
      <c r="H17">
        <v>154.6</v>
      </c>
      <c r="I17">
        <v>162.19999999999999</v>
      </c>
      <c r="J17">
        <v>168.3</v>
      </c>
    </row>
    <row r="18" spans="1:11" x14ac:dyDescent="0.2">
      <c r="A18" s="84" t="s">
        <v>1119</v>
      </c>
      <c r="B18" s="80"/>
      <c r="E18" s="80"/>
      <c r="F18" s="58" t="s">
        <v>1843</v>
      </c>
      <c r="G18">
        <v>12.2</v>
      </c>
      <c r="H18">
        <v>12.2</v>
      </c>
      <c r="I18" t="s">
        <v>1031</v>
      </c>
      <c r="J18" t="s">
        <v>1031</v>
      </c>
    </row>
    <row r="19" spans="1:11" x14ac:dyDescent="0.2">
      <c r="A19" t="s">
        <v>1121</v>
      </c>
      <c r="B19" t="s">
        <v>1833</v>
      </c>
      <c r="E19" s="80"/>
      <c r="F19" s="58" t="s">
        <v>1702</v>
      </c>
      <c r="G19">
        <v>41.2</v>
      </c>
      <c r="H19">
        <v>48.4</v>
      </c>
      <c r="I19">
        <v>68.5</v>
      </c>
      <c r="J19">
        <v>76.7</v>
      </c>
    </row>
    <row r="20" spans="1:11" x14ac:dyDescent="0.2">
      <c r="E20" s="80"/>
      <c r="F20" s="58" t="s">
        <v>1703</v>
      </c>
      <c r="G20">
        <v>78.599999999999994</v>
      </c>
      <c r="H20">
        <v>77.5</v>
      </c>
      <c r="I20">
        <v>66.7</v>
      </c>
      <c r="J20">
        <v>59.5</v>
      </c>
    </row>
    <row r="21" spans="1:11" x14ac:dyDescent="0.2">
      <c r="A21" s="82" t="s">
        <v>1125</v>
      </c>
      <c r="B21" s="80"/>
      <c r="E21" s="80"/>
      <c r="F21" s="58" t="s">
        <v>1704</v>
      </c>
      <c r="G21">
        <v>167.2</v>
      </c>
      <c r="H21">
        <v>134.5</v>
      </c>
      <c r="I21">
        <v>137.4</v>
      </c>
      <c r="J21">
        <v>149.6</v>
      </c>
    </row>
    <row r="22" spans="1:11" x14ac:dyDescent="0.2">
      <c r="A22" t="s">
        <v>1135</v>
      </c>
      <c r="B22" t="s">
        <v>1837</v>
      </c>
      <c r="E22" s="80"/>
      <c r="F22" s="59" t="s">
        <v>1705</v>
      </c>
      <c r="G22" s="15">
        <v>210</v>
      </c>
      <c r="H22" s="15">
        <v>237.6</v>
      </c>
      <c r="I22">
        <v>264.39999999999998</v>
      </c>
      <c r="J22">
        <v>241</v>
      </c>
    </row>
    <row r="23" spans="1:11" x14ac:dyDescent="0.2">
      <c r="E23" s="80"/>
      <c r="F23" s="58" t="s">
        <v>1844</v>
      </c>
      <c r="G23" s="15">
        <v>97.4</v>
      </c>
      <c r="H23" s="15">
        <v>113.4</v>
      </c>
      <c r="I23">
        <v>113.5</v>
      </c>
      <c r="J23">
        <v>128.30000000000001</v>
      </c>
    </row>
    <row r="24" spans="1:11" x14ac:dyDescent="0.2">
      <c r="E24" s="80"/>
      <c r="F24" s="91" t="s">
        <v>1293</v>
      </c>
      <c r="G24" s="91"/>
      <c r="H24" s="91"/>
      <c r="I24" s="91"/>
      <c r="J24" s="91"/>
    </row>
    <row r="25" spans="1:11" x14ac:dyDescent="0.2">
      <c r="E25" s="80"/>
      <c r="F25" s="56" t="s">
        <v>1095</v>
      </c>
      <c r="G25" s="15">
        <v>344.1</v>
      </c>
      <c r="H25" s="15">
        <v>331.2</v>
      </c>
      <c r="I25">
        <v>327.7</v>
      </c>
      <c r="J25">
        <v>337</v>
      </c>
      <c r="K25" t="s">
        <v>1226</v>
      </c>
    </row>
    <row r="26" spans="1:11" x14ac:dyDescent="0.2">
      <c r="E26" s="80"/>
      <c r="F26" s="56" t="s">
        <v>1094</v>
      </c>
      <c r="G26" s="15">
        <v>776</v>
      </c>
      <c r="H26" s="15">
        <v>752.2</v>
      </c>
      <c r="I26">
        <v>738.1</v>
      </c>
      <c r="J26">
        <v>801.5</v>
      </c>
    </row>
    <row r="27" spans="1:11" x14ac:dyDescent="0.2">
      <c r="A27" s="82"/>
      <c r="B27" s="80"/>
      <c r="E27" s="80"/>
      <c r="F27" s="58" t="s">
        <v>1843</v>
      </c>
      <c r="G27">
        <v>53.2</v>
      </c>
      <c r="H27">
        <v>51.5</v>
      </c>
      <c r="I27">
        <v>60.3</v>
      </c>
      <c r="J27">
        <v>63.8</v>
      </c>
    </row>
    <row r="28" spans="1:11" x14ac:dyDescent="0.2">
      <c r="E28" s="80"/>
      <c r="F28" s="58" t="s">
        <v>1702</v>
      </c>
      <c r="G28" s="15">
        <v>517.70000000000005</v>
      </c>
      <c r="H28" s="15">
        <v>524.4</v>
      </c>
      <c r="I28">
        <v>396.4</v>
      </c>
      <c r="J28">
        <v>495.9</v>
      </c>
    </row>
    <row r="29" spans="1:11" x14ac:dyDescent="0.2">
      <c r="E29" s="80"/>
      <c r="F29" s="58" t="s">
        <v>1703</v>
      </c>
      <c r="G29" s="15">
        <v>392.2</v>
      </c>
      <c r="H29" s="15">
        <v>382.2</v>
      </c>
      <c r="I29">
        <v>471.7</v>
      </c>
      <c r="J29">
        <v>533.5</v>
      </c>
    </row>
    <row r="30" spans="1:11" x14ac:dyDescent="0.2">
      <c r="E30" s="80"/>
      <c r="F30" s="58" t="s">
        <v>1704</v>
      </c>
      <c r="G30" s="15">
        <v>671.9</v>
      </c>
      <c r="H30" s="15">
        <v>600.70000000000005</v>
      </c>
      <c r="I30">
        <v>556.9</v>
      </c>
      <c r="J30">
        <v>527.29999999999995</v>
      </c>
    </row>
    <row r="31" spans="1:11" x14ac:dyDescent="0.2">
      <c r="E31" s="80"/>
      <c r="F31" s="59" t="s">
        <v>1705</v>
      </c>
      <c r="G31" s="15">
        <v>1627.7</v>
      </c>
      <c r="H31" s="15">
        <v>1459</v>
      </c>
      <c r="I31">
        <v>1474.1</v>
      </c>
      <c r="J31">
        <v>1457.1</v>
      </c>
    </row>
    <row r="32" spans="1:11" x14ac:dyDescent="0.2">
      <c r="E32" s="80"/>
      <c r="F32" s="58" t="s">
        <v>1844</v>
      </c>
      <c r="G32" s="15">
        <v>1017.4</v>
      </c>
      <c r="H32" s="15">
        <v>1134.3</v>
      </c>
      <c r="I32">
        <v>1084.8</v>
      </c>
      <c r="J32">
        <v>1183.0999999999999</v>
      </c>
    </row>
    <row r="33" spans="5:9" x14ac:dyDescent="0.2">
      <c r="E33" s="80"/>
      <c r="F33" s="15"/>
      <c r="G33" s="15"/>
      <c r="H33" s="15"/>
    </row>
    <row r="34" spans="5:9" x14ac:dyDescent="0.2">
      <c r="E34" s="80"/>
    </row>
    <row r="35" spans="5:9" x14ac:dyDescent="0.2">
      <c r="E35" s="80"/>
      <c r="F35" s="15"/>
      <c r="G35" s="15"/>
      <c r="H35" s="15"/>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c r="F39" s="15"/>
      <c r="G39" s="15"/>
      <c r="H39" s="15"/>
      <c r="I39" s="17"/>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A18:B18"/>
    <mergeCell ref="A27:B27"/>
    <mergeCell ref="F24:J24"/>
    <mergeCell ref="F15:J15"/>
    <mergeCell ref="F6:J6"/>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election activeCell="O46" sqref="O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tbl-hiv-aids-incidence-aar</v>
      </c>
    </row>
    <row r="4" spans="1:17" x14ac:dyDescent="0.2">
      <c r="A4" s="16" t="s">
        <v>7</v>
      </c>
      <c r="B4" t="str">
        <f>IF($B$1="","",_xlfn.XLOOKUP($B$1,Master!$F$2:$F$321,Master!$H$2:$H$321,""))</f>
        <v>fig-hiv-aids-incidence-aar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1845</v>
      </c>
      <c r="G5">
        <v>2020</v>
      </c>
      <c r="H5">
        <v>2021</v>
      </c>
      <c r="I5">
        <v>2022</v>
      </c>
      <c r="J5">
        <v>2023</v>
      </c>
    </row>
    <row r="6" spans="1:17" ht="15" customHeight="1" x14ac:dyDescent="0.2">
      <c r="A6" t="s">
        <v>1088</v>
      </c>
      <c r="B6" t="b">
        <v>0</v>
      </c>
      <c r="E6" s="80"/>
      <c r="F6" t="s">
        <v>1846</v>
      </c>
      <c r="G6" s="15">
        <v>1.6</v>
      </c>
      <c r="H6" s="15">
        <v>4.4000000000000004</v>
      </c>
      <c r="I6" s="15">
        <v>4.9000000000000004</v>
      </c>
      <c r="J6" s="15">
        <v>8.9</v>
      </c>
      <c r="K6" s="15"/>
      <c r="L6" s="15"/>
      <c r="M6" s="15"/>
      <c r="N6" s="15"/>
      <c r="O6" s="15"/>
    </row>
    <row r="7" spans="1:17" ht="15.75" customHeight="1" x14ac:dyDescent="0.2">
      <c r="E7" s="80"/>
      <c r="F7" t="s">
        <v>1847</v>
      </c>
      <c r="G7" s="15">
        <v>0.5</v>
      </c>
      <c r="H7" s="15">
        <v>2.4</v>
      </c>
      <c r="I7" s="15">
        <v>3.7</v>
      </c>
      <c r="J7" s="15">
        <v>1.9</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1845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1848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tbl-hiv-prevalence-transmission-category</v>
      </c>
    </row>
    <row r="4" spans="1:17" x14ac:dyDescent="0.2">
      <c r="A4" s="16" t="s">
        <v>7</v>
      </c>
      <c r="B4" t="str">
        <f>IF($B$1="","",_xlfn.XLOOKUP($B$1,Master!$F$2:$F$321,Master!$H$2:$H$321,""))</f>
        <v>fig-hiv-prevalence-transmission-category</v>
      </c>
      <c r="E4" s="8"/>
      <c r="F4" s="10" t="s">
        <v>1009</v>
      </c>
      <c r="G4" s="10" t="s">
        <v>973</v>
      </c>
      <c r="H4" s="10" t="s">
        <v>973</v>
      </c>
      <c r="I4" s="10" t="s">
        <v>973</v>
      </c>
      <c r="J4" s="10" t="s">
        <v>973</v>
      </c>
      <c r="K4" s="10"/>
      <c r="L4" s="10"/>
      <c r="M4" s="10"/>
      <c r="N4" s="10"/>
      <c r="O4" s="10"/>
      <c r="P4" s="10"/>
      <c r="Q4" s="10"/>
    </row>
    <row r="5" spans="1:17" x14ac:dyDescent="0.2">
      <c r="A5" s="84" t="s">
        <v>1081</v>
      </c>
      <c r="B5" s="80"/>
      <c r="E5" s="83" t="s">
        <v>1082</v>
      </c>
      <c r="G5">
        <v>2020</v>
      </c>
      <c r="H5">
        <v>2021</v>
      </c>
      <c r="I5">
        <v>2022</v>
      </c>
      <c r="J5">
        <v>2023</v>
      </c>
    </row>
    <row r="6" spans="1:17" ht="15" customHeight="1" x14ac:dyDescent="0.2">
      <c r="A6" t="s">
        <v>1088</v>
      </c>
      <c r="B6" t="b">
        <v>0</v>
      </c>
      <c r="E6" s="80"/>
      <c r="F6" t="s">
        <v>1850</v>
      </c>
      <c r="G6" s="15">
        <v>362</v>
      </c>
      <c r="H6" s="15">
        <v>369</v>
      </c>
      <c r="I6" s="15">
        <v>377</v>
      </c>
      <c r="J6" s="15">
        <v>385</v>
      </c>
      <c r="K6" s="15"/>
      <c r="L6" s="15"/>
      <c r="M6" s="15"/>
      <c r="N6" s="15"/>
      <c r="O6" s="15"/>
    </row>
    <row r="7" spans="1:17" ht="15.75" customHeight="1" x14ac:dyDescent="0.2">
      <c r="E7" s="80"/>
      <c r="F7" t="s">
        <v>1851</v>
      </c>
      <c r="G7" s="15">
        <v>214</v>
      </c>
      <c r="H7" s="15">
        <v>208</v>
      </c>
      <c r="I7" s="15">
        <v>205</v>
      </c>
      <c r="J7" s="15">
        <v>199</v>
      </c>
      <c r="K7" s="15"/>
      <c r="L7" s="15"/>
      <c r="M7" s="15"/>
      <c r="N7" s="15"/>
      <c r="O7" s="15"/>
    </row>
    <row r="8" spans="1:17" x14ac:dyDescent="0.2">
      <c r="E8" s="80"/>
      <c r="F8" t="s">
        <v>1852</v>
      </c>
      <c r="G8" s="15">
        <v>328</v>
      </c>
      <c r="H8" s="15">
        <v>338</v>
      </c>
      <c r="I8" s="15">
        <v>357</v>
      </c>
      <c r="J8" s="15">
        <v>407</v>
      </c>
      <c r="K8" s="15"/>
      <c r="L8" s="15"/>
      <c r="M8" s="15"/>
      <c r="N8" s="15"/>
      <c r="O8" s="15"/>
    </row>
    <row r="9" spans="1:17" x14ac:dyDescent="0.2">
      <c r="A9" s="84" t="s">
        <v>1098</v>
      </c>
      <c r="B9" s="80"/>
      <c r="E9" s="80"/>
      <c r="F9" t="s">
        <v>1853</v>
      </c>
      <c r="G9" s="15">
        <v>45</v>
      </c>
      <c r="H9" s="15">
        <v>50</v>
      </c>
      <c r="I9" s="15">
        <v>45</v>
      </c>
      <c r="J9" s="15">
        <v>44</v>
      </c>
      <c r="K9" s="15"/>
      <c r="L9" s="15"/>
      <c r="M9" s="15"/>
      <c r="N9" s="15"/>
      <c r="O9" s="15"/>
    </row>
    <row r="10" spans="1:17" x14ac:dyDescent="0.2">
      <c r="A10" t="s">
        <v>1100</v>
      </c>
      <c r="B10" t="s">
        <v>1304</v>
      </c>
      <c r="E10" s="80"/>
      <c r="F10" t="s">
        <v>1015</v>
      </c>
      <c r="G10" s="15">
        <v>33</v>
      </c>
      <c r="H10">
        <v>32</v>
      </c>
      <c r="I10">
        <v>31</v>
      </c>
      <c r="J10">
        <v>32</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985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1854</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1855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tbl-hiv-linkage-care-rande</v>
      </c>
    </row>
    <row r="4" spans="1:17" x14ac:dyDescent="0.2">
      <c r="A4" s="16" t="s">
        <v>7</v>
      </c>
      <c r="B4" t="str">
        <f>IF($B$1="","",_xlfn.XLOOKUP($B$1,Master!$F$2:$F$321,Master!$H$2:$H$321,""))</f>
        <v>fig-hiv-linkage-care-rande</v>
      </c>
      <c r="E4" s="8"/>
      <c r="F4" s="10" t="s">
        <v>1009</v>
      </c>
      <c r="G4" s="10" t="s">
        <v>973</v>
      </c>
      <c r="H4" s="10" t="s">
        <v>973</v>
      </c>
      <c r="I4" s="10" t="s">
        <v>973</v>
      </c>
      <c r="J4" s="10" t="s">
        <v>973</v>
      </c>
      <c r="K4" s="10"/>
      <c r="L4" s="10"/>
      <c r="M4" s="10"/>
      <c r="N4" s="10"/>
      <c r="O4" s="10"/>
      <c r="P4" s="10"/>
      <c r="Q4" s="10"/>
    </row>
    <row r="5" spans="1:17" x14ac:dyDescent="0.2">
      <c r="A5" s="84" t="s">
        <v>1081</v>
      </c>
      <c r="B5" s="80"/>
      <c r="E5" s="83" t="s">
        <v>1082</v>
      </c>
      <c r="G5">
        <v>2020</v>
      </c>
      <c r="H5">
        <v>2021</v>
      </c>
      <c r="I5">
        <v>2022</v>
      </c>
      <c r="J5">
        <v>2023</v>
      </c>
    </row>
    <row r="6" spans="1:17" ht="15" customHeight="1" x14ac:dyDescent="0.2">
      <c r="A6" t="s">
        <v>1088</v>
      </c>
      <c r="B6" t="b">
        <v>0</v>
      </c>
      <c r="E6" s="80"/>
      <c r="F6" t="s">
        <v>1382</v>
      </c>
      <c r="G6" s="15" t="s">
        <v>1031</v>
      </c>
      <c r="H6" s="15">
        <v>87.5</v>
      </c>
      <c r="I6" s="15" t="s">
        <v>1031</v>
      </c>
      <c r="J6" s="15">
        <v>77.8</v>
      </c>
      <c r="K6" s="15"/>
      <c r="L6" s="15"/>
      <c r="M6" s="15"/>
      <c r="N6" s="15"/>
      <c r="O6" s="15"/>
    </row>
    <row r="7" spans="1:17" ht="15.75" customHeight="1" x14ac:dyDescent="0.2">
      <c r="E7" s="80"/>
      <c r="F7" t="s">
        <v>1381</v>
      </c>
      <c r="G7" s="15">
        <v>100</v>
      </c>
      <c r="H7" s="15">
        <v>80</v>
      </c>
      <c r="I7" s="15">
        <v>85.7</v>
      </c>
      <c r="J7" s="15">
        <v>87.5</v>
      </c>
      <c r="K7" s="15"/>
      <c r="L7" s="15"/>
      <c r="M7" s="15"/>
      <c r="N7" s="15"/>
      <c r="O7" s="15"/>
    </row>
    <row r="8" spans="1:17" x14ac:dyDescent="0.2">
      <c r="E8" s="80"/>
      <c r="F8" t="s">
        <v>1293</v>
      </c>
      <c r="G8" s="15">
        <v>100</v>
      </c>
      <c r="H8" s="15">
        <v>100</v>
      </c>
      <c r="I8" s="15">
        <v>100</v>
      </c>
      <c r="J8" s="15">
        <v>100</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tbl-prep-coverage</v>
      </c>
    </row>
    <row r="4" spans="1:17" x14ac:dyDescent="0.2">
      <c r="A4" s="16" t="s">
        <v>7</v>
      </c>
      <c r="B4" t="str">
        <f>IF($B$1="","",_xlfn.XLOOKUP($B$1,Master!$F$2:$F$321,Master!$H$2:$H$321,""))</f>
        <v>fig-prep-coverage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19.5</v>
      </c>
      <c r="H6" s="15">
        <v>23.4</v>
      </c>
      <c r="I6" s="15">
        <v>28.8</v>
      </c>
      <c r="J6" s="15">
        <v>25.3</v>
      </c>
      <c r="K6" s="15"/>
      <c r="L6" s="15"/>
      <c r="M6" s="15"/>
      <c r="N6" s="15"/>
      <c r="O6" s="15"/>
    </row>
    <row r="7" spans="1:17" ht="15.75" customHeight="1" x14ac:dyDescent="0.2">
      <c r="E7" s="80"/>
      <c r="F7" t="s">
        <v>1299</v>
      </c>
      <c r="G7" s="15">
        <v>47.4</v>
      </c>
      <c r="H7" s="15">
        <v>54.2</v>
      </c>
      <c r="I7" s="15">
        <v>63.4</v>
      </c>
      <c r="J7" s="15">
        <v>55.3</v>
      </c>
      <c r="K7" s="15"/>
      <c r="L7" s="15"/>
      <c r="M7" s="15"/>
      <c r="N7" s="15"/>
      <c r="O7" s="15"/>
    </row>
    <row r="8" spans="1:17" x14ac:dyDescent="0.2">
      <c r="E8" s="80"/>
      <c r="F8" t="s">
        <v>1397</v>
      </c>
      <c r="G8" s="15">
        <v>24.8</v>
      </c>
      <c r="H8" s="15">
        <v>30.1</v>
      </c>
      <c r="I8" s="15">
        <v>36</v>
      </c>
      <c r="J8" s="15">
        <v>31.3</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1854</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election activeCell="F15" sqref="F15:N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tbl-syphilis-count-rate-sex-rande-age-zip</v>
      </c>
    </row>
    <row r="4" spans="1:17" x14ac:dyDescent="0.2">
      <c r="A4" s="16" t="s">
        <v>7</v>
      </c>
      <c r="B4" t="str">
        <f>IF($B$1="","",_xlfn.XLOOKUP($B$1,Master!$F$2:$F$321,Master!$H$2:$H$321,""))</f>
        <v>fig-syphilis-count-rate-sex-rande-age-zip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4" t="s">
        <v>1081</v>
      </c>
      <c r="B5" s="80"/>
      <c r="E5" s="83" t="s">
        <v>1082</v>
      </c>
      <c r="G5" s="82">
        <v>2021</v>
      </c>
      <c r="H5" s="80"/>
      <c r="I5" s="82">
        <v>2022</v>
      </c>
      <c r="J5" s="80"/>
      <c r="K5" s="82">
        <v>2023</v>
      </c>
      <c r="L5" s="80"/>
      <c r="M5" s="82">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s="16" t="s">
        <v>1089</v>
      </c>
      <c r="G7" s="15">
        <v>124</v>
      </c>
      <c r="H7" s="15">
        <v>31.1</v>
      </c>
      <c r="I7" s="15">
        <v>124</v>
      </c>
      <c r="J7" s="15">
        <v>30.9</v>
      </c>
      <c r="K7" s="15">
        <v>131</v>
      </c>
      <c r="L7" s="15">
        <v>32.4</v>
      </c>
      <c r="M7" s="15">
        <v>93</v>
      </c>
      <c r="N7" s="15">
        <v>23</v>
      </c>
      <c r="O7" s="15"/>
    </row>
    <row r="8" spans="1:17" x14ac:dyDescent="0.2">
      <c r="E8" s="80"/>
      <c r="F8" s="91" t="s">
        <v>1086</v>
      </c>
      <c r="G8" s="80"/>
      <c r="H8" s="80"/>
      <c r="I8" s="80"/>
      <c r="J8" s="80"/>
      <c r="K8" s="80"/>
      <c r="L8" s="80"/>
      <c r="M8" s="80"/>
      <c r="N8" s="80"/>
      <c r="O8" s="15"/>
    </row>
    <row r="9" spans="1:17" x14ac:dyDescent="0.2">
      <c r="A9" s="84" t="s">
        <v>1098</v>
      </c>
      <c r="B9" s="80"/>
      <c r="E9" s="80"/>
      <c r="F9" s="47" t="s">
        <v>1094</v>
      </c>
      <c r="G9" s="15">
        <v>90</v>
      </c>
      <c r="H9" s="15">
        <v>44.9</v>
      </c>
      <c r="I9" s="15">
        <v>94</v>
      </c>
      <c r="J9" s="15">
        <v>46.8</v>
      </c>
      <c r="K9" s="15">
        <v>88</v>
      </c>
      <c r="L9" s="15">
        <v>43.7</v>
      </c>
      <c r="M9" s="15">
        <v>62</v>
      </c>
      <c r="N9" s="15">
        <v>30.8</v>
      </c>
      <c r="O9" s="15"/>
    </row>
    <row r="10" spans="1:17" x14ac:dyDescent="0.2">
      <c r="A10" t="s">
        <v>1100</v>
      </c>
      <c r="E10" s="80"/>
      <c r="F10" s="47" t="s">
        <v>1095</v>
      </c>
      <c r="G10" s="15">
        <v>34</v>
      </c>
      <c r="H10" s="15">
        <v>17.2</v>
      </c>
      <c r="I10" s="15">
        <v>30</v>
      </c>
      <c r="J10" s="15">
        <v>15</v>
      </c>
      <c r="K10" s="15">
        <v>43</v>
      </c>
      <c r="L10" s="15">
        <v>21.3</v>
      </c>
      <c r="M10" s="15">
        <v>31</v>
      </c>
      <c r="N10" s="15">
        <v>15.3</v>
      </c>
    </row>
    <row r="11" spans="1:17" x14ac:dyDescent="0.2">
      <c r="A11" t="s">
        <v>1102</v>
      </c>
      <c r="E11" s="80"/>
      <c r="F11" s="91" t="s">
        <v>1289</v>
      </c>
      <c r="G11" s="80"/>
      <c r="H11" s="80"/>
      <c r="I11" s="80"/>
      <c r="J11" s="80"/>
      <c r="K11" s="80"/>
      <c r="L11" s="80"/>
      <c r="M11" s="80"/>
      <c r="N11" s="80"/>
    </row>
    <row r="12" spans="1:17" x14ac:dyDescent="0.2">
      <c r="A12" t="s">
        <v>1104</v>
      </c>
      <c r="E12" s="80"/>
      <c r="F12" s="47" t="s">
        <v>1828</v>
      </c>
      <c r="G12" s="15">
        <v>38</v>
      </c>
      <c r="H12" s="15">
        <v>15.3</v>
      </c>
      <c r="I12" s="15">
        <v>31</v>
      </c>
      <c r="J12" s="17">
        <v>12.8</v>
      </c>
      <c r="K12" s="17">
        <v>29</v>
      </c>
      <c r="L12" s="17">
        <v>12.1</v>
      </c>
      <c r="M12" s="17">
        <v>18</v>
      </c>
      <c r="N12" s="17">
        <v>7.5</v>
      </c>
    </row>
    <row r="13" spans="1:17" x14ac:dyDescent="0.2">
      <c r="A13" t="s">
        <v>1108</v>
      </c>
      <c r="E13" s="80"/>
      <c r="F13" s="48" t="s">
        <v>1829</v>
      </c>
      <c r="G13" s="17">
        <v>21</v>
      </c>
      <c r="H13" s="17">
        <v>52.9</v>
      </c>
      <c r="I13" s="15">
        <v>19</v>
      </c>
      <c r="J13" s="15">
        <v>45.3</v>
      </c>
      <c r="K13" s="15">
        <v>28</v>
      </c>
      <c r="L13" s="15">
        <v>65.900000000000006</v>
      </c>
      <c r="M13" s="15">
        <v>21</v>
      </c>
      <c r="N13" s="15">
        <v>49.4</v>
      </c>
    </row>
    <row r="14" spans="1:17" x14ac:dyDescent="0.2">
      <c r="A14" t="s">
        <v>1112</v>
      </c>
      <c r="E14" s="80"/>
      <c r="F14" s="47" t="s">
        <v>1830</v>
      </c>
      <c r="G14" s="15">
        <v>42</v>
      </c>
      <c r="H14" s="15">
        <v>49.2</v>
      </c>
      <c r="I14" s="15">
        <v>48</v>
      </c>
      <c r="J14" s="15">
        <v>53.6</v>
      </c>
      <c r="K14" s="15">
        <v>60</v>
      </c>
      <c r="L14" s="15">
        <v>64.099999999999994</v>
      </c>
      <c r="M14" s="15">
        <v>41</v>
      </c>
      <c r="N14" s="15">
        <v>43.8</v>
      </c>
    </row>
    <row r="15" spans="1:17" x14ac:dyDescent="0.2">
      <c r="A15" t="s">
        <v>1114</v>
      </c>
      <c r="E15" s="80"/>
      <c r="F15" s="91" t="s">
        <v>1085</v>
      </c>
      <c r="G15" s="80"/>
      <c r="H15" s="80"/>
      <c r="I15" s="80"/>
      <c r="J15" s="80"/>
      <c r="K15" s="80"/>
      <c r="L15" s="80"/>
      <c r="M15" s="80"/>
      <c r="N15" s="80"/>
    </row>
    <row r="16" spans="1:17" x14ac:dyDescent="0.2">
      <c r="A16" t="s">
        <v>1116</v>
      </c>
      <c r="E16" s="80"/>
      <c r="F16" s="47" t="s">
        <v>1857</v>
      </c>
      <c r="G16" s="15" t="s">
        <v>1031</v>
      </c>
      <c r="H16" s="15" t="s">
        <v>1031</v>
      </c>
      <c r="I16" s="15">
        <v>0</v>
      </c>
      <c r="J16" s="15">
        <v>0</v>
      </c>
      <c r="K16" s="15" t="s">
        <v>1031</v>
      </c>
      <c r="L16" s="15" t="s">
        <v>1031</v>
      </c>
      <c r="M16" s="15" t="s">
        <v>1031</v>
      </c>
      <c r="N16" s="15" t="s">
        <v>1031</v>
      </c>
    </row>
    <row r="17" spans="1:14" x14ac:dyDescent="0.2">
      <c r="E17" s="80"/>
      <c r="F17" s="47" t="s">
        <v>1701</v>
      </c>
      <c r="G17" s="15">
        <v>19</v>
      </c>
      <c r="H17" s="15">
        <v>65.099999999999994</v>
      </c>
      <c r="I17" s="15">
        <v>17</v>
      </c>
      <c r="J17" s="15">
        <v>57.3</v>
      </c>
      <c r="K17" s="15">
        <v>15</v>
      </c>
      <c r="L17" s="15">
        <v>52.3</v>
      </c>
      <c r="M17" s="15" t="s">
        <v>1031</v>
      </c>
      <c r="N17" s="15" t="s">
        <v>1031</v>
      </c>
    </row>
    <row r="18" spans="1:14" x14ac:dyDescent="0.2">
      <c r="A18" s="84" t="s">
        <v>1119</v>
      </c>
      <c r="B18" s="80"/>
      <c r="E18" s="80"/>
      <c r="F18" s="47" t="s">
        <v>1834</v>
      </c>
      <c r="G18" s="15">
        <v>22</v>
      </c>
      <c r="H18" s="15">
        <v>93.1</v>
      </c>
      <c r="I18" s="15">
        <v>26</v>
      </c>
      <c r="J18" s="15">
        <v>108.6</v>
      </c>
      <c r="K18" s="15">
        <v>21</v>
      </c>
      <c r="L18" s="15">
        <v>87.5</v>
      </c>
      <c r="M18" s="15">
        <v>13</v>
      </c>
      <c r="N18" s="15">
        <v>54.2</v>
      </c>
    </row>
    <row r="19" spans="1:14" x14ac:dyDescent="0.2">
      <c r="A19" t="s">
        <v>1121</v>
      </c>
      <c r="B19" t="s">
        <v>1833</v>
      </c>
      <c r="E19" s="80"/>
      <c r="F19" s="47" t="s">
        <v>1835</v>
      </c>
      <c r="G19" s="15">
        <v>18</v>
      </c>
      <c r="H19" s="15">
        <v>78.400000000000006</v>
      </c>
      <c r="I19" s="15">
        <v>20</v>
      </c>
      <c r="J19" s="15">
        <v>85.2</v>
      </c>
      <c r="K19" s="15">
        <v>26</v>
      </c>
      <c r="L19" s="15">
        <v>108.7</v>
      </c>
      <c r="M19" s="15">
        <v>20</v>
      </c>
      <c r="N19" s="15">
        <v>83.6</v>
      </c>
    </row>
    <row r="20" spans="1:14" x14ac:dyDescent="0.2">
      <c r="E20" s="80"/>
      <c r="F20" s="47" t="s">
        <v>1836</v>
      </c>
      <c r="G20" s="15">
        <v>18</v>
      </c>
      <c r="H20" s="15">
        <v>75.8</v>
      </c>
      <c r="I20" s="15">
        <v>15</v>
      </c>
      <c r="J20" s="15">
        <v>62.6</v>
      </c>
      <c r="K20" s="15">
        <v>16</v>
      </c>
      <c r="L20" s="15">
        <v>65.2</v>
      </c>
      <c r="M20" s="15">
        <v>14</v>
      </c>
      <c r="N20" s="15">
        <v>57.1</v>
      </c>
    </row>
    <row r="21" spans="1:14" x14ac:dyDescent="0.2">
      <c r="A21" s="82" t="s">
        <v>1125</v>
      </c>
      <c r="B21" s="80"/>
      <c r="E21" s="80"/>
      <c r="F21" s="47" t="s">
        <v>1838</v>
      </c>
      <c r="G21" s="15">
        <v>15</v>
      </c>
      <c r="H21" s="15">
        <v>62.6</v>
      </c>
      <c r="I21" s="15">
        <v>14</v>
      </c>
      <c r="J21" s="15">
        <v>56.6</v>
      </c>
      <c r="K21" s="15" t="s">
        <v>1031</v>
      </c>
      <c r="L21" s="15" t="s">
        <v>1031</v>
      </c>
      <c r="M21" s="15" t="s">
        <v>1031</v>
      </c>
      <c r="N21" s="15" t="s">
        <v>1031</v>
      </c>
    </row>
    <row r="22" spans="1:14" x14ac:dyDescent="0.2">
      <c r="A22" t="s">
        <v>1135</v>
      </c>
      <c r="B22" t="s">
        <v>1858</v>
      </c>
      <c r="E22" s="80"/>
      <c r="F22" s="47" t="s">
        <v>1839</v>
      </c>
      <c r="G22" s="15" t="s">
        <v>1031</v>
      </c>
      <c r="H22" s="15" t="s">
        <v>1031</v>
      </c>
      <c r="I22" s="15" t="s">
        <v>1031</v>
      </c>
      <c r="J22" s="15" t="s">
        <v>1031</v>
      </c>
      <c r="K22" s="15">
        <v>14</v>
      </c>
      <c r="L22" s="15">
        <v>57</v>
      </c>
      <c r="M22" s="15" t="s">
        <v>1031</v>
      </c>
      <c r="N22" s="15" t="s">
        <v>1031</v>
      </c>
    </row>
    <row r="23" spans="1:14" x14ac:dyDescent="0.2">
      <c r="E23" s="80"/>
      <c r="F23" s="47" t="s">
        <v>1840</v>
      </c>
      <c r="G23" s="15">
        <v>21</v>
      </c>
      <c r="H23" s="15">
        <v>15.6</v>
      </c>
      <c r="I23" s="15">
        <v>28</v>
      </c>
      <c r="J23" s="15">
        <v>20.7</v>
      </c>
      <c r="K23" s="15">
        <v>25</v>
      </c>
      <c r="L23" s="15">
        <v>18.3</v>
      </c>
      <c r="M23" s="15">
        <v>22</v>
      </c>
      <c r="N23" s="15">
        <v>16.100000000000001</v>
      </c>
    </row>
    <row r="24" spans="1:14" x14ac:dyDescent="0.2">
      <c r="E24" s="80"/>
      <c r="F24" s="91" t="s">
        <v>1294</v>
      </c>
      <c r="G24" s="80"/>
      <c r="H24" s="80"/>
      <c r="I24" s="80"/>
      <c r="J24" s="80"/>
      <c r="K24" s="80"/>
      <c r="L24" s="80"/>
      <c r="M24" s="80"/>
      <c r="N24" s="80"/>
    </row>
    <row r="25" spans="1:14" x14ac:dyDescent="0.2">
      <c r="E25" s="80"/>
      <c r="F25" s="47">
        <v>10940</v>
      </c>
      <c r="G25" s="15">
        <v>25</v>
      </c>
      <c r="H25" s="15">
        <v>49.1</v>
      </c>
      <c r="I25" s="15">
        <v>25</v>
      </c>
      <c r="J25" s="15">
        <v>48.2</v>
      </c>
      <c r="K25" s="15">
        <v>29</v>
      </c>
      <c r="L25" s="15">
        <v>54.6</v>
      </c>
      <c r="M25" s="15">
        <v>20</v>
      </c>
      <c r="N25" s="15">
        <v>37.700000000000003</v>
      </c>
    </row>
    <row r="26" spans="1:14" x14ac:dyDescent="0.2">
      <c r="E26" s="80"/>
      <c r="F26" s="47">
        <v>12550</v>
      </c>
      <c r="G26" s="15">
        <v>45</v>
      </c>
      <c r="H26" s="15">
        <v>81</v>
      </c>
      <c r="I26" s="15">
        <v>38</v>
      </c>
      <c r="J26" s="15">
        <v>68.599999999999994</v>
      </c>
      <c r="K26" s="15">
        <v>42</v>
      </c>
      <c r="L26" s="15">
        <v>76.400000000000006</v>
      </c>
      <c r="M26" s="15">
        <v>35</v>
      </c>
      <c r="N26" s="15">
        <v>63.6</v>
      </c>
    </row>
    <row r="27" spans="1:14" x14ac:dyDescent="0.2">
      <c r="A27" s="82"/>
      <c r="B27" s="80"/>
      <c r="E27" s="80"/>
      <c r="F27" s="47">
        <v>12553</v>
      </c>
      <c r="G27" s="15">
        <v>11</v>
      </c>
      <c r="H27" s="15">
        <v>41</v>
      </c>
      <c r="I27" s="15">
        <v>11</v>
      </c>
      <c r="J27" s="15">
        <v>40.1</v>
      </c>
      <c r="K27" s="15">
        <v>11</v>
      </c>
      <c r="L27" s="15">
        <v>40.299999999999997</v>
      </c>
      <c r="M27" s="15" t="s">
        <v>1031</v>
      </c>
      <c r="N27" s="15" t="s">
        <v>1031</v>
      </c>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tbl-syphilis-early-aar</v>
      </c>
    </row>
    <row r="4" spans="1:17" x14ac:dyDescent="0.2">
      <c r="A4" s="16" t="s">
        <v>7</v>
      </c>
      <c r="B4" t="str">
        <f>IF($B$1="","",_xlfn.XLOOKUP($B$1,Master!$F$2:$F$321,Master!$H$2:$H$321,""))</f>
        <v>fig-syphilis-early-aar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26.5</v>
      </c>
      <c r="H6" s="15">
        <v>29.4</v>
      </c>
      <c r="I6" s="15">
        <v>26.7</v>
      </c>
      <c r="J6" s="15">
        <v>21.8</v>
      </c>
      <c r="K6" s="15"/>
      <c r="L6" s="15"/>
      <c r="M6" s="15"/>
      <c r="N6" s="15"/>
      <c r="O6" s="15"/>
    </row>
    <row r="7" spans="1:17" ht="15.75" customHeight="1" x14ac:dyDescent="0.2">
      <c r="E7" s="80"/>
      <c r="F7" t="s">
        <v>1645</v>
      </c>
      <c r="G7" s="15">
        <v>19.3</v>
      </c>
      <c r="H7" s="15">
        <v>22.9</v>
      </c>
      <c r="I7" s="15">
        <v>22.1</v>
      </c>
      <c r="J7" s="15">
        <v>19.3</v>
      </c>
      <c r="K7" s="15"/>
      <c r="L7" s="15"/>
      <c r="M7" s="15"/>
      <c r="N7" s="15"/>
      <c r="O7" s="15"/>
    </row>
    <row r="8" spans="1:17" x14ac:dyDescent="0.2">
      <c r="E8" s="80"/>
      <c r="F8" t="s">
        <v>1298</v>
      </c>
      <c r="G8" s="15">
        <v>14.4</v>
      </c>
      <c r="H8" s="15">
        <v>21.7</v>
      </c>
      <c r="I8" s="15">
        <v>23.6</v>
      </c>
      <c r="J8" s="15">
        <v>20.3</v>
      </c>
      <c r="K8" s="15"/>
      <c r="L8" s="15"/>
      <c r="M8" s="15"/>
      <c r="N8" s="15"/>
      <c r="O8" s="15"/>
    </row>
    <row r="9" spans="1:17" x14ac:dyDescent="0.2">
      <c r="A9" s="84" t="s">
        <v>1098</v>
      </c>
      <c r="B9" s="80"/>
      <c r="E9" s="80"/>
      <c r="F9" t="s">
        <v>1299</v>
      </c>
      <c r="G9" s="15">
        <v>41.7</v>
      </c>
      <c r="H9" s="15">
        <v>48.1</v>
      </c>
      <c r="I9" s="15">
        <v>49.5</v>
      </c>
      <c r="J9" s="15">
        <v>40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1859</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tbl-syphilis-rande</v>
      </c>
    </row>
    <row r="4" spans="1:17" x14ac:dyDescent="0.2">
      <c r="A4" s="16" t="s">
        <v>7</v>
      </c>
      <c r="B4" t="str">
        <f>IF($B$1="","",_xlfn.XLOOKUP($B$1,Master!$F$2:$F$321,Master!$H$2:$H$321,""))</f>
        <v>fig-syphilis-rande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1289</v>
      </c>
      <c r="G5">
        <v>2021</v>
      </c>
      <c r="H5">
        <v>2022</v>
      </c>
      <c r="I5">
        <v>2023</v>
      </c>
      <c r="J5">
        <v>2024</v>
      </c>
    </row>
    <row r="6" spans="1:17" ht="15" customHeight="1" x14ac:dyDescent="0.2">
      <c r="A6" t="s">
        <v>1088</v>
      </c>
      <c r="B6" t="b">
        <v>0</v>
      </c>
      <c r="E6" s="80"/>
      <c r="F6" t="s">
        <v>1828</v>
      </c>
      <c r="G6" s="15">
        <v>15.3</v>
      </c>
      <c r="H6" s="15">
        <v>12.8</v>
      </c>
      <c r="I6" s="15">
        <v>12.1</v>
      </c>
      <c r="J6" s="15">
        <v>7.5</v>
      </c>
      <c r="K6" s="15"/>
      <c r="L6" s="15"/>
      <c r="M6" s="15"/>
      <c r="N6" s="15"/>
      <c r="O6" s="15"/>
    </row>
    <row r="7" spans="1:17" ht="15.75" customHeight="1" x14ac:dyDescent="0.2">
      <c r="E7" s="80"/>
      <c r="F7" t="s">
        <v>1829</v>
      </c>
      <c r="G7" s="15">
        <v>52.9</v>
      </c>
      <c r="H7" s="15">
        <v>45.3</v>
      </c>
      <c r="I7" s="15">
        <v>65.900000000000006</v>
      </c>
      <c r="J7" s="15">
        <v>49.4</v>
      </c>
      <c r="K7" s="15"/>
      <c r="L7" s="15"/>
      <c r="M7" s="15"/>
      <c r="N7" s="15"/>
      <c r="O7" s="15"/>
    </row>
    <row r="8" spans="1:17" x14ac:dyDescent="0.2">
      <c r="E8" s="80"/>
      <c r="F8" t="s">
        <v>1830</v>
      </c>
      <c r="G8" s="15">
        <v>49.2</v>
      </c>
      <c r="H8" s="15">
        <v>53.6</v>
      </c>
      <c r="I8" s="15">
        <v>64.099999999999994</v>
      </c>
      <c r="J8" s="15">
        <v>43.8</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1842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tbl-fertility-rate-age-rande-zip</v>
      </c>
    </row>
    <row r="4" spans="1:17" x14ac:dyDescent="0.2">
      <c r="A4" s="16" t="s">
        <v>7</v>
      </c>
      <c r="B4" t="str">
        <f>IF($B$1="","",_xlfn.XLOOKUP($B$1,Master!$F$2:$F$321,Master!$H$2:$H$321,""))</f>
        <v>fig-fertility-rate-age-rande-zip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G5" s="82">
        <v>2020</v>
      </c>
      <c r="H5" s="80"/>
      <c r="I5" s="82">
        <v>2021</v>
      </c>
      <c r="J5" s="80"/>
      <c r="K5" s="82">
        <v>2022</v>
      </c>
      <c r="L5" s="80"/>
      <c r="M5" s="82">
        <v>2023</v>
      </c>
      <c r="N5" s="80"/>
      <c r="O5" s="82" t="s">
        <v>1271</v>
      </c>
      <c r="P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16" t="s">
        <v>1860</v>
      </c>
      <c r="G7" s="15">
        <v>4787</v>
      </c>
      <c r="H7" s="15">
        <v>67.8</v>
      </c>
      <c r="I7" s="15">
        <v>5109</v>
      </c>
      <c r="J7" s="15">
        <v>69.400000000000006</v>
      </c>
      <c r="K7" s="15">
        <v>4948</v>
      </c>
      <c r="L7" s="15">
        <v>64.400000000000006</v>
      </c>
      <c r="M7" s="15">
        <v>5235</v>
      </c>
      <c r="N7" s="15">
        <v>67.599999999999994</v>
      </c>
      <c r="O7" s="15">
        <v>20079</v>
      </c>
      <c r="P7" s="15">
        <v>67.3</v>
      </c>
    </row>
    <row r="8" spans="1:17" x14ac:dyDescent="0.2">
      <c r="E8" s="80"/>
      <c r="F8" s="91" t="s">
        <v>1276</v>
      </c>
      <c r="G8" s="80"/>
      <c r="H8" s="80"/>
      <c r="I8" s="80"/>
      <c r="J8" s="80"/>
      <c r="K8" s="80"/>
      <c r="L8" s="80"/>
      <c r="M8" s="80"/>
      <c r="N8" s="80"/>
      <c r="O8" s="80"/>
      <c r="P8" s="80"/>
    </row>
    <row r="9" spans="1:17" x14ac:dyDescent="0.2">
      <c r="A9" s="84" t="s">
        <v>1098</v>
      </c>
      <c r="B9" s="80"/>
      <c r="E9" s="80"/>
      <c r="F9" s="47" t="s">
        <v>1832</v>
      </c>
      <c r="G9" s="15">
        <v>125</v>
      </c>
      <c r="H9" s="15">
        <v>9.1999999999999993</v>
      </c>
      <c r="I9" s="15">
        <v>140</v>
      </c>
      <c r="J9" s="17">
        <v>9.8000000000000007</v>
      </c>
      <c r="K9" s="17">
        <v>161</v>
      </c>
      <c r="L9" s="17">
        <v>10.3</v>
      </c>
      <c r="M9" s="17">
        <v>165</v>
      </c>
      <c r="N9" s="17">
        <v>10.6</v>
      </c>
      <c r="O9" s="15">
        <v>591</v>
      </c>
      <c r="P9" s="15">
        <v>10</v>
      </c>
    </row>
    <row r="10" spans="1:17" x14ac:dyDescent="0.2">
      <c r="A10" t="s">
        <v>1100</v>
      </c>
      <c r="E10" s="80"/>
      <c r="F10" s="48" t="s">
        <v>1701</v>
      </c>
      <c r="G10" s="17">
        <v>956</v>
      </c>
      <c r="H10" s="17">
        <v>77.2</v>
      </c>
      <c r="I10" s="15">
        <v>990</v>
      </c>
      <c r="J10" s="15">
        <v>77.900000000000006</v>
      </c>
      <c r="K10" s="15">
        <v>992</v>
      </c>
      <c r="L10" s="15">
        <v>70.7</v>
      </c>
      <c r="M10" s="15">
        <v>1098</v>
      </c>
      <c r="N10" s="15">
        <v>79.7</v>
      </c>
      <c r="O10" s="15">
        <v>4036</v>
      </c>
      <c r="P10" s="15">
        <v>76.400000000000006</v>
      </c>
    </row>
    <row r="11" spans="1:17" x14ac:dyDescent="0.2">
      <c r="A11" t="s">
        <v>1102</v>
      </c>
      <c r="E11" s="80"/>
      <c r="F11" s="47" t="s">
        <v>1861</v>
      </c>
      <c r="G11" s="15">
        <v>3706</v>
      </c>
      <c r="H11" s="15">
        <v>82.8</v>
      </c>
      <c r="I11" s="15">
        <v>3979</v>
      </c>
      <c r="J11" s="15">
        <v>85.3</v>
      </c>
      <c r="K11" s="15">
        <v>3795</v>
      </c>
      <c r="L11" s="15">
        <v>80.599999999999994</v>
      </c>
      <c r="M11" s="15">
        <v>3972</v>
      </c>
      <c r="N11" s="15">
        <v>82.6</v>
      </c>
      <c r="O11" s="15">
        <v>15452</v>
      </c>
      <c r="P11" s="15">
        <v>82.8</v>
      </c>
    </row>
    <row r="12" spans="1:17" x14ac:dyDescent="0.2">
      <c r="A12" t="s">
        <v>1104</v>
      </c>
      <c r="E12" s="80"/>
      <c r="F12" s="91" t="s">
        <v>1289</v>
      </c>
      <c r="G12" s="80"/>
      <c r="H12" s="80"/>
      <c r="I12" s="80"/>
      <c r="J12" s="80"/>
      <c r="K12" s="80"/>
      <c r="L12" s="80"/>
      <c r="M12" s="80"/>
      <c r="N12" s="80"/>
      <c r="O12" s="80"/>
      <c r="P12" s="80"/>
    </row>
    <row r="13" spans="1:17" x14ac:dyDescent="0.2">
      <c r="A13" t="s">
        <v>1108</v>
      </c>
      <c r="E13" s="80"/>
      <c r="F13" s="47" t="s">
        <v>1290</v>
      </c>
      <c r="G13" s="15">
        <v>3021</v>
      </c>
      <c r="H13" s="15">
        <v>74.5</v>
      </c>
      <c r="I13" s="15">
        <v>3095</v>
      </c>
      <c r="J13" s="15">
        <v>74.3</v>
      </c>
      <c r="K13" s="15">
        <v>3066</v>
      </c>
      <c r="L13" s="15">
        <v>71.900000000000006</v>
      </c>
      <c r="M13" s="15">
        <v>3275</v>
      </c>
      <c r="N13" s="15">
        <v>77.5</v>
      </c>
      <c r="O13" s="15">
        <v>12457</v>
      </c>
      <c r="P13" s="15">
        <v>74.599999999999994</v>
      </c>
    </row>
    <row r="14" spans="1:17" x14ac:dyDescent="0.2">
      <c r="A14" t="s">
        <v>1112</v>
      </c>
      <c r="E14" s="80"/>
      <c r="F14" s="47" t="s">
        <v>1235</v>
      </c>
      <c r="G14" s="15">
        <v>557</v>
      </c>
      <c r="H14" s="15">
        <v>62.6</v>
      </c>
      <c r="I14" s="15">
        <v>549</v>
      </c>
      <c r="J14" s="15">
        <v>60.3</v>
      </c>
      <c r="K14" s="15">
        <v>558</v>
      </c>
      <c r="L14" s="15">
        <v>58.6</v>
      </c>
      <c r="M14" s="15">
        <v>489</v>
      </c>
      <c r="N14" s="15">
        <v>53.8</v>
      </c>
      <c r="O14" s="15">
        <v>2153</v>
      </c>
      <c r="P14" s="15">
        <v>58.8</v>
      </c>
    </row>
    <row r="15" spans="1:17" x14ac:dyDescent="0.2">
      <c r="A15" t="s">
        <v>1114</v>
      </c>
      <c r="E15" s="80"/>
      <c r="F15" s="47" t="s">
        <v>1293</v>
      </c>
      <c r="G15" s="15">
        <v>1198</v>
      </c>
      <c r="H15" s="15">
        <v>67.7</v>
      </c>
      <c r="I15" s="15">
        <v>1295</v>
      </c>
      <c r="J15" s="15">
        <v>69.2</v>
      </c>
      <c r="K15" s="15">
        <v>1296</v>
      </c>
      <c r="L15" s="15">
        <v>65.5</v>
      </c>
      <c r="M15" s="15">
        <v>1432</v>
      </c>
      <c r="N15" s="15">
        <v>69.5</v>
      </c>
      <c r="O15" s="15">
        <v>5221</v>
      </c>
      <c r="P15" s="15">
        <v>68</v>
      </c>
    </row>
    <row r="16" spans="1:17" x14ac:dyDescent="0.2">
      <c r="A16" t="s">
        <v>1116</v>
      </c>
      <c r="E16" s="80"/>
      <c r="F16" s="91" t="s">
        <v>1294</v>
      </c>
      <c r="G16" s="80"/>
      <c r="H16" s="80"/>
      <c r="I16" s="80"/>
      <c r="J16" s="80"/>
      <c r="K16" s="80"/>
      <c r="L16" s="80"/>
      <c r="M16" s="80"/>
      <c r="N16" s="80"/>
      <c r="O16" s="80"/>
      <c r="P16" s="80"/>
    </row>
    <row r="17" spans="1:16" x14ac:dyDescent="0.2">
      <c r="E17" s="80"/>
      <c r="F17" s="47">
        <v>10940</v>
      </c>
      <c r="G17" s="15">
        <v>568</v>
      </c>
      <c r="H17" s="15">
        <v>66.2</v>
      </c>
      <c r="I17" s="15">
        <v>575</v>
      </c>
      <c r="J17" s="15">
        <v>67.099999999999994</v>
      </c>
      <c r="K17" s="15">
        <v>546</v>
      </c>
      <c r="L17" s="15">
        <v>61.7</v>
      </c>
      <c r="M17" s="15">
        <v>603</v>
      </c>
      <c r="N17" s="15">
        <v>62.2</v>
      </c>
      <c r="O17" s="15">
        <v>2292</v>
      </c>
      <c r="P17" s="15">
        <v>64.3</v>
      </c>
    </row>
    <row r="18" spans="1:16" x14ac:dyDescent="0.2">
      <c r="A18" s="84" t="s">
        <v>1119</v>
      </c>
      <c r="B18" s="80"/>
      <c r="E18" s="80"/>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1121</v>
      </c>
      <c r="B19" t="s">
        <v>1287</v>
      </c>
      <c r="E19" s="80"/>
      <c r="F19" s="47">
        <v>12550</v>
      </c>
      <c r="G19" s="15">
        <v>666</v>
      </c>
      <c r="H19" s="15">
        <v>59.3</v>
      </c>
      <c r="I19" s="15">
        <v>667</v>
      </c>
      <c r="J19" s="15">
        <v>58.6</v>
      </c>
      <c r="K19" s="15">
        <v>677</v>
      </c>
      <c r="L19" s="15">
        <v>58.2</v>
      </c>
      <c r="M19" s="15">
        <v>688</v>
      </c>
      <c r="N19" s="15">
        <v>58.6</v>
      </c>
      <c r="O19" s="15">
        <v>2698</v>
      </c>
      <c r="P19" s="15">
        <v>58.7</v>
      </c>
    </row>
    <row r="20" spans="1:16" x14ac:dyDescent="0.2">
      <c r="E20" s="80"/>
      <c r="F20" s="47">
        <v>12771</v>
      </c>
      <c r="G20" s="15">
        <v>156</v>
      </c>
      <c r="H20" s="15">
        <v>63.5</v>
      </c>
      <c r="I20" s="15">
        <v>144</v>
      </c>
      <c r="J20" s="15">
        <v>53.5</v>
      </c>
      <c r="K20" s="15">
        <v>154</v>
      </c>
      <c r="L20" s="15">
        <v>53.5</v>
      </c>
      <c r="M20" s="15">
        <v>134</v>
      </c>
      <c r="N20" s="15">
        <v>46.3</v>
      </c>
      <c r="O20" s="15">
        <v>588</v>
      </c>
      <c r="P20" s="15">
        <v>54.2</v>
      </c>
    </row>
    <row r="21" spans="1:16" x14ac:dyDescent="0.2">
      <c r="A21" s="82" t="s">
        <v>1125</v>
      </c>
      <c r="B21" s="80"/>
      <c r="E21" s="80"/>
    </row>
    <row r="22" spans="1:16" x14ac:dyDescent="0.2">
      <c r="A22" t="s">
        <v>1135</v>
      </c>
      <c r="B22" t="s">
        <v>1862</v>
      </c>
      <c r="E22" s="80"/>
    </row>
    <row r="23" spans="1:16" x14ac:dyDescent="0.2">
      <c r="E23" s="80"/>
      <c r="F23" s="15"/>
      <c r="G23" s="15"/>
      <c r="H23" s="15"/>
    </row>
    <row r="24" spans="1:16" x14ac:dyDescent="0.2">
      <c r="E24" s="80"/>
    </row>
    <row r="25" spans="1:16" x14ac:dyDescent="0.2">
      <c r="E25" s="80"/>
      <c r="F25" s="15"/>
      <c r="G25" s="15"/>
      <c r="H25" s="15"/>
      <c r="K25" t="s">
        <v>1226</v>
      </c>
    </row>
    <row r="26" spans="1:16" x14ac:dyDescent="0.2">
      <c r="E26" s="80"/>
      <c r="F26" s="15"/>
      <c r="G26" s="15"/>
      <c r="H26" s="15"/>
    </row>
    <row r="27" spans="1:16" x14ac:dyDescent="0.2">
      <c r="A27" s="82"/>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election activeCell="N28" sqref="N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v>
      </c>
    </row>
    <row r="4" spans="1:17" x14ac:dyDescent="0.2">
      <c r="A4" s="16" t="s">
        <v>7</v>
      </c>
      <c r="B4" t="str">
        <f>IF($B$1="","",_xlfn.XLOOKUP($B$1,Master!$F$2:$F$321,Master!$H$2:$H$321,""))</f>
        <v>fig-fertility</v>
      </c>
      <c r="E4" s="8"/>
      <c r="F4" s="10" t="s">
        <v>968</v>
      </c>
      <c r="G4" s="10" t="s">
        <v>968</v>
      </c>
      <c r="H4" s="10" t="s">
        <v>968</v>
      </c>
      <c r="I4" s="10" t="s">
        <v>968</v>
      </c>
      <c r="J4" s="10" t="s">
        <v>968</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1096</v>
      </c>
      <c r="G6" s="15">
        <v>4787</v>
      </c>
      <c r="H6" s="15">
        <v>5109</v>
      </c>
      <c r="I6" s="15">
        <v>4948</v>
      </c>
      <c r="J6" s="15">
        <v>5235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995</v>
      </c>
      <c r="E14" s="80"/>
    </row>
    <row r="15" spans="1:17" x14ac:dyDescent="0.2">
      <c r="A15" t="s">
        <v>1114</v>
      </c>
      <c r="B15" t="b">
        <v>0</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tbl-fertility-rande</v>
      </c>
    </row>
    <row r="4" spans="1:17" x14ac:dyDescent="0.2">
      <c r="A4" s="16" t="s">
        <v>7</v>
      </c>
      <c r="B4" t="str">
        <f>IF($B$1="","",_xlfn.XLOOKUP($B$1,Master!$F$2:$F$321,Master!$H$2:$H$321,""))</f>
        <v>fig-fertility-rande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1289</v>
      </c>
      <c r="G5">
        <v>2020</v>
      </c>
      <c r="H5">
        <v>2021</v>
      </c>
      <c r="I5">
        <v>2022</v>
      </c>
      <c r="J5">
        <v>2023</v>
      </c>
    </row>
    <row r="6" spans="1:17" ht="15" customHeight="1" x14ac:dyDescent="0.2">
      <c r="A6" t="s">
        <v>1088</v>
      </c>
      <c r="B6" t="b">
        <v>0</v>
      </c>
      <c r="E6" s="80"/>
      <c r="F6" t="s">
        <v>1290</v>
      </c>
      <c r="G6" s="15">
        <v>74.5</v>
      </c>
      <c r="H6" s="15">
        <v>74.3</v>
      </c>
      <c r="I6" s="15">
        <v>71.900000000000006</v>
      </c>
      <c r="J6" s="15">
        <v>77.5</v>
      </c>
      <c r="K6" s="15"/>
      <c r="L6" s="15"/>
      <c r="M6" s="15"/>
      <c r="N6" s="15"/>
      <c r="O6" s="15"/>
    </row>
    <row r="7" spans="1:17" ht="15.75" customHeight="1" x14ac:dyDescent="0.2">
      <c r="E7" s="80"/>
      <c r="F7" t="s">
        <v>1235</v>
      </c>
      <c r="G7" s="15">
        <v>62.6</v>
      </c>
      <c r="H7" s="15">
        <v>60.3</v>
      </c>
      <c r="I7" s="15">
        <v>58.6</v>
      </c>
      <c r="J7" s="15">
        <v>53.8</v>
      </c>
      <c r="K7" s="15"/>
      <c r="L7" s="15"/>
      <c r="M7" s="15"/>
      <c r="N7" s="15"/>
      <c r="O7" s="15"/>
    </row>
    <row r="8" spans="1:17" x14ac:dyDescent="0.2">
      <c r="E8" s="80"/>
      <c r="F8" t="s">
        <v>1293</v>
      </c>
      <c r="G8" s="15">
        <v>67.7</v>
      </c>
      <c r="H8" s="15">
        <v>69.2</v>
      </c>
      <c r="I8" s="15">
        <v>65.5</v>
      </c>
      <c r="J8" s="15">
        <v>69.5</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tbl-fertility-sex</v>
      </c>
    </row>
    <row r="4" spans="1:17" x14ac:dyDescent="0.2">
      <c r="A4" s="16" t="s">
        <v>7</v>
      </c>
      <c r="B4" t="str">
        <f>IF($B$1="","",_xlfn.XLOOKUP($B$1,Master!$F$2:$F$321,Master!$H$2:$H$321,""))</f>
        <v>fig-fertility-sex</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1715</v>
      </c>
      <c r="G5">
        <v>2020</v>
      </c>
      <c r="H5">
        <v>2021</v>
      </c>
      <c r="I5">
        <v>2022</v>
      </c>
      <c r="J5">
        <v>2023</v>
      </c>
    </row>
    <row r="6" spans="1:17" ht="15" customHeight="1" x14ac:dyDescent="0.2">
      <c r="A6" t="s">
        <v>1088</v>
      </c>
      <c r="B6" t="b">
        <v>0</v>
      </c>
      <c r="E6" s="80"/>
      <c r="F6">
        <v>10940</v>
      </c>
      <c r="G6" s="15">
        <v>66.2</v>
      </c>
      <c r="H6" s="15">
        <v>67.099999999999994</v>
      </c>
      <c r="I6" s="15">
        <v>61.7</v>
      </c>
      <c r="J6" s="15">
        <v>62.2</v>
      </c>
      <c r="K6" s="15"/>
      <c r="L6" s="15"/>
      <c r="M6" s="15"/>
      <c r="N6" s="15"/>
      <c r="O6" s="15"/>
    </row>
    <row r="7" spans="1:17" ht="15.75" customHeight="1" x14ac:dyDescent="0.2">
      <c r="E7" s="80"/>
      <c r="F7">
        <v>10950</v>
      </c>
      <c r="G7" s="15">
        <v>151.69999999999999</v>
      </c>
      <c r="H7" s="15">
        <v>152.30000000000001</v>
      </c>
      <c r="I7" s="15">
        <v>135.6</v>
      </c>
      <c r="J7" s="15">
        <v>142.6</v>
      </c>
      <c r="K7" s="15"/>
      <c r="L7" s="15"/>
      <c r="M7" s="15"/>
      <c r="N7" s="15"/>
      <c r="O7" s="15"/>
    </row>
    <row r="8" spans="1:17" x14ac:dyDescent="0.2">
      <c r="E8" s="80"/>
      <c r="F8">
        <v>12550</v>
      </c>
      <c r="G8" s="15">
        <v>59.3</v>
      </c>
      <c r="H8" s="15">
        <v>58.6</v>
      </c>
      <c r="I8" s="15">
        <v>58.2</v>
      </c>
      <c r="J8" s="15">
        <v>58.6</v>
      </c>
      <c r="K8" s="15"/>
      <c r="L8" s="15"/>
      <c r="M8" s="15"/>
      <c r="N8" s="15"/>
      <c r="O8" s="15"/>
    </row>
    <row r="9" spans="1:17" x14ac:dyDescent="0.2">
      <c r="A9" s="84" t="s">
        <v>1098</v>
      </c>
      <c r="B9" s="80"/>
      <c r="E9" s="80"/>
      <c r="F9">
        <v>12771</v>
      </c>
      <c r="G9" s="15">
        <v>63.5</v>
      </c>
      <c r="H9" s="15">
        <v>53.5</v>
      </c>
      <c r="I9" s="15">
        <v>53.5</v>
      </c>
      <c r="J9" s="15">
        <v>46.3</v>
      </c>
      <c r="K9" s="15"/>
      <c r="L9" s="15"/>
      <c r="M9" s="15"/>
      <c r="N9" s="15"/>
      <c r="O9" s="15"/>
    </row>
    <row r="10" spans="1:17" x14ac:dyDescent="0.2">
      <c r="A10" t="s">
        <v>1100</v>
      </c>
      <c r="B10" t="s">
        <v>1300</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election activeCell="F18" sqref="F18:P18"/>
    </sheetView>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1077</v>
      </c>
      <c r="B1" s="79" t="s">
        <v>457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tbl-allbirths-under17-age-rande-zip</v>
      </c>
    </row>
    <row r="4" spans="1:17" x14ac:dyDescent="0.2">
      <c r="A4" s="16" t="s">
        <v>7</v>
      </c>
      <c r="B4" t="str">
        <f>IF($B$1="","",_xlfn.XLOOKUP($B$1,Master!$F$2:$F$321,Master!$H$2:$H$321,""))</f>
        <v>fig-allbirths-under17-age-rande-zip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4" t="s">
        <v>1081</v>
      </c>
      <c r="B5" s="80"/>
      <c r="E5" s="83" t="s">
        <v>1082</v>
      </c>
      <c r="G5" s="82">
        <v>2020</v>
      </c>
      <c r="H5" s="80"/>
      <c r="I5" s="82">
        <v>2021</v>
      </c>
      <c r="J5" s="80"/>
      <c r="K5" s="82">
        <v>2022</v>
      </c>
      <c r="L5" s="80"/>
      <c r="M5" s="82">
        <v>2023</v>
      </c>
      <c r="N5" s="80"/>
      <c r="O5" s="82"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1868</v>
      </c>
      <c r="G8" s="15">
        <v>22</v>
      </c>
      <c r="H8" s="15">
        <v>0.5</v>
      </c>
      <c r="I8" s="15">
        <v>30</v>
      </c>
      <c r="J8" s="15">
        <v>0.6</v>
      </c>
      <c r="K8" s="15">
        <v>24</v>
      </c>
      <c r="L8" s="15">
        <v>0.5</v>
      </c>
      <c r="M8" s="15">
        <v>38</v>
      </c>
      <c r="N8" s="15">
        <v>0.7</v>
      </c>
      <c r="O8" s="15">
        <v>114</v>
      </c>
      <c r="P8" s="15">
        <v>0.6</v>
      </c>
    </row>
    <row r="9" spans="1:17" x14ac:dyDescent="0.2">
      <c r="A9" s="84" t="s">
        <v>1098</v>
      </c>
      <c r="B9" s="80"/>
      <c r="E9" s="80"/>
      <c r="F9" s="91" t="s">
        <v>1276</v>
      </c>
      <c r="G9" s="80"/>
      <c r="H9" s="80"/>
      <c r="I9" s="80"/>
      <c r="J9" s="80"/>
      <c r="K9" s="80"/>
      <c r="L9" s="80"/>
      <c r="M9" s="80"/>
      <c r="N9" s="80"/>
      <c r="O9" s="80"/>
      <c r="P9" s="80"/>
    </row>
    <row r="10" spans="1:17" x14ac:dyDescent="0.2">
      <c r="A10" t="s">
        <v>1100</v>
      </c>
      <c r="E10" s="80"/>
      <c r="F10" s="49" t="s">
        <v>1869</v>
      </c>
      <c r="G10" s="15" t="s">
        <v>1031</v>
      </c>
      <c r="H10" s="15" t="s">
        <v>1031</v>
      </c>
      <c r="I10" s="15">
        <v>0</v>
      </c>
      <c r="J10" s="17">
        <v>0</v>
      </c>
      <c r="K10" s="17" t="s">
        <v>1031</v>
      </c>
      <c r="L10" s="17" t="s">
        <v>1031</v>
      </c>
      <c r="M10" s="17" t="s">
        <v>1031</v>
      </c>
      <c r="N10" s="17" t="s">
        <v>1031</v>
      </c>
      <c r="O10" s="15" t="s">
        <v>1031</v>
      </c>
      <c r="P10" s="15" t="s">
        <v>1031</v>
      </c>
    </row>
    <row r="11" spans="1:17" x14ac:dyDescent="0.2">
      <c r="A11" t="s">
        <v>1102</v>
      </c>
      <c r="E11" s="80"/>
      <c r="F11" s="48" t="s">
        <v>1870</v>
      </c>
      <c r="G11" s="17">
        <v>21</v>
      </c>
      <c r="H11" s="17">
        <v>0.4</v>
      </c>
      <c r="I11" s="15">
        <v>30</v>
      </c>
      <c r="J11" s="15">
        <v>0.6</v>
      </c>
      <c r="K11" s="15">
        <v>21</v>
      </c>
      <c r="L11" s="15">
        <v>0.4</v>
      </c>
      <c r="M11" s="15">
        <v>35</v>
      </c>
      <c r="N11" s="15">
        <v>0.7</v>
      </c>
      <c r="O11" s="15">
        <v>107</v>
      </c>
      <c r="P11" s="15">
        <v>0.5</v>
      </c>
    </row>
    <row r="12" spans="1:17" x14ac:dyDescent="0.2">
      <c r="A12" t="s">
        <v>1104</v>
      </c>
      <c r="E12" s="80"/>
      <c r="F12" s="47" t="s">
        <v>1871</v>
      </c>
      <c r="G12" s="15">
        <v>4786</v>
      </c>
      <c r="H12" s="15">
        <v>99.5</v>
      </c>
      <c r="I12" s="15">
        <v>5095</v>
      </c>
      <c r="J12" s="15">
        <v>99.4</v>
      </c>
      <c r="K12" s="15">
        <v>4941</v>
      </c>
      <c r="L12" s="15">
        <v>99.5</v>
      </c>
      <c r="M12" s="15">
        <v>5215</v>
      </c>
      <c r="N12" s="15">
        <v>99.3</v>
      </c>
      <c r="O12" s="15">
        <v>20037</v>
      </c>
      <c r="P12" s="15">
        <v>99.4</v>
      </c>
    </row>
    <row r="13" spans="1:17" x14ac:dyDescent="0.2">
      <c r="A13" t="s">
        <v>1108</v>
      </c>
      <c r="E13" s="80"/>
      <c r="F13" s="91" t="s">
        <v>1289</v>
      </c>
      <c r="G13" s="80"/>
      <c r="H13" s="80"/>
      <c r="I13" s="80"/>
      <c r="J13" s="80"/>
      <c r="K13" s="80"/>
      <c r="L13" s="80"/>
      <c r="M13" s="80"/>
      <c r="N13" s="80"/>
      <c r="O13" s="80"/>
      <c r="P13" s="80"/>
    </row>
    <row r="14" spans="1:17" x14ac:dyDescent="0.2">
      <c r="A14" t="s">
        <v>1112</v>
      </c>
      <c r="E14" s="80"/>
      <c r="F14" s="47" t="s">
        <v>1290</v>
      </c>
      <c r="G14" s="15" t="s">
        <v>1031</v>
      </c>
      <c r="H14" s="15" t="s">
        <v>1031</v>
      </c>
      <c r="I14" s="15" t="s">
        <v>1031</v>
      </c>
      <c r="J14" s="15" t="s">
        <v>1031</v>
      </c>
      <c r="K14" s="15" t="s">
        <v>1031</v>
      </c>
      <c r="L14" s="15" t="s">
        <v>1031</v>
      </c>
      <c r="M14" s="15" t="s">
        <v>1031</v>
      </c>
      <c r="N14" s="15" t="s">
        <v>1031</v>
      </c>
      <c r="O14" s="15">
        <v>16</v>
      </c>
      <c r="P14" s="15">
        <v>0.1</v>
      </c>
    </row>
    <row r="15" spans="1:17" x14ac:dyDescent="0.2">
      <c r="A15" t="s">
        <v>1114</v>
      </c>
      <c r="E15" s="80"/>
      <c r="F15" s="47" t="s">
        <v>1235</v>
      </c>
      <c r="G15" s="15" t="s">
        <v>1031</v>
      </c>
      <c r="H15" s="15" t="s">
        <v>1031</v>
      </c>
      <c r="I15" s="15" t="s">
        <v>1031</v>
      </c>
      <c r="J15" s="15" t="s">
        <v>1031</v>
      </c>
      <c r="K15" s="15" t="s">
        <v>1031</v>
      </c>
      <c r="L15" s="15" t="s">
        <v>1031</v>
      </c>
      <c r="M15" s="15" t="s">
        <v>1031</v>
      </c>
      <c r="N15" s="15" t="s">
        <v>1031</v>
      </c>
      <c r="O15" s="15">
        <v>18</v>
      </c>
      <c r="P15" s="15">
        <v>1.2</v>
      </c>
    </row>
    <row r="16" spans="1:17" x14ac:dyDescent="0.2">
      <c r="A16" t="s">
        <v>1116</v>
      </c>
      <c r="E16" s="80"/>
      <c r="F16" s="47" t="s">
        <v>1293</v>
      </c>
      <c r="G16" s="15">
        <v>14</v>
      </c>
      <c r="H16" s="15">
        <v>1.2</v>
      </c>
      <c r="I16" s="15">
        <v>19</v>
      </c>
      <c r="J16" s="15">
        <v>1.5</v>
      </c>
      <c r="K16" s="15">
        <v>15</v>
      </c>
      <c r="L16" s="15">
        <v>1.2</v>
      </c>
      <c r="M16" s="15">
        <v>26</v>
      </c>
      <c r="N16" s="15">
        <v>1.8</v>
      </c>
      <c r="O16" s="15">
        <v>74</v>
      </c>
      <c r="P16" s="15">
        <v>1.4</v>
      </c>
    </row>
    <row r="17" spans="1:16" x14ac:dyDescent="0.2">
      <c r="E17" s="80"/>
      <c r="F17" s="47" t="s">
        <v>1015</v>
      </c>
      <c r="G17" s="15" t="s">
        <v>1031</v>
      </c>
      <c r="H17" s="15" t="s">
        <v>1031</v>
      </c>
      <c r="I17" s="15" t="s">
        <v>1031</v>
      </c>
      <c r="J17" s="15" t="s">
        <v>1031</v>
      </c>
      <c r="K17" s="15" t="s">
        <v>1031</v>
      </c>
      <c r="L17" s="15" t="s">
        <v>1031</v>
      </c>
      <c r="M17" s="15" t="s">
        <v>1031</v>
      </c>
      <c r="N17" s="15" t="s">
        <v>1031</v>
      </c>
      <c r="O17" s="15" t="s">
        <v>1031</v>
      </c>
      <c r="P17" s="15" t="s">
        <v>1031</v>
      </c>
    </row>
    <row r="18" spans="1:16" x14ac:dyDescent="0.2">
      <c r="A18" s="84" t="s">
        <v>1119</v>
      </c>
      <c r="B18" s="80"/>
      <c r="E18" s="80"/>
      <c r="F18" s="91" t="s">
        <v>1294</v>
      </c>
      <c r="G18" s="80"/>
      <c r="H18" s="80"/>
      <c r="I18" s="80"/>
      <c r="J18" s="80"/>
      <c r="K18" s="80"/>
      <c r="L18" s="80"/>
      <c r="M18" s="80"/>
      <c r="N18" s="80"/>
      <c r="O18" s="80"/>
      <c r="P18" s="80"/>
    </row>
    <row r="19" spans="1:16" x14ac:dyDescent="0.2">
      <c r="A19" t="s">
        <v>1121</v>
      </c>
      <c r="B19" t="s">
        <v>1872</v>
      </c>
      <c r="E19" s="80"/>
      <c r="F19" s="47">
        <v>10940</v>
      </c>
      <c r="G19" s="15" t="s">
        <v>1031</v>
      </c>
      <c r="H19" s="15" t="s">
        <v>1031</v>
      </c>
      <c r="I19" s="15" t="s">
        <v>1031</v>
      </c>
      <c r="J19" s="15" t="s">
        <v>1031</v>
      </c>
      <c r="K19" s="15" t="s">
        <v>1031</v>
      </c>
      <c r="L19" s="15" t="s">
        <v>1031</v>
      </c>
      <c r="M19" s="15" t="s">
        <v>1031</v>
      </c>
      <c r="N19" s="15" t="s">
        <v>1031</v>
      </c>
      <c r="O19" s="15">
        <v>25</v>
      </c>
      <c r="P19" s="15">
        <v>1.1000000000000001</v>
      </c>
    </row>
    <row r="20" spans="1:16" x14ac:dyDescent="0.2">
      <c r="E20" s="80"/>
      <c r="F20" s="47" t="s">
        <v>1873</v>
      </c>
      <c r="G20" s="15" t="s">
        <v>1031</v>
      </c>
      <c r="H20" s="15" t="s">
        <v>1031</v>
      </c>
      <c r="I20" s="15" t="s">
        <v>1031</v>
      </c>
      <c r="J20" s="15" t="s">
        <v>1031</v>
      </c>
      <c r="K20" s="15" t="s">
        <v>1031</v>
      </c>
      <c r="L20" s="15" t="s">
        <v>1031</v>
      </c>
      <c r="M20" s="15" t="s">
        <v>1031</v>
      </c>
      <c r="N20" s="15" t="s">
        <v>1031</v>
      </c>
      <c r="O20" s="15">
        <v>15</v>
      </c>
      <c r="P20" s="15">
        <v>0.2</v>
      </c>
    </row>
    <row r="21" spans="1:16" x14ac:dyDescent="0.2">
      <c r="A21" s="82" t="s">
        <v>1125</v>
      </c>
      <c r="B21" s="80"/>
      <c r="E21" s="80"/>
      <c r="F21" s="47">
        <v>12550</v>
      </c>
      <c r="G21" s="15" t="s">
        <v>1031</v>
      </c>
      <c r="H21" s="15" t="s">
        <v>1031</v>
      </c>
      <c r="I21" s="15">
        <v>16</v>
      </c>
      <c r="J21" s="15">
        <v>2.4</v>
      </c>
      <c r="K21" s="15">
        <v>12</v>
      </c>
      <c r="L21" s="15">
        <v>1.8</v>
      </c>
      <c r="M21" s="15">
        <v>17</v>
      </c>
      <c r="N21" s="15">
        <v>2.5</v>
      </c>
      <c r="O21" s="15">
        <v>53</v>
      </c>
      <c r="P21" s="15">
        <v>2</v>
      </c>
    </row>
    <row r="22" spans="1:16" x14ac:dyDescent="0.2">
      <c r="A22" t="s">
        <v>1135</v>
      </c>
      <c r="B22" t="s">
        <v>1874</v>
      </c>
      <c r="E22" s="80"/>
      <c r="F22" s="47">
        <v>12771</v>
      </c>
      <c r="G22" s="15">
        <v>0</v>
      </c>
      <c r="H22" s="15">
        <v>0</v>
      </c>
      <c r="I22" s="15" t="s">
        <v>1031</v>
      </c>
      <c r="J22" s="15" t="s">
        <v>1031</v>
      </c>
      <c r="K22" s="15" t="s">
        <v>1031</v>
      </c>
      <c r="L22" s="15" t="s">
        <v>1031</v>
      </c>
      <c r="M22" s="15" t="s">
        <v>1031</v>
      </c>
      <c r="N22" s="15" t="s">
        <v>1031</v>
      </c>
      <c r="O22" s="15" t="s">
        <v>1031</v>
      </c>
      <c r="P22" s="15" t="s">
        <v>1031</v>
      </c>
    </row>
    <row r="23" spans="1:16" x14ac:dyDescent="0.2">
      <c r="E23" s="80"/>
    </row>
    <row r="24" spans="1:16" x14ac:dyDescent="0.2">
      <c r="E24" s="80"/>
    </row>
    <row r="25" spans="1:16" x14ac:dyDescent="0.2">
      <c r="E25" s="80"/>
      <c r="F25" s="15"/>
      <c r="G25" s="15"/>
      <c r="H25" s="15"/>
      <c r="K25" t="s">
        <v>1226</v>
      </c>
    </row>
    <row r="26" spans="1:16" x14ac:dyDescent="0.2">
      <c r="E26" s="80"/>
      <c r="F26" s="15"/>
      <c r="G26" s="15"/>
      <c r="H26" s="15"/>
    </row>
    <row r="27" spans="1:16" x14ac:dyDescent="0.2">
      <c r="A27" s="82"/>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election activeCell="N36" sqref="N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G5" s="82">
        <v>2020</v>
      </c>
      <c r="H5" s="80"/>
      <c r="I5" s="82">
        <v>2021</v>
      </c>
      <c r="J5" s="80"/>
      <c r="K5" s="82">
        <v>2022</v>
      </c>
      <c r="L5" s="80"/>
      <c r="M5" s="82">
        <v>2023</v>
      </c>
      <c r="N5" s="80"/>
      <c r="O5" s="82" t="s">
        <v>2357</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1875</v>
      </c>
      <c r="G7" s="15">
        <v>2649</v>
      </c>
      <c r="H7" s="15">
        <v>55.1</v>
      </c>
      <c r="I7" s="15">
        <v>2656</v>
      </c>
      <c r="J7" s="15">
        <v>51.8</v>
      </c>
      <c r="K7" s="15">
        <v>2768</v>
      </c>
      <c r="L7" s="15">
        <v>55.8</v>
      </c>
      <c r="M7" s="15">
        <v>3042</v>
      </c>
      <c r="N7" s="15">
        <v>57.9</v>
      </c>
      <c r="O7" s="15">
        <v>11115</v>
      </c>
      <c r="P7" s="15">
        <v>55.1</v>
      </c>
    </row>
    <row r="8" spans="1:17" x14ac:dyDescent="0.2">
      <c r="E8" s="80"/>
      <c r="F8" s="91" t="s">
        <v>1276</v>
      </c>
      <c r="G8" s="80"/>
      <c r="H8" s="80"/>
      <c r="I8" s="80"/>
      <c r="J8" s="80"/>
      <c r="K8" s="80"/>
      <c r="L8" s="80"/>
      <c r="M8" s="80"/>
      <c r="N8" s="80"/>
      <c r="O8" s="80"/>
      <c r="P8" s="80"/>
    </row>
    <row r="9" spans="1:17" x14ac:dyDescent="0.2">
      <c r="A9" s="84" t="s">
        <v>1098</v>
      </c>
      <c r="B9" s="80"/>
      <c r="E9" s="80"/>
      <c r="F9" s="49" t="s">
        <v>1869</v>
      </c>
      <c r="G9" s="15">
        <v>0</v>
      </c>
      <c r="H9" s="15">
        <v>0</v>
      </c>
      <c r="I9" s="15">
        <v>0</v>
      </c>
      <c r="J9" s="17">
        <v>0</v>
      </c>
      <c r="K9" s="17" t="s">
        <v>1031</v>
      </c>
      <c r="L9" s="17" t="s">
        <v>1031</v>
      </c>
      <c r="M9" s="17" t="s">
        <v>1031</v>
      </c>
      <c r="N9" s="17" t="s">
        <v>1031</v>
      </c>
      <c r="O9" s="15" t="s">
        <v>1031</v>
      </c>
      <c r="P9" s="15" t="s">
        <v>1031</v>
      </c>
    </row>
    <row r="10" spans="1:17" x14ac:dyDescent="0.2">
      <c r="A10" t="s">
        <v>1100</v>
      </c>
      <c r="E10" s="80"/>
      <c r="F10" s="55" t="s">
        <v>1870</v>
      </c>
      <c r="G10" s="17">
        <v>15</v>
      </c>
      <c r="H10" s="17">
        <v>71.400000000000006</v>
      </c>
      <c r="I10" s="15">
        <v>25</v>
      </c>
      <c r="J10" s="15">
        <v>83.3</v>
      </c>
      <c r="K10" s="15">
        <v>17</v>
      </c>
      <c r="L10" s="15">
        <v>81</v>
      </c>
      <c r="M10" s="15">
        <v>31</v>
      </c>
      <c r="N10" s="15">
        <v>88.6</v>
      </c>
      <c r="O10" s="15">
        <v>88</v>
      </c>
      <c r="P10" s="15">
        <v>81.099999999999994</v>
      </c>
    </row>
    <row r="11" spans="1:17" x14ac:dyDescent="0.2">
      <c r="A11" t="s">
        <v>1102</v>
      </c>
      <c r="E11" s="80"/>
      <c r="F11" s="49" t="s">
        <v>1876</v>
      </c>
      <c r="G11" s="15">
        <v>85</v>
      </c>
      <c r="H11" s="15">
        <v>81.7</v>
      </c>
      <c r="I11" s="15">
        <v>91</v>
      </c>
      <c r="J11" s="15">
        <v>82.7</v>
      </c>
      <c r="K11" s="15">
        <v>118</v>
      </c>
      <c r="L11" s="15">
        <v>84.3</v>
      </c>
      <c r="M11" s="15">
        <v>110</v>
      </c>
      <c r="N11" s="15">
        <v>84.6</v>
      </c>
      <c r="O11" s="15">
        <v>404</v>
      </c>
      <c r="P11" s="15">
        <v>83.3</v>
      </c>
    </row>
    <row r="12" spans="1:17" x14ac:dyDescent="0.2">
      <c r="A12" t="s">
        <v>1104</v>
      </c>
      <c r="E12" s="80"/>
      <c r="F12" s="49" t="s">
        <v>1701</v>
      </c>
      <c r="G12" s="15">
        <v>745</v>
      </c>
      <c r="H12" s="15">
        <v>77.900000000000006</v>
      </c>
      <c r="I12" s="15">
        <v>741</v>
      </c>
      <c r="J12" s="15">
        <v>74.8</v>
      </c>
      <c r="K12" s="15">
        <v>778</v>
      </c>
      <c r="L12" s="15">
        <v>78.400000000000006</v>
      </c>
      <c r="M12" s="15">
        <v>908</v>
      </c>
      <c r="N12" s="15">
        <v>82.7</v>
      </c>
      <c r="O12" s="15">
        <v>3172</v>
      </c>
      <c r="P12" s="15">
        <v>78.5</v>
      </c>
    </row>
    <row r="13" spans="1:17" x14ac:dyDescent="0.2">
      <c r="A13" t="s">
        <v>1108</v>
      </c>
      <c r="E13" s="80"/>
      <c r="F13" s="49" t="s">
        <v>1861</v>
      </c>
      <c r="G13" s="15">
        <v>1796</v>
      </c>
      <c r="H13" s="15">
        <v>48.5</v>
      </c>
      <c r="I13" s="15">
        <v>1794</v>
      </c>
      <c r="J13" s="15">
        <v>45.1</v>
      </c>
      <c r="K13" s="15">
        <v>1843</v>
      </c>
      <c r="L13" s="15">
        <v>48.6</v>
      </c>
      <c r="M13" s="15">
        <v>1985</v>
      </c>
      <c r="N13" s="15">
        <v>50</v>
      </c>
      <c r="O13" s="15">
        <v>7418</v>
      </c>
      <c r="P13" s="15">
        <v>48</v>
      </c>
    </row>
    <row r="14" spans="1:17" x14ac:dyDescent="0.2">
      <c r="A14" t="s">
        <v>1112</v>
      </c>
      <c r="E14" s="80"/>
      <c r="F14" s="49" t="s">
        <v>1877</v>
      </c>
      <c r="G14" s="15" t="s">
        <v>1031</v>
      </c>
      <c r="H14" s="15" t="s">
        <v>1031</v>
      </c>
      <c r="I14" s="15" t="s">
        <v>1031</v>
      </c>
      <c r="J14" s="15" t="s">
        <v>1031</v>
      </c>
      <c r="K14" s="15" t="s">
        <v>1031</v>
      </c>
      <c r="L14" s="15" t="s">
        <v>1031</v>
      </c>
      <c r="M14" s="15" t="s">
        <v>1031</v>
      </c>
      <c r="N14" s="15" t="s">
        <v>1031</v>
      </c>
      <c r="O14" s="15">
        <v>28</v>
      </c>
      <c r="P14" s="15">
        <v>43.9</v>
      </c>
    </row>
    <row r="15" spans="1:17" x14ac:dyDescent="0.2">
      <c r="A15" t="s">
        <v>1114</v>
      </c>
      <c r="E15" s="80"/>
      <c r="F15" s="93" t="s">
        <v>1289</v>
      </c>
      <c r="G15" s="80"/>
      <c r="H15" s="80"/>
      <c r="I15" s="80"/>
      <c r="J15" s="80"/>
      <c r="K15" s="80"/>
      <c r="L15" s="80"/>
      <c r="M15" s="80"/>
      <c r="N15" s="80"/>
      <c r="O15" s="80"/>
      <c r="P15" s="80"/>
    </row>
    <row r="16" spans="1:17" x14ac:dyDescent="0.2">
      <c r="A16" t="s">
        <v>1116</v>
      </c>
      <c r="E16" s="80"/>
      <c r="F16" s="49" t="s">
        <v>1290</v>
      </c>
      <c r="G16" s="15">
        <v>1607</v>
      </c>
      <c r="H16" s="15">
        <v>54</v>
      </c>
      <c r="I16" s="15">
        <v>1587</v>
      </c>
      <c r="J16" s="15">
        <v>51.7</v>
      </c>
      <c r="K16" s="15">
        <v>1638</v>
      </c>
      <c r="L16" s="15">
        <v>54</v>
      </c>
      <c r="M16" s="15">
        <v>1814</v>
      </c>
      <c r="N16" s="15">
        <v>55.9</v>
      </c>
      <c r="O16" s="15">
        <v>6646</v>
      </c>
      <c r="P16" s="15">
        <v>53.9</v>
      </c>
    </row>
    <row r="17" spans="1:16" x14ac:dyDescent="0.2">
      <c r="E17" s="80"/>
      <c r="F17" s="49" t="s">
        <v>1235</v>
      </c>
      <c r="G17" s="15">
        <v>208</v>
      </c>
      <c r="H17" s="15">
        <v>53.3</v>
      </c>
      <c r="I17" s="15">
        <v>206</v>
      </c>
      <c r="J17" s="15">
        <v>52</v>
      </c>
      <c r="K17" s="15">
        <v>198</v>
      </c>
      <c r="L17" s="15">
        <v>48.5</v>
      </c>
      <c r="M17" s="15">
        <v>179</v>
      </c>
      <c r="N17" s="15">
        <v>51.3</v>
      </c>
      <c r="O17" s="15">
        <v>791</v>
      </c>
      <c r="P17" s="15">
        <v>51.3</v>
      </c>
    </row>
    <row r="18" spans="1:16" x14ac:dyDescent="0.2">
      <c r="A18" s="84" t="s">
        <v>1119</v>
      </c>
      <c r="B18" s="80"/>
      <c r="E18" s="80"/>
      <c r="F18" s="49" t="s">
        <v>1293</v>
      </c>
      <c r="G18" s="15">
        <v>718</v>
      </c>
      <c r="H18" s="15">
        <v>59.7</v>
      </c>
      <c r="I18" s="15">
        <v>771</v>
      </c>
      <c r="J18" s="15">
        <v>59.4</v>
      </c>
      <c r="K18" s="15">
        <v>845</v>
      </c>
      <c r="L18" s="15">
        <v>65.099999999999994</v>
      </c>
      <c r="M18" s="15">
        <v>945</v>
      </c>
      <c r="N18" s="15">
        <v>65.7</v>
      </c>
      <c r="O18" s="15">
        <v>3279</v>
      </c>
      <c r="P18" s="15">
        <v>62.5</v>
      </c>
    </row>
    <row r="19" spans="1:16" x14ac:dyDescent="0.2">
      <c r="A19" t="s">
        <v>1121</v>
      </c>
      <c r="B19" t="s">
        <v>1287</v>
      </c>
      <c r="E19" s="80"/>
      <c r="F19" s="49" t="s">
        <v>1015</v>
      </c>
      <c r="G19" s="15">
        <v>116</v>
      </c>
      <c r="H19" s="15">
        <v>48.1</v>
      </c>
      <c r="I19" s="15">
        <v>92</v>
      </c>
      <c r="J19" s="15">
        <v>25.2</v>
      </c>
      <c r="K19" s="15">
        <v>87</v>
      </c>
      <c r="L19" s="15">
        <v>38.5</v>
      </c>
      <c r="M19" s="15">
        <v>104</v>
      </c>
      <c r="N19" s="15">
        <v>46.6</v>
      </c>
      <c r="O19" s="15">
        <v>399</v>
      </c>
      <c r="P19" s="15">
        <v>39.6</v>
      </c>
    </row>
    <row r="20" spans="1:16" x14ac:dyDescent="0.2">
      <c r="E20" s="80"/>
      <c r="F20" s="93" t="s">
        <v>1294</v>
      </c>
      <c r="G20" s="80"/>
      <c r="H20" s="80"/>
      <c r="I20" s="80"/>
      <c r="J20" s="80"/>
      <c r="K20" s="80"/>
      <c r="L20" s="80"/>
      <c r="M20" s="80"/>
      <c r="N20" s="80"/>
      <c r="O20" s="80"/>
      <c r="P20" s="80"/>
    </row>
    <row r="21" spans="1:16" x14ac:dyDescent="0.2">
      <c r="A21" s="82" t="s">
        <v>1125</v>
      </c>
      <c r="B21" s="80"/>
      <c r="E21" s="80"/>
      <c r="F21" s="49">
        <v>10940</v>
      </c>
      <c r="G21" s="15">
        <v>292</v>
      </c>
      <c r="H21" s="15">
        <v>50.9</v>
      </c>
      <c r="I21" s="15">
        <v>310</v>
      </c>
      <c r="J21" s="15">
        <v>53.8</v>
      </c>
      <c r="K21" s="15">
        <v>315</v>
      </c>
      <c r="L21" s="15">
        <v>57.5</v>
      </c>
      <c r="M21" s="15">
        <v>344</v>
      </c>
      <c r="N21" s="15">
        <v>57</v>
      </c>
      <c r="O21" s="15">
        <v>1261</v>
      </c>
      <c r="P21" s="15">
        <v>54.8</v>
      </c>
    </row>
    <row r="22" spans="1:16" x14ac:dyDescent="0.2">
      <c r="A22" t="s">
        <v>1135</v>
      </c>
      <c r="B22" t="s">
        <v>1878</v>
      </c>
      <c r="E22" s="80"/>
      <c r="F22" s="49" t="s">
        <v>1873</v>
      </c>
      <c r="G22" s="15">
        <v>1256</v>
      </c>
      <c r="H22" s="15">
        <v>81.8</v>
      </c>
      <c r="I22" s="15">
        <v>1263</v>
      </c>
      <c r="J22" s="15">
        <v>74.2</v>
      </c>
      <c r="K22" s="15">
        <v>1343</v>
      </c>
      <c r="L22" s="15">
        <v>79.3</v>
      </c>
      <c r="M22" s="15">
        <v>1554</v>
      </c>
      <c r="N22" s="15">
        <v>82.8</v>
      </c>
      <c r="O22" s="15">
        <v>5416</v>
      </c>
      <c r="P22" s="15">
        <v>79.5</v>
      </c>
    </row>
    <row r="23" spans="1:16" x14ac:dyDescent="0.2">
      <c r="E23" s="80"/>
      <c r="F23" s="49">
        <v>12550</v>
      </c>
      <c r="G23" s="15">
        <v>414</v>
      </c>
      <c r="H23" s="15">
        <v>61.9</v>
      </c>
      <c r="I23" s="15">
        <v>434</v>
      </c>
      <c r="J23" s="15">
        <v>65.099999999999994</v>
      </c>
      <c r="K23" s="15">
        <v>434</v>
      </c>
      <c r="L23" s="15">
        <v>63.9</v>
      </c>
      <c r="M23" s="15">
        <v>456</v>
      </c>
      <c r="N23" s="15">
        <v>66</v>
      </c>
      <c r="O23" s="15">
        <v>1738</v>
      </c>
      <c r="P23" s="15">
        <v>64.2</v>
      </c>
    </row>
    <row r="24" spans="1:16" x14ac:dyDescent="0.2">
      <c r="E24" s="80"/>
      <c r="F24" s="49">
        <v>12771</v>
      </c>
      <c r="G24" s="15">
        <v>90</v>
      </c>
      <c r="H24" s="15">
        <v>57.7</v>
      </c>
      <c r="I24" s="15">
        <v>65</v>
      </c>
      <c r="J24" s="15">
        <v>44.5</v>
      </c>
      <c r="K24" s="15">
        <v>82</v>
      </c>
      <c r="L24" s="15">
        <v>52.9</v>
      </c>
      <c r="M24" s="15">
        <v>66</v>
      </c>
      <c r="N24" s="15">
        <v>49.3</v>
      </c>
      <c r="O24" s="15">
        <v>303</v>
      </c>
      <c r="P24" s="15">
        <v>51.1</v>
      </c>
    </row>
    <row r="25" spans="1:16" x14ac:dyDescent="0.2">
      <c r="E25" s="80"/>
      <c r="F25" s="12"/>
    </row>
    <row r="26" spans="1:16" x14ac:dyDescent="0.2">
      <c r="E26" s="80"/>
    </row>
    <row r="27" spans="1:16" x14ac:dyDescent="0.2">
      <c r="A27" s="82"/>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tbl-maternal-mortal</v>
      </c>
    </row>
    <row r="4" spans="1:17" x14ac:dyDescent="0.2">
      <c r="A4" s="16" t="s">
        <v>7</v>
      </c>
      <c r="B4" t="str">
        <f>IF($B$1="","",_xlfn.XLOOKUP($B$1,Master!$F$2:$F$321,Master!$H$2:$H$321,""))</f>
        <v>fig-maternal-mortal</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2018</v>
      </c>
      <c r="H5">
        <v>2019</v>
      </c>
      <c r="I5">
        <v>2020</v>
      </c>
      <c r="J5">
        <v>2021</v>
      </c>
    </row>
    <row r="6" spans="1:17" ht="15" customHeight="1" x14ac:dyDescent="0.2">
      <c r="A6" t="s">
        <v>1088</v>
      </c>
      <c r="B6" t="b">
        <v>0</v>
      </c>
      <c r="E6" s="80"/>
      <c r="F6" t="s">
        <v>1297</v>
      </c>
      <c r="G6" s="15" t="s">
        <v>1879</v>
      </c>
      <c r="H6" s="15" t="s">
        <v>1880</v>
      </c>
      <c r="I6" s="15" t="s">
        <v>1881</v>
      </c>
      <c r="J6" s="15" t="s">
        <v>1882</v>
      </c>
      <c r="K6" s="15"/>
      <c r="L6" s="15"/>
      <c r="M6" s="15"/>
      <c r="N6" s="15"/>
      <c r="O6" s="15"/>
    </row>
    <row r="7" spans="1:17" ht="15.75" customHeight="1" x14ac:dyDescent="0.2">
      <c r="E7" s="80"/>
      <c r="F7" t="s">
        <v>1645</v>
      </c>
      <c r="G7" s="15">
        <v>17.5</v>
      </c>
      <c r="H7" s="15">
        <v>17.600000000000001</v>
      </c>
      <c r="I7" s="15">
        <v>18.5</v>
      </c>
      <c r="J7" s="15">
        <v>20.7</v>
      </c>
      <c r="K7" s="15"/>
      <c r="L7" s="15"/>
      <c r="M7" s="15"/>
      <c r="N7" s="15"/>
      <c r="O7" s="15"/>
    </row>
    <row r="8" spans="1:17" x14ac:dyDescent="0.2">
      <c r="E8" s="80"/>
      <c r="F8" t="s">
        <v>1298</v>
      </c>
      <c r="G8" s="15">
        <v>18.8</v>
      </c>
      <c r="H8" s="15">
        <v>19.3</v>
      </c>
      <c r="I8" s="17">
        <v>21.9</v>
      </c>
      <c r="J8" s="15">
        <v>22.6</v>
      </c>
      <c r="K8" s="15"/>
      <c r="L8" s="15"/>
      <c r="M8" s="15"/>
      <c r="N8" s="15"/>
      <c r="O8" s="15"/>
    </row>
    <row r="9" spans="1:17" x14ac:dyDescent="0.2">
      <c r="A9" s="84" t="s">
        <v>1098</v>
      </c>
      <c r="B9" s="80"/>
      <c r="E9" s="80"/>
      <c r="F9" t="s">
        <v>1299</v>
      </c>
      <c r="G9" s="15">
        <v>19.3</v>
      </c>
      <c r="H9" s="15">
        <v>19.3</v>
      </c>
      <c r="I9" s="15">
        <v>20.5</v>
      </c>
      <c r="J9" s="15">
        <v>21.6</v>
      </c>
      <c r="K9" s="15"/>
      <c r="L9" s="15"/>
      <c r="M9" s="15"/>
      <c r="N9" s="15"/>
      <c r="O9" s="15"/>
    </row>
    <row r="10" spans="1:17" x14ac:dyDescent="0.2">
      <c r="A10" t="s">
        <v>1100</v>
      </c>
      <c r="B10" t="s">
        <v>1304</v>
      </c>
      <c r="E10" s="80"/>
      <c r="F10" t="s">
        <v>1883</v>
      </c>
      <c r="G10" s="15">
        <v>16</v>
      </c>
      <c r="H10" s="15">
        <v>16</v>
      </c>
      <c r="I10" s="15">
        <v>16</v>
      </c>
      <c r="J10" s="15">
        <v>16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1884</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tbl-child-adolescent-mortal</v>
      </c>
    </row>
    <row r="4" spans="1:17" x14ac:dyDescent="0.2">
      <c r="A4" s="16" t="s">
        <v>7</v>
      </c>
      <c r="B4" t="str">
        <f>IF($B$1="","",_xlfn.XLOOKUP($B$1,Master!$F$2:$F$321,Master!$H$2:$H$321,""))</f>
        <v>fig-child-adolescent-mortal</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2018</v>
      </c>
      <c r="H5">
        <v>2019</v>
      </c>
      <c r="I5">
        <v>2020</v>
      </c>
      <c r="J5">
        <v>2021</v>
      </c>
    </row>
    <row r="6" spans="1:17" ht="15" customHeight="1" x14ac:dyDescent="0.2">
      <c r="A6" t="s">
        <v>1088</v>
      </c>
      <c r="B6" t="b">
        <v>0</v>
      </c>
      <c r="E6" s="80"/>
      <c r="F6" t="s">
        <v>1297</v>
      </c>
      <c r="G6" s="15">
        <v>17.600000000000001</v>
      </c>
      <c r="H6" s="15">
        <v>21.1</v>
      </c>
      <c r="I6" s="15">
        <v>16.5</v>
      </c>
      <c r="J6" s="15">
        <v>18.8</v>
      </c>
      <c r="K6" s="15"/>
      <c r="L6" s="15"/>
      <c r="M6" s="15"/>
      <c r="N6" s="15"/>
      <c r="O6" s="15"/>
    </row>
    <row r="7" spans="1:17" ht="15.75" customHeight="1" x14ac:dyDescent="0.2">
      <c r="E7" s="80"/>
      <c r="F7" t="s">
        <v>1645</v>
      </c>
      <c r="G7" s="15">
        <v>20.3</v>
      </c>
      <c r="H7" s="15">
        <v>20.2</v>
      </c>
      <c r="I7" s="15">
        <v>20.3</v>
      </c>
      <c r="J7" s="15">
        <v>21.9</v>
      </c>
      <c r="K7" s="15"/>
      <c r="L7" s="15"/>
      <c r="M7" s="15"/>
      <c r="N7" s="15"/>
      <c r="O7" s="15"/>
    </row>
    <row r="8" spans="1:17" x14ac:dyDescent="0.2">
      <c r="E8" s="80"/>
      <c r="F8" t="s">
        <v>1298</v>
      </c>
      <c r="G8" s="15">
        <v>22.2</v>
      </c>
      <c r="H8" s="15">
        <v>22.3</v>
      </c>
      <c r="I8" s="15">
        <v>22.7</v>
      </c>
      <c r="J8" s="15">
        <v>24.1</v>
      </c>
      <c r="K8" s="15"/>
      <c r="L8" s="15"/>
      <c r="M8" s="15"/>
      <c r="N8" s="15"/>
      <c r="O8" s="15"/>
    </row>
    <row r="9" spans="1:17" x14ac:dyDescent="0.2">
      <c r="A9" s="84" t="s">
        <v>1098</v>
      </c>
      <c r="B9" s="80"/>
      <c r="E9" s="80"/>
      <c r="F9" t="s">
        <v>1299</v>
      </c>
      <c r="G9" s="15">
        <v>21.5</v>
      </c>
      <c r="H9" s="15">
        <v>21.9</v>
      </c>
      <c r="I9" s="15">
        <v>22.2</v>
      </c>
      <c r="J9" s="15">
        <v>23.6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1755</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tbl-infant-mortal</v>
      </c>
    </row>
    <row r="4" spans="1:17" x14ac:dyDescent="0.2">
      <c r="A4" s="16" t="s">
        <v>7</v>
      </c>
      <c r="B4" t="str">
        <f>IF($B$1="","",_xlfn.XLOOKUP($B$1,Master!$F$2:$F$321,Master!$H$2:$H$321,""))</f>
        <v>fig-infant-mortal</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3.6</v>
      </c>
      <c r="H6" s="15">
        <v>3.2</v>
      </c>
      <c r="I6" s="15" t="s">
        <v>1887</v>
      </c>
      <c r="J6" s="15" t="s">
        <v>1888</v>
      </c>
      <c r="K6" s="15">
        <v>3</v>
      </c>
      <c r="L6" s="15"/>
      <c r="M6" s="15"/>
      <c r="N6" s="15"/>
      <c r="O6" s="15"/>
    </row>
    <row r="7" spans="1:17" ht="15.75" customHeight="1" x14ac:dyDescent="0.2">
      <c r="E7" s="80"/>
      <c r="F7" t="s">
        <v>1298</v>
      </c>
      <c r="G7" s="15">
        <v>4.5999999999999996</v>
      </c>
      <c r="H7" s="15">
        <v>3.5</v>
      </c>
      <c r="I7" s="15">
        <v>9.6999999999999993</v>
      </c>
      <c r="J7" s="15">
        <v>2.8</v>
      </c>
      <c r="K7" s="15">
        <v>4.5999999999999996</v>
      </c>
      <c r="L7" s="15"/>
      <c r="M7" s="15"/>
      <c r="N7" s="15"/>
      <c r="O7" s="15"/>
    </row>
    <row r="8" spans="1:17" x14ac:dyDescent="0.2">
      <c r="E8" s="80"/>
      <c r="F8" t="s">
        <v>1299</v>
      </c>
      <c r="G8" s="15">
        <v>4.2</v>
      </c>
      <c r="H8" s="15">
        <v>3</v>
      </c>
      <c r="I8" s="15">
        <v>8.3000000000000007</v>
      </c>
      <c r="J8" s="15">
        <v>2</v>
      </c>
      <c r="K8" s="15">
        <v>3.8</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1889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1890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tbl-early-pnc-age-rande-zip</v>
      </c>
    </row>
    <row r="4" spans="1:17" x14ac:dyDescent="0.2">
      <c r="A4" s="16" t="s">
        <v>7</v>
      </c>
      <c r="B4" t="str">
        <f>IF($B$1="","",_xlfn.XLOOKUP($B$1,Master!$F$2:$F$321,Master!$H$2:$H$321,""))</f>
        <v>fig-early-pnc-age-rande-zip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G5" s="82">
        <v>2020</v>
      </c>
      <c r="H5" s="80"/>
      <c r="I5" s="82">
        <v>2021</v>
      </c>
      <c r="J5" s="80"/>
      <c r="K5" s="82">
        <v>2022</v>
      </c>
      <c r="L5" s="80"/>
      <c r="M5" s="82">
        <v>2023</v>
      </c>
      <c r="N5" s="80"/>
      <c r="O5" s="82" t="s">
        <v>2357</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1891</v>
      </c>
      <c r="G8" s="15">
        <v>3315</v>
      </c>
      <c r="H8" s="15">
        <v>68.900000000000006</v>
      </c>
      <c r="I8" s="15">
        <v>3276</v>
      </c>
      <c r="J8" s="15">
        <v>63.9</v>
      </c>
      <c r="K8" s="15">
        <v>3290</v>
      </c>
      <c r="L8" s="15">
        <v>66.3</v>
      </c>
      <c r="M8" s="15">
        <v>3619</v>
      </c>
      <c r="N8" s="15">
        <v>68.900000000000006</v>
      </c>
      <c r="O8" s="15">
        <v>13500</v>
      </c>
      <c r="P8" s="15">
        <v>67</v>
      </c>
    </row>
    <row r="9" spans="1:17" x14ac:dyDescent="0.2">
      <c r="A9" s="84" t="s">
        <v>1098</v>
      </c>
      <c r="B9" s="80"/>
      <c r="E9" s="80"/>
      <c r="F9" s="91" t="s">
        <v>1276</v>
      </c>
      <c r="G9" s="80"/>
      <c r="H9" s="80"/>
      <c r="I9" s="80"/>
      <c r="J9" s="80"/>
      <c r="K9" s="80"/>
      <c r="L9" s="80"/>
      <c r="M9" s="80"/>
      <c r="N9" s="80"/>
      <c r="O9" s="80"/>
      <c r="P9" s="80"/>
    </row>
    <row r="10" spans="1:17" x14ac:dyDescent="0.2">
      <c r="A10" t="s">
        <v>1100</v>
      </c>
      <c r="E10" s="80"/>
      <c r="F10" s="55" t="s">
        <v>1869</v>
      </c>
      <c r="G10" s="17">
        <v>0</v>
      </c>
      <c r="H10" s="17">
        <v>0</v>
      </c>
      <c r="I10" s="15">
        <v>0</v>
      </c>
      <c r="J10" s="15">
        <v>0</v>
      </c>
      <c r="K10" s="15">
        <v>0</v>
      </c>
      <c r="L10" s="15">
        <v>0</v>
      </c>
      <c r="M10" s="15">
        <v>0</v>
      </c>
      <c r="N10" s="15">
        <v>0</v>
      </c>
      <c r="O10" s="15">
        <v>0</v>
      </c>
      <c r="P10" s="15">
        <v>0</v>
      </c>
    </row>
    <row r="11" spans="1:17" x14ac:dyDescent="0.2">
      <c r="A11" t="s">
        <v>1102</v>
      </c>
      <c r="E11" s="80"/>
      <c r="F11" s="47" t="s">
        <v>1870</v>
      </c>
      <c r="G11" s="15">
        <v>9</v>
      </c>
      <c r="H11" s="15">
        <v>42.9</v>
      </c>
      <c r="I11" s="15">
        <v>9</v>
      </c>
      <c r="J11" s="15">
        <v>30</v>
      </c>
      <c r="K11" s="15">
        <v>4</v>
      </c>
      <c r="L11" s="15">
        <v>19</v>
      </c>
      <c r="M11" s="15">
        <v>4</v>
      </c>
      <c r="N11" s="15">
        <v>11.4</v>
      </c>
      <c r="O11" s="15">
        <v>26</v>
      </c>
      <c r="P11" s="15">
        <v>25.8</v>
      </c>
    </row>
    <row r="12" spans="1:17" x14ac:dyDescent="0.2">
      <c r="A12" t="s">
        <v>1104</v>
      </c>
      <c r="E12" s="80"/>
      <c r="F12" s="47" t="s">
        <v>1876</v>
      </c>
      <c r="G12" s="15">
        <v>50</v>
      </c>
      <c r="H12" s="15">
        <v>48.1</v>
      </c>
      <c r="I12" s="15">
        <v>61</v>
      </c>
      <c r="J12" s="15">
        <v>55.5</v>
      </c>
      <c r="K12" s="15">
        <v>72</v>
      </c>
      <c r="L12" s="15">
        <v>51.4</v>
      </c>
      <c r="M12" s="15">
        <v>71</v>
      </c>
      <c r="N12" s="15">
        <v>54.6</v>
      </c>
      <c r="O12" s="15">
        <v>254</v>
      </c>
      <c r="P12" s="15">
        <v>52.4</v>
      </c>
    </row>
    <row r="13" spans="1:17" x14ac:dyDescent="0.2">
      <c r="A13" t="s">
        <v>1108</v>
      </c>
      <c r="E13" s="80"/>
      <c r="F13" s="47" t="s">
        <v>1701</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1112</v>
      </c>
      <c r="E14" s="80"/>
      <c r="F14" s="47" t="s">
        <v>1861</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1114</v>
      </c>
      <c r="E15" s="80"/>
      <c r="F15" s="47" t="s">
        <v>1877</v>
      </c>
      <c r="G15" s="15">
        <v>14</v>
      </c>
      <c r="H15" s="15">
        <v>70</v>
      </c>
      <c r="I15" s="15">
        <v>8</v>
      </c>
      <c r="J15" s="15">
        <v>50</v>
      </c>
      <c r="K15" s="15">
        <v>11</v>
      </c>
      <c r="L15" s="15">
        <v>78.599999999999994</v>
      </c>
      <c r="M15" s="15">
        <v>11</v>
      </c>
      <c r="N15" s="15">
        <v>73.3</v>
      </c>
      <c r="O15" s="15">
        <v>44</v>
      </c>
      <c r="P15" s="15">
        <v>68</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2199</v>
      </c>
      <c r="H17" s="15">
        <v>73.900000000000006</v>
      </c>
      <c r="I17" s="15">
        <v>2138</v>
      </c>
      <c r="J17" s="15">
        <v>69.7</v>
      </c>
      <c r="K17" s="15">
        <v>2160</v>
      </c>
      <c r="L17" s="15">
        <v>71.2</v>
      </c>
      <c r="M17" s="15">
        <v>2438</v>
      </c>
      <c r="N17" s="15">
        <v>75.2</v>
      </c>
      <c r="O17" s="15">
        <v>8935</v>
      </c>
      <c r="P17" s="15">
        <v>72.5</v>
      </c>
    </row>
    <row r="18" spans="1:16" x14ac:dyDescent="0.2">
      <c r="A18" s="84" t="s">
        <v>1119</v>
      </c>
      <c r="B18" s="80"/>
      <c r="E18" s="80"/>
      <c r="F18" s="47" t="s">
        <v>1235</v>
      </c>
      <c r="G18" s="15">
        <v>242</v>
      </c>
      <c r="H18" s="15">
        <v>62.1</v>
      </c>
      <c r="I18" s="15">
        <v>238</v>
      </c>
      <c r="J18" s="15">
        <v>60.1</v>
      </c>
      <c r="K18" s="15">
        <v>232</v>
      </c>
      <c r="L18" s="15">
        <v>56.9</v>
      </c>
      <c r="M18" s="15">
        <v>219</v>
      </c>
      <c r="N18" s="15">
        <v>62.8</v>
      </c>
      <c r="O18" s="15">
        <v>931</v>
      </c>
      <c r="P18" s="15">
        <v>60.4</v>
      </c>
    </row>
    <row r="19" spans="1:16" x14ac:dyDescent="0.2">
      <c r="A19" t="s">
        <v>1121</v>
      </c>
      <c r="B19" t="s">
        <v>1287</v>
      </c>
      <c r="E19" s="80"/>
      <c r="F19" s="47" t="s">
        <v>1293</v>
      </c>
      <c r="G19" s="15">
        <v>734</v>
      </c>
      <c r="H19" s="15">
        <v>61</v>
      </c>
      <c r="I19" s="15">
        <v>780</v>
      </c>
      <c r="J19" s="15">
        <v>60.1</v>
      </c>
      <c r="K19" s="15">
        <v>745</v>
      </c>
      <c r="L19" s="15">
        <v>57.4</v>
      </c>
      <c r="M19" s="15">
        <v>834</v>
      </c>
      <c r="N19" s="15">
        <v>58</v>
      </c>
      <c r="O19" s="15">
        <v>3093</v>
      </c>
      <c r="P19" s="15">
        <v>59.1</v>
      </c>
    </row>
    <row r="20" spans="1:16" x14ac:dyDescent="0.2">
      <c r="E20" s="80"/>
      <c r="F20" s="47" t="s">
        <v>1015</v>
      </c>
      <c r="G20" s="15">
        <v>140</v>
      </c>
      <c r="H20" s="15">
        <v>58.1</v>
      </c>
      <c r="I20" s="15">
        <v>120</v>
      </c>
      <c r="J20" s="15">
        <v>32.9</v>
      </c>
      <c r="K20" s="15">
        <v>153</v>
      </c>
      <c r="L20" s="15">
        <v>67.7</v>
      </c>
      <c r="M20" s="15">
        <v>128</v>
      </c>
      <c r="N20" s="15">
        <v>57.4</v>
      </c>
      <c r="O20" s="15">
        <v>541</v>
      </c>
      <c r="P20" s="15">
        <v>54</v>
      </c>
    </row>
    <row r="21" spans="1:16" x14ac:dyDescent="0.2">
      <c r="A21" s="82" t="s">
        <v>1125</v>
      </c>
      <c r="B21" s="80"/>
      <c r="E21" s="80"/>
      <c r="F21" s="91" t="s">
        <v>1294</v>
      </c>
      <c r="G21" s="80"/>
      <c r="H21" s="80"/>
      <c r="I21" s="80"/>
      <c r="J21" s="80"/>
      <c r="K21" s="80"/>
      <c r="L21" s="80"/>
      <c r="M21" s="80"/>
      <c r="N21" s="80"/>
      <c r="O21" s="80"/>
      <c r="P21" s="80"/>
    </row>
    <row r="22" spans="1:16" x14ac:dyDescent="0.2">
      <c r="A22" t="s">
        <v>1135</v>
      </c>
      <c r="B22" t="s">
        <v>1892</v>
      </c>
      <c r="E22" s="80"/>
      <c r="F22" s="47">
        <v>10940</v>
      </c>
      <c r="G22" s="15">
        <v>376</v>
      </c>
      <c r="H22" s="15">
        <v>65.5</v>
      </c>
      <c r="I22" s="15">
        <v>322</v>
      </c>
      <c r="J22" s="15">
        <v>55.9</v>
      </c>
      <c r="K22" s="15">
        <v>325</v>
      </c>
      <c r="L22" s="15">
        <v>59.3</v>
      </c>
      <c r="M22" s="15">
        <v>373</v>
      </c>
      <c r="N22" s="15">
        <v>61.8</v>
      </c>
      <c r="O22" s="15">
        <v>1396</v>
      </c>
      <c r="P22" s="15">
        <v>60.6</v>
      </c>
    </row>
    <row r="23" spans="1:16" x14ac:dyDescent="0.2">
      <c r="E23" s="80"/>
      <c r="F23" s="47" t="s">
        <v>1873</v>
      </c>
      <c r="G23" s="15">
        <v>1055</v>
      </c>
      <c r="H23" s="15">
        <v>68.7</v>
      </c>
      <c r="I23" s="15">
        <v>1056</v>
      </c>
      <c r="J23" s="15">
        <v>62</v>
      </c>
      <c r="K23" s="15">
        <v>1117</v>
      </c>
      <c r="L23" s="15">
        <v>66</v>
      </c>
      <c r="M23" s="15">
        <v>1344</v>
      </c>
      <c r="N23" s="15">
        <v>71.599999999999994</v>
      </c>
      <c r="O23" s="15">
        <v>4572</v>
      </c>
      <c r="P23" s="15">
        <v>67.099999999999994</v>
      </c>
    </row>
    <row r="24" spans="1:16" x14ac:dyDescent="0.2">
      <c r="E24" s="80"/>
      <c r="F24" s="47">
        <v>12550</v>
      </c>
      <c r="G24" s="15">
        <v>396</v>
      </c>
      <c r="H24" s="15">
        <v>59.2</v>
      </c>
      <c r="I24" s="15">
        <v>416</v>
      </c>
      <c r="J24" s="15">
        <v>62.4</v>
      </c>
      <c r="K24" s="15">
        <v>402</v>
      </c>
      <c r="L24" s="15">
        <v>59.2</v>
      </c>
      <c r="M24" s="15">
        <v>407</v>
      </c>
      <c r="N24" s="15">
        <v>58.9</v>
      </c>
      <c r="O24" s="15">
        <v>1621</v>
      </c>
      <c r="P24" s="15">
        <v>59.9</v>
      </c>
    </row>
    <row r="25" spans="1:16" x14ac:dyDescent="0.2">
      <c r="E25" s="80"/>
      <c r="F25" s="47">
        <v>12771</v>
      </c>
      <c r="G25" s="15">
        <v>101</v>
      </c>
      <c r="H25" s="15">
        <v>64.7</v>
      </c>
      <c r="I25" s="15">
        <v>82</v>
      </c>
      <c r="J25" s="15">
        <v>56.2</v>
      </c>
      <c r="K25" s="15">
        <v>87</v>
      </c>
      <c r="L25" s="15">
        <v>56.1</v>
      </c>
      <c r="M25" s="15">
        <v>90</v>
      </c>
      <c r="N25" s="15">
        <v>67.2</v>
      </c>
      <c r="O25" s="15">
        <v>360</v>
      </c>
      <c r="P25" s="15">
        <v>61.1</v>
      </c>
    </row>
    <row r="26" spans="1:16" x14ac:dyDescent="0.2">
      <c r="E26" s="80"/>
    </row>
    <row r="27" spans="1:16" x14ac:dyDescent="0.2">
      <c r="A27" s="82"/>
      <c r="B27" s="80"/>
      <c r="E27" s="80"/>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v>
      </c>
    </row>
    <row r="4" spans="1:17" x14ac:dyDescent="0.2">
      <c r="A4" s="16" t="s">
        <v>7</v>
      </c>
      <c r="B4" t="str">
        <f>IF($B$1="","",_xlfn.XLOOKUP($B$1,Master!$F$2:$F$321,Master!$H$2:$H$321,""))</f>
        <v>fig-early-pnc</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1096</v>
      </c>
      <c r="G6" s="15">
        <v>68.900000000000006</v>
      </c>
      <c r="H6" s="15">
        <v>63.9</v>
      </c>
      <c r="I6" s="15">
        <v>66.3</v>
      </c>
      <c r="J6" s="15">
        <v>68.900000000000006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tbl-early-pnc-rande</v>
      </c>
    </row>
    <row r="4" spans="1:17" x14ac:dyDescent="0.2">
      <c r="A4" s="16" t="s">
        <v>7</v>
      </c>
      <c r="B4" t="str">
        <f>IF($B$1="","",_xlfn.XLOOKUP($B$1,Master!$F$2:$F$321,Master!$H$2:$H$321,""))</f>
        <v>fig-early-pnc-rande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G5">
        <v>2020</v>
      </c>
      <c r="H5">
        <v>2021</v>
      </c>
      <c r="I5">
        <v>2022</v>
      </c>
      <c r="J5">
        <v>2023</v>
      </c>
    </row>
    <row r="6" spans="1:17" ht="15" customHeight="1" x14ac:dyDescent="0.2">
      <c r="A6" t="s">
        <v>1088</v>
      </c>
      <c r="B6" t="b">
        <v>0</v>
      </c>
      <c r="E6" s="80"/>
      <c r="F6" t="s">
        <v>1290</v>
      </c>
      <c r="G6" s="15">
        <v>73.900000000000006</v>
      </c>
      <c r="H6" s="15">
        <v>69.7</v>
      </c>
      <c r="I6" s="15">
        <v>71.2</v>
      </c>
      <c r="J6" s="15">
        <v>75.2</v>
      </c>
      <c r="K6" s="15"/>
      <c r="L6" s="15"/>
      <c r="M6" s="15"/>
      <c r="N6" s="15"/>
      <c r="O6" s="15"/>
    </row>
    <row r="7" spans="1:17" ht="15.75" customHeight="1" x14ac:dyDescent="0.2">
      <c r="E7" s="80"/>
      <c r="F7" t="s">
        <v>1235</v>
      </c>
      <c r="G7" s="15">
        <v>62.1</v>
      </c>
      <c r="H7" s="15">
        <v>60.1</v>
      </c>
      <c r="I7" s="15">
        <v>56.9</v>
      </c>
      <c r="J7" s="15">
        <v>62.8</v>
      </c>
      <c r="K7" s="15"/>
      <c r="L7" s="15"/>
      <c r="M7" s="15"/>
      <c r="N7" s="15"/>
      <c r="O7" s="15"/>
    </row>
    <row r="8" spans="1:17" x14ac:dyDescent="0.2">
      <c r="E8" s="80"/>
      <c r="F8" t="s">
        <v>1293</v>
      </c>
      <c r="G8" s="15">
        <v>61</v>
      </c>
      <c r="H8" s="15">
        <v>60.1</v>
      </c>
      <c r="I8" s="15">
        <v>57.4</v>
      </c>
      <c r="J8" s="15">
        <v>58</v>
      </c>
      <c r="K8" s="15"/>
      <c r="L8" s="15"/>
      <c r="M8" s="15"/>
      <c r="N8" s="15"/>
      <c r="O8" s="15"/>
    </row>
    <row r="9" spans="1:17" x14ac:dyDescent="0.2">
      <c r="A9" s="84" t="s">
        <v>1098</v>
      </c>
      <c r="B9" s="80"/>
      <c r="E9" s="80"/>
      <c r="F9" t="s">
        <v>1015</v>
      </c>
      <c r="G9" s="15">
        <v>58.1</v>
      </c>
      <c r="H9" s="15">
        <v>32.9</v>
      </c>
      <c r="I9" s="15">
        <v>67.7</v>
      </c>
      <c r="J9" s="15">
        <v>57.4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tbl-early-pnc-zip</v>
      </c>
    </row>
    <row r="4" spans="1:17" x14ac:dyDescent="0.2">
      <c r="A4" s="16" t="s">
        <v>7</v>
      </c>
      <c r="B4" t="str">
        <f>IF($B$1="","",_xlfn.XLOOKUP($B$1,Master!$F$2:$F$321,Master!$H$2:$H$321,""))</f>
        <v>fig-early-pnc-zip</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1715</v>
      </c>
      <c r="G5">
        <v>2020</v>
      </c>
      <c r="H5">
        <v>2021</v>
      </c>
      <c r="I5">
        <v>2022</v>
      </c>
      <c r="J5">
        <v>2023</v>
      </c>
    </row>
    <row r="6" spans="1:17" ht="15" customHeight="1" x14ac:dyDescent="0.2">
      <c r="A6" t="s">
        <v>1088</v>
      </c>
      <c r="B6" t="b">
        <v>0</v>
      </c>
      <c r="E6" s="80"/>
      <c r="F6" s="37">
        <v>10940</v>
      </c>
      <c r="G6" s="15">
        <v>65.5</v>
      </c>
      <c r="H6" s="15">
        <v>55.9</v>
      </c>
      <c r="I6" s="15">
        <v>59.3</v>
      </c>
      <c r="J6" s="15">
        <v>61.8</v>
      </c>
      <c r="K6" s="15"/>
      <c r="L6" s="15"/>
      <c r="M6" s="15"/>
      <c r="N6" s="15"/>
      <c r="O6" s="15"/>
    </row>
    <row r="7" spans="1:17" ht="15.75" customHeight="1" x14ac:dyDescent="0.2">
      <c r="E7" s="80"/>
      <c r="F7" s="37" t="s">
        <v>1873</v>
      </c>
      <c r="G7" s="15">
        <v>68.7</v>
      </c>
      <c r="H7" s="15">
        <v>62</v>
      </c>
      <c r="I7" s="15">
        <v>66</v>
      </c>
      <c r="J7" s="15">
        <v>71.599999999999994</v>
      </c>
      <c r="K7" s="15"/>
      <c r="L7" s="15"/>
      <c r="M7" s="15"/>
      <c r="N7" s="15"/>
      <c r="O7" s="15"/>
    </row>
    <row r="8" spans="1:17" x14ac:dyDescent="0.2">
      <c r="E8" s="80"/>
      <c r="F8" s="37">
        <v>12550</v>
      </c>
      <c r="G8" s="15">
        <v>59.2</v>
      </c>
      <c r="H8" s="15">
        <v>62.4</v>
      </c>
      <c r="I8" s="15">
        <v>59.2</v>
      </c>
      <c r="J8" s="15">
        <v>58.9</v>
      </c>
      <c r="K8" s="15"/>
      <c r="L8" s="15"/>
      <c r="M8" s="15"/>
      <c r="N8" s="15"/>
      <c r="O8" s="15"/>
    </row>
    <row r="9" spans="1:17" x14ac:dyDescent="0.2">
      <c r="A9" s="84" t="s">
        <v>1098</v>
      </c>
      <c r="B9" s="80"/>
      <c r="E9" s="80"/>
      <c r="F9" s="37">
        <v>12771</v>
      </c>
      <c r="G9" s="15">
        <v>64.7</v>
      </c>
      <c r="H9" s="15">
        <v>56.2</v>
      </c>
      <c r="I9" s="15">
        <v>56.1</v>
      </c>
      <c r="J9" s="15">
        <v>67.2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1894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election activeCell="S42" sqref="S42"/>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tbl-late-no-pnc-age-rande-zip</v>
      </c>
    </row>
    <row r="4" spans="1:17" x14ac:dyDescent="0.2">
      <c r="A4" s="16" t="s">
        <v>7</v>
      </c>
      <c r="B4" t="str">
        <f>IF($B$1="","",_xlfn.XLOOKUP($B$1,Master!$F$2:$F$321,Master!$H$2:$H$321,""))</f>
        <v>fig-late-no-pnc-age-rande-zip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G5" s="82">
        <v>2020</v>
      </c>
      <c r="H5" s="80"/>
      <c r="I5" s="82">
        <v>2021</v>
      </c>
      <c r="J5" s="80"/>
      <c r="K5" s="82">
        <v>2022</v>
      </c>
      <c r="L5" s="80"/>
      <c r="M5" s="82">
        <v>2023</v>
      </c>
      <c r="N5" s="80"/>
      <c r="O5" s="82" t="s">
        <v>2357</v>
      </c>
      <c r="P5" s="80"/>
    </row>
    <row r="6" spans="1:17"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1895</v>
      </c>
      <c r="G8" s="15">
        <v>241</v>
      </c>
      <c r="H8" s="15">
        <v>5</v>
      </c>
      <c r="I8" s="15">
        <v>302</v>
      </c>
      <c r="J8" s="15">
        <v>5.9</v>
      </c>
      <c r="K8" s="15">
        <v>362</v>
      </c>
      <c r="L8" s="15">
        <v>7.3</v>
      </c>
      <c r="M8" s="15">
        <v>345</v>
      </c>
      <c r="N8" s="15">
        <v>6.6</v>
      </c>
      <c r="O8" s="15">
        <v>1250</v>
      </c>
      <c r="P8" s="15">
        <v>6.2</v>
      </c>
    </row>
    <row r="9" spans="1:17" x14ac:dyDescent="0.2">
      <c r="A9" s="84"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t="s">
        <v>1031</v>
      </c>
      <c r="L10" s="17" t="s">
        <v>1031</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v>21</v>
      </c>
      <c r="P11" s="15">
        <v>19</v>
      </c>
    </row>
    <row r="12" spans="1:17" x14ac:dyDescent="0.2">
      <c r="A12" t="s">
        <v>1104</v>
      </c>
      <c r="E12" s="80"/>
      <c r="F12" s="47" t="s">
        <v>1876</v>
      </c>
      <c r="G12" s="15" t="s">
        <v>1031</v>
      </c>
      <c r="H12" s="15" t="s">
        <v>1031</v>
      </c>
      <c r="I12" s="15">
        <v>10</v>
      </c>
      <c r="J12" s="15">
        <v>9.1</v>
      </c>
      <c r="K12" s="15">
        <v>19</v>
      </c>
      <c r="L12" s="15">
        <v>13.6</v>
      </c>
      <c r="M12" s="15">
        <v>13</v>
      </c>
      <c r="N12" s="15">
        <v>10</v>
      </c>
      <c r="O12" s="15">
        <v>50</v>
      </c>
      <c r="P12" s="15">
        <v>10.1</v>
      </c>
    </row>
    <row r="13" spans="1:17" x14ac:dyDescent="0.2">
      <c r="A13" t="s">
        <v>1108</v>
      </c>
      <c r="E13" s="80"/>
      <c r="F13" s="47" t="s">
        <v>1701</v>
      </c>
      <c r="G13" s="15">
        <v>41</v>
      </c>
      <c r="H13" s="15">
        <v>4.3</v>
      </c>
      <c r="I13" s="15">
        <v>67</v>
      </c>
      <c r="J13" s="15">
        <v>6.8</v>
      </c>
      <c r="K13" s="15">
        <v>77</v>
      </c>
      <c r="L13" s="15">
        <v>7.8</v>
      </c>
      <c r="M13" s="15">
        <v>74</v>
      </c>
      <c r="N13" s="15">
        <v>10</v>
      </c>
      <c r="O13" s="15">
        <v>259</v>
      </c>
      <c r="P13" s="15">
        <v>10.1</v>
      </c>
    </row>
    <row r="14" spans="1:17" x14ac:dyDescent="0.2">
      <c r="A14" t="s">
        <v>1112</v>
      </c>
      <c r="E14" s="80"/>
      <c r="F14" s="47" t="s">
        <v>1861</v>
      </c>
      <c r="G14" s="15">
        <v>188</v>
      </c>
      <c r="H14" s="15">
        <v>5.0999999999999996</v>
      </c>
      <c r="I14" s="15">
        <v>219</v>
      </c>
      <c r="J14" s="15">
        <v>5.5</v>
      </c>
      <c r="K14" s="15">
        <v>260</v>
      </c>
      <c r="L14" s="15">
        <v>6.9</v>
      </c>
      <c r="M14" s="15">
        <v>248</v>
      </c>
      <c r="N14" s="15">
        <v>6.2</v>
      </c>
      <c r="O14" s="15">
        <v>915</v>
      </c>
      <c r="P14" s="15">
        <v>5.9</v>
      </c>
    </row>
    <row r="15" spans="1:17" x14ac:dyDescent="0.2">
      <c r="A15" t="s">
        <v>1114</v>
      </c>
      <c r="E15" s="80"/>
      <c r="F15" s="47" t="s">
        <v>1877</v>
      </c>
      <c r="G15" s="15">
        <v>0</v>
      </c>
      <c r="H15" s="15">
        <v>0</v>
      </c>
      <c r="I15" s="15">
        <v>0</v>
      </c>
      <c r="J15" s="15">
        <v>0</v>
      </c>
      <c r="K15" s="15" t="s">
        <v>1031</v>
      </c>
      <c r="L15" s="15" t="s">
        <v>1031</v>
      </c>
      <c r="M15" s="15">
        <v>0</v>
      </c>
      <c r="N15" s="15">
        <v>0</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4" t="s">
        <v>1119</v>
      </c>
      <c r="B18" s="80"/>
      <c r="E18" s="80"/>
      <c r="F18" s="47" t="s">
        <v>1235</v>
      </c>
      <c r="G18" s="15">
        <v>31</v>
      </c>
      <c r="H18" s="15">
        <v>7.9</v>
      </c>
      <c r="I18" s="15">
        <v>36</v>
      </c>
      <c r="J18" s="15">
        <v>9.1</v>
      </c>
      <c r="K18" s="15">
        <v>50</v>
      </c>
      <c r="L18" s="15">
        <v>12.3</v>
      </c>
      <c r="M18" s="15">
        <v>40</v>
      </c>
      <c r="N18" s="15">
        <v>11.5</v>
      </c>
      <c r="O18" s="15">
        <v>157</v>
      </c>
      <c r="P18" s="15">
        <v>10.199999999999999</v>
      </c>
    </row>
    <row r="19" spans="1:16" x14ac:dyDescent="0.2">
      <c r="A19" t="s">
        <v>1121</v>
      </c>
      <c r="B19" t="s">
        <v>1287</v>
      </c>
      <c r="E19" s="80"/>
      <c r="F19" s="47" t="s">
        <v>1293</v>
      </c>
      <c r="G19" s="15">
        <v>70</v>
      </c>
      <c r="H19" s="15">
        <v>5.8</v>
      </c>
      <c r="I19" s="15">
        <v>133</v>
      </c>
      <c r="J19" s="15">
        <v>10.3</v>
      </c>
      <c r="K19" s="15">
        <v>149</v>
      </c>
      <c r="L19" s="15">
        <v>11.5</v>
      </c>
      <c r="M19" s="15">
        <v>145</v>
      </c>
      <c r="N19" s="15">
        <v>10.1</v>
      </c>
      <c r="O19" s="15">
        <v>497</v>
      </c>
      <c r="P19" s="15">
        <v>9.4</v>
      </c>
    </row>
    <row r="20" spans="1:16" x14ac:dyDescent="0.2">
      <c r="E20" s="80"/>
      <c r="F20" s="47" t="s">
        <v>1015</v>
      </c>
      <c r="G20" s="15">
        <v>22</v>
      </c>
      <c r="H20" s="15">
        <v>9.1</v>
      </c>
      <c r="I20" s="15">
        <v>23</v>
      </c>
      <c r="J20" s="15">
        <v>6.3</v>
      </c>
      <c r="K20" s="15">
        <v>24</v>
      </c>
      <c r="L20" s="15">
        <v>10.6</v>
      </c>
      <c r="M20" s="15">
        <v>28</v>
      </c>
      <c r="N20" s="15">
        <v>12.6</v>
      </c>
      <c r="O20" s="15">
        <v>97</v>
      </c>
      <c r="P20" s="15">
        <v>9.6999999999999993</v>
      </c>
    </row>
    <row r="21" spans="1:16" x14ac:dyDescent="0.2">
      <c r="A21" s="82" t="s">
        <v>1125</v>
      </c>
      <c r="B21" s="80"/>
      <c r="E21" s="80"/>
      <c r="F21" s="91" t="s">
        <v>1294</v>
      </c>
      <c r="G21" s="80"/>
      <c r="H21" s="80"/>
      <c r="I21" s="80"/>
      <c r="J21" s="80"/>
      <c r="K21" s="80"/>
      <c r="L21" s="80"/>
      <c r="M21" s="80"/>
      <c r="N21" s="80"/>
      <c r="O21" s="80"/>
      <c r="P21" s="80"/>
    </row>
    <row r="22" spans="1:16" x14ac:dyDescent="0.2">
      <c r="A22" t="s">
        <v>1135</v>
      </c>
      <c r="B22" t="s">
        <v>1896</v>
      </c>
      <c r="E22" s="80"/>
      <c r="F22" s="47">
        <v>10940</v>
      </c>
      <c r="G22" s="15">
        <v>34</v>
      </c>
      <c r="H22" s="15">
        <v>5.9</v>
      </c>
      <c r="I22" s="15">
        <v>71</v>
      </c>
      <c r="J22" s="15">
        <v>12.3</v>
      </c>
      <c r="K22" s="15">
        <v>80</v>
      </c>
      <c r="L22" s="15">
        <v>14.6</v>
      </c>
      <c r="M22" s="15">
        <v>51</v>
      </c>
      <c r="N22" s="15">
        <v>8.4</v>
      </c>
      <c r="O22" s="15">
        <v>236</v>
      </c>
      <c r="P22" s="15">
        <v>10.3</v>
      </c>
    </row>
    <row r="23" spans="1:16" x14ac:dyDescent="0.2">
      <c r="E23" s="80"/>
      <c r="F23" s="47" t="s">
        <v>1873</v>
      </c>
      <c r="G23" s="15">
        <v>54</v>
      </c>
      <c r="H23" s="15">
        <v>3.5</v>
      </c>
      <c r="I23" s="15">
        <v>32</v>
      </c>
      <c r="J23" s="15">
        <v>1.9</v>
      </c>
      <c r="K23" s="15">
        <v>56</v>
      </c>
      <c r="L23" s="15">
        <v>3.3</v>
      </c>
      <c r="M23" s="15">
        <v>57</v>
      </c>
      <c r="N23" s="15">
        <v>3</v>
      </c>
      <c r="O23" s="15">
        <v>199</v>
      </c>
      <c r="P23" s="15">
        <v>2.9</v>
      </c>
    </row>
    <row r="24" spans="1:16" x14ac:dyDescent="0.2">
      <c r="E24" s="80"/>
      <c r="F24" s="47">
        <v>12550</v>
      </c>
      <c r="G24" s="15">
        <v>43</v>
      </c>
      <c r="H24" s="15">
        <v>6.4</v>
      </c>
      <c r="I24" s="15">
        <v>52</v>
      </c>
      <c r="J24" s="15">
        <v>7.8</v>
      </c>
      <c r="K24" s="15">
        <v>66</v>
      </c>
      <c r="L24" s="15">
        <v>9.6999999999999993</v>
      </c>
      <c r="M24" s="15">
        <v>84</v>
      </c>
      <c r="N24" s="15">
        <v>12.2</v>
      </c>
      <c r="O24" s="15">
        <v>245</v>
      </c>
      <c r="P24" s="15">
        <v>9</v>
      </c>
    </row>
    <row r="25" spans="1:16" x14ac:dyDescent="0.2">
      <c r="E25" s="80"/>
      <c r="F25" s="47">
        <v>12771</v>
      </c>
      <c r="G25" s="15">
        <v>13</v>
      </c>
      <c r="H25" s="15">
        <v>8.3000000000000007</v>
      </c>
      <c r="I25" s="15">
        <v>19</v>
      </c>
      <c r="J25" s="15">
        <v>13</v>
      </c>
      <c r="K25" s="15">
        <v>27</v>
      </c>
      <c r="L25" s="15">
        <v>17.399999999999999</v>
      </c>
      <c r="M25" s="15" t="s">
        <v>1031</v>
      </c>
      <c r="N25" s="15" t="s">
        <v>1031</v>
      </c>
      <c r="O25" s="15">
        <v>66</v>
      </c>
      <c r="P25" s="15">
        <v>11</v>
      </c>
    </row>
    <row r="26" spans="1:16" x14ac:dyDescent="0.2">
      <c r="E26" s="80"/>
    </row>
    <row r="27" spans="1:16" x14ac:dyDescent="0.2">
      <c r="A27" s="82"/>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v>
      </c>
    </row>
    <row r="4" spans="1:17" x14ac:dyDescent="0.2">
      <c r="A4" s="16" t="s">
        <v>7</v>
      </c>
      <c r="B4" t="str">
        <f>IF($B$1="","",_xlfn.XLOOKUP($B$1,Master!$F$2:$F$321,Master!$H$2:$H$321,""))</f>
        <v>fig-late-no-pnc</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1096</v>
      </c>
      <c r="G6" s="15">
        <v>5</v>
      </c>
      <c r="H6" s="15">
        <v>5.9</v>
      </c>
      <c r="I6" s="15">
        <v>7.3</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tbl-late-no-pnc-rande</v>
      </c>
    </row>
    <row r="4" spans="1:17" x14ac:dyDescent="0.2">
      <c r="A4" s="16" t="s">
        <v>7</v>
      </c>
      <c r="B4" t="str">
        <f>IF($B$1="","",_xlfn.XLOOKUP($B$1,Master!$F$2:$F$321,Master!$H$2:$H$321,""))</f>
        <v>fig-late-no-pnc-rande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1289</v>
      </c>
      <c r="G5">
        <v>2020</v>
      </c>
      <c r="H5">
        <v>2021</v>
      </c>
      <c r="I5">
        <v>2022</v>
      </c>
      <c r="J5">
        <v>2023</v>
      </c>
    </row>
    <row r="6" spans="1:17" ht="15" customHeight="1" x14ac:dyDescent="0.2">
      <c r="A6" t="s">
        <v>1088</v>
      </c>
      <c r="B6" t="b">
        <v>0</v>
      </c>
      <c r="E6" s="80"/>
      <c r="F6" t="s">
        <v>1290</v>
      </c>
      <c r="G6" s="15">
        <v>4</v>
      </c>
      <c r="H6" s="15">
        <v>3.6</v>
      </c>
      <c r="I6" s="15">
        <v>4.5999999999999996</v>
      </c>
      <c r="J6" s="15">
        <v>4.0999999999999996</v>
      </c>
      <c r="K6" s="15"/>
      <c r="L6" s="15"/>
      <c r="M6" s="15"/>
      <c r="N6" s="15"/>
      <c r="O6" s="15"/>
    </row>
    <row r="7" spans="1:17" ht="15.75" customHeight="1" x14ac:dyDescent="0.2">
      <c r="E7" s="80"/>
      <c r="F7" t="s">
        <v>1235</v>
      </c>
      <c r="G7" s="15">
        <v>7.9</v>
      </c>
      <c r="H7" s="15">
        <v>9.1</v>
      </c>
      <c r="I7" s="15">
        <v>12.3</v>
      </c>
      <c r="J7" s="15">
        <v>11.5</v>
      </c>
      <c r="K7" s="15"/>
      <c r="L7" s="15"/>
      <c r="M7" s="15"/>
      <c r="N7" s="15"/>
      <c r="O7" s="15"/>
    </row>
    <row r="8" spans="1:17" x14ac:dyDescent="0.2">
      <c r="E8" s="80"/>
      <c r="F8" t="s">
        <v>1293</v>
      </c>
      <c r="G8" s="15">
        <v>5.8</v>
      </c>
      <c r="H8" s="15">
        <v>10.3</v>
      </c>
      <c r="I8" s="15">
        <v>11.5</v>
      </c>
      <c r="J8" s="15">
        <v>10.1</v>
      </c>
      <c r="K8" s="15"/>
      <c r="L8" s="15"/>
      <c r="M8" s="15"/>
      <c r="N8" s="15"/>
      <c r="O8" s="15"/>
    </row>
    <row r="9" spans="1:17" x14ac:dyDescent="0.2">
      <c r="A9" s="84" t="s">
        <v>1098</v>
      </c>
      <c r="B9" s="80"/>
      <c r="E9" s="80"/>
      <c r="F9" t="s">
        <v>1015</v>
      </c>
      <c r="G9" s="15">
        <v>9.1</v>
      </c>
      <c r="H9" s="15">
        <v>6.3</v>
      </c>
      <c r="I9" s="15">
        <v>10.6</v>
      </c>
      <c r="J9" s="15">
        <v>12.6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tbl-late-no-pnc-zip</v>
      </c>
    </row>
    <row r="4" spans="1:17" x14ac:dyDescent="0.2">
      <c r="A4" s="16" t="s">
        <v>7</v>
      </c>
      <c r="B4" t="str">
        <f>IF($B$1="","",_xlfn.XLOOKUP($B$1,Master!$F$2:$F$321,Master!$H$2:$H$321,""))</f>
        <v>fig-late-no-pnc-zip</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1715</v>
      </c>
      <c r="G5">
        <v>2020</v>
      </c>
      <c r="H5">
        <v>2021</v>
      </c>
      <c r="I5">
        <v>2022</v>
      </c>
      <c r="J5">
        <v>2023</v>
      </c>
    </row>
    <row r="6" spans="1:17" ht="15" customHeight="1" x14ac:dyDescent="0.2">
      <c r="A6" t="s">
        <v>1088</v>
      </c>
      <c r="B6" t="b">
        <v>0</v>
      </c>
      <c r="E6" s="80"/>
      <c r="F6" s="37">
        <v>10940</v>
      </c>
      <c r="G6" s="15">
        <v>5.9</v>
      </c>
      <c r="H6" s="15">
        <v>12.3</v>
      </c>
      <c r="I6" s="15">
        <v>14.6</v>
      </c>
      <c r="J6" s="15">
        <v>8.4</v>
      </c>
      <c r="K6" s="15"/>
      <c r="L6" s="15"/>
      <c r="M6" s="15"/>
      <c r="N6" s="15"/>
      <c r="O6" s="15"/>
    </row>
    <row r="7" spans="1:17" ht="15.75" customHeight="1" x14ac:dyDescent="0.2">
      <c r="E7" s="80"/>
      <c r="F7" s="37" t="s">
        <v>1873</v>
      </c>
      <c r="G7" s="15">
        <v>3.5</v>
      </c>
      <c r="H7" s="15">
        <v>1.9</v>
      </c>
      <c r="I7" s="15">
        <v>3.3</v>
      </c>
      <c r="J7" s="15">
        <v>3</v>
      </c>
      <c r="K7" s="15"/>
      <c r="L7" s="15"/>
      <c r="M7" s="15"/>
      <c r="N7" s="15"/>
      <c r="O7" s="15"/>
    </row>
    <row r="8" spans="1:17" x14ac:dyDescent="0.2">
      <c r="E8" s="80"/>
      <c r="F8" s="37">
        <v>12550</v>
      </c>
      <c r="G8" s="15">
        <v>6.4</v>
      </c>
      <c r="H8" s="15">
        <v>7.8</v>
      </c>
      <c r="I8" s="15">
        <v>9.6999999999999993</v>
      </c>
      <c r="J8" s="15">
        <v>12.2</v>
      </c>
      <c r="K8" s="15"/>
      <c r="L8" s="15"/>
      <c r="M8" s="15"/>
      <c r="N8" s="15"/>
      <c r="O8" s="15"/>
    </row>
    <row r="9" spans="1:17" x14ac:dyDescent="0.2">
      <c r="A9" s="84" t="s">
        <v>1098</v>
      </c>
      <c r="B9" s="80"/>
      <c r="E9" s="80"/>
      <c r="F9" s="37">
        <v>12771</v>
      </c>
      <c r="G9" s="15">
        <v>8.3000000000000007</v>
      </c>
      <c r="H9" s="15">
        <v>13</v>
      </c>
      <c r="I9" s="15">
        <v>17.399999999999999</v>
      </c>
      <c r="J9" s="15">
        <v>5.2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1899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tbl-adequate-pnc</v>
      </c>
    </row>
    <row r="4" spans="1:17" x14ac:dyDescent="0.2">
      <c r="A4" s="16" t="s">
        <v>7</v>
      </c>
      <c r="B4" t="str">
        <f>IF($B$1="","",_xlfn.XLOOKUP($B$1,Master!$F$2:$F$321,Master!$H$2:$H$321,""))</f>
        <v>fig-adequate-pnc</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2018</v>
      </c>
      <c r="H5">
        <v>2019</v>
      </c>
      <c r="I5">
        <v>2020</v>
      </c>
      <c r="J5">
        <v>2021</v>
      </c>
    </row>
    <row r="6" spans="1:17" ht="15" customHeight="1" x14ac:dyDescent="0.2">
      <c r="A6" t="s">
        <v>1088</v>
      </c>
      <c r="B6" t="b">
        <v>0</v>
      </c>
      <c r="E6" s="80"/>
      <c r="F6" t="s">
        <v>1297</v>
      </c>
      <c r="G6" s="15">
        <v>63.2</v>
      </c>
      <c r="H6" s="15">
        <v>65.5</v>
      </c>
      <c r="I6" s="15">
        <v>67.400000000000006</v>
      </c>
      <c r="J6" s="15">
        <v>66.099999999999994</v>
      </c>
      <c r="K6" s="15"/>
      <c r="L6" s="15"/>
      <c r="M6" s="15"/>
      <c r="N6" s="15"/>
      <c r="O6" s="15"/>
    </row>
    <row r="7" spans="1:17" ht="15.75" customHeight="1" x14ac:dyDescent="0.2">
      <c r="E7" s="80"/>
      <c r="F7" t="s">
        <v>1645</v>
      </c>
      <c r="G7" s="15">
        <v>73.8</v>
      </c>
      <c r="H7" s="15">
        <v>74.3</v>
      </c>
      <c r="I7" s="15">
        <v>72.8</v>
      </c>
      <c r="J7" s="15">
        <v>72.2</v>
      </c>
      <c r="K7" s="15"/>
      <c r="L7" s="15"/>
      <c r="M7" s="15"/>
      <c r="N7" s="15"/>
      <c r="O7" s="15"/>
    </row>
    <row r="8" spans="1:17" x14ac:dyDescent="0.2">
      <c r="E8" s="80"/>
      <c r="F8" t="s">
        <v>1298</v>
      </c>
      <c r="G8" s="15">
        <v>77.3</v>
      </c>
      <c r="H8" s="15">
        <v>78.2</v>
      </c>
      <c r="I8" s="15">
        <v>76.900000000000006</v>
      </c>
      <c r="J8" s="15">
        <v>78.2</v>
      </c>
      <c r="K8" s="15"/>
      <c r="L8" s="15"/>
      <c r="M8" s="15"/>
      <c r="N8" s="15"/>
      <c r="O8" s="15"/>
    </row>
    <row r="9" spans="1:17" x14ac:dyDescent="0.2">
      <c r="A9" s="84" t="s">
        <v>1098</v>
      </c>
      <c r="B9" s="80"/>
      <c r="E9" s="80"/>
      <c r="F9" t="s">
        <v>1299</v>
      </c>
      <c r="G9" s="15">
        <v>75.2</v>
      </c>
      <c r="H9" s="15">
        <v>76</v>
      </c>
      <c r="I9" s="15">
        <v>74.099999999999994</v>
      </c>
      <c r="J9" s="15">
        <v>75.3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1755</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election activeCell="G22" sqref="G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tbl-premature-birth-age-rande-zip</v>
      </c>
    </row>
    <row r="4" spans="1:17" x14ac:dyDescent="0.2">
      <c r="A4" s="16" t="s">
        <v>7</v>
      </c>
      <c r="B4" t="str">
        <f>IF($B$1="","",_xlfn.XLOOKUP($B$1,Master!$F$2:$F$321,Master!$H$2:$H$321,""))</f>
        <v>fig-premature-birth-age-rande-zip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G5" s="82">
        <v>2020</v>
      </c>
      <c r="H5" s="80"/>
      <c r="I5" s="82">
        <v>2021</v>
      </c>
      <c r="J5" s="80"/>
      <c r="K5" s="82">
        <v>2022</v>
      </c>
      <c r="L5" s="80"/>
      <c r="M5" s="82">
        <v>2023</v>
      </c>
      <c r="N5" s="80"/>
      <c r="O5" s="82" t="s">
        <v>2357</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1901</v>
      </c>
      <c r="G8" s="15">
        <v>409</v>
      </c>
      <c r="H8" s="15">
        <v>8.5</v>
      </c>
      <c r="I8" s="15">
        <v>375</v>
      </c>
      <c r="J8" s="15">
        <v>7.3</v>
      </c>
      <c r="K8" s="15">
        <v>387</v>
      </c>
      <c r="L8" s="15">
        <v>7.8</v>
      </c>
      <c r="M8" s="15">
        <v>420</v>
      </c>
      <c r="N8" s="15">
        <v>8</v>
      </c>
      <c r="O8" s="15">
        <v>1591</v>
      </c>
      <c r="P8" s="15">
        <v>7.9</v>
      </c>
    </row>
    <row r="9" spans="1:17" x14ac:dyDescent="0.2">
      <c r="A9" s="84"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v>0</v>
      </c>
      <c r="L10" s="17">
        <v>0</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t="s">
        <v>1031</v>
      </c>
      <c r="L12" s="15" t="s">
        <v>1031</v>
      </c>
      <c r="M12" s="15">
        <v>13</v>
      </c>
      <c r="N12" s="15">
        <v>10</v>
      </c>
      <c r="O12" s="15">
        <v>36</v>
      </c>
      <c r="P12" s="15">
        <v>7.4</v>
      </c>
    </row>
    <row r="13" spans="1:17" x14ac:dyDescent="0.2">
      <c r="A13" t="s">
        <v>1108</v>
      </c>
      <c r="E13" s="80"/>
      <c r="F13" s="47" t="s">
        <v>1701</v>
      </c>
      <c r="G13" s="15">
        <v>64</v>
      </c>
      <c r="H13" s="15">
        <v>6.7</v>
      </c>
      <c r="I13" s="15">
        <v>53</v>
      </c>
      <c r="J13" s="15">
        <v>5.4</v>
      </c>
      <c r="K13" s="15">
        <v>60</v>
      </c>
      <c r="L13" s="15">
        <v>6</v>
      </c>
      <c r="M13" s="15">
        <v>67</v>
      </c>
      <c r="N13" s="15">
        <v>6.1</v>
      </c>
      <c r="O13" s="15">
        <v>244</v>
      </c>
      <c r="P13" s="15">
        <v>6.1</v>
      </c>
    </row>
    <row r="14" spans="1:17" x14ac:dyDescent="0.2">
      <c r="A14" t="s">
        <v>1112</v>
      </c>
      <c r="E14" s="80"/>
      <c r="F14" s="47" t="s">
        <v>1861</v>
      </c>
      <c r="G14" s="15">
        <v>333</v>
      </c>
      <c r="H14" s="15">
        <v>9</v>
      </c>
      <c r="I14" s="15">
        <v>313</v>
      </c>
      <c r="J14" s="15">
        <v>7.9</v>
      </c>
      <c r="K14" s="15">
        <v>317</v>
      </c>
      <c r="L14" s="15">
        <v>8.4</v>
      </c>
      <c r="M14" s="15">
        <v>333</v>
      </c>
      <c r="N14" s="15">
        <v>8.4</v>
      </c>
      <c r="O14" s="15">
        <v>1296</v>
      </c>
      <c r="P14" s="15">
        <v>8.4</v>
      </c>
    </row>
    <row r="15" spans="1:17" x14ac:dyDescent="0.2">
      <c r="A15" t="s">
        <v>1114</v>
      </c>
      <c r="E15" s="80"/>
      <c r="F15" s="47" t="s">
        <v>1877</v>
      </c>
      <c r="G15" s="15" t="s">
        <v>1031</v>
      </c>
      <c r="H15" s="15" t="s">
        <v>1031</v>
      </c>
      <c r="I15" s="15" t="s">
        <v>1031</v>
      </c>
      <c r="J15" s="15" t="s">
        <v>1031</v>
      </c>
      <c r="K15" s="15">
        <v>0</v>
      </c>
      <c r="L15" s="15">
        <v>0</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183</v>
      </c>
      <c r="H17" s="15">
        <v>6.2</v>
      </c>
      <c r="I17" s="15">
        <v>185</v>
      </c>
      <c r="J17" s="15">
        <v>6</v>
      </c>
      <c r="K17" s="15">
        <v>189</v>
      </c>
      <c r="L17" s="15">
        <v>6.2</v>
      </c>
      <c r="M17" s="15">
        <v>199</v>
      </c>
      <c r="N17" s="15">
        <v>6.1</v>
      </c>
      <c r="O17" s="15">
        <v>756</v>
      </c>
      <c r="P17" s="15">
        <v>6.1</v>
      </c>
    </row>
    <row r="18" spans="1:16" x14ac:dyDescent="0.2">
      <c r="A18" s="84" t="s">
        <v>1119</v>
      </c>
      <c r="B18" s="80"/>
      <c r="E18" s="80"/>
      <c r="F18" s="47" t="s">
        <v>1235</v>
      </c>
      <c r="G18" s="15">
        <v>56</v>
      </c>
      <c r="H18" s="15">
        <v>14.4</v>
      </c>
      <c r="I18" s="15">
        <v>59</v>
      </c>
      <c r="J18" s="15">
        <v>14.9</v>
      </c>
      <c r="K18" s="15">
        <v>48</v>
      </c>
      <c r="L18" s="15">
        <v>11.8</v>
      </c>
      <c r="M18" s="15">
        <v>48</v>
      </c>
      <c r="N18" s="15">
        <v>13.8</v>
      </c>
      <c r="O18" s="15">
        <v>211</v>
      </c>
      <c r="P18" s="15">
        <v>13.7</v>
      </c>
    </row>
    <row r="19" spans="1:16" x14ac:dyDescent="0.2">
      <c r="A19" t="s">
        <v>1121</v>
      </c>
      <c r="B19" t="s">
        <v>1287</v>
      </c>
      <c r="E19" s="80"/>
      <c r="F19" s="47" t="s">
        <v>1293</v>
      </c>
      <c r="G19" s="15">
        <v>144</v>
      </c>
      <c r="H19" s="15">
        <v>12</v>
      </c>
      <c r="I19" s="15">
        <v>116</v>
      </c>
      <c r="J19" s="15">
        <v>8.9</v>
      </c>
      <c r="K19" s="15">
        <v>131</v>
      </c>
      <c r="L19" s="15">
        <v>10.1</v>
      </c>
      <c r="M19" s="15">
        <v>150</v>
      </c>
      <c r="N19" s="15">
        <v>10.4</v>
      </c>
      <c r="O19" s="15">
        <v>541</v>
      </c>
      <c r="P19" s="15">
        <v>10.4</v>
      </c>
    </row>
    <row r="20" spans="1:16" x14ac:dyDescent="0.2">
      <c r="E20" s="80"/>
      <c r="F20" s="47" t="s">
        <v>1015</v>
      </c>
      <c r="G20" s="15">
        <v>26</v>
      </c>
      <c r="H20" s="15">
        <v>10.8</v>
      </c>
      <c r="I20" s="15">
        <v>15</v>
      </c>
      <c r="J20" s="15">
        <v>4.0999999999999996</v>
      </c>
      <c r="K20" s="15">
        <v>19</v>
      </c>
      <c r="L20" s="15">
        <v>8.4</v>
      </c>
      <c r="M20" s="15">
        <v>23</v>
      </c>
      <c r="N20" s="15">
        <v>10.3</v>
      </c>
      <c r="O20" s="15">
        <v>83</v>
      </c>
      <c r="P20" s="15">
        <v>8.4</v>
      </c>
    </row>
    <row r="21" spans="1:16" x14ac:dyDescent="0.2">
      <c r="A21" s="82" t="s">
        <v>1125</v>
      </c>
      <c r="B21" s="80"/>
      <c r="E21" s="80"/>
      <c r="F21" s="91" t="s">
        <v>1294</v>
      </c>
      <c r="G21" s="80"/>
      <c r="H21" s="80"/>
      <c r="I21" s="80"/>
      <c r="J21" s="80"/>
      <c r="K21" s="80"/>
      <c r="L21" s="80"/>
      <c r="M21" s="80"/>
      <c r="N21" s="80"/>
      <c r="O21" s="80"/>
      <c r="P21" s="80"/>
    </row>
    <row r="22" spans="1:16" x14ac:dyDescent="0.2">
      <c r="A22" t="s">
        <v>1135</v>
      </c>
      <c r="B22" t="s">
        <v>1902</v>
      </c>
      <c r="E22" s="80"/>
      <c r="F22" s="47">
        <v>10940</v>
      </c>
      <c r="G22" s="15">
        <v>86</v>
      </c>
      <c r="H22" s="15">
        <v>15</v>
      </c>
      <c r="I22" s="15">
        <v>61</v>
      </c>
      <c r="J22" s="15">
        <v>10.6</v>
      </c>
      <c r="K22" s="15">
        <v>56</v>
      </c>
      <c r="L22" s="15">
        <v>10.199999999999999</v>
      </c>
      <c r="M22" s="15">
        <v>75</v>
      </c>
      <c r="N22" s="15">
        <v>12.4</v>
      </c>
      <c r="O22" s="15">
        <v>278</v>
      </c>
      <c r="P22" s="15">
        <v>12.1</v>
      </c>
    </row>
    <row r="23" spans="1:16" x14ac:dyDescent="0.2">
      <c r="E23" s="80"/>
      <c r="F23" s="47" t="s">
        <v>1873</v>
      </c>
      <c r="G23" s="15">
        <v>50</v>
      </c>
      <c r="H23" s="15">
        <v>3.3</v>
      </c>
      <c r="I23" s="15">
        <v>46</v>
      </c>
      <c r="J23" s="15">
        <v>2.7</v>
      </c>
      <c r="K23" s="15">
        <v>59</v>
      </c>
      <c r="L23" s="15">
        <v>3.5</v>
      </c>
      <c r="M23" s="15">
        <v>71</v>
      </c>
      <c r="N23" s="15">
        <v>3.8</v>
      </c>
      <c r="O23" s="15">
        <v>226</v>
      </c>
      <c r="P23" s="15">
        <v>3.3</v>
      </c>
    </row>
    <row r="24" spans="1:16" x14ac:dyDescent="0.2">
      <c r="E24" s="80"/>
      <c r="F24" s="47">
        <v>12550</v>
      </c>
      <c r="G24" s="15">
        <v>75</v>
      </c>
      <c r="H24" s="15">
        <v>11.2</v>
      </c>
      <c r="I24" s="15">
        <v>70</v>
      </c>
      <c r="J24" s="15">
        <v>10.5</v>
      </c>
      <c r="K24" s="15">
        <v>61</v>
      </c>
      <c r="L24" s="15">
        <v>9</v>
      </c>
      <c r="M24" s="15">
        <v>82</v>
      </c>
      <c r="N24" s="15">
        <v>11.9</v>
      </c>
      <c r="O24" s="15">
        <v>288</v>
      </c>
      <c r="P24" s="15">
        <v>10.6</v>
      </c>
    </row>
    <row r="25" spans="1:16" x14ac:dyDescent="0.2">
      <c r="E25" s="80"/>
      <c r="F25" s="47">
        <v>12771</v>
      </c>
      <c r="G25" s="15">
        <v>16</v>
      </c>
      <c r="H25" s="15">
        <v>10.3</v>
      </c>
      <c r="I25" s="15">
        <v>19</v>
      </c>
      <c r="J25" s="15">
        <v>13</v>
      </c>
      <c r="K25" s="15">
        <v>31</v>
      </c>
      <c r="L25" s="15">
        <v>20</v>
      </c>
      <c r="M25" s="15">
        <v>15</v>
      </c>
      <c r="N25" s="15">
        <v>11.2</v>
      </c>
      <c r="O25" s="15">
        <v>81</v>
      </c>
      <c r="P25" s="15">
        <v>13.6</v>
      </c>
    </row>
    <row r="26" spans="1:16" x14ac:dyDescent="0.2">
      <c r="E26" s="80"/>
    </row>
    <row r="27" spans="1:16" x14ac:dyDescent="0.2">
      <c r="A27" s="82"/>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v>
      </c>
    </row>
    <row r="4" spans="1:17" x14ac:dyDescent="0.2">
      <c r="A4" s="16" t="s">
        <v>7</v>
      </c>
      <c r="B4" t="str">
        <f>IF($B$1="","",_xlfn.XLOOKUP($B$1,Master!$F$2:$F$321,Master!$H$2:$H$321,""))</f>
        <v>fig-premature-birth</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s="34" t="s">
        <v>1391</v>
      </c>
      <c r="G5">
        <v>2020</v>
      </c>
      <c r="H5">
        <v>2021</v>
      </c>
      <c r="I5">
        <v>2022</v>
      </c>
      <c r="J5">
        <v>2023</v>
      </c>
    </row>
    <row r="6" spans="1:17" ht="15" customHeight="1" x14ac:dyDescent="0.2">
      <c r="A6" t="s">
        <v>1088</v>
      </c>
      <c r="B6" t="b">
        <v>0</v>
      </c>
      <c r="E6" s="80"/>
      <c r="F6" t="s">
        <v>1096</v>
      </c>
      <c r="G6" s="15">
        <v>8.5</v>
      </c>
      <c r="H6" s="15">
        <v>7.3</v>
      </c>
      <c r="I6" s="15">
        <v>7.8</v>
      </c>
      <c r="J6" s="15">
        <v>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tbl-premature-birth-rande</v>
      </c>
    </row>
    <row r="4" spans="1:17" x14ac:dyDescent="0.2">
      <c r="A4" s="16" t="s">
        <v>7</v>
      </c>
      <c r="B4" t="str">
        <f>IF($B$1="","",_xlfn.XLOOKUP($B$1,Master!$F$2:$F$321,Master!$H$2:$H$321,""))</f>
        <v>fig-premature-birth-rande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s="34" t="s">
        <v>1391</v>
      </c>
      <c r="G5" t="s">
        <v>1089</v>
      </c>
      <c r="H5" t="s">
        <v>1290</v>
      </c>
      <c r="I5" t="s">
        <v>1292</v>
      </c>
      <c r="J5" t="s">
        <v>1296</v>
      </c>
      <c r="K5" t="s">
        <v>1293</v>
      </c>
    </row>
    <row r="6" spans="1:17" ht="15" customHeight="1" x14ac:dyDescent="0.2">
      <c r="A6" t="s">
        <v>1088</v>
      </c>
      <c r="B6" t="b">
        <v>0</v>
      </c>
      <c r="E6" s="80"/>
      <c r="F6" t="s">
        <v>1297</v>
      </c>
      <c r="G6" s="15">
        <v>8.4</v>
      </c>
      <c r="H6" s="15">
        <v>6.7</v>
      </c>
      <c r="I6" s="15">
        <v>14.9</v>
      </c>
      <c r="J6" s="15">
        <v>8.6999999999999993</v>
      </c>
      <c r="K6" s="15">
        <v>10.5</v>
      </c>
      <c r="L6" s="15"/>
      <c r="M6" s="15"/>
      <c r="N6" s="15"/>
      <c r="O6" s="15"/>
    </row>
    <row r="7" spans="1:17" ht="15.75" customHeight="1" x14ac:dyDescent="0.2">
      <c r="E7" s="80"/>
      <c r="F7" t="s">
        <v>1298</v>
      </c>
      <c r="G7" s="15">
        <v>9.5</v>
      </c>
      <c r="H7" s="15">
        <v>8.5</v>
      </c>
      <c r="I7" s="15">
        <v>13.9</v>
      </c>
      <c r="J7" s="15">
        <v>9.1</v>
      </c>
      <c r="K7" s="15">
        <v>10.3</v>
      </c>
      <c r="L7" s="15"/>
      <c r="M7" s="15"/>
      <c r="N7" s="15"/>
      <c r="O7" s="15"/>
    </row>
    <row r="8" spans="1:17" x14ac:dyDescent="0.2">
      <c r="E8" s="80"/>
      <c r="F8" t="s">
        <v>1299</v>
      </c>
      <c r="G8" s="15">
        <v>9.5</v>
      </c>
      <c r="H8" s="15">
        <v>7.9</v>
      </c>
      <c r="I8" s="15">
        <v>13.7</v>
      </c>
      <c r="J8" s="15">
        <v>8.9</v>
      </c>
      <c r="K8" s="15">
        <v>10.4</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1889</v>
      </c>
      <c r="E19" s="80"/>
    </row>
    <row r="20" spans="1:11" x14ac:dyDescent="0.2">
      <c r="E20" s="80"/>
      <c r="F20" s="15"/>
      <c r="G20" s="15"/>
      <c r="H20" s="15"/>
    </row>
    <row r="21" spans="1:11" x14ac:dyDescent="0.2">
      <c r="A21" s="82"/>
      <c r="B21" s="80"/>
      <c r="E21" s="80"/>
      <c r="F21" s="15"/>
      <c r="G21" s="15"/>
      <c r="H21" s="15"/>
    </row>
    <row r="22" spans="1:11" x14ac:dyDescent="0.2">
      <c r="A22" t="s">
        <v>1135</v>
      </c>
      <c r="B22" t="s">
        <v>1904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election activeCell="T45" sqref="T4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tbl-lbw-age-rande-zip</v>
      </c>
    </row>
    <row r="4" spans="1:17" x14ac:dyDescent="0.2">
      <c r="A4" s="16" t="s">
        <v>7</v>
      </c>
      <c r="B4" t="str">
        <f>IF($B$1="","",_xlfn.XLOOKUP($B$1,Master!$F$2:$F$321,Master!$H$2:$H$321,""))</f>
        <v>fig-lbw-age-rande-zip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G5" s="82">
        <v>2020</v>
      </c>
      <c r="H5" s="80"/>
      <c r="I5" s="82">
        <v>2021</v>
      </c>
      <c r="J5" s="80"/>
      <c r="K5" s="82">
        <v>2022</v>
      </c>
      <c r="L5" s="80"/>
      <c r="M5" s="82">
        <v>2023</v>
      </c>
      <c r="N5" s="80"/>
      <c r="O5" s="82" t="s">
        <v>2357</v>
      </c>
      <c r="P5" s="80"/>
    </row>
    <row r="6" spans="1:17" x14ac:dyDescent="0.2">
      <c r="A6" t="s">
        <v>1088</v>
      </c>
      <c r="B6" t="b">
        <v>1</v>
      </c>
      <c r="E6" s="80"/>
      <c r="F6" s="37"/>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s="37" t="s">
        <v>1867</v>
      </c>
      <c r="G7" s="15">
        <v>4808</v>
      </c>
      <c r="H7" s="15">
        <v>100</v>
      </c>
      <c r="I7" s="15">
        <v>5125</v>
      </c>
      <c r="J7" s="15">
        <v>100</v>
      </c>
      <c r="K7" s="15">
        <v>4965</v>
      </c>
      <c r="L7" s="15">
        <v>100</v>
      </c>
      <c r="M7" s="15">
        <v>5253</v>
      </c>
      <c r="N7" s="15">
        <v>100</v>
      </c>
      <c r="O7" s="15">
        <v>20151</v>
      </c>
      <c r="P7" s="15">
        <v>100</v>
      </c>
    </row>
    <row r="8" spans="1:17" x14ac:dyDescent="0.2">
      <c r="E8" s="80"/>
      <c r="F8" s="37" t="s">
        <v>1905</v>
      </c>
      <c r="G8" s="15">
        <v>331</v>
      </c>
      <c r="H8" s="15">
        <v>6.9</v>
      </c>
      <c r="I8" s="15">
        <v>318</v>
      </c>
      <c r="J8" s="17">
        <v>6.2</v>
      </c>
      <c r="K8" s="17">
        <v>341</v>
      </c>
      <c r="L8" s="17">
        <v>6.9</v>
      </c>
      <c r="M8" s="17">
        <v>346</v>
      </c>
      <c r="N8" s="17">
        <v>6.6</v>
      </c>
      <c r="O8" s="15">
        <v>1336</v>
      </c>
      <c r="P8" s="15">
        <v>6.6</v>
      </c>
    </row>
    <row r="9" spans="1:17" x14ac:dyDescent="0.2">
      <c r="A9" s="84" t="s">
        <v>1098</v>
      </c>
      <c r="B9" s="80"/>
      <c r="E9" s="80"/>
      <c r="F9" s="94" t="s">
        <v>1276</v>
      </c>
      <c r="G9" s="80"/>
      <c r="H9" s="80"/>
      <c r="I9" s="80"/>
      <c r="J9" s="80"/>
      <c r="K9" s="80"/>
      <c r="L9" s="80"/>
      <c r="M9" s="80"/>
      <c r="N9" s="80"/>
      <c r="O9" s="80"/>
      <c r="P9" s="80"/>
    </row>
    <row r="10" spans="1:17" x14ac:dyDescent="0.2">
      <c r="A10" t="s">
        <v>1100</v>
      </c>
      <c r="E10" s="80"/>
      <c r="F10" s="49" t="s">
        <v>1869</v>
      </c>
      <c r="G10" s="15">
        <v>0</v>
      </c>
      <c r="H10" s="15">
        <v>0</v>
      </c>
      <c r="I10" s="15">
        <v>0</v>
      </c>
      <c r="J10" s="15">
        <v>0</v>
      </c>
      <c r="K10" s="15">
        <v>0</v>
      </c>
      <c r="L10" s="15">
        <v>0</v>
      </c>
      <c r="M10" s="15">
        <v>0</v>
      </c>
      <c r="N10" s="15">
        <v>0</v>
      </c>
      <c r="O10" s="15">
        <v>0</v>
      </c>
      <c r="P10" s="15">
        <v>0</v>
      </c>
    </row>
    <row r="11" spans="1:17" x14ac:dyDescent="0.2">
      <c r="A11" t="s">
        <v>1102</v>
      </c>
      <c r="E11" s="80"/>
      <c r="F11" s="47" t="s">
        <v>1870</v>
      </c>
      <c r="G11" s="15" t="s">
        <v>1031</v>
      </c>
      <c r="H11" s="15"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v>10</v>
      </c>
      <c r="L12" s="15">
        <v>7.1</v>
      </c>
      <c r="M12" s="15">
        <v>12</v>
      </c>
      <c r="N12" s="15">
        <v>9.1999999999999993</v>
      </c>
      <c r="O12" s="15">
        <v>35</v>
      </c>
      <c r="P12" s="15">
        <v>7.1</v>
      </c>
    </row>
    <row r="13" spans="1:17" x14ac:dyDescent="0.2">
      <c r="A13" t="s">
        <v>1108</v>
      </c>
      <c r="E13" s="80"/>
      <c r="F13" s="47" t="s">
        <v>1701</v>
      </c>
      <c r="G13" s="15">
        <v>59</v>
      </c>
      <c r="H13" s="15">
        <v>6.2</v>
      </c>
      <c r="I13" s="15">
        <v>50</v>
      </c>
      <c r="J13" s="15">
        <v>5.0999999999999996</v>
      </c>
      <c r="K13" s="15">
        <v>60</v>
      </c>
      <c r="L13" s="15">
        <v>6</v>
      </c>
      <c r="M13" s="15">
        <v>54</v>
      </c>
      <c r="N13" s="15">
        <v>4.9000000000000004</v>
      </c>
      <c r="O13" s="15">
        <v>223</v>
      </c>
      <c r="P13" s="15">
        <v>5.5</v>
      </c>
    </row>
    <row r="14" spans="1:17" x14ac:dyDescent="0.2">
      <c r="A14" t="s">
        <v>1112</v>
      </c>
      <c r="E14" s="80"/>
      <c r="F14" s="47" t="s">
        <v>1861</v>
      </c>
      <c r="G14" s="15">
        <v>262</v>
      </c>
      <c r="H14" s="15">
        <v>7.1</v>
      </c>
      <c r="I14" s="15">
        <v>260</v>
      </c>
      <c r="J14" s="15">
        <v>6.5</v>
      </c>
      <c r="K14" s="15">
        <v>269</v>
      </c>
      <c r="L14" s="15">
        <v>7.1</v>
      </c>
      <c r="M14" s="15">
        <v>276</v>
      </c>
      <c r="N14" s="15">
        <v>6.9</v>
      </c>
      <c r="O14" s="15">
        <v>1067</v>
      </c>
      <c r="P14" s="15">
        <v>6.9</v>
      </c>
    </row>
    <row r="15" spans="1:17" x14ac:dyDescent="0.2">
      <c r="A15" t="s">
        <v>1114</v>
      </c>
      <c r="E15" s="80"/>
      <c r="F15" s="47" t="s">
        <v>1877</v>
      </c>
      <c r="G15" s="15" t="s">
        <v>1031</v>
      </c>
      <c r="H15" s="15" t="s">
        <v>1031</v>
      </c>
      <c r="I15" s="15" t="s">
        <v>1031</v>
      </c>
      <c r="J15" s="15" t="s">
        <v>1031</v>
      </c>
      <c r="K15" s="15" t="s">
        <v>1031</v>
      </c>
      <c r="L15" s="15" t="s">
        <v>1031</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148</v>
      </c>
      <c r="H17" s="15">
        <v>5</v>
      </c>
      <c r="I17" s="15">
        <v>161</v>
      </c>
      <c r="J17" s="15">
        <v>5.2</v>
      </c>
      <c r="K17" s="15">
        <v>162</v>
      </c>
      <c r="L17" s="15">
        <v>5.3</v>
      </c>
      <c r="M17" s="15">
        <v>174</v>
      </c>
      <c r="N17" s="15">
        <v>5.4</v>
      </c>
      <c r="O17" s="15">
        <v>645</v>
      </c>
      <c r="P17" s="15">
        <v>5.2</v>
      </c>
    </row>
    <row r="18" spans="1:16" x14ac:dyDescent="0.2">
      <c r="A18" s="84" t="s">
        <v>1119</v>
      </c>
      <c r="B18" s="80"/>
      <c r="E18" s="80"/>
      <c r="F18" s="47" t="s">
        <v>1235</v>
      </c>
      <c r="G18" s="15">
        <v>53</v>
      </c>
      <c r="H18" s="15">
        <v>13.6</v>
      </c>
      <c r="I18" s="15">
        <v>50</v>
      </c>
      <c r="J18" s="15">
        <v>12.6</v>
      </c>
      <c r="K18" s="15">
        <v>44</v>
      </c>
      <c r="L18" s="15">
        <v>10.8</v>
      </c>
      <c r="M18" s="15">
        <v>49</v>
      </c>
      <c r="N18" s="15">
        <v>14</v>
      </c>
      <c r="O18" s="15">
        <v>196</v>
      </c>
      <c r="P18" s="15">
        <v>12.8</v>
      </c>
    </row>
    <row r="19" spans="1:16" x14ac:dyDescent="0.2">
      <c r="A19" t="s">
        <v>1121</v>
      </c>
      <c r="B19" t="s">
        <v>1287</v>
      </c>
      <c r="E19" s="80"/>
      <c r="F19" s="47" t="s">
        <v>1293</v>
      </c>
      <c r="G19" s="15">
        <v>108</v>
      </c>
      <c r="H19" s="15">
        <v>9</v>
      </c>
      <c r="I19" s="15">
        <v>92</v>
      </c>
      <c r="J19" s="15">
        <v>7.1</v>
      </c>
      <c r="K19" s="15">
        <v>113</v>
      </c>
      <c r="L19" s="15">
        <v>8.6999999999999993</v>
      </c>
      <c r="M19" s="15">
        <v>103</v>
      </c>
      <c r="N19" s="15">
        <v>7.2</v>
      </c>
      <c r="O19" s="15">
        <v>416</v>
      </c>
      <c r="P19" s="15">
        <v>8</v>
      </c>
    </row>
    <row r="20" spans="1:16" x14ac:dyDescent="0.2">
      <c r="E20" s="80"/>
      <c r="F20" s="47" t="s">
        <v>1015</v>
      </c>
      <c r="G20" s="15">
        <v>22</v>
      </c>
      <c r="H20" s="15">
        <v>9.1</v>
      </c>
      <c r="I20" s="15">
        <v>15</v>
      </c>
      <c r="J20" s="15">
        <v>4.0999999999999996</v>
      </c>
      <c r="K20" s="15">
        <v>22</v>
      </c>
      <c r="L20" s="15">
        <v>9.6999999999999993</v>
      </c>
      <c r="M20" s="15">
        <v>20</v>
      </c>
      <c r="N20" s="15">
        <v>9</v>
      </c>
      <c r="O20" s="15">
        <v>79</v>
      </c>
      <c r="P20" s="15">
        <v>8</v>
      </c>
    </row>
    <row r="21" spans="1:16" x14ac:dyDescent="0.2">
      <c r="A21" s="82" t="s">
        <v>1125</v>
      </c>
      <c r="B21" s="80"/>
      <c r="E21" s="80"/>
      <c r="F21" s="91" t="s">
        <v>1294</v>
      </c>
      <c r="G21" s="80"/>
      <c r="H21" s="80"/>
      <c r="I21" s="80"/>
      <c r="J21" s="80"/>
      <c r="K21" s="80"/>
      <c r="L21" s="80"/>
      <c r="M21" s="80"/>
      <c r="N21" s="80"/>
      <c r="O21" s="80"/>
      <c r="P21" s="80"/>
    </row>
    <row r="22" spans="1:16" x14ac:dyDescent="0.2">
      <c r="A22" t="s">
        <v>1135</v>
      </c>
      <c r="B22" t="s">
        <v>1906</v>
      </c>
      <c r="E22" s="80"/>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80"/>
      <c r="F23" s="47" t="s">
        <v>1873</v>
      </c>
      <c r="G23" s="15">
        <v>48</v>
      </c>
      <c r="H23" s="15">
        <v>3.1</v>
      </c>
      <c r="I23" s="15">
        <v>47</v>
      </c>
      <c r="J23" s="15">
        <v>2.8</v>
      </c>
      <c r="K23" s="15">
        <v>67</v>
      </c>
      <c r="L23" s="15">
        <v>4</v>
      </c>
      <c r="M23" s="15">
        <v>56</v>
      </c>
      <c r="N23" s="15">
        <v>3</v>
      </c>
      <c r="O23" s="15">
        <v>218</v>
      </c>
      <c r="P23" s="15">
        <v>3.2</v>
      </c>
    </row>
    <row r="24" spans="1:16" x14ac:dyDescent="0.2">
      <c r="E24" s="80"/>
      <c r="F24" s="47">
        <v>12550</v>
      </c>
      <c r="G24" s="15">
        <v>59</v>
      </c>
      <c r="H24" s="15">
        <v>8.8000000000000007</v>
      </c>
      <c r="I24" s="15">
        <v>61</v>
      </c>
      <c r="J24" s="15">
        <v>9.1</v>
      </c>
      <c r="K24" s="15">
        <v>55</v>
      </c>
      <c r="L24" s="15">
        <v>8.1</v>
      </c>
      <c r="M24" s="15">
        <v>58</v>
      </c>
      <c r="N24" s="15">
        <v>8.4</v>
      </c>
      <c r="O24" s="15">
        <v>233</v>
      </c>
      <c r="P24" s="15">
        <v>8.6</v>
      </c>
    </row>
    <row r="25" spans="1:16" x14ac:dyDescent="0.2">
      <c r="E25" s="80"/>
      <c r="F25" s="47">
        <v>12771</v>
      </c>
      <c r="G25" s="15">
        <v>15</v>
      </c>
      <c r="H25" s="15">
        <v>9.6</v>
      </c>
      <c r="I25" s="15">
        <v>13</v>
      </c>
      <c r="J25" s="15">
        <v>8.9</v>
      </c>
      <c r="K25" s="15">
        <v>22</v>
      </c>
      <c r="L25" s="15">
        <v>14.2</v>
      </c>
      <c r="M25" s="15">
        <v>10</v>
      </c>
      <c r="N25" s="15">
        <v>7.5</v>
      </c>
      <c r="O25" s="15">
        <v>60</v>
      </c>
      <c r="P25" s="15">
        <v>10</v>
      </c>
    </row>
    <row r="26" spans="1:16" x14ac:dyDescent="0.2">
      <c r="E26" s="80"/>
    </row>
    <row r="27" spans="1:16" x14ac:dyDescent="0.2">
      <c r="A27" s="82"/>
      <c r="B27" s="80"/>
      <c r="E27" s="80"/>
    </row>
    <row r="28" spans="1:16" x14ac:dyDescent="0.2">
      <c r="E28" s="80"/>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v>
      </c>
    </row>
    <row r="4" spans="1:17" x14ac:dyDescent="0.2">
      <c r="A4" s="16" t="s">
        <v>7</v>
      </c>
      <c r="B4" t="str">
        <f>IF($B$1="","",_xlfn.XLOOKUP($B$1,Master!$F$2:$F$321,Master!$H$2:$H$321,""))</f>
        <v>fig-lbw-birth</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s="34" t="s">
        <v>1391</v>
      </c>
      <c r="G5">
        <v>2020</v>
      </c>
      <c r="H5">
        <v>2021</v>
      </c>
      <c r="I5">
        <v>2022</v>
      </c>
      <c r="J5">
        <v>2023</v>
      </c>
    </row>
    <row r="6" spans="1:17" ht="15" customHeight="1" x14ac:dyDescent="0.2">
      <c r="A6" t="s">
        <v>1088</v>
      </c>
      <c r="B6" t="b">
        <v>0</v>
      </c>
      <c r="E6" s="80"/>
      <c r="F6" t="s">
        <v>1096</v>
      </c>
      <c r="G6" s="15">
        <v>6.9</v>
      </c>
      <c r="H6" s="15">
        <v>6.2</v>
      </c>
      <c r="I6" s="15">
        <v>6.9</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0</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tbl-lbw-birth-rande</v>
      </c>
    </row>
    <row r="4" spans="1:17" x14ac:dyDescent="0.2">
      <c r="A4" s="16" t="s">
        <v>7</v>
      </c>
      <c r="B4" t="str">
        <f>IF($B$1="","",_xlfn.XLOOKUP($B$1,Master!$F$2:$F$321,Master!$H$2:$H$321,""))</f>
        <v>fig-lbw-birth-rande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s="34" t="s">
        <v>1391</v>
      </c>
      <c r="G5" t="s">
        <v>1089</v>
      </c>
      <c r="H5" t="s">
        <v>1290</v>
      </c>
      <c r="I5" t="s">
        <v>1292</v>
      </c>
      <c r="J5" t="s">
        <v>1296</v>
      </c>
      <c r="K5" t="s">
        <v>1293</v>
      </c>
    </row>
    <row r="6" spans="1:17" ht="15" customHeight="1" x14ac:dyDescent="0.2">
      <c r="A6" t="s">
        <v>1088</v>
      </c>
      <c r="B6" t="b">
        <v>0</v>
      </c>
      <c r="E6" s="80"/>
      <c r="F6" t="s">
        <v>1297</v>
      </c>
      <c r="G6" s="15">
        <v>7.1</v>
      </c>
      <c r="H6" s="15">
        <v>5.7</v>
      </c>
      <c r="I6" s="15">
        <v>13.4</v>
      </c>
      <c r="J6" s="15">
        <v>8.1</v>
      </c>
      <c r="K6" s="15">
        <v>8.5</v>
      </c>
      <c r="L6" s="15"/>
      <c r="M6" s="15"/>
      <c r="N6" s="15"/>
      <c r="O6" s="15"/>
    </row>
    <row r="7" spans="1:17" ht="15.75" customHeight="1" x14ac:dyDescent="0.2">
      <c r="E7" s="80"/>
      <c r="F7" t="s">
        <v>1298</v>
      </c>
      <c r="G7" s="15">
        <v>8</v>
      </c>
      <c r="H7" s="15">
        <v>6.7</v>
      </c>
      <c r="I7" s="15">
        <v>14.2</v>
      </c>
      <c r="J7" s="15">
        <v>9.3000000000000007</v>
      </c>
      <c r="K7" s="15">
        <v>8.3000000000000007</v>
      </c>
      <c r="L7" s="15"/>
      <c r="M7" s="15"/>
      <c r="N7" s="15"/>
      <c r="O7" s="15"/>
    </row>
    <row r="8" spans="1:17" x14ac:dyDescent="0.2">
      <c r="E8" s="80"/>
      <c r="F8" t="s">
        <v>1299</v>
      </c>
      <c r="G8" s="15">
        <v>8.4</v>
      </c>
      <c r="H8" s="15">
        <v>6.4</v>
      </c>
      <c r="I8" s="15">
        <v>13.8</v>
      </c>
      <c r="J8" s="15">
        <v>9.5</v>
      </c>
      <c r="K8" s="15">
        <v>8.6999999999999993</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1889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tbl-ed-any-drug-od-aar</v>
      </c>
    </row>
    <row r="4" spans="1:17" x14ac:dyDescent="0.2">
      <c r="A4" s="16" t="s">
        <v>7</v>
      </c>
      <c r="B4" t="str">
        <f>IF($B$1="","",_xlfn.XLOOKUP($B$1,Master!$F$2:$F$321,Master!$H$2:$H$321,""))</f>
        <v>fig-ed-any-drug-od-aar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s="34" t="s">
        <v>1391</v>
      </c>
      <c r="G5">
        <v>2018</v>
      </c>
      <c r="H5">
        <v>2019</v>
      </c>
      <c r="I5">
        <v>2020</v>
      </c>
      <c r="J5">
        <v>2021</v>
      </c>
      <c r="K5">
        <v>2022</v>
      </c>
    </row>
    <row r="6" spans="1:17" ht="15" customHeight="1" x14ac:dyDescent="0.2">
      <c r="A6" t="s">
        <v>1088</v>
      </c>
      <c r="B6" t="b">
        <v>0</v>
      </c>
      <c r="E6" s="80"/>
      <c r="F6" t="s">
        <v>1297</v>
      </c>
      <c r="G6" s="15">
        <v>237.8</v>
      </c>
      <c r="H6" s="15">
        <v>194.5</v>
      </c>
      <c r="I6" s="15">
        <v>212.4</v>
      </c>
      <c r="J6" s="15">
        <v>183.8</v>
      </c>
      <c r="K6" s="15">
        <v>178</v>
      </c>
      <c r="L6" s="15"/>
      <c r="M6" s="15"/>
      <c r="N6" s="15"/>
      <c r="O6" s="15"/>
    </row>
    <row r="7" spans="1:17" ht="15.75" customHeight="1" x14ac:dyDescent="0.2">
      <c r="E7" s="80"/>
      <c r="F7" t="s">
        <v>1645</v>
      </c>
      <c r="G7" s="15">
        <v>187.7</v>
      </c>
      <c r="H7" s="15">
        <v>171.6</v>
      </c>
      <c r="I7" s="15">
        <v>167.3</v>
      </c>
      <c r="J7" s="15">
        <v>165.1</v>
      </c>
      <c r="K7" s="15">
        <v>150.19999999999999</v>
      </c>
      <c r="L7" s="15"/>
      <c r="M7" s="15"/>
      <c r="N7" s="15"/>
      <c r="O7" s="15"/>
    </row>
    <row r="8" spans="1:17" x14ac:dyDescent="0.2">
      <c r="E8" s="80"/>
      <c r="F8" t="s">
        <v>1298</v>
      </c>
      <c r="G8" s="15">
        <v>214.3</v>
      </c>
      <c r="H8" s="15">
        <v>205.4</v>
      </c>
      <c r="I8" s="15">
        <v>206.5</v>
      </c>
      <c r="J8" s="15">
        <v>212.6</v>
      </c>
      <c r="K8" s="15">
        <v>201.4</v>
      </c>
      <c r="L8" s="15"/>
      <c r="M8" s="15"/>
      <c r="N8" s="15"/>
      <c r="O8" s="15"/>
    </row>
    <row r="9" spans="1:17" x14ac:dyDescent="0.2">
      <c r="A9" s="84" t="s">
        <v>1098</v>
      </c>
      <c r="B9" s="80"/>
      <c r="E9" s="80"/>
      <c r="F9" t="s">
        <v>1299</v>
      </c>
      <c r="G9" s="15">
        <v>184.5</v>
      </c>
      <c r="H9" s="15">
        <v>182.6</v>
      </c>
      <c r="I9" s="15">
        <v>175.5</v>
      </c>
      <c r="J9" s="15">
        <v>191.3</v>
      </c>
      <c r="K9" s="15">
        <v>192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1908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election activeCell="I27" sqref="I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10" t="s">
        <v>1009</v>
      </c>
      <c r="G4" s="10" t="s">
        <v>979</v>
      </c>
      <c r="H4" s="10" t="s">
        <v>979</v>
      </c>
      <c r="I4" s="10" t="s">
        <v>979</v>
      </c>
      <c r="J4" s="10" t="s">
        <v>979</v>
      </c>
      <c r="K4" s="10" t="s">
        <v>979</v>
      </c>
      <c r="L4" s="10" t="s">
        <v>979</v>
      </c>
      <c r="M4" s="10" t="s">
        <v>979</v>
      </c>
      <c r="N4" s="10"/>
      <c r="O4" s="10"/>
      <c r="P4" s="10"/>
      <c r="Q4" s="10"/>
    </row>
    <row r="5" spans="1:17" x14ac:dyDescent="0.2">
      <c r="A5" s="84" t="s">
        <v>1081</v>
      </c>
      <c r="B5" s="80"/>
      <c r="E5" s="83" t="s">
        <v>1082</v>
      </c>
      <c r="F5" t="s">
        <v>1295</v>
      </c>
      <c r="G5">
        <v>2016</v>
      </c>
      <c r="H5">
        <v>2017</v>
      </c>
      <c r="I5">
        <v>2018</v>
      </c>
      <c r="J5">
        <v>2019</v>
      </c>
      <c r="K5">
        <v>2020</v>
      </c>
      <c r="L5">
        <v>2021</v>
      </c>
      <c r="M5">
        <v>2022</v>
      </c>
    </row>
    <row r="6" spans="1:17" ht="15" customHeight="1" x14ac:dyDescent="0.2">
      <c r="A6" t="s">
        <v>1088</v>
      </c>
      <c r="B6" t="b">
        <v>0</v>
      </c>
      <c r="E6" s="80"/>
      <c r="F6" t="s">
        <v>1297</v>
      </c>
      <c r="G6" s="15">
        <v>308.3</v>
      </c>
      <c r="H6" s="15">
        <v>246.4</v>
      </c>
      <c r="I6" s="15">
        <v>187.2</v>
      </c>
      <c r="J6" s="15">
        <v>175.5</v>
      </c>
      <c r="K6" s="15">
        <v>156.4</v>
      </c>
      <c r="L6" s="15">
        <v>137.5</v>
      </c>
      <c r="M6" s="15">
        <v>114.1</v>
      </c>
      <c r="N6" s="15"/>
      <c r="O6" s="15"/>
    </row>
    <row r="7" spans="1:17" ht="15.75" customHeight="1" x14ac:dyDescent="0.2">
      <c r="E7" s="80"/>
      <c r="F7" t="s">
        <v>1645</v>
      </c>
      <c r="G7" s="15">
        <v>248.9</v>
      </c>
      <c r="H7" s="15">
        <v>238.1</v>
      </c>
      <c r="I7" s="15">
        <v>212.7</v>
      </c>
      <c r="J7" s="15">
        <v>194.3</v>
      </c>
      <c r="K7" s="15">
        <v>141.9</v>
      </c>
      <c r="L7" s="15">
        <v>139.9</v>
      </c>
      <c r="M7" s="15">
        <v>116.4</v>
      </c>
      <c r="N7" s="15"/>
      <c r="O7" s="15"/>
    </row>
    <row r="8" spans="1:17" x14ac:dyDescent="0.2">
      <c r="E8" s="80"/>
      <c r="F8" t="s">
        <v>1298</v>
      </c>
      <c r="G8" s="15">
        <v>206.6</v>
      </c>
      <c r="H8" s="15">
        <v>193.5</v>
      </c>
      <c r="I8" s="15">
        <v>172.6</v>
      </c>
      <c r="J8" s="15">
        <v>154</v>
      </c>
      <c r="K8" s="15">
        <v>119</v>
      </c>
      <c r="L8" s="15">
        <v>110.3</v>
      </c>
      <c r="M8" s="15">
        <v>99</v>
      </c>
      <c r="N8" s="15"/>
      <c r="O8" s="15"/>
    </row>
    <row r="9" spans="1:17" x14ac:dyDescent="0.2">
      <c r="A9" s="84" t="s">
        <v>1098</v>
      </c>
      <c r="B9" s="80"/>
      <c r="E9" s="80"/>
      <c r="F9" t="s">
        <v>1299</v>
      </c>
      <c r="G9" s="15">
        <v>223.3</v>
      </c>
      <c r="H9" s="15">
        <v>222.7</v>
      </c>
      <c r="I9" s="15">
        <v>210.2</v>
      </c>
      <c r="J9" s="15">
        <v>190</v>
      </c>
      <c r="K9" s="15">
        <v>133.5</v>
      </c>
      <c r="L9" s="15">
        <v>128.19999999999999</v>
      </c>
      <c r="M9" s="15">
        <v>133.6</v>
      </c>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1908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tbl-neonatal-withdraw-maternal-drug-crude</v>
      </c>
    </row>
    <row r="4" spans="1:17" x14ac:dyDescent="0.2">
      <c r="A4" s="16" t="s">
        <v>7</v>
      </c>
      <c r="B4" t="str">
        <f>IF($B$1="","",_xlfn.XLOOKUP($B$1,Master!$F$2:$F$321,Master!$H$2:$H$321,""))</f>
        <v>fig-neonatal-withdraw-maternal-drug-crude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t="s">
        <v>1297</v>
      </c>
      <c r="H5" t="s">
        <v>1645</v>
      </c>
      <c r="I5" t="s">
        <v>1298</v>
      </c>
      <c r="J5" t="s">
        <v>1299</v>
      </c>
    </row>
    <row r="6" spans="1:17" ht="15" customHeight="1" x14ac:dyDescent="0.2">
      <c r="A6" t="s">
        <v>1088</v>
      </c>
      <c r="B6" t="b">
        <v>0</v>
      </c>
      <c r="E6" s="80"/>
      <c r="F6">
        <v>2018</v>
      </c>
      <c r="G6" s="15">
        <v>12.2</v>
      </c>
      <c r="H6" s="15">
        <v>8.9</v>
      </c>
      <c r="I6" s="15">
        <v>15.2</v>
      </c>
      <c r="J6" s="15">
        <v>9.9</v>
      </c>
      <c r="K6" s="15"/>
      <c r="L6" s="15"/>
      <c r="M6" s="15"/>
      <c r="N6" s="15"/>
      <c r="O6" s="15"/>
    </row>
    <row r="7" spans="1:17" ht="15.75" customHeight="1" x14ac:dyDescent="0.2">
      <c r="E7" s="80"/>
      <c r="F7">
        <v>2019</v>
      </c>
      <c r="G7" s="15">
        <v>9.1999999999999993</v>
      </c>
      <c r="H7" s="15">
        <v>7</v>
      </c>
      <c r="I7" s="15">
        <v>12.6</v>
      </c>
      <c r="J7" s="15">
        <v>7.9</v>
      </c>
      <c r="K7" s="15"/>
      <c r="L7" s="15"/>
      <c r="M7" s="15"/>
      <c r="N7" s="15"/>
      <c r="O7" s="15"/>
    </row>
    <row r="8" spans="1:17" x14ac:dyDescent="0.2">
      <c r="E8" s="80"/>
      <c r="F8">
        <v>2020</v>
      </c>
      <c r="G8" s="15">
        <v>10.7</v>
      </c>
      <c r="H8" s="15">
        <v>9.5</v>
      </c>
      <c r="I8" s="15">
        <v>13.7</v>
      </c>
      <c r="J8" s="15">
        <v>8.8000000000000007</v>
      </c>
      <c r="K8" s="15"/>
      <c r="L8" s="15"/>
      <c r="M8" s="15"/>
      <c r="N8" s="15"/>
      <c r="O8" s="15"/>
    </row>
    <row r="9" spans="1:17" x14ac:dyDescent="0.2">
      <c r="A9" s="84" t="s">
        <v>1098</v>
      </c>
      <c r="B9" s="80"/>
      <c r="E9" s="80"/>
      <c r="F9">
        <v>2021</v>
      </c>
      <c r="G9" s="15">
        <v>8.4</v>
      </c>
      <c r="H9" s="15">
        <v>6.7</v>
      </c>
      <c r="I9" s="15">
        <v>10.9</v>
      </c>
      <c r="J9" s="15">
        <v>7.1</v>
      </c>
      <c r="K9" s="15"/>
      <c r="L9" s="15"/>
      <c r="M9" s="15"/>
      <c r="N9" s="15"/>
      <c r="O9" s="15"/>
    </row>
    <row r="10" spans="1:17" x14ac:dyDescent="0.2">
      <c r="A10" t="s">
        <v>1100</v>
      </c>
      <c r="B10" t="s">
        <v>1304</v>
      </c>
      <c r="E10" s="80"/>
      <c r="F10">
        <v>2022</v>
      </c>
      <c r="G10" s="15">
        <v>6.7</v>
      </c>
      <c r="H10">
        <v>5.3</v>
      </c>
      <c r="I10">
        <v>9.6</v>
      </c>
      <c r="J10">
        <v>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0</v>
      </c>
      <c r="E16" s="80"/>
    </row>
    <row r="17" spans="1:11" x14ac:dyDescent="0.2">
      <c r="E17" s="80"/>
    </row>
    <row r="18" spans="1:11" x14ac:dyDescent="0.2">
      <c r="A18" s="84" t="s">
        <v>1119</v>
      </c>
      <c r="B18" s="80"/>
      <c r="E18" s="80"/>
    </row>
    <row r="19" spans="1:11" x14ac:dyDescent="0.2">
      <c r="A19" t="s">
        <v>1121</v>
      </c>
      <c r="B19" t="s">
        <v>1908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election activeCell="N30" sqref="N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tbl-opioid-rx-aar</v>
      </c>
    </row>
    <row r="4" spans="1:17" x14ac:dyDescent="0.2">
      <c r="A4" s="16" t="s">
        <v>7</v>
      </c>
      <c r="B4" t="str">
        <f>IF($B$1="","",_xlfn.XLOOKUP($B$1,Master!$F$2:$F$321,Master!$H$2:$H$321,""))</f>
        <v>fig-opioid-rx-aar</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v>2019</v>
      </c>
      <c r="H5">
        <v>2020</v>
      </c>
      <c r="I5">
        <v>2021</v>
      </c>
      <c r="J5">
        <v>2022</v>
      </c>
      <c r="K5">
        <v>2023</v>
      </c>
      <c r="L5">
        <v>2024</v>
      </c>
    </row>
    <row r="6" spans="1:17" ht="15" customHeight="1" x14ac:dyDescent="0.2">
      <c r="A6" t="s">
        <v>1088</v>
      </c>
      <c r="B6" t="b">
        <v>0</v>
      </c>
      <c r="E6" s="80"/>
      <c r="F6" t="s">
        <v>1297</v>
      </c>
      <c r="G6" s="15">
        <v>363.7</v>
      </c>
      <c r="H6" s="15">
        <v>321.2</v>
      </c>
      <c r="I6" s="15">
        <v>292.5</v>
      </c>
      <c r="J6" s="15">
        <v>269.60000000000002</v>
      </c>
      <c r="K6" s="15">
        <v>250.5</v>
      </c>
      <c r="L6" s="15">
        <v>236.9</v>
      </c>
      <c r="M6" s="15"/>
      <c r="N6" s="15"/>
      <c r="O6" s="15"/>
    </row>
    <row r="7" spans="1:17" ht="15.75" customHeight="1" x14ac:dyDescent="0.2">
      <c r="E7" s="80"/>
      <c r="F7" t="s">
        <v>1298</v>
      </c>
      <c r="G7" s="15">
        <v>377.2</v>
      </c>
      <c r="H7" s="15">
        <v>342.4</v>
      </c>
      <c r="I7" s="15">
        <v>321.2</v>
      </c>
      <c r="J7" s="15">
        <v>300.2</v>
      </c>
      <c r="K7" s="15">
        <v>283.8</v>
      </c>
      <c r="L7" s="15">
        <v>271.5</v>
      </c>
      <c r="M7" s="15"/>
      <c r="N7" s="15"/>
      <c r="O7" s="15"/>
    </row>
    <row r="8" spans="1:17" x14ac:dyDescent="0.2">
      <c r="E8" s="80"/>
      <c r="F8" t="s">
        <v>1299</v>
      </c>
      <c r="G8" s="15">
        <v>301.8</v>
      </c>
      <c r="H8" s="15">
        <v>270.60000000000002</v>
      </c>
      <c r="I8" s="15">
        <v>254.1</v>
      </c>
      <c r="J8" s="15">
        <v>238.1</v>
      </c>
      <c r="K8" s="15">
        <v>225.6</v>
      </c>
      <c r="L8" s="15">
        <v>215.6</v>
      </c>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election activeCell="N22" sqref="N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tbl-opioid-naïve-7day-rx</v>
      </c>
    </row>
    <row r="4" spans="1:17" x14ac:dyDescent="0.2">
      <c r="A4" s="16" t="s">
        <v>7</v>
      </c>
      <c r="B4" t="str">
        <f>IF($B$1="","",_xlfn.XLOOKUP($B$1,Master!$F$2:$F$321,Master!$H$2:$H$321,""))</f>
        <v>fig-opioid-naïve-7day-rx</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1297</v>
      </c>
      <c r="G6" s="15">
        <v>14.9</v>
      </c>
      <c r="H6" s="15">
        <v>15.1</v>
      </c>
      <c r="I6" s="15">
        <v>15.6</v>
      </c>
      <c r="J6" s="15">
        <v>15.8</v>
      </c>
      <c r="K6" s="15"/>
      <c r="L6" s="15"/>
      <c r="M6" s="15"/>
      <c r="N6" s="15"/>
      <c r="O6" s="15"/>
    </row>
    <row r="7" spans="1:17" ht="15.75" customHeight="1" x14ac:dyDescent="0.2">
      <c r="E7" s="80"/>
      <c r="F7" t="s">
        <v>1298</v>
      </c>
      <c r="G7" s="15">
        <v>14.9</v>
      </c>
      <c r="H7" s="15">
        <v>15.1</v>
      </c>
      <c r="I7" s="15">
        <v>15.5</v>
      </c>
      <c r="J7" s="15">
        <v>15</v>
      </c>
      <c r="K7" s="15"/>
      <c r="L7" s="15"/>
      <c r="M7" s="15"/>
      <c r="N7" s="15"/>
      <c r="O7" s="15"/>
    </row>
    <row r="8" spans="1:17" x14ac:dyDescent="0.2">
      <c r="E8" s="80"/>
      <c r="F8" t="s">
        <v>1299</v>
      </c>
      <c r="G8" s="15">
        <v>14.6</v>
      </c>
      <c r="H8" s="15">
        <v>14.7</v>
      </c>
      <c r="I8" s="15">
        <v>15.1</v>
      </c>
      <c r="J8" s="15">
        <v>14.7</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tbl-benzo-rx-aar</v>
      </c>
    </row>
    <row r="4" spans="1:17" x14ac:dyDescent="0.2">
      <c r="A4" s="16" t="s">
        <v>7</v>
      </c>
      <c r="B4" t="str">
        <f>IF($B$1="","",_xlfn.XLOOKUP($B$1,Master!$F$2:$F$321,Master!$H$2:$H$321,""))</f>
        <v>fig-benzo-rx-aar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1297</v>
      </c>
      <c r="G6" s="15">
        <v>245.1</v>
      </c>
      <c r="H6" s="15">
        <v>237.2</v>
      </c>
      <c r="I6" s="15">
        <v>225.2</v>
      </c>
      <c r="J6" s="15">
        <v>221.3</v>
      </c>
      <c r="K6" s="15"/>
      <c r="L6" s="15"/>
      <c r="M6" s="15"/>
      <c r="N6" s="15"/>
      <c r="O6" s="15"/>
    </row>
    <row r="7" spans="1:17" ht="15.75" customHeight="1" x14ac:dyDescent="0.2">
      <c r="E7" s="80"/>
      <c r="F7" t="s">
        <v>1298</v>
      </c>
      <c r="G7" s="15">
        <v>269.39999999999998</v>
      </c>
      <c r="H7" s="15">
        <v>261.7</v>
      </c>
      <c r="I7" s="15">
        <v>254.1</v>
      </c>
      <c r="J7" s="15">
        <v>250.6</v>
      </c>
      <c r="K7" s="15"/>
      <c r="L7" s="15"/>
      <c r="M7" s="15"/>
      <c r="N7" s="15"/>
      <c r="O7" s="15"/>
    </row>
    <row r="8" spans="1:17" x14ac:dyDescent="0.2">
      <c r="E8" s="80"/>
      <c r="F8" t="s">
        <v>1299</v>
      </c>
      <c r="G8" s="15">
        <v>224.7</v>
      </c>
      <c r="H8" s="15">
        <v>219.2</v>
      </c>
      <c r="I8" s="15">
        <v>213</v>
      </c>
      <c r="J8" s="15">
        <v>209.9</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tbl-overlap-opioid-benzo-rx</v>
      </c>
    </row>
    <row r="4" spans="1:17" x14ac:dyDescent="0.2">
      <c r="A4" s="16" t="s">
        <v>7</v>
      </c>
      <c r="B4" t="str">
        <f>IF($B$1="","",_xlfn.XLOOKUP($B$1,Master!$F$2:$F$321,Master!$H$2:$H$321,""))</f>
        <v>fig-overlap-opioid-benzo-rx</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1297</v>
      </c>
      <c r="G6" s="15">
        <v>9.1</v>
      </c>
      <c r="H6" s="15">
        <v>8.5</v>
      </c>
      <c r="I6" s="15">
        <v>8.3000000000000007</v>
      </c>
      <c r="J6" s="15">
        <v>8</v>
      </c>
      <c r="K6" s="15"/>
      <c r="L6" s="15"/>
      <c r="M6" s="15"/>
      <c r="N6" s="15"/>
      <c r="O6" s="15"/>
    </row>
    <row r="7" spans="1:17" ht="15.75" customHeight="1" x14ac:dyDescent="0.2">
      <c r="E7" s="80"/>
      <c r="F7" t="s">
        <v>1298</v>
      </c>
      <c r="G7" s="15">
        <v>8.9</v>
      </c>
      <c r="H7" s="15">
        <v>8.6</v>
      </c>
      <c r="I7" s="15">
        <v>8.4</v>
      </c>
      <c r="J7" s="15">
        <v>8.1999999999999993</v>
      </c>
      <c r="K7" s="15"/>
      <c r="L7" s="15"/>
      <c r="M7" s="15"/>
      <c r="N7" s="15"/>
      <c r="O7" s="15"/>
    </row>
    <row r="8" spans="1:17" x14ac:dyDescent="0.2">
      <c r="E8" s="80"/>
      <c r="F8" t="s">
        <v>1299</v>
      </c>
      <c r="G8" s="15">
        <v>8.1</v>
      </c>
      <c r="H8" s="15">
        <v>7.8</v>
      </c>
      <c r="I8" s="15">
        <v>7.6</v>
      </c>
      <c r="J8" s="15">
        <v>7.4</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tbl-opioidud-atleast1rx-bup-aar</v>
      </c>
    </row>
    <row r="4" spans="1:17" x14ac:dyDescent="0.2">
      <c r="A4" s="16" t="s">
        <v>7</v>
      </c>
      <c r="B4" t="str">
        <f>IF($B$1="","",_xlfn.XLOOKUP($B$1,Master!$F$2:$F$321,Master!$H$2:$H$321,""))</f>
        <v>fig-opioidud-atleast1rx-bup-aar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v>2020</v>
      </c>
      <c r="H5">
        <v>2021</v>
      </c>
      <c r="I5">
        <v>2022</v>
      </c>
      <c r="J5">
        <v>2023</v>
      </c>
      <c r="K5">
        <v>2024</v>
      </c>
    </row>
    <row r="6" spans="1:17" ht="15" customHeight="1" x14ac:dyDescent="0.2">
      <c r="A6" t="s">
        <v>1088</v>
      </c>
      <c r="B6" t="b">
        <v>0</v>
      </c>
      <c r="E6" s="80"/>
      <c r="F6" t="s">
        <v>1297</v>
      </c>
      <c r="G6" s="15">
        <v>608.70000000000005</v>
      </c>
      <c r="H6" s="15">
        <v>527.6</v>
      </c>
      <c r="I6" s="15">
        <v>514.20000000000005</v>
      </c>
      <c r="J6" s="15">
        <v>520.4</v>
      </c>
      <c r="K6" s="15">
        <v>497.5</v>
      </c>
      <c r="L6" s="15"/>
      <c r="M6" s="15"/>
      <c r="N6" s="15"/>
      <c r="O6" s="15"/>
    </row>
    <row r="7" spans="1:17" ht="15.75" customHeight="1" x14ac:dyDescent="0.2">
      <c r="E7" s="80"/>
      <c r="F7" t="s">
        <v>1298</v>
      </c>
      <c r="G7" s="15">
        <v>638.4</v>
      </c>
      <c r="H7" s="15">
        <v>637.70000000000005</v>
      </c>
      <c r="I7" s="15">
        <v>657.2</v>
      </c>
      <c r="J7" s="15">
        <v>705.5</v>
      </c>
      <c r="K7" s="15">
        <v>695.3</v>
      </c>
      <c r="L7" s="15"/>
      <c r="M7" s="15"/>
      <c r="N7" s="15"/>
      <c r="O7" s="15"/>
    </row>
    <row r="8" spans="1:17" x14ac:dyDescent="0.2">
      <c r="E8" s="80"/>
      <c r="F8" t="s">
        <v>1299</v>
      </c>
      <c r="G8" s="15">
        <v>419.1</v>
      </c>
      <c r="H8" s="15">
        <v>419.8</v>
      </c>
      <c r="I8" s="15">
        <v>433.9</v>
      </c>
      <c r="J8" s="15">
        <v>464</v>
      </c>
      <c r="K8" s="15">
        <v>462.4</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1917</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1918</v>
      </c>
      <c r="C22" t="s">
        <v>1226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election activeCell="G6" sqref="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tbl-opioidud-continuous-bup-rx</v>
      </c>
    </row>
    <row r="4" spans="1:17" x14ac:dyDescent="0.2">
      <c r="A4" s="16" t="s">
        <v>7</v>
      </c>
      <c r="B4" t="str">
        <f>IF($B$1="","",_xlfn.XLOOKUP($B$1,Master!$F$2:$F$321,Master!$H$2:$H$321,""))</f>
        <v>fig-opioidud-continuous-bup-rx</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1297</v>
      </c>
      <c r="G6" s="15">
        <v>71.3</v>
      </c>
      <c r="H6" s="15">
        <v>75.5</v>
      </c>
      <c r="I6" s="15">
        <v>73.2</v>
      </c>
      <c r="J6" s="15">
        <v>74.2</v>
      </c>
      <c r="K6" s="15"/>
      <c r="L6" s="15"/>
      <c r="M6" s="15"/>
      <c r="N6" s="15"/>
      <c r="O6" s="15"/>
    </row>
    <row r="7" spans="1:17" ht="15.75" customHeight="1" x14ac:dyDescent="0.2">
      <c r="E7" s="80"/>
      <c r="F7" t="s">
        <v>1298</v>
      </c>
      <c r="G7" s="15">
        <v>75.099999999999994</v>
      </c>
      <c r="H7" s="15">
        <v>74.5</v>
      </c>
      <c r="I7" s="15">
        <v>72.2</v>
      </c>
      <c r="J7" s="15">
        <v>70.400000000000006</v>
      </c>
      <c r="K7" s="15"/>
      <c r="L7" s="15"/>
      <c r="M7" s="15"/>
      <c r="N7" s="15"/>
      <c r="O7" s="15"/>
    </row>
    <row r="8" spans="1:17" x14ac:dyDescent="0.2">
      <c r="E8" s="80"/>
      <c r="F8" t="s">
        <v>1299</v>
      </c>
      <c r="G8" s="15">
        <v>71.8</v>
      </c>
      <c r="H8" s="15">
        <v>71.400000000000006</v>
      </c>
      <c r="I8" s="15">
        <v>69.5</v>
      </c>
      <c r="J8" s="15">
        <v>67.900000000000006</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tbl-perception-harm-su</v>
      </c>
    </row>
    <row r="4" spans="1:17" x14ac:dyDescent="0.2">
      <c r="A4" s="16" t="s">
        <v>7</v>
      </c>
      <c r="B4" t="str">
        <f>IF($B$1="","",_xlfn.XLOOKUP($B$1,Master!$F$2:$F$321,Master!$H$2:$H$321,""))</f>
        <v>fig-perception-harm-su</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1920</v>
      </c>
      <c r="G5" t="s">
        <v>1921</v>
      </c>
      <c r="H5" t="s">
        <v>1922</v>
      </c>
      <c r="I5" t="s">
        <v>1923</v>
      </c>
      <c r="J5" t="s">
        <v>1924</v>
      </c>
      <c r="K5" t="s">
        <v>1089</v>
      </c>
    </row>
    <row r="6" spans="1:17" ht="15" customHeight="1" x14ac:dyDescent="0.2">
      <c r="A6" t="s">
        <v>1088</v>
      </c>
      <c r="B6" t="b">
        <v>0</v>
      </c>
      <c r="E6" s="80"/>
      <c r="F6" t="s">
        <v>1925</v>
      </c>
      <c r="G6" s="15">
        <v>70</v>
      </c>
      <c r="H6" s="15">
        <v>70.5</v>
      </c>
      <c r="I6" s="15">
        <v>70.5</v>
      </c>
      <c r="J6" s="15">
        <v>73.900000000000006</v>
      </c>
      <c r="K6" s="15">
        <v>71</v>
      </c>
      <c r="L6" s="15"/>
      <c r="M6" s="15"/>
      <c r="N6" s="15"/>
      <c r="O6" s="15"/>
    </row>
    <row r="7" spans="1:17" ht="15.75" customHeight="1" x14ac:dyDescent="0.2">
      <c r="E7" s="80"/>
      <c r="F7" t="s">
        <v>1926</v>
      </c>
      <c r="G7" s="15">
        <v>76.099999999999994</v>
      </c>
      <c r="H7" s="15">
        <v>79.900000000000006</v>
      </c>
      <c r="I7" s="15">
        <v>76.2</v>
      </c>
      <c r="J7" s="15">
        <v>84.5</v>
      </c>
      <c r="K7" s="15">
        <v>79</v>
      </c>
      <c r="L7" s="15"/>
      <c r="M7" s="15"/>
      <c r="N7" s="15"/>
      <c r="O7" s="15"/>
    </row>
    <row r="8" spans="1:17" x14ac:dyDescent="0.2">
      <c r="E8" s="80"/>
      <c r="F8" t="s">
        <v>1927</v>
      </c>
      <c r="G8" s="15">
        <v>65</v>
      </c>
      <c r="H8" s="15">
        <v>57</v>
      </c>
      <c r="I8" s="15">
        <v>57</v>
      </c>
      <c r="J8" s="15">
        <v>54.7</v>
      </c>
      <c r="K8" s="15">
        <v>59.6</v>
      </c>
      <c r="L8" s="15"/>
      <c r="M8" s="15"/>
      <c r="N8" s="15"/>
      <c r="O8" s="15"/>
    </row>
    <row r="9" spans="1:17" x14ac:dyDescent="0.2">
      <c r="A9" s="84" t="s">
        <v>1098</v>
      </c>
      <c r="B9" s="80"/>
      <c r="E9" s="80"/>
      <c r="F9" t="s">
        <v>1928</v>
      </c>
      <c r="G9" s="15">
        <v>72.900000000000006</v>
      </c>
      <c r="H9" s="15">
        <v>77.099999999999994</v>
      </c>
      <c r="I9" s="15">
        <v>73.900000000000006</v>
      </c>
      <c r="J9" s="15">
        <v>84</v>
      </c>
      <c r="K9" s="15">
        <v>76.599999999999994</v>
      </c>
      <c r="L9" s="15"/>
      <c r="M9" s="15"/>
      <c r="N9" s="15"/>
      <c r="O9" s="15"/>
    </row>
    <row r="10" spans="1:17" x14ac:dyDescent="0.2">
      <c r="A10" t="s">
        <v>1100</v>
      </c>
      <c r="B10" t="s">
        <v>1304</v>
      </c>
      <c r="E10" s="80"/>
      <c r="G10" s="15"/>
    </row>
    <row r="11" spans="1:17" x14ac:dyDescent="0.2">
      <c r="A11" t="s">
        <v>1102</v>
      </c>
      <c r="B11" t="s">
        <v>1929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1920</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1930</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tbl-lifetime-su</v>
      </c>
    </row>
    <row r="4" spans="1:17" x14ac:dyDescent="0.2">
      <c r="A4" s="16" t="s">
        <v>7</v>
      </c>
      <c r="B4" t="str">
        <f>IF($B$1="","",_xlfn.XLOOKUP($B$1,Master!$F$2:$F$321,Master!$H$2:$H$321,""))</f>
        <v>fig-lifetime-su</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17.899999999999999</v>
      </c>
      <c r="H7" s="15">
        <v>31.8</v>
      </c>
      <c r="I7" s="15">
        <v>18.7</v>
      </c>
      <c r="J7" s="15">
        <v>50</v>
      </c>
      <c r="K7" s="15">
        <v>28.8</v>
      </c>
      <c r="L7" s="15"/>
      <c r="M7" s="15"/>
      <c r="N7" s="15"/>
      <c r="O7" s="15"/>
    </row>
    <row r="8" spans="1:17" x14ac:dyDescent="0.2">
      <c r="E8" s="80"/>
      <c r="F8" s="47" t="s">
        <v>1939</v>
      </c>
      <c r="G8" s="15">
        <v>2.7</v>
      </c>
      <c r="H8" s="15">
        <v>11.6</v>
      </c>
      <c r="I8" s="15">
        <v>9.8000000000000007</v>
      </c>
      <c r="J8" s="15">
        <v>23.2</v>
      </c>
      <c r="K8" s="15">
        <v>10.3</v>
      </c>
      <c r="L8" s="15"/>
      <c r="M8" s="15"/>
      <c r="N8" s="15"/>
      <c r="O8" s="15"/>
    </row>
    <row r="9" spans="1:17" x14ac:dyDescent="0.2">
      <c r="A9" s="84" t="s">
        <v>1098</v>
      </c>
      <c r="B9" s="80"/>
      <c r="E9" s="80"/>
      <c r="F9" s="47" t="s">
        <v>1940</v>
      </c>
      <c r="G9" s="15">
        <v>4.9000000000000004</v>
      </c>
      <c r="H9" s="15">
        <v>3.5</v>
      </c>
      <c r="I9" s="15">
        <v>2.8</v>
      </c>
      <c r="J9" s="15">
        <v>1.6</v>
      </c>
      <c r="K9" s="15">
        <v>3.6</v>
      </c>
      <c r="L9" s="15"/>
      <c r="M9" s="15"/>
      <c r="N9" s="15"/>
      <c r="O9" s="15"/>
    </row>
    <row r="10" spans="1:17" x14ac:dyDescent="0.2">
      <c r="A10" t="s">
        <v>1100</v>
      </c>
      <c r="E10" s="80"/>
      <c r="F10" s="47" t="s">
        <v>1941</v>
      </c>
      <c r="G10" s="15">
        <v>4.5</v>
      </c>
      <c r="H10" s="15">
        <v>3.5</v>
      </c>
      <c r="I10" s="15">
        <v>3.3</v>
      </c>
      <c r="J10" s="15">
        <v>3</v>
      </c>
      <c r="K10" s="15">
        <v>3.7</v>
      </c>
    </row>
    <row r="11" spans="1:17" x14ac:dyDescent="0.2">
      <c r="A11" t="s">
        <v>1102</v>
      </c>
      <c r="E11" s="80"/>
      <c r="F11" s="47" t="s">
        <v>1942</v>
      </c>
      <c r="G11" s="15">
        <v>0.7</v>
      </c>
      <c r="H11" s="15">
        <v>2.7</v>
      </c>
      <c r="I11" s="15">
        <v>2.5</v>
      </c>
      <c r="J11" s="15">
        <v>5.6</v>
      </c>
      <c r="K11" s="15">
        <v>2.5</v>
      </c>
      <c r="L11" s="17"/>
      <c r="M11" s="17"/>
      <c r="N11" s="17"/>
    </row>
    <row r="12" spans="1:17" x14ac:dyDescent="0.2">
      <c r="A12" t="s">
        <v>1104</v>
      </c>
      <c r="E12" s="80"/>
      <c r="F12" s="47" t="s">
        <v>1943</v>
      </c>
      <c r="G12" s="15">
        <v>2.8</v>
      </c>
      <c r="H12" s="15">
        <v>7.1</v>
      </c>
      <c r="I12" s="15">
        <v>7.5</v>
      </c>
      <c r="J12" s="17">
        <v>16.100000000000001</v>
      </c>
      <c r="K12" s="17">
        <v>7.3</v>
      </c>
      <c r="L12" s="15"/>
    </row>
    <row r="13" spans="1:17" x14ac:dyDescent="0.2">
      <c r="A13" t="s">
        <v>1108</v>
      </c>
      <c r="E13" s="80"/>
      <c r="F13" s="48" t="s">
        <v>1944</v>
      </c>
      <c r="G13" s="17">
        <v>0</v>
      </c>
      <c r="H13" s="17">
        <v>0.3</v>
      </c>
      <c r="I13" s="15">
        <v>0.3</v>
      </c>
      <c r="J13" s="15">
        <v>0</v>
      </c>
      <c r="K13" s="15">
        <v>0.1</v>
      </c>
    </row>
    <row r="14" spans="1:17" x14ac:dyDescent="0.2">
      <c r="A14" t="s">
        <v>1112</v>
      </c>
      <c r="E14" s="80"/>
      <c r="F14" s="47" t="s">
        <v>1945</v>
      </c>
      <c r="G14" s="15">
        <v>1.8</v>
      </c>
      <c r="H14" s="15">
        <v>1.7</v>
      </c>
      <c r="I14" s="15">
        <v>0.8</v>
      </c>
      <c r="J14" s="15">
        <v>1.7</v>
      </c>
      <c r="K14" s="15">
        <v>1.7</v>
      </c>
    </row>
    <row r="15" spans="1:17" x14ac:dyDescent="0.2">
      <c r="A15" t="s">
        <v>1114</v>
      </c>
      <c r="E15" s="80"/>
      <c r="F15" s="47" t="s">
        <v>1946</v>
      </c>
      <c r="G15" s="15">
        <v>52.3</v>
      </c>
      <c r="H15" s="15">
        <v>60.3</v>
      </c>
      <c r="I15" s="15">
        <v>52.1</v>
      </c>
      <c r="J15" s="15">
        <v>62.9</v>
      </c>
      <c r="K15" s="15">
        <v>57</v>
      </c>
    </row>
    <row r="16" spans="1:17" x14ac:dyDescent="0.2">
      <c r="A16" t="s">
        <v>1116</v>
      </c>
      <c r="E16" s="80"/>
      <c r="F16" s="47" t="s">
        <v>1947</v>
      </c>
      <c r="G16" s="15">
        <v>0.2</v>
      </c>
      <c r="H16" s="15">
        <v>1.5</v>
      </c>
      <c r="I16" s="15">
        <v>1.9</v>
      </c>
      <c r="J16" s="15">
        <v>3.1</v>
      </c>
      <c r="K16" s="15">
        <v>1.4</v>
      </c>
    </row>
    <row r="17" spans="1:11" x14ac:dyDescent="0.2">
      <c r="E17" s="80"/>
      <c r="F17" s="47" t="s">
        <v>1948</v>
      </c>
      <c r="G17" s="15">
        <v>0</v>
      </c>
      <c r="H17" s="15">
        <v>0.2</v>
      </c>
      <c r="I17" s="15">
        <v>0.3</v>
      </c>
      <c r="J17" s="15">
        <v>0.6</v>
      </c>
      <c r="K17" s="15">
        <v>0.2</v>
      </c>
    </row>
    <row r="18" spans="1:11" x14ac:dyDescent="0.2">
      <c r="A18" s="84" t="s">
        <v>1119</v>
      </c>
      <c r="B18" s="80"/>
      <c r="E18" s="80"/>
      <c r="F18" s="47" t="s">
        <v>1949</v>
      </c>
      <c r="G18" s="15">
        <v>0.2</v>
      </c>
      <c r="H18" s="15">
        <v>0.5</v>
      </c>
      <c r="I18" s="15">
        <v>0.6</v>
      </c>
      <c r="J18" s="15">
        <v>0.9</v>
      </c>
      <c r="K18" s="15">
        <v>0.5</v>
      </c>
    </row>
    <row r="19" spans="1:11" x14ac:dyDescent="0.2">
      <c r="A19" t="s">
        <v>1121</v>
      </c>
      <c r="B19" t="s">
        <v>1930</v>
      </c>
      <c r="E19" s="80"/>
      <c r="F19" s="47" t="s">
        <v>1950</v>
      </c>
      <c r="G19" s="15">
        <v>6.7</v>
      </c>
      <c r="H19" s="15">
        <v>13.7</v>
      </c>
      <c r="I19" s="15">
        <v>8.6</v>
      </c>
      <c r="J19" s="15">
        <v>19.600000000000001</v>
      </c>
      <c r="K19" s="15">
        <v>11.7</v>
      </c>
    </row>
    <row r="20" spans="1:11" x14ac:dyDescent="0.2">
      <c r="E20" s="80"/>
      <c r="F20" s="47" t="s">
        <v>1951</v>
      </c>
      <c r="G20" s="15">
        <v>3.2</v>
      </c>
      <c r="H20" s="15">
        <v>9.9</v>
      </c>
      <c r="I20" s="15">
        <v>7.8</v>
      </c>
      <c r="J20" s="15">
        <v>17.600000000000001</v>
      </c>
      <c r="K20" s="15">
        <v>8.6999999999999993</v>
      </c>
    </row>
    <row r="21" spans="1:11" x14ac:dyDescent="0.2">
      <c r="A21" s="82" t="s">
        <v>1125</v>
      </c>
      <c r="B21" s="80"/>
      <c r="E21" s="80"/>
      <c r="F21" s="47" t="s">
        <v>1952</v>
      </c>
      <c r="G21" s="15">
        <v>2.6</v>
      </c>
      <c r="H21" s="15">
        <v>6</v>
      </c>
      <c r="I21" s="15">
        <v>5.8</v>
      </c>
      <c r="J21" s="15">
        <v>11.9</v>
      </c>
      <c r="K21" s="15">
        <v>5.9</v>
      </c>
    </row>
    <row r="22" spans="1:11" x14ac:dyDescent="0.2">
      <c r="A22" t="s">
        <v>1135</v>
      </c>
      <c r="B22" t="s">
        <v>1953</v>
      </c>
      <c r="E22" s="80"/>
      <c r="F22" s="47" t="s">
        <v>1954</v>
      </c>
      <c r="G22" s="15">
        <v>3.3</v>
      </c>
      <c r="H22" s="15">
        <v>5.6</v>
      </c>
      <c r="I22" s="15">
        <v>5</v>
      </c>
      <c r="J22" s="15">
        <v>10.1</v>
      </c>
      <c r="K22" s="15">
        <v>5.6</v>
      </c>
    </row>
    <row r="23" spans="1:11" x14ac:dyDescent="0.2">
      <c r="E23" s="80"/>
      <c r="F23" s="47" t="s">
        <v>1955</v>
      </c>
      <c r="G23" s="15">
        <v>0.4</v>
      </c>
      <c r="H23" s="15">
        <v>1.7</v>
      </c>
      <c r="I23" s="15">
        <v>1.4</v>
      </c>
      <c r="J23" s="15">
        <v>2.7</v>
      </c>
      <c r="K23" s="15">
        <v>1.4</v>
      </c>
    </row>
    <row r="24" spans="1:11" x14ac:dyDescent="0.2">
      <c r="E24" s="80"/>
      <c r="F24" s="47" t="s">
        <v>1956</v>
      </c>
      <c r="G24" s="15">
        <v>0.2</v>
      </c>
      <c r="H24" s="15">
        <v>0.2</v>
      </c>
      <c r="I24" s="15">
        <v>0</v>
      </c>
      <c r="J24" s="15">
        <v>0.1</v>
      </c>
      <c r="K24" s="15">
        <v>0.1</v>
      </c>
    </row>
    <row r="25" spans="1:11" x14ac:dyDescent="0.2">
      <c r="E25" s="80"/>
      <c r="F25" s="47" t="s">
        <v>1957</v>
      </c>
      <c r="G25" s="15">
        <v>3.6</v>
      </c>
      <c r="H25" s="15">
        <v>3.1</v>
      </c>
      <c r="I25" s="15">
        <v>0.3</v>
      </c>
      <c r="J25" s="15">
        <v>2</v>
      </c>
      <c r="K25" s="15">
        <v>2.8</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tlb-past-30day-su</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7.2</v>
      </c>
      <c r="H7" s="15">
        <v>12.3</v>
      </c>
      <c r="I7" s="15">
        <v>6.4</v>
      </c>
      <c r="J7" s="15">
        <v>28.6</v>
      </c>
      <c r="K7" s="15">
        <v>13</v>
      </c>
      <c r="L7" s="15"/>
      <c r="M7" s="15"/>
      <c r="N7" s="15"/>
      <c r="O7" s="15"/>
    </row>
    <row r="8" spans="1:17" x14ac:dyDescent="0.2">
      <c r="E8" s="80"/>
      <c r="F8" s="47" t="s">
        <v>1939</v>
      </c>
      <c r="G8" s="15">
        <v>1.7</v>
      </c>
      <c r="H8" s="15">
        <v>6</v>
      </c>
      <c r="I8" s="15">
        <v>5.3</v>
      </c>
      <c r="J8" s="17">
        <v>11.4</v>
      </c>
      <c r="K8" s="17">
        <v>5.4</v>
      </c>
      <c r="L8" s="15"/>
      <c r="M8" s="15"/>
      <c r="N8" s="15"/>
      <c r="O8" s="15"/>
    </row>
    <row r="9" spans="1:17" x14ac:dyDescent="0.2">
      <c r="A9" s="84" t="s">
        <v>1098</v>
      </c>
      <c r="B9" s="80"/>
      <c r="E9" s="80"/>
      <c r="F9" s="48" t="s">
        <v>1940</v>
      </c>
      <c r="G9" s="17">
        <v>1.3</v>
      </c>
      <c r="H9" s="17">
        <v>1.5</v>
      </c>
      <c r="I9" s="15">
        <v>0.3</v>
      </c>
      <c r="J9" s="15">
        <v>0.1</v>
      </c>
      <c r="K9" s="15">
        <v>1</v>
      </c>
      <c r="L9" s="15"/>
      <c r="M9" s="15"/>
      <c r="N9" s="15"/>
      <c r="O9" s="15"/>
    </row>
    <row r="10" spans="1:17" x14ac:dyDescent="0.2">
      <c r="A10" t="s">
        <v>1100</v>
      </c>
      <c r="E10" s="80"/>
      <c r="F10" s="47" t="s">
        <v>1941</v>
      </c>
      <c r="G10" s="15">
        <v>1.5</v>
      </c>
      <c r="H10" s="15">
        <v>1.3</v>
      </c>
      <c r="I10" s="15">
        <v>0.8</v>
      </c>
      <c r="J10" s="15">
        <v>0.4</v>
      </c>
      <c r="K10" s="15">
        <v>1.2</v>
      </c>
    </row>
    <row r="11" spans="1:17" x14ac:dyDescent="0.2">
      <c r="A11" t="s">
        <v>1102</v>
      </c>
      <c r="E11" s="80"/>
      <c r="F11" s="47" t="s">
        <v>1942</v>
      </c>
      <c r="G11" s="15">
        <v>0.5</v>
      </c>
      <c r="H11" s="15">
        <v>1</v>
      </c>
      <c r="I11" s="15">
        <v>1.7</v>
      </c>
      <c r="J11" s="15">
        <v>1.4</v>
      </c>
      <c r="K11" s="15">
        <v>1</v>
      </c>
      <c r="L11" s="17"/>
      <c r="M11" s="17"/>
      <c r="N11" s="17"/>
    </row>
    <row r="12" spans="1:17" x14ac:dyDescent="0.2">
      <c r="A12" t="s">
        <v>1104</v>
      </c>
      <c r="E12" s="80"/>
      <c r="F12" s="47" t="s">
        <v>1943</v>
      </c>
      <c r="G12" s="15">
        <v>1.3</v>
      </c>
      <c r="H12" s="15">
        <v>2.2000000000000002</v>
      </c>
      <c r="I12" s="15">
        <v>2.2000000000000002</v>
      </c>
      <c r="J12" s="15">
        <v>3.4</v>
      </c>
      <c r="K12" s="15">
        <v>2.1</v>
      </c>
      <c r="L12" s="15"/>
    </row>
    <row r="13" spans="1:17" x14ac:dyDescent="0.2">
      <c r="A13" t="s">
        <v>1108</v>
      </c>
      <c r="E13" s="80"/>
      <c r="F13" s="47" t="s">
        <v>1944</v>
      </c>
      <c r="G13" s="15">
        <v>0</v>
      </c>
      <c r="H13" s="15">
        <v>0.1</v>
      </c>
      <c r="I13" s="15">
        <v>0</v>
      </c>
      <c r="J13" s="15">
        <v>0</v>
      </c>
      <c r="K13" s="15">
        <v>0</v>
      </c>
    </row>
    <row r="14" spans="1:17" x14ac:dyDescent="0.2">
      <c r="A14" t="s">
        <v>1112</v>
      </c>
      <c r="E14" s="80"/>
      <c r="F14" s="47" t="s">
        <v>1945</v>
      </c>
      <c r="G14" s="15">
        <v>0.5</v>
      </c>
      <c r="H14" s="15">
        <v>0.2</v>
      </c>
      <c r="I14" s="15">
        <v>0.3</v>
      </c>
      <c r="J14" s="15">
        <v>0.1</v>
      </c>
      <c r="K14" s="15">
        <v>0.3</v>
      </c>
    </row>
    <row r="15" spans="1:17" x14ac:dyDescent="0.2">
      <c r="A15" t="s">
        <v>1114</v>
      </c>
      <c r="E15" s="80"/>
      <c r="F15" s="47" t="s">
        <v>1946</v>
      </c>
      <c r="G15" s="15">
        <v>30.3</v>
      </c>
      <c r="H15" s="15">
        <v>32.5</v>
      </c>
      <c r="I15" s="15">
        <v>25.4</v>
      </c>
      <c r="J15" s="15">
        <v>33.200000000000003</v>
      </c>
      <c r="K15" s="15">
        <v>31.1</v>
      </c>
    </row>
    <row r="16" spans="1:17" x14ac:dyDescent="0.2">
      <c r="A16" t="s">
        <v>1116</v>
      </c>
      <c r="E16" s="80"/>
      <c r="F16" s="47" t="s">
        <v>1947</v>
      </c>
      <c r="G16" s="15">
        <v>0</v>
      </c>
      <c r="H16" s="15">
        <v>0.2</v>
      </c>
      <c r="I16" s="15">
        <v>0.3</v>
      </c>
      <c r="J16" s="15">
        <v>0.6</v>
      </c>
      <c r="K16" s="15">
        <v>0.2</v>
      </c>
    </row>
    <row r="17" spans="1:11" x14ac:dyDescent="0.2">
      <c r="E17" s="80"/>
      <c r="F17" s="47" t="s">
        <v>1948</v>
      </c>
      <c r="G17" s="15">
        <v>0</v>
      </c>
      <c r="H17" s="15">
        <v>0.1</v>
      </c>
      <c r="I17" s="15">
        <v>0</v>
      </c>
      <c r="J17" s="15">
        <v>0.1</v>
      </c>
      <c r="K17" s="15">
        <v>0.1</v>
      </c>
    </row>
    <row r="18" spans="1:11" x14ac:dyDescent="0.2">
      <c r="A18" s="84" t="s">
        <v>1119</v>
      </c>
      <c r="B18" s="80"/>
      <c r="E18" s="80"/>
      <c r="F18" s="47" t="s">
        <v>1949</v>
      </c>
      <c r="G18" s="15">
        <v>0</v>
      </c>
      <c r="H18" s="15">
        <v>0.1</v>
      </c>
      <c r="I18" s="15">
        <v>0.6</v>
      </c>
      <c r="J18" s="15">
        <v>0.1</v>
      </c>
      <c r="K18" s="15">
        <v>0.1</v>
      </c>
    </row>
    <row r="19" spans="1:11" x14ac:dyDescent="0.2">
      <c r="A19" t="s">
        <v>1121</v>
      </c>
      <c r="B19" t="s">
        <v>1930</v>
      </c>
      <c r="E19" s="80"/>
      <c r="F19" s="47" t="s">
        <v>1950</v>
      </c>
      <c r="G19" s="15">
        <v>3.2</v>
      </c>
      <c r="H19" s="15">
        <v>6.4</v>
      </c>
      <c r="I19" s="15">
        <v>3.3</v>
      </c>
      <c r="J19" s="15">
        <v>9.3000000000000007</v>
      </c>
      <c r="K19" s="15">
        <v>5.4</v>
      </c>
    </row>
    <row r="20" spans="1:11" x14ac:dyDescent="0.2">
      <c r="E20" s="80"/>
      <c r="F20" s="47" t="s">
        <v>1951</v>
      </c>
      <c r="G20" s="15">
        <v>1.9</v>
      </c>
      <c r="H20" s="15">
        <v>4.5999999999999996</v>
      </c>
      <c r="I20" s="15">
        <v>3.9</v>
      </c>
      <c r="J20" s="15">
        <v>8</v>
      </c>
      <c r="K20" s="15">
        <v>4.2</v>
      </c>
    </row>
    <row r="21" spans="1:11" x14ac:dyDescent="0.2">
      <c r="A21" s="82" t="s">
        <v>1125</v>
      </c>
      <c r="B21" s="80"/>
      <c r="E21" s="80"/>
      <c r="F21" s="47" t="s">
        <v>1952</v>
      </c>
      <c r="G21" s="15">
        <v>1.1000000000000001</v>
      </c>
      <c r="H21" s="15">
        <v>1.6</v>
      </c>
      <c r="I21" s="15">
        <v>0.8</v>
      </c>
      <c r="J21" s="15">
        <v>2.8</v>
      </c>
      <c r="K21" s="15">
        <v>1.6</v>
      </c>
    </row>
    <row r="22" spans="1:11" x14ac:dyDescent="0.2">
      <c r="A22" t="s">
        <v>1135</v>
      </c>
      <c r="B22" t="s">
        <v>1958</v>
      </c>
      <c r="E22" s="80"/>
      <c r="F22" s="47" t="s">
        <v>1954</v>
      </c>
      <c r="G22" s="15">
        <v>1.1000000000000001</v>
      </c>
      <c r="H22" s="15">
        <v>2</v>
      </c>
      <c r="I22" s="15">
        <v>1.1000000000000001</v>
      </c>
      <c r="J22" s="15">
        <v>3.1</v>
      </c>
      <c r="K22" s="15">
        <v>1.8</v>
      </c>
    </row>
    <row r="23" spans="1:11" x14ac:dyDescent="0.2">
      <c r="E23" s="80"/>
      <c r="F23" s="47" t="s">
        <v>1955</v>
      </c>
      <c r="G23" s="15">
        <v>0.2</v>
      </c>
      <c r="H23" s="15">
        <v>0.5</v>
      </c>
      <c r="I23" s="15">
        <v>0.3</v>
      </c>
      <c r="J23" s="15">
        <v>0.7</v>
      </c>
      <c r="K23" s="15">
        <v>0.4</v>
      </c>
    </row>
    <row r="24" spans="1:11" x14ac:dyDescent="0.2">
      <c r="E24" s="80"/>
      <c r="F24" s="47" t="s">
        <v>1956</v>
      </c>
      <c r="G24" s="15">
        <v>0.1</v>
      </c>
      <c r="H24" s="15">
        <v>0.1</v>
      </c>
      <c r="I24" s="15">
        <v>0</v>
      </c>
      <c r="J24" s="15">
        <v>0</v>
      </c>
      <c r="K24" s="15">
        <v>0.1</v>
      </c>
    </row>
    <row r="25" spans="1:11" x14ac:dyDescent="0.2">
      <c r="E25" s="80"/>
      <c r="F25" s="47" t="s">
        <v>1957</v>
      </c>
      <c r="G25" s="15">
        <v>2.1</v>
      </c>
      <c r="H25" s="15">
        <v>0.8</v>
      </c>
      <c r="I25" s="15">
        <v>0</v>
      </c>
      <c r="J25" s="15">
        <v>0.4</v>
      </c>
      <c r="K25" s="15">
        <v>1.1000000000000001</v>
      </c>
    </row>
    <row r="26" spans="1:11" x14ac:dyDescent="0.2">
      <c r="E26" s="80"/>
    </row>
    <row r="27" spans="1:11" x14ac:dyDescent="0.2">
      <c r="A27" s="82"/>
      <c r="B27" s="80"/>
      <c r="E27" s="80"/>
    </row>
    <row r="28" spans="1:11" x14ac:dyDescent="0.2">
      <c r="E28" s="80"/>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tbl-source-marijuana-ifused</v>
      </c>
    </row>
    <row r="4" spans="1:17" x14ac:dyDescent="0.2">
      <c r="A4" s="16" t="s">
        <v>7</v>
      </c>
      <c r="B4" t="str">
        <f>IF($B$1="","",_xlfn.XLOOKUP($B$1,Master!$F$2:$F$321,Master!$H$2:$H$321,""))</f>
        <v>fig-source-marijuana-ifused</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G5" s="60" t="s">
        <v>1934</v>
      </c>
      <c r="H5" s="60" t="s">
        <v>1935</v>
      </c>
      <c r="I5" s="60" t="s">
        <v>1936</v>
      </c>
      <c r="J5" s="60" t="s">
        <v>1937</v>
      </c>
      <c r="K5" s="60" t="s">
        <v>1089</v>
      </c>
    </row>
    <row r="6" spans="1:17" ht="15" customHeight="1" x14ac:dyDescent="0.2">
      <c r="A6" t="s">
        <v>1088</v>
      </c>
      <c r="B6" t="b">
        <v>1</v>
      </c>
      <c r="E6" s="80"/>
      <c r="F6" s="16" t="s">
        <v>1959</v>
      </c>
      <c r="G6" s="15">
        <v>94.3</v>
      </c>
      <c r="H6" s="15">
        <v>87.7</v>
      </c>
      <c r="I6" s="15">
        <v>87.7</v>
      </c>
      <c r="J6" s="15">
        <v>81.2</v>
      </c>
      <c r="K6" s="15">
        <v>89</v>
      </c>
      <c r="L6" s="15"/>
      <c r="M6" s="15"/>
      <c r="N6" s="15"/>
      <c r="O6" s="15"/>
    </row>
    <row r="7" spans="1:17" ht="15.75" customHeight="1" x14ac:dyDescent="0.2">
      <c r="E7" s="80"/>
      <c r="F7" s="91" t="s">
        <v>1960</v>
      </c>
      <c r="G7" s="80"/>
      <c r="H7" s="80"/>
      <c r="I7" s="80"/>
      <c r="J7" s="80"/>
      <c r="K7" s="80"/>
      <c r="L7" s="15"/>
      <c r="M7" s="15"/>
      <c r="N7" s="15"/>
      <c r="O7" s="15"/>
    </row>
    <row r="8" spans="1:17" x14ac:dyDescent="0.2">
      <c r="E8" s="80"/>
      <c r="F8" s="47" t="s">
        <v>1961</v>
      </c>
      <c r="G8" s="15">
        <v>26.2</v>
      </c>
      <c r="H8" s="15">
        <v>15.4</v>
      </c>
      <c r="I8" s="15">
        <v>27.3</v>
      </c>
      <c r="J8" s="15">
        <v>12.8</v>
      </c>
      <c r="K8" s="15">
        <v>18</v>
      </c>
      <c r="L8" s="15"/>
      <c r="M8" s="15"/>
      <c r="N8" s="15"/>
      <c r="O8" s="15"/>
    </row>
    <row r="9" spans="1:17" x14ac:dyDescent="0.2">
      <c r="A9" s="84" t="s">
        <v>1098</v>
      </c>
      <c r="B9" s="80"/>
      <c r="E9" s="80"/>
      <c r="F9" s="47" t="s">
        <v>1962</v>
      </c>
      <c r="G9" s="15">
        <v>7.7</v>
      </c>
      <c r="H9" s="15">
        <v>11.5</v>
      </c>
      <c r="I9" s="15">
        <v>15.2</v>
      </c>
      <c r="J9" s="15">
        <v>10.1</v>
      </c>
      <c r="K9" s="15">
        <v>10.6</v>
      </c>
      <c r="L9" s="15"/>
      <c r="M9" s="15"/>
      <c r="N9" s="15"/>
      <c r="O9" s="15"/>
    </row>
    <row r="10" spans="1:17" x14ac:dyDescent="0.2">
      <c r="A10" t="s">
        <v>1100</v>
      </c>
      <c r="E10" s="80"/>
      <c r="F10" s="47" t="s">
        <v>1963</v>
      </c>
      <c r="G10" s="15">
        <v>47.7</v>
      </c>
      <c r="H10" s="15">
        <v>48.1</v>
      </c>
      <c r="I10" s="15">
        <v>60.6</v>
      </c>
      <c r="J10" s="17">
        <v>47.7</v>
      </c>
      <c r="K10" s="17">
        <v>49.2</v>
      </c>
    </row>
    <row r="11" spans="1:17" x14ac:dyDescent="0.2">
      <c r="A11" t="s">
        <v>1102</v>
      </c>
      <c r="E11" s="80"/>
      <c r="F11" s="48" t="s">
        <v>1964</v>
      </c>
      <c r="G11" s="17">
        <v>23.1</v>
      </c>
      <c r="H11" s="17">
        <v>15.4</v>
      </c>
      <c r="I11" s="15">
        <v>24.2</v>
      </c>
      <c r="J11" s="15">
        <v>25.7</v>
      </c>
      <c r="K11" s="15">
        <v>21.5</v>
      </c>
      <c r="L11" s="17"/>
      <c r="M11" s="17"/>
      <c r="N11" s="17"/>
    </row>
    <row r="12" spans="1:17" x14ac:dyDescent="0.2">
      <c r="A12" t="s">
        <v>1104</v>
      </c>
      <c r="E12" s="80"/>
      <c r="F12" s="47" t="s">
        <v>1965</v>
      </c>
      <c r="G12" s="15">
        <v>15.4</v>
      </c>
      <c r="H12" s="15">
        <v>23.1</v>
      </c>
      <c r="I12" s="15">
        <v>18.2</v>
      </c>
      <c r="J12" s="15">
        <v>24.8</v>
      </c>
      <c r="K12" s="15">
        <v>21.5</v>
      </c>
      <c r="L12" s="15"/>
    </row>
    <row r="13" spans="1:17" x14ac:dyDescent="0.2">
      <c r="A13" t="s">
        <v>1108</v>
      </c>
      <c r="E13" s="80"/>
      <c r="F13" s="47" t="s">
        <v>1966</v>
      </c>
      <c r="G13" s="15">
        <v>7.7</v>
      </c>
      <c r="H13" s="15">
        <v>1.9</v>
      </c>
      <c r="I13" s="15">
        <v>6.1</v>
      </c>
      <c r="J13" s="15">
        <v>3.7</v>
      </c>
      <c r="K13" s="15">
        <v>4.2</v>
      </c>
    </row>
    <row r="14" spans="1:17" x14ac:dyDescent="0.2">
      <c r="A14" t="s">
        <v>1112</v>
      </c>
      <c r="E14" s="80"/>
      <c r="F14" s="47" t="s">
        <v>1967</v>
      </c>
      <c r="G14" s="15">
        <v>13.8</v>
      </c>
      <c r="H14" s="15">
        <v>12.5</v>
      </c>
      <c r="I14" s="15">
        <v>6.1</v>
      </c>
      <c r="J14" s="15">
        <v>15.6</v>
      </c>
      <c r="K14" s="15">
        <v>13.2</v>
      </c>
    </row>
    <row r="15" spans="1:17" x14ac:dyDescent="0.2">
      <c r="A15" t="s">
        <v>1114</v>
      </c>
      <c r="E15" s="80"/>
      <c r="F15" s="47" t="s">
        <v>1968</v>
      </c>
      <c r="G15" s="15">
        <v>18.5</v>
      </c>
      <c r="H15" s="15">
        <v>10.6</v>
      </c>
      <c r="I15" s="15">
        <v>12.1</v>
      </c>
      <c r="J15" s="15">
        <v>7.3</v>
      </c>
      <c r="K15" s="15">
        <v>11.3</v>
      </c>
    </row>
    <row r="16" spans="1:17" x14ac:dyDescent="0.2">
      <c r="A16" t="s">
        <v>1116</v>
      </c>
      <c r="E16" s="80"/>
      <c r="F16" s="47" t="s">
        <v>1969</v>
      </c>
      <c r="G16" s="15">
        <v>4.5999999999999996</v>
      </c>
      <c r="H16" s="15">
        <v>1.9</v>
      </c>
      <c r="I16" s="15">
        <v>6.1</v>
      </c>
      <c r="J16" s="15">
        <v>4.5999999999999996</v>
      </c>
      <c r="K16" s="15">
        <v>3.9</v>
      </c>
    </row>
    <row r="17" spans="1:11" x14ac:dyDescent="0.2">
      <c r="E17" s="80"/>
      <c r="F17" s="47" t="s">
        <v>1970</v>
      </c>
      <c r="G17" s="15">
        <v>4.5999999999999996</v>
      </c>
      <c r="H17" s="15">
        <v>1.9</v>
      </c>
      <c r="I17" s="15">
        <v>3</v>
      </c>
      <c r="J17" s="15">
        <v>10.1</v>
      </c>
      <c r="K17" s="15">
        <v>5.5</v>
      </c>
    </row>
    <row r="18" spans="1:11" x14ac:dyDescent="0.2">
      <c r="A18" s="84" t="s">
        <v>1119</v>
      </c>
      <c r="B18" s="80"/>
      <c r="E18" s="80"/>
      <c r="F18" s="47" t="s">
        <v>1971</v>
      </c>
      <c r="G18" s="15">
        <v>4.5999999999999996</v>
      </c>
      <c r="H18" s="15">
        <v>3.8</v>
      </c>
      <c r="I18" s="15">
        <v>3</v>
      </c>
      <c r="J18" s="15">
        <v>2.8</v>
      </c>
      <c r="K18" s="15">
        <v>3.5</v>
      </c>
    </row>
    <row r="19" spans="1:11" x14ac:dyDescent="0.2">
      <c r="A19" t="s">
        <v>1121</v>
      </c>
      <c r="B19" t="s">
        <v>1930</v>
      </c>
      <c r="E19" s="80"/>
      <c r="F19" s="47" t="s">
        <v>1972</v>
      </c>
      <c r="G19" s="15">
        <v>7.7</v>
      </c>
      <c r="H19" s="15">
        <v>1.9</v>
      </c>
      <c r="I19" s="15">
        <v>0</v>
      </c>
      <c r="J19" s="15">
        <v>0</v>
      </c>
      <c r="K19" s="15">
        <v>2.2999999999999998</v>
      </c>
    </row>
    <row r="20" spans="1:11" x14ac:dyDescent="0.2">
      <c r="E20" s="80"/>
      <c r="F20" s="47" t="s">
        <v>1973</v>
      </c>
      <c r="G20" s="15">
        <v>3.1</v>
      </c>
      <c r="H20" s="15">
        <v>1</v>
      </c>
      <c r="I20" s="15">
        <v>9.1</v>
      </c>
      <c r="J20" s="15">
        <v>5.5</v>
      </c>
      <c r="K20" s="15">
        <v>3.9</v>
      </c>
    </row>
    <row r="21" spans="1:11" x14ac:dyDescent="0.2">
      <c r="A21" s="82" t="s">
        <v>1125</v>
      </c>
      <c r="B21" s="80"/>
      <c r="E21" s="80"/>
      <c r="F21" s="47" t="s">
        <v>1974</v>
      </c>
      <c r="G21" s="15">
        <v>9.1999999999999993</v>
      </c>
      <c r="H21" s="15">
        <v>5.8</v>
      </c>
      <c r="I21" s="15">
        <v>3</v>
      </c>
      <c r="J21" s="15">
        <v>5.5</v>
      </c>
      <c r="K21" s="15">
        <v>6.1</v>
      </c>
    </row>
    <row r="22" spans="1:11" x14ac:dyDescent="0.2">
      <c r="A22" t="s">
        <v>1135</v>
      </c>
      <c r="B22" t="s">
        <v>1975</v>
      </c>
      <c r="E22" s="80"/>
      <c r="F22" s="47" t="s">
        <v>1976</v>
      </c>
      <c r="G22" s="15">
        <v>13.8</v>
      </c>
      <c r="H22" s="15">
        <v>17.3</v>
      </c>
      <c r="I22" s="15">
        <v>12.1</v>
      </c>
      <c r="J22" s="15">
        <v>11</v>
      </c>
      <c r="K22" s="15">
        <v>13.8</v>
      </c>
    </row>
    <row r="23" spans="1:11" x14ac:dyDescent="0.2">
      <c r="E23" s="80"/>
      <c r="F23" s="47" t="s">
        <v>1015</v>
      </c>
      <c r="G23" s="15">
        <v>33.799999999999997</v>
      </c>
      <c r="H23" s="15">
        <v>14.4</v>
      </c>
      <c r="I23" s="15">
        <v>15.2</v>
      </c>
      <c r="J23" s="15">
        <v>13.8</v>
      </c>
      <c r="K23" s="15">
        <v>18.3</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election activeCell="O36" sqref="O36"/>
    </sheetView>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tbl-opioid-od-fatal-age-sex</v>
      </c>
    </row>
    <row r="4" spans="1:17" x14ac:dyDescent="0.2">
      <c r="A4" s="16" t="s">
        <v>7</v>
      </c>
      <c r="B4" t="str">
        <f>IF($B$1="","",_xlfn.XLOOKUP($B$1,Master!$F$2:$F$321,Master!$H$2:$H$321,""))</f>
        <v>fig-opioid-od-fatal-age-sex</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s="95" t="s">
        <v>1977</v>
      </c>
      <c r="G5" s="85">
        <v>2021</v>
      </c>
      <c r="H5" s="80"/>
      <c r="I5" s="85">
        <v>2022</v>
      </c>
      <c r="J5" s="80"/>
      <c r="K5" s="85">
        <v>2023</v>
      </c>
      <c r="L5" s="80"/>
      <c r="M5" s="85">
        <v>2024</v>
      </c>
      <c r="N5" s="80"/>
      <c r="O5" s="85" t="s">
        <v>2359</v>
      </c>
      <c r="P5" s="80"/>
    </row>
    <row r="6" spans="1:17" ht="15" customHeight="1" x14ac:dyDescent="0.2">
      <c r="A6" t="s">
        <v>1088</v>
      </c>
      <c r="B6" t="b">
        <v>1</v>
      </c>
      <c r="E6" s="80"/>
      <c r="F6" s="80"/>
      <c r="G6" s="60" t="s">
        <v>1272</v>
      </c>
      <c r="H6" s="60" t="s">
        <v>1273</v>
      </c>
      <c r="I6" s="60" t="s">
        <v>1272</v>
      </c>
      <c r="J6" s="60" t="s">
        <v>1273</v>
      </c>
      <c r="K6" s="60" t="s">
        <v>1272</v>
      </c>
      <c r="L6" s="60" t="s">
        <v>1273</v>
      </c>
      <c r="M6" s="60" t="s">
        <v>1272</v>
      </c>
      <c r="N6" s="60" t="s">
        <v>1273</v>
      </c>
      <c r="O6" s="60" t="s">
        <v>1272</v>
      </c>
      <c r="P6" s="60" t="s">
        <v>1273</v>
      </c>
    </row>
    <row r="7" spans="1:17" ht="15.75" customHeight="1" x14ac:dyDescent="0.2">
      <c r="E7" s="80"/>
      <c r="F7" s="25" t="s">
        <v>1698</v>
      </c>
      <c r="G7" s="15">
        <v>146</v>
      </c>
      <c r="H7" s="15">
        <v>36.700000000000003</v>
      </c>
      <c r="I7" s="15">
        <v>143</v>
      </c>
      <c r="J7" s="15">
        <v>35.6</v>
      </c>
      <c r="K7" s="15">
        <v>116</v>
      </c>
      <c r="L7" s="15">
        <v>28.7</v>
      </c>
      <c r="M7" s="15">
        <v>78</v>
      </c>
      <c r="N7" s="15">
        <v>19.3</v>
      </c>
      <c r="O7" s="15">
        <v>483</v>
      </c>
      <c r="P7" s="15">
        <v>30.1</v>
      </c>
    </row>
    <row r="8" spans="1:17" x14ac:dyDescent="0.2">
      <c r="E8" s="80"/>
      <c r="F8" s="16" t="s">
        <v>1276</v>
      </c>
      <c r="G8" s="15"/>
      <c r="H8" s="15"/>
      <c r="I8" s="15"/>
      <c r="J8" s="15"/>
      <c r="K8" s="15"/>
      <c r="L8" s="15"/>
      <c r="M8" s="15"/>
      <c r="N8" s="15"/>
      <c r="O8" s="15"/>
      <c r="P8" s="15"/>
    </row>
    <row r="9" spans="1:17" x14ac:dyDescent="0.2">
      <c r="A9" s="84" t="s">
        <v>1098</v>
      </c>
      <c r="B9" s="80"/>
      <c r="E9" s="80"/>
      <c r="F9" s="47" t="s">
        <v>1978</v>
      </c>
      <c r="G9" s="15">
        <v>29</v>
      </c>
      <c r="H9" s="15">
        <v>15.2</v>
      </c>
      <c r="I9" s="15">
        <v>21</v>
      </c>
      <c r="J9" s="15">
        <v>10.9</v>
      </c>
      <c r="K9" s="15">
        <v>21</v>
      </c>
      <c r="L9" s="15">
        <v>10.9</v>
      </c>
      <c r="M9" s="15">
        <v>18</v>
      </c>
      <c r="N9" s="15">
        <v>9.3000000000000007</v>
      </c>
      <c r="O9" s="15">
        <v>89</v>
      </c>
      <c r="P9" s="15">
        <v>11.6</v>
      </c>
    </row>
    <row r="10" spans="1:17" x14ac:dyDescent="0.2">
      <c r="A10" t="s">
        <v>1100</v>
      </c>
      <c r="E10" s="80"/>
      <c r="F10" s="47" t="s">
        <v>1703</v>
      </c>
      <c r="G10" s="15">
        <v>43</v>
      </c>
      <c r="H10" s="15">
        <v>90.1</v>
      </c>
      <c r="I10" s="15">
        <v>35</v>
      </c>
      <c r="J10" s="15">
        <v>71.8</v>
      </c>
      <c r="K10" s="15">
        <v>31</v>
      </c>
      <c r="L10" s="15">
        <v>62.3</v>
      </c>
      <c r="M10" s="15">
        <v>55</v>
      </c>
      <c r="N10" s="15">
        <v>110.6</v>
      </c>
      <c r="O10" s="15">
        <v>164</v>
      </c>
      <c r="P10" s="15">
        <v>83.7</v>
      </c>
    </row>
    <row r="11" spans="1:17" x14ac:dyDescent="0.2">
      <c r="A11" t="s">
        <v>1102</v>
      </c>
      <c r="E11" s="80"/>
      <c r="F11" s="47" t="s">
        <v>1704</v>
      </c>
      <c r="G11" s="15">
        <v>33</v>
      </c>
      <c r="H11" s="15">
        <v>61.8</v>
      </c>
      <c r="I11" s="15">
        <v>31</v>
      </c>
      <c r="J11" s="17">
        <v>59.2</v>
      </c>
      <c r="K11" s="17">
        <v>30</v>
      </c>
      <c r="L11" s="17">
        <v>58.2</v>
      </c>
      <c r="M11" s="17">
        <v>17</v>
      </c>
      <c r="N11" s="17">
        <v>33</v>
      </c>
      <c r="O11" s="15">
        <v>111</v>
      </c>
      <c r="P11" s="15">
        <v>53.1</v>
      </c>
    </row>
    <row r="12" spans="1:17" x14ac:dyDescent="0.2">
      <c r="A12" t="s">
        <v>1104</v>
      </c>
      <c r="E12" s="80"/>
      <c r="F12" s="48" t="s">
        <v>1979</v>
      </c>
      <c r="G12" s="17">
        <v>39</v>
      </c>
      <c r="H12" s="17">
        <v>36.5</v>
      </c>
      <c r="I12" s="15">
        <v>55</v>
      </c>
      <c r="J12" s="15">
        <v>51</v>
      </c>
      <c r="K12" s="15">
        <v>31</v>
      </c>
      <c r="L12" s="15">
        <v>28.3</v>
      </c>
      <c r="M12" s="15">
        <v>23</v>
      </c>
      <c r="N12" s="15">
        <v>21</v>
      </c>
      <c r="O12" s="15">
        <v>148</v>
      </c>
      <c r="P12" s="15">
        <v>34.200000000000003</v>
      </c>
    </row>
    <row r="13" spans="1:17" x14ac:dyDescent="0.2">
      <c r="A13" t="s">
        <v>1108</v>
      </c>
      <c r="E13" s="80"/>
      <c r="F13" s="16" t="s">
        <v>1980</v>
      </c>
      <c r="G13" s="15"/>
      <c r="H13" s="15"/>
      <c r="I13" s="15"/>
      <c r="J13" s="15"/>
      <c r="K13" s="15"/>
      <c r="L13" s="15"/>
      <c r="M13" s="15"/>
      <c r="N13" s="15"/>
      <c r="O13" s="15"/>
      <c r="P13" s="15"/>
    </row>
    <row r="14" spans="1:17" x14ac:dyDescent="0.2">
      <c r="A14" t="s">
        <v>1112</v>
      </c>
      <c r="E14" s="80"/>
      <c r="F14" s="47" t="s">
        <v>1305</v>
      </c>
      <c r="G14" s="15">
        <v>96</v>
      </c>
      <c r="H14" s="15">
        <v>47.9</v>
      </c>
      <c r="I14" s="15">
        <v>104</v>
      </c>
      <c r="J14" s="15">
        <v>51.8</v>
      </c>
      <c r="K14" s="15">
        <v>80</v>
      </c>
      <c r="L14" s="15">
        <v>39.700000000000003</v>
      </c>
      <c r="M14" s="15">
        <v>53</v>
      </c>
      <c r="N14" s="15">
        <v>26.3</v>
      </c>
      <c r="O14" s="15">
        <v>333</v>
      </c>
      <c r="P14" s="15">
        <v>41.4</v>
      </c>
    </row>
    <row r="15" spans="1:17" x14ac:dyDescent="0.2">
      <c r="A15" t="s">
        <v>1114</v>
      </c>
      <c r="E15" s="80"/>
      <c r="F15" s="47" t="s">
        <v>1306</v>
      </c>
      <c r="G15" s="15">
        <v>49</v>
      </c>
      <c r="H15" s="15">
        <v>24.8</v>
      </c>
      <c r="I15" s="15">
        <v>38</v>
      </c>
      <c r="J15" s="15">
        <v>19</v>
      </c>
      <c r="K15" s="15">
        <v>36</v>
      </c>
      <c r="L15" s="15">
        <v>17.8</v>
      </c>
      <c r="M15" s="15">
        <v>22</v>
      </c>
      <c r="N15" s="15">
        <v>10.9</v>
      </c>
      <c r="O15" s="15">
        <v>145</v>
      </c>
      <c r="P15" s="15">
        <v>18.100000000000001</v>
      </c>
    </row>
    <row r="16" spans="1:17" x14ac:dyDescent="0.2">
      <c r="A16" t="s">
        <v>1116</v>
      </c>
      <c r="E16" s="80"/>
    </row>
    <row r="17" spans="1:11" x14ac:dyDescent="0.2">
      <c r="E17" s="80"/>
    </row>
    <row r="18" spans="1:11" x14ac:dyDescent="0.2">
      <c r="A18" s="84" t="s">
        <v>1119</v>
      </c>
      <c r="B18" s="80"/>
      <c r="E18" s="80"/>
    </row>
    <row r="19" spans="1:11" x14ac:dyDescent="0.2">
      <c r="A19" t="s">
        <v>1121</v>
      </c>
      <c r="B19" t="s">
        <v>1981</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1982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v>
      </c>
    </row>
    <row r="4" spans="1:17" x14ac:dyDescent="0.2">
      <c r="A4" s="16" t="s">
        <v>7</v>
      </c>
      <c r="B4" t="str">
        <f>IF($B$1="","",_xlfn.XLOOKUP($B$1,Master!$F$2:$F$321,Master!$H$2:$H$321,""))</f>
        <v>fig-opioid-od-fatal</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1096</v>
      </c>
      <c r="G6" s="15">
        <v>36.700000000000003</v>
      </c>
      <c r="H6" s="15">
        <v>35.6</v>
      </c>
      <c r="I6" s="15">
        <v>28.7</v>
      </c>
      <c r="J6" s="15">
        <v>19.3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1983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1984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v>
      </c>
    </row>
    <row r="4" spans="1:17" x14ac:dyDescent="0.2">
      <c r="A4" s="16" t="s">
        <v>7</v>
      </c>
      <c r="B4" t="str">
        <f>IF($B$1="","",_xlfn.XLOOKUP($B$1,Master!$F$2:$F$321,Master!$H$2:$H$321,""))</f>
        <v>fig-opioid-od-fatal-age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1085</v>
      </c>
      <c r="G5">
        <v>2021</v>
      </c>
      <c r="H5">
        <v>2022</v>
      </c>
      <c r="I5">
        <v>2023</v>
      </c>
      <c r="J5">
        <v>2024</v>
      </c>
    </row>
    <row r="6" spans="1:17" ht="15" customHeight="1" x14ac:dyDescent="0.2">
      <c r="A6" t="s">
        <v>1088</v>
      </c>
      <c r="B6" t="b">
        <v>0</v>
      </c>
      <c r="E6" s="80"/>
      <c r="F6" t="s">
        <v>1978</v>
      </c>
      <c r="G6" s="15">
        <v>15.2</v>
      </c>
      <c r="H6" s="15">
        <v>10.9</v>
      </c>
      <c r="I6" s="15">
        <v>10.9</v>
      </c>
      <c r="J6" s="15">
        <v>9.3000000000000007</v>
      </c>
      <c r="K6" s="15"/>
      <c r="L6" s="15"/>
      <c r="M6" s="15"/>
      <c r="N6" s="15"/>
      <c r="O6" s="15"/>
    </row>
    <row r="7" spans="1:17" ht="15.75" customHeight="1" x14ac:dyDescent="0.2">
      <c r="E7" s="80"/>
      <c r="F7" t="s">
        <v>1703</v>
      </c>
      <c r="G7" s="15">
        <v>90.1</v>
      </c>
      <c r="H7" s="15">
        <v>71.8</v>
      </c>
      <c r="I7" s="15">
        <v>62.3</v>
      </c>
      <c r="J7" s="15">
        <v>110.6</v>
      </c>
      <c r="K7" s="15"/>
      <c r="L7" s="15"/>
      <c r="M7" s="15"/>
      <c r="N7" s="15"/>
      <c r="O7" s="15"/>
    </row>
    <row r="8" spans="1:17" x14ac:dyDescent="0.2">
      <c r="E8" s="80"/>
      <c r="F8" t="s">
        <v>1704</v>
      </c>
      <c r="G8" s="15">
        <v>61.8</v>
      </c>
      <c r="H8" s="15">
        <v>59.2</v>
      </c>
      <c r="I8" s="15">
        <v>58.2</v>
      </c>
      <c r="J8" s="15">
        <v>33</v>
      </c>
      <c r="K8" s="15"/>
      <c r="L8" s="15"/>
      <c r="M8" s="15"/>
      <c r="N8" s="15"/>
      <c r="O8" s="15"/>
    </row>
    <row r="9" spans="1:17" x14ac:dyDescent="0.2">
      <c r="A9" s="84" t="s">
        <v>1098</v>
      </c>
      <c r="B9" s="80"/>
      <c r="E9" s="80"/>
      <c r="F9" t="s">
        <v>1979</v>
      </c>
      <c r="G9" s="15">
        <v>36.5</v>
      </c>
      <c r="H9" s="15">
        <v>51</v>
      </c>
      <c r="I9" s="15">
        <v>28.3</v>
      </c>
      <c r="J9" s="15">
        <v>21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1983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1984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tbl-opioid-od-fatal-sex</v>
      </c>
    </row>
    <row r="4" spans="1:17" x14ac:dyDescent="0.2">
      <c r="A4" s="16" t="s">
        <v>7</v>
      </c>
      <c r="B4" t="str">
        <f>IF($B$1="","",_xlfn.XLOOKUP($B$1,Master!$F$2:$F$321,Master!$H$2:$H$321,""))</f>
        <v>fig-opioid-od-fatal-sex</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1086</v>
      </c>
      <c r="G5">
        <v>2021</v>
      </c>
      <c r="H5">
        <v>2022</v>
      </c>
      <c r="I5">
        <v>2023</v>
      </c>
      <c r="J5">
        <v>2024</v>
      </c>
    </row>
    <row r="6" spans="1:17" ht="15" customHeight="1" x14ac:dyDescent="0.2">
      <c r="A6" t="s">
        <v>1088</v>
      </c>
      <c r="B6" t="b">
        <v>0</v>
      </c>
      <c r="E6" s="80"/>
      <c r="F6" t="s">
        <v>1305</v>
      </c>
      <c r="G6" s="15">
        <v>47.9</v>
      </c>
      <c r="H6" s="15">
        <v>51.8</v>
      </c>
      <c r="I6" s="15">
        <v>39.700000000000003</v>
      </c>
      <c r="J6" s="15">
        <v>26.3</v>
      </c>
      <c r="K6" s="15"/>
      <c r="L6" s="15"/>
      <c r="M6" s="15"/>
      <c r="N6" s="15"/>
      <c r="O6" s="15"/>
    </row>
    <row r="7" spans="1:17" ht="15.75" customHeight="1" x14ac:dyDescent="0.2">
      <c r="E7" s="80"/>
      <c r="F7" t="s">
        <v>1306</v>
      </c>
      <c r="G7" s="15">
        <v>24.8</v>
      </c>
      <c r="H7" s="15">
        <v>19</v>
      </c>
      <c r="I7" s="15">
        <v>17.8</v>
      </c>
      <c r="J7" s="15">
        <v>10.9</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1983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1984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tbl-binge-drinking-last-month</v>
      </c>
    </row>
    <row r="4" spans="1:17" x14ac:dyDescent="0.2">
      <c r="A4" s="16" t="s">
        <v>7</v>
      </c>
      <c r="B4" t="str">
        <f>IF($B$1="","",_xlfn.XLOOKUP($B$1,Master!$F$2:$F$321,Master!$H$2:$H$321,""))</f>
        <v>fig-binge-drinking-last-month</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80"/>
      <c r="F7">
        <v>2018</v>
      </c>
      <c r="G7" s="15">
        <v>20.7</v>
      </c>
      <c r="H7" s="15">
        <v>16.100000000000001</v>
      </c>
      <c r="I7" s="15">
        <v>14.1</v>
      </c>
      <c r="J7" s="15">
        <v>12.6</v>
      </c>
      <c r="K7" s="15">
        <v>22.1</v>
      </c>
      <c r="L7" s="15">
        <v>18.5</v>
      </c>
      <c r="M7" s="15">
        <v>16.7</v>
      </c>
      <c r="N7" s="15">
        <v>16.100000000000001</v>
      </c>
      <c r="O7" s="15">
        <v>18.399999999999999</v>
      </c>
      <c r="P7">
        <v>17.5</v>
      </c>
    </row>
    <row r="8" spans="1:17" x14ac:dyDescent="0.2">
      <c r="E8" s="80"/>
      <c r="F8">
        <v>2021</v>
      </c>
      <c r="G8" s="15">
        <v>15.1</v>
      </c>
      <c r="H8" s="15">
        <v>13.8</v>
      </c>
      <c r="I8" s="15">
        <v>18.7</v>
      </c>
      <c r="J8" s="15">
        <v>12.2</v>
      </c>
      <c r="K8" s="15">
        <v>17.8</v>
      </c>
      <c r="L8" s="15">
        <v>13.9</v>
      </c>
      <c r="M8" s="15">
        <v>13</v>
      </c>
      <c r="N8" s="15">
        <v>13.1</v>
      </c>
      <c r="O8" s="15">
        <v>16.100000000000001</v>
      </c>
      <c r="P8">
        <v>16</v>
      </c>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1985</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tbl-alcohol-mva-injury-death</v>
      </c>
    </row>
    <row r="4" spans="1:17" x14ac:dyDescent="0.2">
      <c r="A4" s="16" t="s">
        <v>7</v>
      </c>
      <c r="B4" t="str">
        <f>IF($B$1="","",_xlfn.XLOOKUP($B$1,Master!$F$2:$F$321,Master!$H$2:$H$321,""))</f>
        <v>fig-alcohol-mva-injury-death</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v>2017</v>
      </c>
      <c r="H5">
        <v>2018</v>
      </c>
      <c r="I5">
        <v>2019</v>
      </c>
      <c r="J5">
        <v>2020</v>
      </c>
      <c r="K5">
        <v>2021</v>
      </c>
    </row>
    <row r="6" spans="1:17" ht="15" customHeight="1" x14ac:dyDescent="0.2">
      <c r="A6" t="s">
        <v>1088</v>
      </c>
      <c r="B6" t="b">
        <v>0</v>
      </c>
      <c r="E6" s="80"/>
      <c r="F6" t="s">
        <v>1297</v>
      </c>
      <c r="G6" s="15">
        <v>39.6</v>
      </c>
      <c r="H6" s="15">
        <v>34.9</v>
      </c>
      <c r="I6" s="15">
        <v>34.200000000000003</v>
      </c>
      <c r="J6" s="15">
        <v>34.4</v>
      </c>
      <c r="K6" s="15">
        <v>38.700000000000003</v>
      </c>
      <c r="L6" s="15"/>
      <c r="M6" s="15"/>
      <c r="N6" s="15"/>
      <c r="O6" s="15"/>
    </row>
    <row r="7" spans="1:17" ht="15.75" customHeight="1" x14ac:dyDescent="0.2">
      <c r="E7" s="80"/>
      <c r="F7" t="s">
        <v>1645</v>
      </c>
      <c r="G7" s="15">
        <v>33</v>
      </c>
      <c r="H7" s="15">
        <v>34.200000000000003</v>
      </c>
      <c r="I7" s="15">
        <v>32.6</v>
      </c>
      <c r="J7" s="15">
        <v>26.9</v>
      </c>
      <c r="K7" s="15">
        <v>28.7</v>
      </c>
      <c r="L7" s="15"/>
      <c r="M7" s="15"/>
      <c r="N7" s="15"/>
      <c r="O7" s="15"/>
    </row>
    <row r="8" spans="1:17" x14ac:dyDescent="0.2">
      <c r="E8" s="80"/>
      <c r="F8" t="s">
        <v>1298</v>
      </c>
      <c r="G8" s="15">
        <v>35.5</v>
      </c>
      <c r="H8" s="15">
        <v>35.1</v>
      </c>
      <c r="I8" s="15">
        <v>33.5</v>
      </c>
      <c r="J8" s="15">
        <v>28.6</v>
      </c>
      <c r="K8" s="15">
        <v>31.4</v>
      </c>
      <c r="L8" s="15"/>
      <c r="M8" s="15"/>
      <c r="N8" s="15"/>
      <c r="O8" s="15"/>
    </row>
    <row r="9" spans="1:17" x14ac:dyDescent="0.2">
      <c r="A9" s="84" t="s">
        <v>1098</v>
      </c>
      <c r="B9" s="80"/>
      <c r="E9" s="80"/>
      <c r="F9" t="s">
        <v>1299</v>
      </c>
      <c r="G9" s="15">
        <v>30.1</v>
      </c>
      <c r="H9" s="15">
        <v>28.8</v>
      </c>
      <c r="I9" s="15">
        <v>27.6</v>
      </c>
      <c r="J9" s="15">
        <v>23</v>
      </c>
      <c r="K9" s="15">
        <v>25.4</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1986</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tlb-source-alcohol-ifused</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s="91" t="s">
        <v>1987</v>
      </c>
      <c r="G5" s="82" t="s">
        <v>990</v>
      </c>
      <c r="H5" s="80"/>
      <c r="I5" s="80"/>
      <c r="J5" s="80"/>
      <c r="K5" s="80"/>
    </row>
    <row r="6" spans="1:17" ht="15" customHeight="1" x14ac:dyDescent="0.2">
      <c r="A6" t="s">
        <v>1088</v>
      </c>
      <c r="B6" t="b">
        <v>1</v>
      </c>
      <c r="E6" s="80"/>
      <c r="F6" s="80"/>
      <c r="G6" s="15" t="s">
        <v>1934</v>
      </c>
      <c r="H6" s="15" t="s">
        <v>1935</v>
      </c>
      <c r="I6" s="15" t="s">
        <v>1936</v>
      </c>
      <c r="J6" s="15" t="s">
        <v>1937</v>
      </c>
      <c r="K6" s="15" t="s">
        <v>1089</v>
      </c>
      <c r="L6" s="15"/>
      <c r="M6" s="15"/>
      <c r="N6" s="15"/>
      <c r="O6" s="15"/>
    </row>
    <row r="7" spans="1:17" ht="15.75" customHeight="1" x14ac:dyDescent="0.2">
      <c r="E7" s="80"/>
      <c r="F7" s="16" t="s">
        <v>1988</v>
      </c>
      <c r="G7" s="15">
        <v>84</v>
      </c>
      <c r="H7" s="15">
        <v>70.5</v>
      </c>
      <c r="I7" s="15">
        <v>83.7</v>
      </c>
      <c r="J7" s="15">
        <v>53.1</v>
      </c>
      <c r="K7" s="15">
        <v>73.599999999999994</v>
      </c>
      <c r="L7" s="15"/>
      <c r="M7" s="15"/>
      <c r="N7" s="15"/>
      <c r="O7" s="15"/>
    </row>
    <row r="8" spans="1:17" x14ac:dyDescent="0.2">
      <c r="E8" s="80"/>
      <c r="F8" s="91" t="s">
        <v>1989</v>
      </c>
      <c r="G8" s="80"/>
      <c r="H8" s="80"/>
      <c r="I8" s="80"/>
      <c r="J8" s="80"/>
      <c r="K8" s="80"/>
      <c r="L8" s="15"/>
      <c r="M8" s="15"/>
      <c r="N8" s="15"/>
      <c r="O8" s="15"/>
    </row>
    <row r="9" spans="1:17" x14ac:dyDescent="0.2">
      <c r="A9" s="84" t="s">
        <v>1098</v>
      </c>
      <c r="B9" s="80"/>
      <c r="E9" s="80"/>
      <c r="F9" s="47" t="s">
        <v>1961</v>
      </c>
      <c r="G9" s="15">
        <v>25</v>
      </c>
      <c r="H9" s="15">
        <v>22</v>
      </c>
      <c r="I9" s="15">
        <v>25.6</v>
      </c>
      <c r="J9" s="15">
        <v>18.399999999999999</v>
      </c>
      <c r="K9" s="15">
        <v>21.6</v>
      </c>
      <c r="L9" s="15"/>
      <c r="M9" s="15"/>
      <c r="N9" s="15"/>
      <c r="O9" s="15"/>
    </row>
    <row r="10" spans="1:17" x14ac:dyDescent="0.2">
      <c r="A10" t="s">
        <v>1100</v>
      </c>
      <c r="E10" s="80"/>
      <c r="F10" s="47" t="s">
        <v>1962</v>
      </c>
      <c r="G10" s="15">
        <v>53.9</v>
      </c>
      <c r="H10" s="15">
        <v>41.1</v>
      </c>
      <c r="I10" s="15">
        <v>37.200000000000003</v>
      </c>
      <c r="J10" s="15">
        <v>46</v>
      </c>
      <c r="K10" s="15">
        <v>45.7</v>
      </c>
    </row>
    <row r="11" spans="1:17" x14ac:dyDescent="0.2">
      <c r="A11" t="s">
        <v>1102</v>
      </c>
      <c r="E11" s="80"/>
      <c r="F11" s="47" t="s">
        <v>1963</v>
      </c>
      <c r="G11" s="15">
        <v>17.2</v>
      </c>
      <c r="H11" s="15">
        <v>25.6</v>
      </c>
      <c r="I11" s="15">
        <v>32.6</v>
      </c>
      <c r="J11" s="17">
        <v>33.799999999999997</v>
      </c>
      <c r="K11" s="17">
        <v>27</v>
      </c>
      <c r="L11" s="17"/>
      <c r="M11" s="17"/>
      <c r="N11" s="17"/>
    </row>
    <row r="12" spans="1:17" x14ac:dyDescent="0.2">
      <c r="A12" t="s">
        <v>1104</v>
      </c>
      <c r="E12" s="80"/>
      <c r="F12" s="48" t="s">
        <v>1964</v>
      </c>
      <c r="G12" s="17">
        <v>24.4</v>
      </c>
      <c r="H12" s="17">
        <v>23.6</v>
      </c>
      <c r="I12" s="15">
        <v>25.6</v>
      </c>
      <c r="J12" s="15">
        <v>29.4</v>
      </c>
      <c r="K12" s="15">
        <v>26</v>
      </c>
      <c r="L12" s="15"/>
    </row>
    <row r="13" spans="1:17" x14ac:dyDescent="0.2">
      <c r="A13" t="s">
        <v>1108</v>
      </c>
      <c r="E13" s="80"/>
      <c r="F13" s="47" t="s">
        <v>1965</v>
      </c>
      <c r="G13" s="15">
        <v>21.7</v>
      </c>
      <c r="H13" s="15">
        <v>37.799999999999997</v>
      </c>
      <c r="I13" s="15">
        <v>48.8</v>
      </c>
      <c r="J13" s="15">
        <v>51.8</v>
      </c>
      <c r="K13" s="15">
        <v>39.700000000000003</v>
      </c>
    </row>
    <row r="14" spans="1:17" x14ac:dyDescent="0.2">
      <c r="A14" t="s">
        <v>1112</v>
      </c>
      <c r="E14" s="80"/>
      <c r="F14" s="47" t="s">
        <v>1966</v>
      </c>
      <c r="G14" s="15">
        <v>7.2</v>
      </c>
      <c r="H14" s="15">
        <v>6.1</v>
      </c>
      <c r="I14" s="15">
        <v>4.7</v>
      </c>
      <c r="J14" s="15">
        <v>4.8</v>
      </c>
      <c r="K14" s="15">
        <v>5.8</v>
      </c>
    </row>
    <row r="15" spans="1:17" x14ac:dyDescent="0.2">
      <c r="A15" t="s">
        <v>1114</v>
      </c>
      <c r="E15" s="80"/>
      <c r="F15" s="47" t="s">
        <v>1967</v>
      </c>
      <c r="G15" s="15">
        <v>11.7</v>
      </c>
      <c r="H15" s="15">
        <v>14.2</v>
      </c>
      <c r="I15" s="15">
        <v>9.3000000000000007</v>
      </c>
      <c r="J15" s="15">
        <v>15.8</v>
      </c>
      <c r="K15" s="15">
        <v>13.9</v>
      </c>
    </row>
    <row r="16" spans="1:17" x14ac:dyDescent="0.2">
      <c r="A16" t="s">
        <v>1116</v>
      </c>
      <c r="E16" s="80"/>
      <c r="F16" s="47" t="s">
        <v>1968</v>
      </c>
      <c r="G16" s="15">
        <v>16.7</v>
      </c>
      <c r="H16" s="15">
        <v>18.3</v>
      </c>
      <c r="I16" s="15">
        <v>7</v>
      </c>
      <c r="J16" s="15">
        <v>12.9</v>
      </c>
      <c r="K16" s="15">
        <v>15.2</v>
      </c>
    </row>
    <row r="17" spans="1:11" x14ac:dyDescent="0.2">
      <c r="E17" s="80"/>
      <c r="F17" s="47" t="s">
        <v>1969</v>
      </c>
      <c r="G17" s="15">
        <v>1.1000000000000001</v>
      </c>
      <c r="H17" s="15">
        <v>1.6</v>
      </c>
      <c r="I17" s="15">
        <v>0</v>
      </c>
      <c r="J17" s="15">
        <v>3.3</v>
      </c>
      <c r="K17" s="15">
        <v>2</v>
      </c>
    </row>
    <row r="18" spans="1:11" x14ac:dyDescent="0.2">
      <c r="A18" s="84" t="s">
        <v>1119</v>
      </c>
      <c r="B18" s="80"/>
      <c r="E18" s="80"/>
      <c r="F18" s="47" t="s">
        <v>1970</v>
      </c>
      <c r="G18" s="15">
        <v>1.1000000000000001</v>
      </c>
      <c r="H18" s="15">
        <v>1.6</v>
      </c>
      <c r="I18" s="15">
        <v>4.7</v>
      </c>
      <c r="J18" s="15">
        <v>5.5</v>
      </c>
      <c r="K18" s="15">
        <v>3.1</v>
      </c>
    </row>
    <row r="19" spans="1:11" x14ac:dyDescent="0.2">
      <c r="A19" t="s">
        <v>1121</v>
      </c>
      <c r="B19" t="s">
        <v>1930</v>
      </c>
      <c r="E19" s="80"/>
      <c r="F19" s="47" t="s">
        <v>1971</v>
      </c>
      <c r="G19" s="15">
        <v>1.7</v>
      </c>
      <c r="H19" s="15">
        <v>2.4</v>
      </c>
      <c r="I19" s="15">
        <v>4.7</v>
      </c>
      <c r="J19" s="15">
        <v>1.5</v>
      </c>
      <c r="K19" s="15">
        <v>2</v>
      </c>
    </row>
    <row r="20" spans="1:11" x14ac:dyDescent="0.2">
      <c r="E20" s="80"/>
      <c r="F20" s="47" t="s">
        <v>1972</v>
      </c>
      <c r="G20" s="15">
        <v>1.7</v>
      </c>
      <c r="H20" s="15">
        <v>2.8</v>
      </c>
      <c r="I20" s="15">
        <v>2.2999999999999998</v>
      </c>
      <c r="J20" s="15">
        <v>1.1000000000000001</v>
      </c>
      <c r="K20" s="15">
        <v>1.9</v>
      </c>
    </row>
    <row r="21" spans="1:11" x14ac:dyDescent="0.2">
      <c r="A21" s="82" t="s">
        <v>1125</v>
      </c>
      <c r="B21" s="80"/>
      <c r="E21" s="80"/>
      <c r="F21" s="47" t="s">
        <v>1973</v>
      </c>
      <c r="G21" s="15">
        <v>0.6</v>
      </c>
      <c r="H21" s="15">
        <v>1.6</v>
      </c>
      <c r="I21" s="15">
        <v>2.2999999999999998</v>
      </c>
      <c r="J21" s="15">
        <v>1.5</v>
      </c>
      <c r="K21" s="15">
        <v>1.3</v>
      </c>
    </row>
    <row r="22" spans="1:11" x14ac:dyDescent="0.2">
      <c r="A22" t="s">
        <v>1135</v>
      </c>
      <c r="B22" t="s">
        <v>1975</v>
      </c>
      <c r="E22" s="80"/>
      <c r="F22" s="47" t="s">
        <v>1974</v>
      </c>
      <c r="G22" s="15">
        <v>1.1000000000000001</v>
      </c>
      <c r="H22" s="15">
        <v>2</v>
      </c>
      <c r="I22" s="15">
        <v>0</v>
      </c>
      <c r="J22" s="15">
        <v>0.7</v>
      </c>
      <c r="K22" s="15">
        <v>1.2</v>
      </c>
    </row>
    <row r="23" spans="1:11" x14ac:dyDescent="0.2">
      <c r="E23" s="80"/>
      <c r="F23" s="47" t="s">
        <v>1015</v>
      </c>
      <c r="G23" s="15">
        <v>17.8</v>
      </c>
      <c r="H23" s="15">
        <v>12.2</v>
      </c>
      <c r="I23" s="15">
        <v>16.3</v>
      </c>
      <c r="J23" s="15">
        <v>10.3</v>
      </c>
      <c r="K23" s="15">
        <v>13.1</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tbl-current-smoker</v>
      </c>
    </row>
    <row r="4" spans="1:17" x14ac:dyDescent="0.2">
      <c r="A4" s="16" t="s">
        <v>7</v>
      </c>
      <c r="B4" t="str">
        <f>IF($B$1="","",_xlfn.XLOOKUP($B$1,Master!$F$2:$F$321,Master!$H$2:$H$321,""))</f>
        <v>fig-current-smoker</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80"/>
      <c r="F7">
        <v>2018</v>
      </c>
      <c r="G7" s="15">
        <v>12.2</v>
      </c>
      <c r="H7" s="15">
        <v>11.7</v>
      </c>
      <c r="I7" s="15" t="s">
        <v>1990</v>
      </c>
      <c r="J7" s="15">
        <v>7.6</v>
      </c>
      <c r="K7" s="15">
        <v>21.6</v>
      </c>
      <c r="L7" s="15">
        <v>14.7</v>
      </c>
      <c r="M7" s="15">
        <v>7.4</v>
      </c>
      <c r="N7" s="15">
        <v>10.199999999999999</v>
      </c>
      <c r="O7" s="15">
        <v>14.7</v>
      </c>
      <c r="P7">
        <v>13.2</v>
      </c>
    </row>
    <row r="8" spans="1:17" x14ac:dyDescent="0.2">
      <c r="E8" s="80"/>
      <c r="F8">
        <v>2021</v>
      </c>
      <c r="G8" s="15">
        <v>17.399999999999999</v>
      </c>
      <c r="H8" s="15">
        <v>12</v>
      </c>
      <c r="I8" s="15">
        <v>16.7</v>
      </c>
      <c r="J8" s="15">
        <v>14</v>
      </c>
      <c r="K8" s="15">
        <v>13.3</v>
      </c>
      <c r="L8" s="15">
        <v>12.7</v>
      </c>
      <c r="M8" s="15">
        <v>6.3</v>
      </c>
      <c r="N8" s="15">
        <v>11.1</v>
      </c>
      <c r="O8" s="15">
        <v>14.1</v>
      </c>
      <c r="P8">
        <v>12.5</v>
      </c>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1991</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1992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tbl-unintent-injury-hospital-rande-aar</v>
      </c>
    </row>
    <row r="4" spans="1:17" x14ac:dyDescent="0.2">
      <c r="A4" s="16" t="s">
        <v>7</v>
      </c>
      <c r="B4" t="str">
        <f>IF($B$1="","",_xlfn.XLOOKUP($B$1,Master!$F$2:$F$321,Master!$H$2:$H$321,""))</f>
        <v>fig-unintent-injury-hospital-rande-aar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70.099999999999994</v>
      </c>
      <c r="H6" s="15">
        <v>68.400000000000006</v>
      </c>
      <c r="I6" s="15">
        <v>58.7</v>
      </c>
      <c r="J6" s="15">
        <v>26.6</v>
      </c>
      <c r="K6" s="15">
        <v>42</v>
      </c>
      <c r="L6" s="15"/>
      <c r="M6" s="15"/>
      <c r="N6" s="15"/>
      <c r="O6" s="15"/>
    </row>
    <row r="7" spans="1:17" ht="15.75" customHeight="1" x14ac:dyDescent="0.2">
      <c r="E7" s="80"/>
      <c r="F7" t="s">
        <v>1298</v>
      </c>
      <c r="G7" s="15">
        <v>70.599999999999994</v>
      </c>
      <c r="H7" s="15">
        <v>65.7</v>
      </c>
      <c r="I7" s="15">
        <v>75.5</v>
      </c>
      <c r="J7" s="15">
        <v>26.9</v>
      </c>
      <c r="K7" s="15">
        <v>48.1</v>
      </c>
      <c r="L7" s="15"/>
      <c r="M7" s="15"/>
      <c r="N7" s="15"/>
      <c r="O7" s="15"/>
    </row>
    <row r="8" spans="1:17" x14ac:dyDescent="0.2">
      <c r="E8" s="80"/>
      <c r="F8" t="s">
        <v>1299</v>
      </c>
      <c r="G8" s="15">
        <v>68.400000000000006</v>
      </c>
      <c r="H8" s="15">
        <v>61.2</v>
      </c>
      <c r="I8" s="15">
        <v>64.099999999999994</v>
      </c>
      <c r="J8" s="15">
        <v>26.3</v>
      </c>
      <c r="K8" s="15">
        <v>54.5</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1722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election activeCell="T30" sqref="T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tbl-unintent-injury-mortal-age-rande-zip</v>
      </c>
    </row>
    <row r="4" spans="1:17" x14ac:dyDescent="0.2">
      <c r="A4" s="16" t="s">
        <v>7</v>
      </c>
      <c r="B4" t="str">
        <f>IF($B$1="","",_xlfn.XLOOKUP($B$1,Master!$F$2:$F$321,Master!$H$2:$H$321,""))</f>
        <v>fig-unintent-injury-mortal-age-rande-zip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F5" s="81" t="s">
        <v>1316</v>
      </c>
      <c r="G5" s="82">
        <v>2020</v>
      </c>
      <c r="H5" s="80"/>
      <c r="I5" s="82">
        <v>2021</v>
      </c>
      <c r="J5" s="80"/>
      <c r="K5" s="82">
        <v>2022</v>
      </c>
      <c r="L5" s="80"/>
      <c r="M5" s="82">
        <v>2023</v>
      </c>
      <c r="N5" s="80"/>
      <c r="O5" s="82" t="s">
        <v>2357</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25" t="s">
        <v>1698</v>
      </c>
      <c r="G7" s="15">
        <v>182</v>
      </c>
      <c r="H7" s="15">
        <v>47.6</v>
      </c>
      <c r="I7" s="15">
        <v>204</v>
      </c>
      <c r="J7" s="15">
        <v>51.2</v>
      </c>
      <c r="K7" s="15">
        <v>246</v>
      </c>
      <c r="L7" s="15">
        <v>61.3</v>
      </c>
      <c r="M7" s="15">
        <v>184</v>
      </c>
      <c r="N7" s="15">
        <v>45.6</v>
      </c>
      <c r="O7" s="15">
        <v>816</v>
      </c>
      <c r="P7" s="15">
        <v>51.4</v>
      </c>
    </row>
    <row r="8" spans="1:17" x14ac:dyDescent="0.2">
      <c r="E8" s="80"/>
      <c r="F8" s="25" t="s">
        <v>1276</v>
      </c>
      <c r="G8" s="15"/>
      <c r="H8" s="15"/>
      <c r="I8" s="15"/>
      <c r="J8" s="15"/>
      <c r="K8" s="15"/>
      <c r="L8" s="15"/>
      <c r="M8" s="15"/>
      <c r="N8" s="15"/>
      <c r="O8" s="15"/>
      <c r="P8" s="15"/>
    </row>
    <row r="9" spans="1:17" x14ac:dyDescent="0.2">
      <c r="A9" s="84" t="s">
        <v>1098</v>
      </c>
      <c r="B9" s="80"/>
      <c r="E9" s="80"/>
      <c r="F9" s="47" t="s">
        <v>1994</v>
      </c>
      <c r="G9" s="15" t="s">
        <v>1031</v>
      </c>
      <c r="H9" s="15" t="s">
        <v>1031</v>
      </c>
      <c r="I9" s="15" t="s">
        <v>1031</v>
      </c>
      <c r="J9" s="15" t="s">
        <v>1031</v>
      </c>
      <c r="K9" s="15" t="s">
        <v>1031</v>
      </c>
      <c r="L9" s="15" t="s">
        <v>1031</v>
      </c>
      <c r="M9" s="15" t="s">
        <v>1031</v>
      </c>
      <c r="N9" s="15" t="s">
        <v>1031</v>
      </c>
      <c r="O9" s="15" t="s">
        <v>1031</v>
      </c>
      <c r="P9" s="15" t="s">
        <v>1031</v>
      </c>
    </row>
    <row r="10" spans="1:17" x14ac:dyDescent="0.2">
      <c r="A10" t="s">
        <v>1100</v>
      </c>
      <c r="E10" s="80"/>
      <c r="F10" s="47" t="s">
        <v>1701</v>
      </c>
      <c r="G10" s="15">
        <v>13</v>
      </c>
      <c r="H10" s="15">
        <v>45.6</v>
      </c>
      <c r="I10" s="15" t="s">
        <v>1031</v>
      </c>
      <c r="J10" s="15" t="s">
        <v>1031</v>
      </c>
      <c r="K10" s="15">
        <v>15</v>
      </c>
      <c r="L10" s="15">
        <v>50.6</v>
      </c>
      <c r="M10" s="15" t="s">
        <v>1031</v>
      </c>
      <c r="N10" s="15" t="s">
        <v>1031</v>
      </c>
      <c r="O10" s="15">
        <v>41</v>
      </c>
      <c r="P10" s="15">
        <v>35.200000000000003</v>
      </c>
    </row>
    <row r="11" spans="1:17" x14ac:dyDescent="0.2">
      <c r="A11" t="s">
        <v>1102</v>
      </c>
      <c r="E11" s="80"/>
      <c r="F11" s="47" t="s">
        <v>1702</v>
      </c>
      <c r="G11" s="15">
        <v>40</v>
      </c>
      <c r="H11" s="15">
        <v>89.1</v>
      </c>
      <c r="I11" s="15">
        <v>34</v>
      </c>
      <c r="J11" s="15">
        <v>73</v>
      </c>
      <c r="K11" s="15">
        <v>22</v>
      </c>
      <c r="L11" s="15">
        <v>46.4</v>
      </c>
      <c r="M11" s="15">
        <v>24</v>
      </c>
      <c r="N11" s="15">
        <v>50.1</v>
      </c>
      <c r="O11" s="15">
        <v>120</v>
      </c>
      <c r="P11" s="15">
        <v>64.599999999999994</v>
      </c>
    </row>
    <row r="12" spans="1:17" x14ac:dyDescent="0.2">
      <c r="A12" t="s">
        <v>1104</v>
      </c>
      <c r="E12" s="80"/>
      <c r="F12" s="47" t="s">
        <v>1703</v>
      </c>
      <c r="G12" s="15">
        <v>34</v>
      </c>
      <c r="H12" s="15">
        <v>75.2</v>
      </c>
      <c r="I12" s="15">
        <v>47</v>
      </c>
      <c r="J12" s="17">
        <v>98.5</v>
      </c>
      <c r="K12" s="17">
        <v>44</v>
      </c>
      <c r="L12" s="17">
        <v>90.3</v>
      </c>
      <c r="M12" s="17">
        <v>43</v>
      </c>
      <c r="N12" s="17">
        <v>86.4</v>
      </c>
      <c r="O12" s="15">
        <v>168</v>
      </c>
      <c r="P12" s="15">
        <v>87.6</v>
      </c>
    </row>
    <row r="13" spans="1:17" x14ac:dyDescent="0.2">
      <c r="A13" t="s">
        <v>1108</v>
      </c>
      <c r="E13" s="80"/>
      <c r="F13" s="48" t="s">
        <v>1704</v>
      </c>
      <c r="G13" s="17">
        <v>29</v>
      </c>
      <c r="H13" s="17">
        <v>55.4</v>
      </c>
      <c r="I13" s="15">
        <v>39</v>
      </c>
      <c r="J13" s="15">
        <v>73.099999999999994</v>
      </c>
      <c r="K13" s="15">
        <v>40</v>
      </c>
      <c r="L13" s="15">
        <v>76.400000000000006</v>
      </c>
      <c r="M13" s="15">
        <v>31</v>
      </c>
      <c r="N13" s="15">
        <v>60.2</v>
      </c>
      <c r="O13" s="15">
        <v>139</v>
      </c>
      <c r="P13" s="15">
        <v>66.3</v>
      </c>
    </row>
    <row r="14" spans="1:17" x14ac:dyDescent="0.2">
      <c r="A14" t="s">
        <v>1112</v>
      </c>
      <c r="E14" s="80"/>
      <c r="F14" s="47" t="s">
        <v>1705</v>
      </c>
      <c r="G14" s="15">
        <v>22</v>
      </c>
      <c r="H14" s="15">
        <v>45.2</v>
      </c>
      <c r="I14" s="15">
        <v>27</v>
      </c>
      <c r="J14" s="15">
        <v>52.5</v>
      </c>
      <c r="K14" s="15">
        <v>48</v>
      </c>
      <c r="L14" s="15">
        <v>93.8</v>
      </c>
      <c r="M14" s="15">
        <v>30</v>
      </c>
      <c r="N14" s="15">
        <v>58.2</v>
      </c>
      <c r="O14" s="15">
        <v>127</v>
      </c>
      <c r="P14" s="15">
        <v>62.4</v>
      </c>
    </row>
    <row r="15" spans="1:17" x14ac:dyDescent="0.2">
      <c r="A15" t="s">
        <v>1114</v>
      </c>
      <c r="E15" s="80"/>
      <c r="F15" s="47" t="s">
        <v>1706</v>
      </c>
      <c r="G15" s="15">
        <v>13</v>
      </c>
      <c r="H15" s="15">
        <v>41.2</v>
      </c>
      <c r="I15" s="15">
        <v>15</v>
      </c>
      <c r="J15" s="15">
        <v>44.8</v>
      </c>
      <c r="K15" s="15">
        <v>25</v>
      </c>
      <c r="L15" s="15">
        <v>73.900000000000006</v>
      </c>
      <c r="M15" s="15">
        <v>17</v>
      </c>
      <c r="N15" s="15">
        <v>48.8</v>
      </c>
      <c r="O15" s="15">
        <v>70</v>
      </c>
      <c r="P15" s="15">
        <v>52.2</v>
      </c>
    </row>
    <row r="16" spans="1:17" x14ac:dyDescent="0.2">
      <c r="A16" t="s">
        <v>1116</v>
      </c>
      <c r="E16" s="80"/>
      <c r="F16" s="47" t="s">
        <v>1707</v>
      </c>
      <c r="G16" s="15">
        <v>15</v>
      </c>
      <c r="H16" s="15">
        <v>101.7</v>
      </c>
      <c r="I16" s="15">
        <v>16</v>
      </c>
      <c r="J16" s="15">
        <v>104.8</v>
      </c>
      <c r="K16" s="15">
        <v>16</v>
      </c>
      <c r="L16" s="15">
        <v>101</v>
      </c>
      <c r="M16" s="15">
        <v>18</v>
      </c>
      <c r="N16" s="15">
        <v>109.8</v>
      </c>
      <c r="O16" s="15">
        <v>65</v>
      </c>
      <c r="P16" s="15">
        <v>104.3</v>
      </c>
    </row>
    <row r="17" spans="1:16" x14ac:dyDescent="0.2">
      <c r="E17" s="80"/>
      <c r="F17" s="47" t="s">
        <v>1288</v>
      </c>
      <c r="G17" s="15">
        <v>14</v>
      </c>
      <c r="H17" s="15">
        <v>195.8</v>
      </c>
      <c r="I17" s="15">
        <v>10</v>
      </c>
      <c r="J17" s="15">
        <v>146.80000000000001</v>
      </c>
      <c r="K17" s="15">
        <v>32</v>
      </c>
      <c r="L17" s="15">
        <v>455.8</v>
      </c>
      <c r="M17" s="15">
        <v>15</v>
      </c>
      <c r="N17" s="15">
        <v>223.6</v>
      </c>
      <c r="O17" s="15">
        <v>71</v>
      </c>
      <c r="P17" s="15">
        <v>255.5</v>
      </c>
    </row>
    <row r="18" spans="1:16" x14ac:dyDescent="0.2">
      <c r="A18" s="84" t="s">
        <v>1119</v>
      </c>
      <c r="B18" s="80"/>
      <c r="E18" s="80"/>
      <c r="F18" s="25" t="s">
        <v>1289</v>
      </c>
      <c r="G18" s="15"/>
      <c r="H18" s="15"/>
      <c r="I18" s="15"/>
      <c r="J18" s="15"/>
      <c r="K18" s="15"/>
      <c r="L18" s="15"/>
      <c r="M18" s="15"/>
      <c r="N18" s="15"/>
      <c r="O18" s="15"/>
      <c r="P18" s="15"/>
    </row>
    <row r="19" spans="1:16" x14ac:dyDescent="0.2">
      <c r="A19" t="s">
        <v>1121</v>
      </c>
      <c r="B19" t="s">
        <v>1287</v>
      </c>
      <c r="E19" s="80"/>
      <c r="F19" s="47" t="s">
        <v>1290</v>
      </c>
      <c r="G19" s="15">
        <v>128</v>
      </c>
      <c r="H19" s="15">
        <v>53.1</v>
      </c>
      <c r="I19" s="15">
        <v>144</v>
      </c>
      <c r="J19" s="15">
        <v>58.1</v>
      </c>
      <c r="K19" s="15">
        <v>161</v>
      </c>
      <c r="L19" s="15">
        <v>66.400000000000006</v>
      </c>
      <c r="M19" s="15">
        <v>127</v>
      </c>
      <c r="N19" s="15">
        <v>53.1</v>
      </c>
      <c r="O19" s="15">
        <v>560</v>
      </c>
      <c r="P19" s="15">
        <v>57.7</v>
      </c>
    </row>
    <row r="20" spans="1:16" x14ac:dyDescent="0.2">
      <c r="E20" s="80"/>
      <c r="F20" s="47" t="s">
        <v>1292</v>
      </c>
      <c r="G20" s="15">
        <v>24</v>
      </c>
      <c r="H20" s="15">
        <v>62.4</v>
      </c>
      <c r="I20" s="15">
        <v>17</v>
      </c>
      <c r="J20" s="15">
        <v>42.8</v>
      </c>
      <c r="K20" s="15">
        <v>38</v>
      </c>
      <c r="L20" s="15">
        <v>90.6</v>
      </c>
      <c r="M20" s="15">
        <v>19</v>
      </c>
      <c r="N20" s="15">
        <v>44.7</v>
      </c>
      <c r="O20" s="15">
        <v>98</v>
      </c>
      <c r="P20" s="15">
        <v>60.1</v>
      </c>
    </row>
    <row r="21" spans="1:16" x14ac:dyDescent="0.2">
      <c r="A21" s="82" t="s">
        <v>1125</v>
      </c>
      <c r="B21" s="80"/>
      <c r="E21" s="80"/>
      <c r="F21" s="47" t="s">
        <v>1293</v>
      </c>
      <c r="G21" s="15">
        <v>15</v>
      </c>
      <c r="H21" s="15">
        <v>18.7</v>
      </c>
      <c r="I21" s="15">
        <v>37</v>
      </c>
      <c r="J21" s="15">
        <v>43.4</v>
      </c>
      <c r="K21" s="15">
        <v>41</v>
      </c>
      <c r="L21" s="15">
        <v>45.8</v>
      </c>
      <c r="M21" s="15">
        <v>32</v>
      </c>
      <c r="N21" s="15">
        <v>34.200000000000003</v>
      </c>
      <c r="O21" s="15">
        <v>125</v>
      </c>
      <c r="P21" s="15">
        <v>35.5</v>
      </c>
    </row>
    <row r="22" spans="1:16" x14ac:dyDescent="0.2">
      <c r="A22" t="s">
        <v>1135</v>
      </c>
      <c r="B22" t="s">
        <v>1995</v>
      </c>
      <c r="E22" s="80"/>
      <c r="F22" s="47" t="s">
        <v>1015</v>
      </c>
      <c r="G22" s="15">
        <v>15</v>
      </c>
      <c r="H22" s="15">
        <v>67.599999999999994</v>
      </c>
      <c r="I22" s="15" t="s">
        <v>1031</v>
      </c>
      <c r="J22" s="15" t="s">
        <v>1031</v>
      </c>
      <c r="K22" s="15" t="s">
        <v>1031</v>
      </c>
      <c r="L22" s="15" t="s">
        <v>1031</v>
      </c>
      <c r="M22" s="15" t="s">
        <v>1031</v>
      </c>
      <c r="N22" s="15" t="s">
        <v>1031</v>
      </c>
      <c r="O22" s="15">
        <v>33</v>
      </c>
      <c r="P22" s="15">
        <v>33.6</v>
      </c>
    </row>
    <row r="23" spans="1:16" x14ac:dyDescent="0.2">
      <c r="E23" s="80"/>
      <c r="F23" s="25" t="s">
        <v>1294</v>
      </c>
      <c r="G23" s="15"/>
      <c r="H23" s="15"/>
      <c r="I23" s="15"/>
      <c r="J23" s="15"/>
      <c r="K23" s="15"/>
      <c r="L23" s="15"/>
      <c r="M23" s="15"/>
      <c r="N23" s="15"/>
      <c r="O23" s="15"/>
      <c r="P23" s="15"/>
    </row>
    <row r="24" spans="1:16" x14ac:dyDescent="0.2">
      <c r="E24" s="80"/>
      <c r="F24" s="47">
        <v>10940</v>
      </c>
      <c r="G24" s="15">
        <v>32</v>
      </c>
      <c r="H24" s="15">
        <v>64.7</v>
      </c>
      <c r="I24" s="15">
        <v>37</v>
      </c>
      <c r="J24" s="15">
        <v>72.599999999999994</v>
      </c>
      <c r="K24" s="15">
        <v>38</v>
      </c>
      <c r="L24" s="15">
        <v>73.3</v>
      </c>
      <c r="M24" s="15">
        <v>33</v>
      </c>
      <c r="N24" s="15">
        <v>62.1</v>
      </c>
      <c r="O24" s="15">
        <v>140</v>
      </c>
      <c r="P24" s="15">
        <v>68.2</v>
      </c>
    </row>
    <row r="25" spans="1:16" x14ac:dyDescent="0.2">
      <c r="E25" s="80"/>
      <c r="F25" s="47">
        <v>10950</v>
      </c>
      <c r="G25" s="15">
        <v>19</v>
      </c>
      <c r="H25" s="15">
        <v>142</v>
      </c>
      <c r="I25" s="15">
        <v>17</v>
      </c>
      <c r="J25" s="15">
        <v>117.9</v>
      </c>
      <c r="K25" s="15">
        <v>17</v>
      </c>
      <c r="L25" s="15">
        <v>117.2</v>
      </c>
      <c r="M25" s="15">
        <v>16</v>
      </c>
      <c r="N25" s="15">
        <v>108.4</v>
      </c>
      <c r="O25" s="15">
        <v>69</v>
      </c>
      <c r="P25" s="15">
        <v>121.4</v>
      </c>
    </row>
    <row r="26" spans="1:16" x14ac:dyDescent="0.2">
      <c r="E26" s="80"/>
      <c r="F26" s="47">
        <v>12550</v>
      </c>
      <c r="G26" s="15">
        <v>30</v>
      </c>
      <c r="H26" s="15">
        <v>112.5</v>
      </c>
      <c r="I26" s="15">
        <v>41</v>
      </c>
      <c r="J26" s="15">
        <v>153</v>
      </c>
      <c r="K26" s="15">
        <v>61</v>
      </c>
      <c r="L26" s="15">
        <v>222.6</v>
      </c>
      <c r="M26" s="15">
        <v>41</v>
      </c>
      <c r="N26" s="15">
        <v>150.19999999999999</v>
      </c>
      <c r="O26" s="15">
        <v>173</v>
      </c>
      <c r="P26" s="15">
        <v>159.5</v>
      </c>
    </row>
    <row r="27" spans="1:16" x14ac:dyDescent="0.2">
      <c r="A27" s="82"/>
      <c r="B27" s="80"/>
      <c r="E27" s="80"/>
      <c r="F27" s="47">
        <v>12771</v>
      </c>
      <c r="G27" s="15" t="s">
        <v>1031</v>
      </c>
      <c r="H27" s="15" t="s">
        <v>1031</v>
      </c>
      <c r="I27" s="15">
        <v>13</v>
      </c>
      <c r="J27" s="15">
        <v>87.6</v>
      </c>
      <c r="K27" s="15">
        <v>11</v>
      </c>
      <c r="L27" s="15">
        <v>76.099999999999994</v>
      </c>
      <c r="M27" s="15">
        <v>11</v>
      </c>
      <c r="N27" s="15">
        <v>76.7</v>
      </c>
      <c r="O27" s="15">
        <v>42</v>
      </c>
      <c r="P27" s="15">
        <v>72.2</v>
      </c>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tbl-unintent-injury-mortal-aar</v>
      </c>
    </row>
    <row r="4" spans="1:17" x14ac:dyDescent="0.2">
      <c r="A4" s="16" t="s">
        <v>7</v>
      </c>
      <c r="B4" t="str">
        <f>IF($B$1="","",_xlfn.XLOOKUP($B$1,Master!$F$2:$F$321,Master!$H$2:$H$321,""))</f>
        <v>fig-unintent-injury-mortal-aar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814.4</v>
      </c>
      <c r="H6" s="15">
        <v>715.8</v>
      </c>
      <c r="I6" s="15">
        <v>713.7</v>
      </c>
      <c r="J6" s="15">
        <v>665.3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1996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v>
      </c>
    </row>
    <row r="4" spans="1:17" x14ac:dyDescent="0.2">
      <c r="A4" s="16" t="s">
        <v>7</v>
      </c>
      <c r="B4" t="str">
        <f>IF($B$1="","",_xlfn.XLOOKUP($B$1,Master!$F$2:$F$321,Master!$H$2:$H$321,""))</f>
        <v>fig-unintent-injury-mortal-age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1998</v>
      </c>
      <c r="G5">
        <v>2020</v>
      </c>
      <c r="H5">
        <v>2021</v>
      </c>
      <c r="I5">
        <v>2022</v>
      </c>
      <c r="J5">
        <v>2023</v>
      </c>
    </row>
    <row r="6" spans="1:17" ht="15" customHeight="1" x14ac:dyDescent="0.2">
      <c r="A6" t="s">
        <v>1088</v>
      </c>
      <c r="B6" t="b">
        <v>0</v>
      </c>
      <c r="E6" s="80"/>
      <c r="F6" s="37" t="s">
        <v>1994</v>
      </c>
      <c r="G6" s="15" t="s">
        <v>1031</v>
      </c>
      <c r="H6" s="15" t="s">
        <v>1031</v>
      </c>
      <c r="I6" s="15" t="s">
        <v>1031</v>
      </c>
      <c r="J6" s="15" t="s">
        <v>1031</v>
      </c>
      <c r="K6" s="15"/>
      <c r="L6" s="15"/>
      <c r="M6" s="15"/>
      <c r="N6" s="15"/>
      <c r="O6" s="15"/>
    </row>
    <row r="7" spans="1:17" ht="15.75" customHeight="1" x14ac:dyDescent="0.2">
      <c r="E7" s="80"/>
      <c r="F7" s="37" t="s">
        <v>1701</v>
      </c>
      <c r="G7" s="15">
        <v>45.6</v>
      </c>
      <c r="H7" s="15" t="s">
        <v>1031</v>
      </c>
      <c r="I7" s="15">
        <v>50.6</v>
      </c>
      <c r="J7" s="15" t="s">
        <v>1031</v>
      </c>
      <c r="K7" s="15"/>
      <c r="L7" s="15"/>
      <c r="M7" s="15"/>
      <c r="N7" s="15"/>
      <c r="O7" s="15"/>
    </row>
    <row r="8" spans="1:17" x14ac:dyDescent="0.2">
      <c r="E8" s="80"/>
      <c r="F8" s="37" t="s">
        <v>1702</v>
      </c>
      <c r="G8" s="15">
        <v>89.1</v>
      </c>
      <c r="H8" s="15">
        <v>73</v>
      </c>
      <c r="I8" s="15">
        <v>46.4</v>
      </c>
      <c r="J8" s="15">
        <v>50.1</v>
      </c>
      <c r="K8" s="15"/>
      <c r="L8" s="15"/>
      <c r="M8" s="15"/>
      <c r="N8" s="15"/>
      <c r="O8" s="15"/>
    </row>
    <row r="9" spans="1:17" x14ac:dyDescent="0.2">
      <c r="A9" s="84" t="s">
        <v>1098</v>
      </c>
      <c r="B9" s="80"/>
      <c r="E9" s="80"/>
      <c r="F9" s="37" t="s">
        <v>1703</v>
      </c>
      <c r="G9" s="15">
        <v>75.2</v>
      </c>
      <c r="H9" s="15">
        <v>98.5</v>
      </c>
      <c r="I9" s="15">
        <v>90.3</v>
      </c>
      <c r="J9" s="15">
        <v>86.4</v>
      </c>
      <c r="K9" s="15"/>
      <c r="L9" s="15"/>
      <c r="M9" s="15"/>
      <c r="N9" s="15"/>
      <c r="O9" s="15"/>
    </row>
    <row r="10" spans="1:17" x14ac:dyDescent="0.2">
      <c r="A10" t="s">
        <v>1100</v>
      </c>
      <c r="B10" t="s">
        <v>1304</v>
      </c>
      <c r="E10" s="80"/>
      <c r="F10" s="37" t="s">
        <v>1704</v>
      </c>
      <c r="G10" s="15">
        <v>55.4</v>
      </c>
      <c r="H10" s="15">
        <v>73.099999999999994</v>
      </c>
      <c r="I10" s="15">
        <v>76.400000000000006</v>
      </c>
      <c r="J10" s="15">
        <v>60.2</v>
      </c>
    </row>
    <row r="11" spans="1:17" x14ac:dyDescent="0.2">
      <c r="A11" t="s">
        <v>1102</v>
      </c>
      <c r="B11" t="s">
        <v>1303</v>
      </c>
      <c r="E11" s="80"/>
      <c r="F11" s="37" t="s">
        <v>1705</v>
      </c>
      <c r="G11" s="15">
        <v>45.2</v>
      </c>
      <c r="H11" s="15">
        <v>52.5</v>
      </c>
      <c r="I11" s="15">
        <v>93.8</v>
      </c>
      <c r="J11" s="17">
        <v>58.2</v>
      </c>
      <c r="K11" s="17"/>
      <c r="L11" s="17"/>
      <c r="M11" s="17"/>
      <c r="N11" s="17"/>
    </row>
    <row r="12" spans="1:17" x14ac:dyDescent="0.2">
      <c r="A12" t="s">
        <v>1104</v>
      </c>
      <c r="E12" s="80"/>
      <c r="F12" s="57" t="s">
        <v>1706</v>
      </c>
      <c r="G12" s="17">
        <v>41.2</v>
      </c>
      <c r="H12" s="17">
        <v>44.8</v>
      </c>
      <c r="I12" s="15">
        <v>73.900000000000006</v>
      </c>
      <c r="J12" s="15">
        <v>48.8</v>
      </c>
      <c r="K12" s="15"/>
      <c r="L12" s="15"/>
    </row>
    <row r="13" spans="1:17" x14ac:dyDescent="0.2">
      <c r="A13" t="s">
        <v>1108</v>
      </c>
      <c r="B13" t="s">
        <v>1998</v>
      </c>
      <c r="E13" s="80"/>
      <c r="F13" s="37" t="s">
        <v>1707</v>
      </c>
      <c r="G13" s="15">
        <v>101.7</v>
      </c>
      <c r="H13" s="15">
        <v>104.8</v>
      </c>
      <c r="I13" s="15">
        <v>101</v>
      </c>
      <c r="J13" s="15">
        <v>109.8</v>
      </c>
    </row>
    <row r="14" spans="1:17" x14ac:dyDescent="0.2">
      <c r="A14" t="s">
        <v>1112</v>
      </c>
      <c r="B14" t="s">
        <v>1005</v>
      </c>
      <c r="E14" s="80"/>
      <c r="F14" s="37" t="s">
        <v>1288</v>
      </c>
      <c r="G14" s="15">
        <v>195.8</v>
      </c>
      <c r="H14" s="15">
        <v>146.80000000000001</v>
      </c>
      <c r="I14" s="15">
        <v>455.8</v>
      </c>
      <c r="J14" s="15">
        <v>223.6</v>
      </c>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1999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tbl-unintent-injury-mortal-zip</v>
      </c>
    </row>
    <row r="4" spans="1:17" x14ac:dyDescent="0.2">
      <c r="A4" s="16" t="s">
        <v>7</v>
      </c>
      <c r="B4" t="str">
        <f>IF($B$1="","",_xlfn.XLOOKUP($B$1,Master!$F$2:$F$321,Master!$H$2:$H$321,""))</f>
        <v>fig-unintent-injury-mortal-zip</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1294</v>
      </c>
      <c r="G5">
        <v>2020</v>
      </c>
      <c r="H5">
        <v>2021</v>
      </c>
      <c r="I5">
        <v>2022</v>
      </c>
      <c r="J5">
        <v>2023</v>
      </c>
    </row>
    <row r="6" spans="1:17" ht="15" customHeight="1" x14ac:dyDescent="0.2">
      <c r="A6" t="s">
        <v>1088</v>
      </c>
      <c r="B6" t="b">
        <v>0</v>
      </c>
      <c r="E6" s="80"/>
      <c r="F6">
        <v>10940</v>
      </c>
      <c r="G6" s="15">
        <v>64.7</v>
      </c>
      <c r="H6" s="15">
        <v>72.599999999999994</v>
      </c>
      <c r="I6" s="15">
        <v>73.3</v>
      </c>
      <c r="J6" s="15">
        <v>62.1</v>
      </c>
      <c r="K6" s="15"/>
      <c r="L6" s="15"/>
      <c r="M6" s="15"/>
      <c r="N6" s="15"/>
      <c r="O6" s="15"/>
    </row>
    <row r="7" spans="1:17" ht="15.75" customHeight="1" x14ac:dyDescent="0.2">
      <c r="E7" s="80"/>
      <c r="F7">
        <v>10950</v>
      </c>
      <c r="G7" s="15">
        <v>142</v>
      </c>
      <c r="H7" s="15">
        <v>117.9</v>
      </c>
      <c r="I7" s="15">
        <v>117.2</v>
      </c>
      <c r="J7" s="15">
        <v>108.4</v>
      </c>
      <c r="K7" s="15"/>
      <c r="L7" s="15"/>
      <c r="M7" s="15"/>
      <c r="N7" s="15"/>
      <c r="O7" s="15"/>
    </row>
    <row r="8" spans="1:17" x14ac:dyDescent="0.2">
      <c r="E8" s="80"/>
      <c r="F8">
        <v>12550</v>
      </c>
      <c r="G8" s="15">
        <v>112.5</v>
      </c>
      <c r="H8" s="15">
        <v>153</v>
      </c>
      <c r="I8" s="15">
        <v>222.6</v>
      </c>
      <c r="J8" s="15">
        <v>150.19999999999999</v>
      </c>
      <c r="K8" s="15"/>
      <c r="L8" s="15"/>
      <c r="M8" s="15"/>
      <c r="N8" s="15"/>
      <c r="O8" s="15"/>
    </row>
    <row r="9" spans="1:17" x14ac:dyDescent="0.2">
      <c r="A9" s="84" t="s">
        <v>1098</v>
      </c>
      <c r="B9" s="80"/>
      <c r="E9" s="80"/>
      <c r="F9">
        <v>12771</v>
      </c>
      <c r="G9" s="15">
        <v>48.6</v>
      </c>
      <c r="H9" s="15">
        <v>87.6</v>
      </c>
      <c r="I9" s="15">
        <v>76.099999999999994</v>
      </c>
      <c r="J9" s="15">
        <v>76.7</v>
      </c>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tbl-unintent-injury-mortal-sex-aar</v>
      </c>
    </row>
    <row r="4" spans="1:17" x14ac:dyDescent="0.2">
      <c r="A4" s="16" t="s">
        <v>7</v>
      </c>
      <c r="B4" t="str">
        <f>IF($B$1="","",_xlfn.XLOOKUP($B$1,Master!$F$2:$F$321,Master!$H$2:$H$321,""))</f>
        <v>fig-unintent-injury-mortal-sex-aar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69.599999999999994</v>
      </c>
      <c r="H6" s="15">
        <v>75.400000000000006</v>
      </c>
      <c r="I6" s="15">
        <v>88.3</v>
      </c>
      <c r="J6" s="15">
        <v>63.2</v>
      </c>
      <c r="K6" s="15"/>
      <c r="L6" s="15"/>
      <c r="M6" s="15"/>
      <c r="N6" s="15"/>
      <c r="O6" s="15"/>
    </row>
    <row r="7" spans="1:17" ht="15.75" customHeight="1" x14ac:dyDescent="0.2">
      <c r="E7" s="80"/>
      <c r="F7" t="s">
        <v>1306</v>
      </c>
      <c r="G7" s="15">
        <v>30.7</v>
      </c>
      <c r="H7" s="15">
        <v>32</v>
      </c>
      <c r="I7" s="15">
        <v>32.700000000000003</v>
      </c>
      <c r="J7" s="15">
        <v>32.5</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tbl-falls-65-rande</v>
      </c>
    </row>
    <row r="4" spans="1:17" x14ac:dyDescent="0.2">
      <c r="A4" s="16" t="s">
        <v>7</v>
      </c>
      <c r="B4" t="str">
        <f>IF($B$1="","",_xlfn.XLOOKUP($B$1,Master!$F$2:$F$321,Master!$H$2:$H$321,""))</f>
        <v>fig-falls-65-rande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212.8</v>
      </c>
      <c r="H6" s="15">
        <v>222.8</v>
      </c>
      <c r="I6" s="15">
        <v>112.7</v>
      </c>
      <c r="J6" s="15">
        <v>78.099999999999994</v>
      </c>
      <c r="K6" s="15">
        <v>106.8</v>
      </c>
      <c r="L6" s="15"/>
      <c r="M6" s="15"/>
      <c r="N6" s="15"/>
      <c r="O6" s="15"/>
    </row>
    <row r="7" spans="1:17" ht="15.75" customHeight="1" x14ac:dyDescent="0.2">
      <c r="E7" s="80"/>
      <c r="F7" t="s">
        <v>1298</v>
      </c>
      <c r="G7" s="15">
        <v>203.2</v>
      </c>
      <c r="H7" s="15">
        <v>202.9</v>
      </c>
      <c r="I7" s="15">
        <v>114.7</v>
      </c>
      <c r="J7" s="15">
        <v>76.400000000000006</v>
      </c>
      <c r="K7" s="15">
        <v>106.5</v>
      </c>
      <c r="L7" s="15"/>
      <c r="M7" s="15"/>
      <c r="N7" s="15"/>
      <c r="O7" s="15"/>
    </row>
    <row r="8" spans="1:17" x14ac:dyDescent="0.2">
      <c r="E8" s="80"/>
      <c r="F8" t="s">
        <v>1299</v>
      </c>
      <c r="G8" s="15">
        <v>188.7</v>
      </c>
      <c r="H8" s="15">
        <v>197.5</v>
      </c>
      <c r="I8" s="15">
        <v>103.7</v>
      </c>
      <c r="J8" s="15">
        <v>83.4</v>
      </c>
      <c r="K8" s="15">
        <v>120.5</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1722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tbl-self-inflict-injury-hospital-aar</v>
      </c>
    </row>
    <row r="4" spans="1:17" x14ac:dyDescent="0.2">
      <c r="A4" s="16" t="s">
        <v>7</v>
      </c>
      <c r="B4" t="str">
        <f>IF($B$1="","",_xlfn.XLOOKUP($B$1,Master!$F$2:$F$321,Master!$H$2:$H$321,""))</f>
        <v>fig-self-inflict-injury-hospital-aar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v>2017</v>
      </c>
      <c r="H5">
        <v>2018</v>
      </c>
      <c r="I5">
        <v>2019</v>
      </c>
      <c r="J5">
        <v>2020</v>
      </c>
      <c r="K5">
        <v>2021</v>
      </c>
    </row>
    <row r="6" spans="1:17" ht="15" customHeight="1" x14ac:dyDescent="0.2">
      <c r="A6" t="s">
        <v>1088</v>
      </c>
      <c r="B6" t="b">
        <v>0</v>
      </c>
      <c r="E6" s="80"/>
      <c r="F6" t="s">
        <v>1297</v>
      </c>
      <c r="G6" s="15">
        <v>5.8</v>
      </c>
      <c r="H6" s="15">
        <v>5.7</v>
      </c>
      <c r="I6" s="15">
        <v>5.5</v>
      </c>
      <c r="J6" s="15">
        <v>4.9000000000000004</v>
      </c>
      <c r="K6" s="15">
        <v>4.5</v>
      </c>
      <c r="L6" s="15"/>
      <c r="M6" s="15"/>
      <c r="N6" s="15"/>
      <c r="O6" s="15"/>
    </row>
    <row r="7" spans="1:17" ht="15.75" customHeight="1" x14ac:dyDescent="0.2">
      <c r="E7" s="80"/>
      <c r="F7" t="s">
        <v>1645</v>
      </c>
      <c r="G7" s="15">
        <v>4.0999999999999996</v>
      </c>
      <c r="H7" s="15">
        <v>4.7</v>
      </c>
      <c r="I7" s="15">
        <v>4.9000000000000004</v>
      </c>
      <c r="J7" s="15">
        <v>4.7</v>
      </c>
      <c r="K7" s="15">
        <v>4.3</v>
      </c>
      <c r="L7" s="15"/>
      <c r="M7" s="15"/>
      <c r="N7" s="15"/>
      <c r="O7" s="15"/>
    </row>
    <row r="8" spans="1:17" x14ac:dyDescent="0.2">
      <c r="E8" s="80"/>
      <c r="F8" t="s">
        <v>1298</v>
      </c>
      <c r="G8" s="15">
        <v>5.6</v>
      </c>
      <c r="H8" s="15">
        <v>6.1</v>
      </c>
      <c r="I8" s="15">
        <v>6.1</v>
      </c>
      <c r="J8" s="15">
        <v>5.6</v>
      </c>
      <c r="K8" s="15">
        <v>5.6</v>
      </c>
      <c r="L8" s="15"/>
      <c r="M8" s="15"/>
      <c r="N8" s="15"/>
      <c r="O8" s="15"/>
    </row>
    <row r="9" spans="1:17" x14ac:dyDescent="0.2">
      <c r="A9" s="84" t="s">
        <v>1098</v>
      </c>
      <c r="B9" s="80"/>
      <c r="E9" s="80"/>
      <c r="F9" t="s">
        <v>1299</v>
      </c>
      <c r="G9" s="15">
        <v>4.5999999999999996</v>
      </c>
      <c r="H9" s="15">
        <v>4.9000000000000004</v>
      </c>
      <c r="I9" s="15">
        <v>4.9000000000000004</v>
      </c>
      <c r="J9" s="15">
        <v>4.5</v>
      </c>
      <c r="K9" s="15">
        <v>4.7</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2001</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2002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election activeCell="O25" sqref="O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tbl-self-inflict-injury-hospital-15-19</v>
      </c>
    </row>
    <row r="4" spans="1:17" x14ac:dyDescent="0.2">
      <c r="A4" s="16" t="s">
        <v>7</v>
      </c>
      <c r="B4" t="str">
        <f>IF($B$1="","",_xlfn.XLOOKUP($B$1,Master!$F$2:$F$321,Master!$H$2:$H$321,""))</f>
        <v>fig-self-inflict-injury-hospital-15-19</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v>2017</v>
      </c>
      <c r="H5">
        <v>2018</v>
      </c>
      <c r="I5">
        <v>2019</v>
      </c>
      <c r="J5">
        <v>2020</v>
      </c>
      <c r="K5">
        <v>2021</v>
      </c>
    </row>
    <row r="6" spans="1:17" ht="15" customHeight="1" x14ac:dyDescent="0.2">
      <c r="A6" t="s">
        <v>1088</v>
      </c>
      <c r="B6" t="b">
        <v>0</v>
      </c>
      <c r="E6" s="80"/>
      <c r="F6" t="s">
        <v>1297</v>
      </c>
      <c r="G6" s="15">
        <v>8.1999999999999993</v>
      </c>
      <c r="H6" s="15">
        <v>8.3000000000000007</v>
      </c>
      <c r="I6" s="15">
        <v>8.6</v>
      </c>
      <c r="J6" s="15">
        <v>9.4</v>
      </c>
      <c r="K6" s="15">
        <v>10.199999999999999</v>
      </c>
      <c r="L6" s="15"/>
      <c r="M6" s="15"/>
      <c r="N6" s="15"/>
      <c r="O6" s="15"/>
    </row>
    <row r="7" spans="1:17" ht="15.75" customHeight="1" x14ac:dyDescent="0.2">
      <c r="E7" s="80"/>
      <c r="F7" t="s">
        <v>1645</v>
      </c>
      <c r="G7" s="15">
        <v>8.6</v>
      </c>
      <c r="H7" s="15">
        <v>8.9</v>
      </c>
      <c r="I7" s="15">
        <v>11</v>
      </c>
      <c r="J7" s="15">
        <v>10.5</v>
      </c>
      <c r="K7" s="15">
        <v>11.9</v>
      </c>
      <c r="L7" s="15"/>
      <c r="M7" s="15"/>
      <c r="N7" s="15"/>
      <c r="O7" s="15"/>
    </row>
    <row r="8" spans="1:17" x14ac:dyDescent="0.2">
      <c r="E8" s="80"/>
      <c r="F8" t="s">
        <v>1298</v>
      </c>
      <c r="G8" s="15">
        <v>12.8</v>
      </c>
      <c r="H8" s="15">
        <v>13.1</v>
      </c>
      <c r="I8" s="15">
        <v>12.9</v>
      </c>
      <c r="J8" s="15">
        <v>12.8</v>
      </c>
      <c r="K8" s="15">
        <v>13.7</v>
      </c>
      <c r="L8" s="15"/>
      <c r="M8" s="15"/>
      <c r="N8" s="15"/>
      <c r="O8" s="15"/>
    </row>
    <row r="9" spans="1:17" x14ac:dyDescent="0.2">
      <c r="A9" s="84" t="s">
        <v>1098</v>
      </c>
      <c r="B9" s="80"/>
      <c r="E9" s="80"/>
      <c r="F9" t="s">
        <v>1299</v>
      </c>
      <c r="G9" s="15">
        <v>11.1</v>
      </c>
      <c r="H9" s="15">
        <v>11.2</v>
      </c>
      <c r="I9" s="15">
        <v>10.9</v>
      </c>
      <c r="J9" s="15">
        <v>11</v>
      </c>
      <c r="K9" s="15">
        <v>12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2001</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tbl-suicide-mortal-aar</v>
      </c>
    </row>
    <row r="4" spans="1:17" x14ac:dyDescent="0.2">
      <c r="A4" s="16" t="s">
        <v>7</v>
      </c>
      <c r="B4" t="str">
        <f>IF($B$1="","",_xlfn.XLOOKUP($B$1,Master!$F$2:$F$321,Master!$H$2:$H$321,""))</f>
        <v>fig-suicide-mortal-aar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G5" s="15">
        <v>2017</v>
      </c>
      <c r="H5" s="15">
        <v>2018</v>
      </c>
      <c r="I5" s="15">
        <v>2019</v>
      </c>
      <c r="J5" s="15">
        <v>2020</v>
      </c>
      <c r="K5" s="15">
        <v>2021</v>
      </c>
    </row>
    <row r="6" spans="1:17" ht="15" customHeight="1" x14ac:dyDescent="0.2">
      <c r="A6" t="s">
        <v>1088</v>
      </c>
      <c r="B6" t="b">
        <v>0</v>
      </c>
      <c r="E6" s="80"/>
      <c r="F6" t="s">
        <v>1297</v>
      </c>
      <c r="G6" s="15">
        <v>8.1</v>
      </c>
      <c r="H6" s="15">
        <v>10.1</v>
      </c>
      <c r="I6" s="15">
        <v>10.1</v>
      </c>
      <c r="J6" s="15">
        <v>9.3000000000000007</v>
      </c>
      <c r="K6" s="15">
        <v>9.1</v>
      </c>
      <c r="L6" s="15"/>
      <c r="M6" s="15"/>
      <c r="N6" s="15"/>
      <c r="O6" s="15"/>
    </row>
    <row r="7" spans="1:17" ht="15.75" customHeight="1" x14ac:dyDescent="0.2">
      <c r="E7" s="80"/>
      <c r="F7" t="s">
        <v>1645</v>
      </c>
      <c r="G7" s="15">
        <v>8.5</v>
      </c>
      <c r="H7" s="15">
        <v>8.6999999999999993</v>
      </c>
      <c r="I7" s="15">
        <v>8.6</v>
      </c>
      <c r="J7" s="15">
        <v>8.3000000000000007</v>
      </c>
      <c r="K7" s="15">
        <v>8.6</v>
      </c>
      <c r="L7" s="15"/>
      <c r="M7" s="15"/>
      <c r="N7" s="15"/>
      <c r="O7" s="15"/>
    </row>
    <row r="8" spans="1:17" x14ac:dyDescent="0.2">
      <c r="E8" s="80"/>
      <c r="F8" t="s">
        <v>1298</v>
      </c>
      <c r="G8" s="15">
        <v>9.9</v>
      </c>
      <c r="H8" s="15">
        <v>9.9</v>
      </c>
      <c r="I8" s="15">
        <v>9.8000000000000007</v>
      </c>
      <c r="J8" s="15">
        <v>9.6999999999999993</v>
      </c>
      <c r="K8" s="15">
        <v>9.6999999999999993</v>
      </c>
      <c r="L8" s="15"/>
      <c r="M8" s="15"/>
      <c r="N8" s="15"/>
      <c r="O8" s="15"/>
    </row>
    <row r="9" spans="1:17" x14ac:dyDescent="0.2">
      <c r="A9" s="84" t="s">
        <v>1098</v>
      </c>
      <c r="B9" s="80"/>
      <c r="E9" s="80"/>
      <c r="F9" t="s">
        <v>1299</v>
      </c>
      <c r="G9" s="15">
        <v>8.1999999999999993</v>
      </c>
      <c r="H9" s="15">
        <v>8.1999999999999993</v>
      </c>
      <c r="I9" s="15">
        <v>8.1</v>
      </c>
      <c r="J9" s="15">
        <v>8</v>
      </c>
      <c r="K9" s="15">
        <v>8</v>
      </c>
      <c r="L9" s="15"/>
      <c r="M9" s="15"/>
      <c r="N9" s="15"/>
      <c r="O9" s="15"/>
    </row>
    <row r="10" spans="1:17" x14ac:dyDescent="0.2">
      <c r="A10" t="s">
        <v>1100</v>
      </c>
      <c r="B10" t="s">
        <v>1304</v>
      </c>
      <c r="E10" s="80"/>
      <c r="F10" t="s">
        <v>1883</v>
      </c>
      <c r="G10" s="15">
        <v>7</v>
      </c>
      <c r="H10" s="15">
        <v>7</v>
      </c>
      <c r="I10" s="15">
        <v>7</v>
      </c>
      <c r="J10" s="15">
        <v>7</v>
      </c>
      <c r="K10" s="15">
        <v>7</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2004</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2005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1077</v>
      </c>
      <c r="B1" s="79" t="s">
        <v>610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tbl-50to64-colorectal-screen</v>
      </c>
    </row>
    <row r="4" spans="1:17" x14ac:dyDescent="0.2">
      <c r="A4" s="16" t="s">
        <v>7</v>
      </c>
      <c r="B4" t="str">
        <f>IF($B$1="","",_xlfn.XLOOKUP($B$1,Master!$F$2:$F$321,Master!$H$2:$H$321,""))</f>
        <v>fig-50to64-colorectal-screen</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4" t="s">
        <v>1081</v>
      </c>
      <c r="B5" s="80"/>
      <c r="E5" s="83" t="s">
        <v>1082</v>
      </c>
      <c r="F5" t="s">
        <v>1303</v>
      </c>
      <c r="G5" t="s">
        <v>1741</v>
      </c>
      <c r="H5" t="s">
        <v>1297</v>
      </c>
      <c r="I5" t="s">
        <v>1742</v>
      </c>
      <c r="J5" t="s">
        <v>1743</v>
      </c>
      <c r="K5" t="s">
        <v>1744</v>
      </c>
      <c r="L5" t="s">
        <v>1745</v>
      </c>
      <c r="M5" t="s">
        <v>1746</v>
      </c>
      <c r="N5" t="s">
        <v>1645</v>
      </c>
      <c r="O5" t="s">
        <v>1298</v>
      </c>
      <c r="P5" t="s">
        <v>1299</v>
      </c>
      <c r="Q5" t="s">
        <v>2006</v>
      </c>
    </row>
    <row r="6" spans="1:17" ht="15" customHeight="1" x14ac:dyDescent="0.2">
      <c r="A6" t="s">
        <v>1088</v>
      </c>
      <c r="B6" t="b">
        <v>0</v>
      </c>
      <c r="E6" s="80"/>
      <c r="F6">
        <v>2016</v>
      </c>
      <c r="G6" s="15">
        <v>62.2</v>
      </c>
      <c r="H6" s="15">
        <v>68.8</v>
      </c>
      <c r="I6" s="15">
        <v>64.7</v>
      </c>
      <c r="J6" s="15">
        <v>61.9</v>
      </c>
      <c r="K6" s="15">
        <v>48.1</v>
      </c>
      <c r="L6" s="15">
        <v>60.2</v>
      </c>
      <c r="M6" s="15">
        <v>63.7</v>
      </c>
      <c r="N6" s="15">
        <v>63.3</v>
      </c>
      <c r="O6" s="15">
        <v>63.7</v>
      </c>
      <c r="P6">
        <v>63.1</v>
      </c>
      <c r="Q6">
        <v>66.3</v>
      </c>
    </row>
    <row r="7" spans="1:17" ht="15.75" customHeight="1" x14ac:dyDescent="0.2">
      <c r="E7" s="80"/>
      <c r="F7">
        <v>2018</v>
      </c>
      <c r="G7" s="15">
        <v>60.6</v>
      </c>
      <c r="H7" s="15">
        <v>61.7</v>
      </c>
      <c r="I7" s="15">
        <v>86.3</v>
      </c>
      <c r="J7" s="15">
        <v>62.3</v>
      </c>
      <c r="K7" s="15">
        <v>58.8</v>
      </c>
      <c r="L7" s="15">
        <v>68.8</v>
      </c>
      <c r="M7" s="15">
        <v>70</v>
      </c>
      <c r="N7" s="15">
        <v>64.099999999999994</v>
      </c>
      <c r="O7" s="15">
        <v>66.5</v>
      </c>
      <c r="P7">
        <v>65.400000000000006</v>
      </c>
      <c r="Q7">
        <v>66.3</v>
      </c>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2007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2008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tbl-21to64-women-cervical-ca-screen</v>
      </c>
    </row>
    <row r="4" spans="1:17" x14ac:dyDescent="0.2">
      <c r="A4" s="16" t="s">
        <v>7</v>
      </c>
      <c r="B4" t="str">
        <f>IF($B$1="","",_xlfn.XLOOKUP($B$1,Master!$F$2:$F$321,Master!$H$2:$H$321,""))</f>
        <v>fig-21to64-women-cervical-ca-screen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4" t="s">
        <v>1081</v>
      </c>
      <c r="B5" s="80"/>
      <c r="E5" s="83" t="s">
        <v>1082</v>
      </c>
      <c r="F5" t="s">
        <v>1303</v>
      </c>
      <c r="G5" t="s">
        <v>1741</v>
      </c>
      <c r="H5" t="s">
        <v>1297</v>
      </c>
      <c r="I5" t="s">
        <v>1742</v>
      </c>
      <c r="J5" t="s">
        <v>1743</v>
      </c>
      <c r="K5" t="s">
        <v>1744</v>
      </c>
      <c r="L5" t="s">
        <v>1745</v>
      </c>
      <c r="M5" t="s">
        <v>1746</v>
      </c>
      <c r="N5" t="s">
        <v>1645</v>
      </c>
      <c r="O5" t="s">
        <v>1299</v>
      </c>
    </row>
    <row r="6" spans="1:17" ht="15" customHeight="1" x14ac:dyDescent="0.2">
      <c r="A6" t="s">
        <v>1088</v>
      </c>
      <c r="B6" t="b">
        <v>0</v>
      </c>
      <c r="E6" s="80"/>
      <c r="F6">
        <v>2018</v>
      </c>
      <c r="G6" s="15">
        <v>90.6</v>
      </c>
      <c r="H6" s="15">
        <v>88.8</v>
      </c>
      <c r="I6" s="15">
        <v>96.2</v>
      </c>
      <c r="J6" s="15">
        <v>80.599999999999994</v>
      </c>
      <c r="K6" s="15">
        <v>81.7</v>
      </c>
      <c r="L6" s="15">
        <v>86.1</v>
      </c>
      <c r="M6" s="15">
        <v>87.8</v>
      </c>
      <c r="N6" s="15">
        <v>86.5</v>
      </c>
      <c r="O6" s="15">
        <v>84.7</v>
      </c>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2009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tbl-50to74-women-breast-ca-screen</v>
      </c>
    </row>
    <row r="4" spans="1:17" x14ac:dyDescent="0.2">
      <c r="A4" s="16" t="s">
        <v>7</v>
      </c>
      <c r="B4" t="str">
        <f>IF($B$1="","",_xlfn.XLOOKUP($B$1,Master!$F$2:$F$321,Master!$H$2:$H$321,""))</f>
        <v>fig-50to74-women-breast-ca-screen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4" t="s">
        <v>1081</v>
      </c>
      <c r="B5" s="80"/>
      <c r="E5" s="83"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83.7</v>
      </c>
      <c r="H6" s="15">
        <v>76.8</v>
      </c>
      <c r="I6" s="15">
        <v>77.7</v>
      </c>
      <c r="J6" s="15">
        <v>81.7</v>
      </c>
      <c r="K6" s="15">
        <v>68.599999999999994</v>
      </c>
      <c r="L6" s="15">
        <v>66</v>
      </c>
      <c r="M6" s="15">
        <v>84.5</v>
      </c>
      <c r="N6" s="15">
        <v>80.400000000000006</v>
      </c>
      <c r="O6" s="15">
        <v>80.900000000000006</v>
      </c>
    </row>
    <row r="7" spans="1:17" ht="15.75" customHeight="1" x14ac:dyDescent="0.2">
      <c r="E7" s="80"/>
      <c r="F7">
        <v>2016</v>
      </c>
      <c r="G7" s="15">
        <v>87.2</v>
      </c>
      <c r="H7" s="15">
        <v>74.5</v>
      </c>
      <c r="I7" s="15">
        <v>69.5</v>
      </c>
      <c r="J7" s="15">
        <v>72</v>
      </c>
      <c r="K7" s="15">
        <v>64</v>
      </c>
      <c r="L7" s="15">
        <v>72.3</v>
      </c>
      <c r="M7" s="15">
        <v>84.8</v>
      </c>
      <c r="N7" s="15">
        <v>79.2</v>
      </c>
      <c r="O7" s="15">
        <v>79.7</v>
      </c>
    </row>
    <row r="8" spans="1:17" x14ac:dyDescent="0.2">
      <c r="E8" s="80"/>
      <c r="F8">
        <v>2018</v>
      </c>
      <c r="G8" s="15">
        <v>78</v>
      </c>
      <c r="H8" s="15">
        <v>78.8</v>
      </c>
      <c r="I8" s="15">
        <v>80.2</v>
      </c>
      <c r="J8" s="15">
        <v>69.8</v>
      </c>
      <c r="K8" s="15">
        <v>66.099999999999994</v>
      </c>
      <c r="L8" s="15">
        <v>73.3</v>
      </c>
      <c r="M8" s="15">
        <v>79.3</v>
      </c>
      <c r="N8" s="15">
        <v>80.900000000000006</v>
      </c>
      <c r="O8" s="15">
        <v>82.1</v>
      </c>
    </row>
    <row r="9" spans="1:17" x14ac:dyDescent="0.2">
      <c r="A9" s="84" t="s">
        <v>1098</v>
      </c>
      <c r="B9" s="80"/>
      <c r="E9" s="80"/>
      <c r="F9">
        <v>2021</v>
      </c>
      <c r="G9" s="15">
        <v>88.5</v>
      </c>
      <c r="H9" s="15">
        <v>73.3</v>
      </c>
      <c r="I9" s="15">
        <v>80.2</v>
      </c>
      <c r="J9" s="15">
        <v>72.7</v>
      </c>
      <c r="K9" s="15">
        <v>52.2</v>
      </c>
      <c r="L9" s="15">
        <v>77.099999999999994</v>
      </c>
      <c r="M9" s="15">
        <v>77.3</v>
      </c>
      <c r="N9" s="15">
        <v>78.8</v>
      </c>
      <c r="O9" s="15">
        <v>78.2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1748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tbl-adults-asthma</v>
      </c>
    </row>
    <row r="4" spans="1:17" x14ac:dyDescent="0.2">
      <c r="A4" s="16" t="s">
        <v>7</v>
      </c>
      <c r="B4" t="str">
        <f>IF($B$1="","",_xlfn.XLOOKUP($B$1,Master!$F$2:$F$321,Master!$H$2:$H$321,""))</f>
        <v>fig-adults-asthma</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80"/>
      <c r="F7">
        <v>2018</v>
      </c>
      <c r="G7" s="15">
        <v>9.9</v>
      </c>
      <c r="H7" s="15">
        <v>8.9</v>
      </c>
      <c r="I7" s="15">
        <v>8.9</v>
      </c>
      <c r="J7" s="15">
        <v>7.3</v>
      </c>
      <c r="K7" s="15">
        <v>12.7</v>
      </c>
      <c r="L7" s="15">
        <v>12.3</v>
      </c>
      <c r="M7" s="15">
        <v>11.5</v>
      </c>
      <c r="N7" s="15">
        <v>9.6999999999999993</v>
      </c>
      <c r="O7" s="15">
        <v>10.8</v>
      </c>
      <c r="P7">
        <v>10.1</v>
      </c>
    </row>
    <row r="8" spans="1:17" x14ac:dyDescent="0.2">
      <c r="E8" s="80"/>
      <c r="F8">
        <v>2021</v>
      </c>
      <c r="G8" s="15">
        <v>11.3</v>
      </c>
      <c r="H8" s="15">
        <v>9.6</v>
      </c>
      <c r="I8" s="15">
        <v>10.1</v>
      </c>
      <c r="J8" s="15">
        <v>7.4</v>
      </c>
      <c r="K8" s="15">
        <v>12.3</v>
      </c>
      <c r="L8" s="15">
        <v>11.8</v>
      </c>
      <c r="M8" s="15">
        <v>7.9</v>
      </c>
      <c r="N8" s="15">
        <v>8.9</v>
      </c>
      <c r="O8" s="15">
        <v>10.8</v>
      </c>
      <c r="P8">
        <v>10.1</v>
      </c>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2012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2013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tbl-md-dx-dm-predm</v>
      </c>
    </row>
    <row r="4" spans="1:17" x14ac:dyDescent="0.2">
      <c r="A4" s="16" t="s">
        <v>7</v>
      </c>
      <c r="B4" t="str">
        <f>IF($B$1="","",_xlfn.XLOOKUP($B$1,Master!$F$2:$F$321,Master!$H$2:$H$321,""))</f>
        <v>fig-md-dx-dm-predm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2014</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2015</v>
      </c>
      <c r="G6" s="15">
        <v>12.7</v>
      </c>
      <c r="H6" s="15">
        <v>12.4</v>
      </c>
      <c r="I6" s="15">
        <v>6.7</v>
      </c>
      <c r="J6" s="15">
        <v>12.6</v>
      </c>
      <c r="K6" s="15">
        <v>13.3</v>
      </c>
      <c r="L6" s="15">
        <v>6</v>
      </c>
      <c r="M6" s="15">
        <v>10.7</v>
      </c>
      <c r="N6" s="15">
        <v>10.6</v>
      </c>
      <c r="O6" s="15">
        <v>10.1</v>
      </c>
      <c r="P6">
        <v>11.4</v>
      </c>
    </row>
    <row r="7" spans="1:17" ht="15.75" customHeight="1" x14ac:dyDescent="0.2">
      <c r="E7" s="80"/>
      <c r="F7" t="s">
        <v>1331</v>
      </c>
      <c r="G7" s="15">
        <v>9.1</v>
      </c>
      <c r="H7" s="15">
        <v>7.3</v>
      </c>
      <c r="I7" s="15">
        <v>4.7</v>
      </c>
      <c r="J7" s="15">
        <v>9.4</v>
      </c>
      <c r="K7" s="15">
        <v>7.9</v>
      </c>
      <c r="L7" s="15">
        <v>11.4</v>
      </c>
      <c r="M7" s="15">
        <v>8.6</v>
      </c>
      <c r="N7" s="15">
        <v>9</v>
      </c>
      <c r="O7" s="15">
        <v>9.4</v>
      </c>
      <c r="P7">
        <v>10.199999999999999</v>
      </c>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2014</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1748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tbl-test-high-bs-dm</v>
      </c>
    </row>
    <row r="4" spans="1:17" x14ac:dyDescent="0.2">
      <c r="A4" s="16" t="s">
        <v>7</v>
      </c>
      <c r="B4" t="str">
        <f>IF($B$1="","",_xlfn.XLOOKUP($B$1,Master!$F$2:$F$321,Master!$H$2:$H$321,""))</f>
        <v>fig-test-high-bs-dm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2017</v>
      </c>
      <c r="G6" s="15">
        <v>56.4</v>
      </c>
      <c r="H6" s="15">
        <v>57.7</v>
      </c>
      <c r="I6" s="15">
        <v>59.3</v>
      </c>
      <c r="J6" s="15">
        <v>59.5</v>
      </c>
      <c r="K6" s="15">
        <v>55.5</v>
      </c>
      <c r="L6" s="15">
        <v>51.8</v>
      </c>
      <c r="M6" s="15">
        <v>57.8</v>
      </c>
      <c r="N6" s="15">
        <v>57.4</v>
      </c>
      <c r="O6" s="15">
        <v>57.2</v>
      </c>
      <c r="P6">
        <v>59.1</v>
      </c>
    </row>
    <row r="7" spans="1:17" ht="15.75" customHeight="1" x14ac:dyDescent="0.2">
      <c r="E7" s="80"/>
      <c r="F7">
        <v>2016</v>
      </c>
      <c r="G7" s="15">
        <v>60.8</v>
      </c>
      <c r="H7" s="15">
        <v>59.5</v>
      </c>
      <c r="I7" s="15">
        <v>55.9</v>
      </c>
      <c r="J7" s="15">
        <v>57.9</v>
      </c>
      <c r="K7" s="15">
        <v>61.8</v>
      </c>
      <c r="L7" s="15">
        <v>55.3</v>
      </c>
      <c r="M7" s="15">
        <v>55.2</v>
      </c>
      <c r="N7" s="15">
        <v>57.4</v>
      </c>
      <c r="O7" s="15">
        <v>56.8</v>
      </c>
      <c r="P7">
        <v>57.9</v>
      </c>
    </row>
    <row r="8" spans="1:17" x14ac:dyDescent="0.2">
      <c r="E8" s="80"/>
      <c r="F8">
        <v>2018</v>
      </c>
      <c r="G8" s="15">
        <v>48.1</v>
      </c>
      <c r="H8" s="15">
        <v>50.7</v>
      </c>
      <c r="I8" s="15">
        <v>50</v>
      </c>
      <c r="J8" s="15">
        <v>53.2</v>
      </c>
      <c r="K8" s="15">
        <v>55.6</v>
      </c>
      <c r="L8" s="15">
        <v>45.4</v>
      </c>
      <c r="M8" s="15">
        <v>51.1</v>
      </c>
      <c r="N8" s="15">
        <v>50.2</v>
      </c>
      <c r="O8" s="15">
        <v>48</v>
      </c>
      <c r="P8">
        <v>51</v>
      </c>
    </row>
    <row r="9" spans="1:17" x14ac:dyDescent="0.2">
      <c r="A9" s="84" t="s">
        <v>1098</v>
      </c>
      <c r="B9" s="80"/>
      <c r="E9" s="80"/>
      <c r="F9">
        <v>2021</v>
      </c>
      <c r="G9" s="15">
        <v>47.7</v>
      </c>
      <c r="H9" s="15">
        <v>55.3</v>
      </c>
      <c r="I9" s="15">
        <v>57.7</v>
      </c>
      <c r="J9" s="15">
        <v>45.4</v>
      </c>
      <c r="K9" s="15">
        <v>53.9</v>
      </c>
      <c r="L9" s="15">
        <v>47</v>
      </c>
      <c r="M9" s="15">
        <v>51.3</v>
      </c>
      <c r="N9" s="15">
        <v>49.7</v>
      </c>
      <c r="O9" s="15">
        <v>49.2</v>
      </c>
      <c r="P9">
        <v>50.2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1748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2018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tbl-excerpt</v>
      </c>
    </row>
    <row r="4" spans="1:17" x14ac:dyDescent="0.2">
      <c r="A4" s="16" t="s">
        <v>7</v>
      </c>
      <c r="B4" t="str">
        <f>IF($B$1="","",_xlfn.XLOOKUP($B$1,Master!$F$2:$F$321,Master!$H$2:$H$321,""))</f>
        <v>fig-excerpt</v>
      </c>
      <c r="E4" s="8"/>
      <c r="F4" s="10" t="s">
        <v>1009</v>
      </c>
      <c r="G4" s="10" t="s">
        <v>1009</v>
      </c>
      <c r="H4" s="10" t="s">
        <v>1009</v>
      </c>
      <c r="I4" s="10" t="s">
        <v>1009</v>
      </c>
      <c r="J4" s="10"/>
      <c r="K4" s="10"/>
      <c r="L4" s="10"/>
      <c r="M4" s="10"/>
      <c r="N4" s="10"/>
      <c r="O4" s="10"/>
      <c r="P4" s="10"/>
      <c r="Q4" s="10"/>
    </row>
    <row r="5" spans="1:17" x14ac:dyDescent="0.2">
      <c r="A5" s="84" t="s">
        <v>1081</v>
      </c>
      <c r="B5" s="80"/>
      <c r="E5" s="83" t="s">
        <v>1082</v>
      </c>
      <c r="F5" s="16" t="s">
        <v>2019</v>
      </c>
      <c r="G5" s="16" t="s">
        <v>2020</v>
      </c>
      <c r="H5" s="16" t="s">
        <v>2021</v>
      </c>
      <c r="I5" s="16" t="s">
        <v>2022</v>
      </c>
    </row>
    <row r="6" spans="1:17" ht="15" customHeight="1" x14ac:dyDescent="0.2">
      <c r="A6" t="s">
        <v>1088</v>
      </c>
      <c r="B6" t="b">
        <v>0</v>
      </c>
      <c r="E6" s="80"/>
      <c r="F6" s="16" t="s">
        <v>2023</v>
      </c>
      <c r="G6" s="15" t="s">
        <v>2024</v>
      </c>
      <c r="H6" s="15" t="s">
        <v>2025</v>
      </c>
      <c r="I6" s="15" t="s">
        <v>2026</v>
      </c>
      <c r="J6" s="15"/>
      <c r="K6" s="15"/>
      <c r="L6" s="15"/>
      <c r="M6" s="15"/>
      <c r="N6" s="15"/>
      <c r="O6" s="15"/>
    </row>
    <row r="7" spans="1:17" ht="15.75" customHeight="1" x14ac:dyDescent="0.2">
      <c r="E7" s="80"/>
      <c r="F7" s="16" t="s">
        <v>2027</v>
      </c>
      <c r="G7" s="15" t="s">
        <v>2028</v>
      </c>
      <c r="H7" s="15" t="s">
        <v>2029</v>
      </c>
      <c r="I7" s="15" t="s">
        <v>2024</v>
      </c>
      <c r="J7" s="15"/>
      <c r="K7" s="15"/>
      <c r="L7" s="15"/>
      <c r="M7" s="15"/>
      <c r="N7" s="15"/>
      <c r="O7" s="15"/>
    </row>
    <row r="8" spans="1:17" x14ac:dyDescent="0.2">
      <c r="E8" s="80"/>
      <c r="F8" s="16" t="s">
        <v>2030</v>
      </c>
      <c r="G8" s="15" t="s">
        <v>2031</v>
      </c>
      <c r="H8" s="15" t="s">
        <v>2032</v>
      </c>
      <c r="I8" s="15" t="s">
        <v>2033</v>
      </c>
      <c r="J8" s="15"/>
      <c r="K8" s="15"/>
      <c r="L8" s="15"/>
      <c r="M8" s="15"/>
      <c r="N8" s="15"/>
      <c r="O8" s="15"/>
    </row>
    <row r="9" spans="1:17" x14ac:dyDescent="0.2">
      <c r="A9" s="84" t="s">
        <v>1098</v>
      </c>
      <c r="B9" s="80"/>
      <c r="E9" s="80"/>
      <c r="F9" s="16" t="s">
        <v>2034</v>
      </c>
      <c r="G9" s="15" t="s">
        <v>2035</v>
      </c>
      <c r="H9" s="15" t="s">
        <v>2036</v>
      </c>
      <c r="I9" s="15" t="s">
        <v>2037</v>
      </c>
      <c r="J9" s="15"/>
      <c r="K9" s="15"/>
      <c r="L9" s="15"/>
      <c r="M9" s="15"/>
      <c r="N9" s="15"/>
      <c r="O9" s="15"/>
    </row>
    <row r="10" spans="1:17" x14ac:dyDescent="0.2">
      <c r="A10" t="s">
        <v>1100</v>
      </c>
      <c r="E10" s="80"/>
      <c r="F10" s="16" t="s">
        <v>2038</v>
      </c>
      <c r="G10" s="15" t="s">
        <v>2031</v>
      </c>
      <c r="H10" t="s">
        <v>2039</v>
      </c>
      <c r="I10" t="s">
        <v>2040</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B19" t="s">
        <v>2041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1077</v>
      </c>
      <c r="B1" s="79" t="s">
        <v>631</v>
      </c>
      <c r="C1" s="80"/>
      <c r="D1" s="80"/>
      <c r="E1" s="80"/>
      <c r="F1" s="80"/>
      <c r="G1" s="80"/>
      <c r="H1" s="80"/>
      <c r="I1" s="80"/>
      <c r="J1" s="80"/>
      <c r="K1" s="80"/>
      <c r="L1" s="80"/>
      <c r="M1" s="80"/>
      <c r="N1" s="80"/>
    </row>
    <row r="2" spans="1:16" x14ac:dyDescent="0.2">
      <c r="A2" s="16" t="s">
        <v>1078</v>
      </c>
      <c r="B2" t="s">
        <v>1079</v>
      </c>
    </row>
    <row r="3" spans="1:16" x14ac:dyDescent="0.2">
      <c r="A3" s="16" t="s">
        <v>1080</v>
      </c>
      <c r="B3" t="str">
        <f>IF($B$1="","",_xlfn.XLOOKUP($B$1,Master!$F$2:$F$321,Master!$G$2:$G$321,""))</f>
        <v>tbl-themes-focus-group</v>
      </c>
    </row>
    <row r="4" spans="1:16" x14ac:dyDescent="0.2">
      <c r="A4" s="16" t="s">
        <v>7</v>
      </c>
      <c r="B4" t="str">
        <f>IF($B$1="","",_xlfn.XLOOKUP($B$1,Master!$F$2:$F$321,Master!$H$2:$H$321,""))</f>
        <v>fig-themes-focus-group</v>
      </c>
      <c r="E4" s="8"/>
      <c r="F4" s="10" t="s">
        <v>1009</v>
      </c>
      <c r="G4" s="10" t="s">
        <v>1009</v>
      </c>
      <c r="H4" s="10" t="s">
        <v>1009</v>
      </c>
      <c r="I4" s="10" t="s">
        <v>1009</v>
      </c>
      <c r="J4" s="10" t="s">
        <v>1009</v>
      </c>
      <c r="K4" s="10" t="s">
        <v>1009</v>
      </c>
      <c r="L4" s="10"/>
      <c r="M4" s="10"/>
      <c r="N4" s="10"/>
      <c r="O4" s="10"/>
      <c r="P4" s="10"/>
    </row>
    <row r="5" spans="1:16" x14ac:dyDescent="0.2">
      <c r="A5" s="84" t="s">
        <v>1081</v>
      </c>
      <c r="B5" s="80"/>
      <c r="E5" s="83" t="s">
        <v>1082</v>
      </c>
      <c r="F5" s="16" t="s">
        <v>2042</v>
      </c>
      <c r="G5" s="16" t="s">
        <v>2043</v>
      </c>
      <c r="H5" s="16" t="s">
        <v>2044</v>
      </c>
      <c r="I5" s="16" t="s">
        <v>2045</v>
      </c>
      <c r="J5" s="16" t="s">
        <v>2046</v>
      </c>
      <c r="K5" s="16" t="s">
        <v>2047</v>
      </c>
    </row>
    <row r="6" spans="1:16" ht="15" customHeight="1" x14ac:dyDescent="0.2">
      <c r="A6" t="s">
        <v>1088</v>
      </c>
      <c r="B6" t="b">
        <v>0</v>
      </c>
      <c r="E6" s="80"/>
      <c r="F6" s="16" t="s">
        <v>2048</v>
      </c>
      <c r="G6" s="15" t="s">
        <v>2049</v>
      </c>
      <c r="H6" s="15" t="s">
        <v>2049</v>
      </c>
      <c r="I6" s="15" t="s">
        <v>2049</v>
      </c>
      <c r="J6" s="15" t="s">
        <v>2049</v>
      </c>
      <c r="K6" s="15" t="s">
        <v>2050</v>
      </c>
      <c r="L6" s="15"/>
      <c r="M6" s="15"/>
      <c r="N6" s="15"/>
    </row>
    <row r="7" spans="1:16" ht="15.75" customHeight="1" x14ac:dyDescent="0.2">
      <c r="E7" s="80"/>
      <c r="F7" s="16" t="s">
        <v>2051</v>
      </c>
      <c r="G7" s="15" t="s">
        <v>2049</v>
      </c>
      <c r="H7" s="15" t="s">
        <v>2049</v>
      </c>
      <c r="I7" s="15" t="s">
        <v>2052</v>
      </c>
      <c r="J7" s="15" t="s">
        <v>2049</v>
      </c>
      <c r="K7" s="15" t="s">
        <v>2053</v>
      </c>
      <c r="L7" s="15"/>
      <c r="M7" s="15"/>
      <c r="N7" s="15"/>
    </row>
    <row r="8" spans="1:16" x14ac:dyDescent="0.2">
      <c r="E8" s="80"/>
      <c r="F8" s="16" t="s">
        <v>2035</v>
      </c>
      <c r="G8" s="15" t="s">
        <v>2049</v>
      </c>
      <c r="H8" s="15" t="s">
        <v>2049</v>
      </c>
      <c r="I8" s="15" t="s">
        <v>2049</v>
      </c>
      <c r="J8" s="15" t="s">
        <v>2049</v>
      </c>
      <c r="K8" s="15" t="s">
        <v>2054</v>
      </c>
      <c r="L8" s="15"/>
      <c r="M8" s="15"/>
      <c r="N8" s="15"/>
    </row>
    <row r="9" spans="1:16" x14ac:dyDescent="0.2">
      <c r="A9" s="84" t="s">
        <v>1098</v>
      </c>
      <c r="B9" s="80"/>
      <c r="E9" s="80"/>
      <c r="F9" s="16" t="s">
        <v>2055</v>
      </c>
      <c r="G9" s="15" t="s">
        <v>2049</v>
      </c>
      <c r="H9" s="15" t="s">
        <v>2049</v>
      </c>
      <c r="I9" s="15" t="s">
        <v>2049</v>
      </c>
      <c r="J9" s="15" t="s">
        <v>2049</v>
      </c>
      <c r="K9" s="15" t="s">
        <v>2056</v>
      </c>
      <c r="L9" s="15"/>
      <c r="M9" s="15"/>
      <c r="N9" s="15"/>
    </row>
    <row r="10" spans="1:16" x14ac:dyDescent="0.2">
      <c r="A10" t="s">
        <v>1100</v>
      </c>
      <c r="E10" s="80"/>
      <c r="F10" s="16" t="s">
        <v>2057</v>
      </c>
      <c r="G10" s="15" t="s">
        <v>2049</v>
      </c>
      <c r="H10" s="15" t="s">
        <v>2049</v>
      </c>
      <c r="I10" s="15" t="s">
        <v>2049</v>
      </c>
      <c r="J10" s="15" t="s">
        <v>2049</v>
      </c>
      <c r="K10" t="s">
        <v>2058</v>
      </c>
    </row>
    <row r="11" spans="1:16" x14ac:dyDescent="0.2">
      <c r="A11" t="s">
        <v>1102</v>
      </c>
      <c r="E11" s="80"/>
      <c r="F11" s="16" t="s">
        <v>2059</v>
      </c>
      <c r="G11" s="15" t="s">
        <v>2049</v>
      </c>
      <c r="H11" s="15" t="s">
        <v>2049</v>
      </c>
      <c r="I11" s="15" t="s">
        <v>2049</v>
      </c>
      <c r="J11" s="17" t="s">
        <v>2049</v>
      </c>
      <c r="K11" s="17" t="s">
        <v>2060</v>
      </c>
      <c r="L11" s="17"/>
      <c r="M11" s="17"/>
    </row>
    <row r="12" spans="1:16" x14ac:dyDescent="0.2">
      <c r="A12" t="s">
        <v>1104</v>
      </c>
      <c r="E12" s="80"/>
      <c r="F12" s="21"/>
      <c r="G12" s="17"/>
      <c r="H12" s="17"/>
      <c r="I12" s="15"/>
      <c r="J12" s="15"/>
      <c r="K12" s="15"/>
    </row>
    <row r="13" spans="1:16" x14ac:dyDescent="0.2">
      <c r="A13" t="s">
        <v>1108</v>
      </c>
      <c r="E13" s="80"/>
    </row>
    <row r="14" spans="1:16" x14ac:dyDescent="0.2">
      <c r="A14" t="s">
        <v>1112</v>
      </c>
      <c r="E14" s="80"/>
    </row>
    <row r="15" spans="1:16" x14ac:dyDescent="0.2">
      <c r="A15" t="s">
        <v>1114</v>
      </c>
      <c r="E15" s="80"/>
    </row>
    <row r="16" spans="1:16" x14ac:dyDescent="0.2">
      <c r="A16" t="s">
        <v>1116</v>
      </c>
      <c r="E16" s="80"/>
    </row>
    <row r="17" spans="1:8" x14ac:dyDescent="0.2">
      <c r="E17" s="80"/>
    </row>
    <row r="18" spans="1:8" x14ac:dyDescent="0.2">
      <c r="A18" s="84" t="s">
        <v>1119</v>
      </c>
      <c r="B18" s="80"/>
      <c r="E18" s="80"/>
    </row>
    <row r="19" spans="1:8" x14ac:dyDescent="0.2">
      <c r="A19" t="s">
        <v>1121</v>
      </c>
      <c r="E19" s="80"/>
    </row>
    <row r="20" spans="1:8" x14ac:dyDescent="0.2">
      <c r="E20" s="80"/>
      <c r="F20" s="15"/>
      <c r="G20" s="15"/>
      <c r="H20" s="15"/>
    </row>
    <row r="21" spans="1:8" x14ac:dyDescent="0.2">
      <c r="A21" s="82" t="s">
        <v>1125</v>
      </c>
      <c r="B21" s="80"/>
      <c r="E21" s="80"/>
      <c r="F21" s="15"/>
      <c r="G21" s="15"/>
      <c r="H21" s="15"/>
    </row>
    <row r="22" spans="1:8" x14ac:dyDescent="0.2">
      <c r="A22" t="s">
        <v>1135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election activeCell="I34" sqref="I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tbl-zip-code</v>
      </c>
    </row>
    <row r="4" spans="1:17" x14ac:dyDescent="0.2">
      <c r="A4" s="16" t="s">
        <v>7</v>
      </c>
      <c r="B4" t="str">
        <f>IF($B$1="","",_xlfn.XLOOKUP($B$1,Master!$F$2:$F$321,Master!$H$2:$H$321,""))</f>
        <v>fig-zip-code</v>
      </c>
      <c r="E4" s="8"/>
      <c r="F4" s="10" t="s">
        <v>1009</v>
      </c>
      <c r="G4" s="10" t="s">
        <v>968</v>
      </c>
      <c r="H4" s="10" t="s">
        <v>968</v>
      </c>
      <c r="I4" s="10" t="s">
        <v>979</v>
      </c>
      <c r="J4" s="10" t="s">
        <v>979</v>
      </c>
      <c r="K4" s="10"/>
      <c r="L4" s="10"/>
      <c r="M4" s="10"/>
      <c r="N4" s="10"/>
      <c r="O4" s="10"/>
      <c r="P4" s="10"/>
      <c r="Q4" s="10"/>
    </row>
    <row r="5" spans="1:17" x14ac:dyDescent="0.2">
      <c r="A5" s="84" t="s">
        <v>1081</v>
      </c>
      <c r="B5" s="80"/>
      <c r="E5" s="83" t="s">
        <v>1082</v>
      </c>
      <c r="F5" s="15" t="s">
        <v>1294</v>
      </c>
      <c r="G5" s="15" t="s">
        <v>2061</v>
      </c>
      <c r="H5" s="15" t="s">
        <v>2062</v>
      </c>
      <c r="I5" s="15" t="s">
        <v>2063</v>
      </c>
      <c r="J5" s="15" t="s">
        <v>2064</v>
      </c>
    </row>
    <row r="6" spans="1:17" ht="15" customHeight="1" x14ac:dyDescent="0.2">
      <c r="A6" t="s">
        <v>1088</v>
      </c>
      <c r="B6" t="b">
        <v>0</v>
      </c>
      <c r="E6" s="80"/>
      <c r="F6" s="15">
        <v>12550</v>
      </c>
      <c r="G6" s="15">
        <v>132</v>
      </c>
      <c r="H6" s="15">
        <v>54996</v>
      </c>
      <c r="I6" s="15">
        <v>13.6</v>
      </c>
      <c r="J6" s="15">
        <v>15.9</v>
      </c>
      <c r="K6" s="15"/>
      <c r="L6" s="15"/>
      <c r="M6" s="15"/>
      <c r="N6" s="15"/>
      <c r="O6" s="15"/>
    </row>
    <row r="7" spans="1:17" ht="15.75" customHeight="1" x14ac:dyDescent="0.2">
      <c r="E7" s="80"/>
      <c r="F7" s="15">
        <v>10940</v>
      </c>
      <c r="G7" s="15">
        <v>101</v>
      </c>
      <c r="H7" s="15">
        <v>53099</v>
      </c>
      <c r="I7" s="15">
        <v>13.1</v>
      </c>
      <c r="J7" s="15">
        <v>12.2</v>
      </c>
      <c r="K7" s="15"/>
      <c r="L7" s="15"/>
      <c r="M7" s="15"/>
      <c r="N7" s="15"/>
      <c r="O7" s="15"/>
    </row>
    <row r="8" spans="1:17" x14ac:dyDescent="0.2">
      <c r="E8" s="80"/>
      <c r="F8" s="15">
        <v>12553</v>
      </c>
      <c r="G8" s="15">
        <v>66</v>
      </c>
      <c r="H8" s="15">
        <v>27300</v>
      </c>
      <c r="I8" s="15">
        <v>6.8</v>
      </c>
      <c r="J8" s="15">
        <v>8</v>
      </c>
      <c r="K8" s="15"/>
      <c r="L8" s="15"/>
      <c r="M8" s="15"/>
      <c r="N8" s="15"/>
      <c r="O8" s="15"/>
    </row>
    <row r="9" spans="1:17" x14ac:dyDescent="0.2">
      <c r="A9" s="84" t="s">
        <v>1098</v>
      </c>
      <c r="B9" s="80"/>
      <c r="E9" s="80"/>
      <c r="F9" s="15">
        <v>10924</v>
      </c>
      <c r="G9" s="15">
        <v>62</v>
      </c>
      <c r="H9" s="15">
        <v>13612</v>
      </c>
      <c r="I9" s="15">
        <v>3.4</v>
      </c>
      <c r="J9" s="15">
        <v>7.5</v>
      </c>
      <c r="K9" s="15"/>
      <c r="L9" s="15"/>
      <c r="M9" s="15"/>
      <c r="N9" s="15"/>
      <c r="O9" s="15"/>
    </row>
    <row r="10" spans="1:17" x14ac:dyDescent="0.2">
      <c r="A10" t="s">
        <v>1100</v>
      </c>
      <c r="E10" s="80"/>
      <c r="F10" s="15">
        <v>10990</v>
      </c>
      <c r="G10" s="15">
        <v>45</v>
      </c>
      <c r="H10" s="15">
        <v>20370</v>
      </c>
      <c r="I10" s="15">
        <v>5</v>
      </c>
      <c r="J10" s="15">
        <v>5.4</v>
      </c>
    </row>
    <row r="11" spans="1:17" x14ac:dyDescent="0.2">
      <c r="A11" t="s">
        <v>1102</v>
      </c>
      <c r="E11" s="80"/>
      <c r="F11" s="15">
        <v>10950</v>
      </c>
      <c r="G11" s="15">
        <v>36</v>
      </c>
      <c r="H11" s="15">
        <v>65391</v>
      </c>
      <c r="I11" s="15">
        <v>16.2</v>
      </c>
      <c r="J11" s="17">
        <v>4.3</v>
      </c>
      <c r="K11" s="17"/>
      <c r="L11" s="17"/>
      <c r="M11" s="17"/>
      <c r="N11" s="17"/>
    </row>
    <row r="12" spans="1:17" x14ac:dyDescent="0.2">
      <c r="A12" t="s">
        <v>1104</v>
      </c>
      <c r="E12" s="80"/>
      <c r="F12" s="17">
        <v>12771</v>
      </c>
      <c r="G12" s="17">
        <v>35</v>
      </c>
      <c r="H12" s="17">
        <v>14345</v>
      </c>
      <c r="I12" s="15">
        <v>3.6</v>
      </c>
      <c r="J12" s="15">
        <v>4.2</v>
      </c>
      <c r="K12" s="15"/>
      <c r="L12" s="15"/>
    </row>
    <row r="13" spans="1:17" x14ac:dyDescent="0.2">
      <c r="A13" t="s">
        <v>1108</v>
      </c>
      <c r="E13" s="80"/>
      <c r="F13" s="15">
        <v>10941</v>
      </c>
      <c r="G13" s="15">
        <v>35</v>
      </c>
      <c r="H13" s="15">
        <v>14761</v>
      </c>
      <c r="I13" s="15">
        <v>3.7</v>
      </c>
      <c r="J13" s="15">
        <v>4.2</v>
      </c>
    </row>
    <row r="14" spans="1:17" x14ac:dyDescent="0.2">
      <c r="A14" t="s">
        <v>1112</v>
      </c>
      <c r="E14" s="80"/>
      <c r="F14" s="15">
        <v>10992</v>
      </c>
      <c r="G14" s="15">
        <v>33</v>
      </c>
      <c r="H14" s="15">
        <v>10412</v>
      </c>
      <c r="I14" s="15">
        <v>2.6</v>
      </c>
      <c r="J14" s="15">
        <v>4</v>
      </c>
    </row>
    <row r="15" spans="1:17" x14ac:dyDescent="0.2">
      <c r="A15" t="s">
        <v>1114</v>
      </c>
      <c r="E15" s="80"/>
      <c r="F15" s="15">
        <v>10918</v>
      </c>
      <c r="G15" s="15">
        <v>32</v>
      </c>
      <c r="H15" s="15">
        <v>11937</v>
      </c>
      <c r="I15" s="15">
        <v>3</v>
      </c>
      <c r="J15" s="15">
        <v>3.9</v>
      </c>
    </row>
    <row r="16" spans="1:17" x14ac:dyDescent="0.2">
      <c r="A16" t="s">
        <v>1116</v>
      </c>
      <c r="E16" s="80"/>
      <c r="F16" s="15">
        <v>12586</v>
      </c>
      <c r="G16" s="15">
        <v>29</v>
      </c>
      <c r="H16" s="15">
        <v>12874</v>
      </c>
      <c r="I16" s="15">
        <v>3.2</v>
      </c>
      <c r="J16" s="15">
        <v>3.5</v>
      </c>
    </row>
    <row r="17" spans="1:11" x14ac:dyDescent="0.2">
      <c r="E17" s="80"/>
      <c r="F17" s="15">
        <v>12549</v>
      </c>
      <c r="G17" s="15">
        <v>28</v>
      </c>
      <c r="H17" s="15">
        <v>10896</v>
      </c>
      <c r="I17" s="15">
        <v>2.7</v>
      </c>
      <c r="J17" s="15">
        <v>3.4</v>
      </c>
    </row>
    <row r="18" spans="1:11" x14ac:dyDescent="0.2">
      <c r="A18" s="84" t="s">
        <v>1119</v>
      </c>
      <c r="B18" s="80"/>
      <c r="E18" s="80"/>
      <c r="F18" s="15">
        <v>10916</v>
      </c>
      <c r="G18" s="15">
        <v>22</v>
      </c>
      <c r="H18" s="15">
        <v>4531</v>
      </c>
      <c r="I18" s="15">
        <v>1.1000000000000001</v>
      </c>
      <c r="J18" s="15">
        <v>2.7</v>
      </c>
    </row>
    <row r="19" spans="1:11" x14ac:dyDescent="0.2">
      <c r="A19" t="s">
        <v>1121</v>
      </c>
      <c r="E19" s="80"/>
      <c r="F19" s="15">
        <v>10998</v>
      </c>
      <c r="G19" s="15">
        <v>16</v>
      </c>
      <c r="H19" s="15">
        <v>3676</v>
      </c>
      <c r="I19" s="15">
        <v>0.9</v>
      </c>
      <c r="J19" s="15">
        <v>1.9</v>
      </c>
    </row>
    <row r="20" spans="1:11" x14ac:dyDescent="0.2">
      <c r="E20" s="80"/>
      <c r="F20" s="15">
        <v>12518</v>
      </c>
      <c r="G20" s="15">
        <v>15</v>
      </c>
      <c r="H20" s="15">
        <v>5728</v>
      </c>
      <c r="I20" s="15">
        <v>1.4</v>
      </c>
      <c r="J20" s="15">
        <v>1.8</v>
      </c>
    </row>
    <row r="21" spans="1:11" x14ac:dyDescent="0.2">
      <c r="A21" s="82" t="s">
        <v>1125</v>
      </c>
      <c r="B21" s="80"/>
      <c r="E21" s="80"/>
      <c r="F21" s="15">
        <v>12566</v>
      </c>
      <c r="G21" s="15">
        <v>14</v>
      </c>
      <c r="H21" s="15">
        <v>11718</v>
      </c>
      <c r="I21" s="15">
        <v>2.9</v>
      </c>
      <c r="J21" s="15">
        <v>1.7</v>
      </c>
    </row>
    <row r="22" spans="1:11" x14ac:dyDescent="0.2">
      <c r="A22" t="s">
        <v>1135</v>
      </c>
      <c r="B22" t="s">
        <v>2065</v>
      </c>
      <c r="E22" s="80"/>
      <c r="F22" s="15">
        <v>10930</v>
      </c>
      <c r="G22" s="15">
        <v>13</v>
      </c>
      <c r="H22" s="15">
        <v>10342</v>
      </c>
      <c r="I22" s="15">
        <v>2.6</v>
      </c>
      <c r="J22" s="15">
        <v>1.6</v>
      </c>
    </row>
    <row r="23" spans="1:11" x14ac:dyDescent="0.2">
      <c r="E23" s="80"/>
      <c r="F23" s="15">
        <v>12520</v>
      </c>
      <c r="G23" s="15">
        <v>12</v>
      </c>
      <c r="H23" s="15">
        <v>3088</v>
      </c>
      <c r="I23" s="15">
        <v>0.8</v>
      </c>
      <c r="J23" s="15">
        <v>1.4</v>
      </c>
    </row>
    <row r="24" spans="1:11" x14ac:dyDescent="0.2">
      <c r="E24" s="80"/>
      <c r="F24" s="15">
        <v>12543</v>
      </c>
      <c r="G24" s="15">
        <v>10</v>
      </c>
      <c r="H24" s="15">
        <v>3147</v>
      </c>
      <c r="I24" s="15">
        <v>0.8</v>
      </c>
      <c r="J24" s="15">
        <v>1.2</v>
      </c>
    </row>
    <row r="25" spans="1:11" x14ac:dyDescent="0.2">
      <c r="E25" s="80"/>
      <c r="F25" s="15">
        <v>10958</v>
      </c>
      <c r="G25" s="15">
        <v>9</v>
      </c>
      <c r="H25" s="15">
        <v>2717</v>
      </c>
      <c r="I25" s="15">
        <v>0.7</v>
      </c>
      <c r="J25" s="15">
        <v>1.1000000000000001</v>
      </c>
      <c r="K25" t="s">
        <v>1226</v>
      </c>
    </row>
    <row r="26" spans="1:11" x14ac:dyDescent="0.2">
      <c r="E26" s="80"/>
      <c r="F26" s="15">
        <v>12589</v>
      </c>
      <c r="G26" s="15">
        <v>8</v>
      </c>
      <c r="H26" s="15">
        <v>19639</v>
      </c>
      <c r="I26" s="15">
        <v>4.9000000000000004</v>
      </c>
      <c r="J26" s="15">
        <v>1</v>
      </c>
    </row>
    <row r="27" spans="1:11" x14ac:dyDescent="0.2">
      <c r="A27" s="82"/>
      <c r="B27" s="80"/>
      <c r="E27" s="80"/>
      <c r="F27" s="15">
        <v>10921</v>
      </c>
      <c r="G27" s="15">
        <v>8</v>
      </c>
      <c r="H27" s="15">
        <v>4358</v>
      </c>
      <c r="I27" s="15">
        <v>1.1000000000000001</v>
      </c>
      <c r="J27" s="15">
        <v>1</v>
      </c>
    </row>
    <row r="28" spans="1:11" x14ac:dyDescent="0.2">
      <c r="E28" s="80"/>
      <c r="F28" s="15">
        <v>12577</v>
      </c>
      <c r="G28" s="15">
        <v>7</v>
      </c>
      <c r="H28" s="15">
        <v>1613</v>
      </c>
      <c r="I28" s="15">
        <v>0.4</v>
      </c>
      <c r="J28" s="15">
        <v>0.8</v>
      </c>
    </row>
    <row r="29" spans="1:11" x14ac:dyDescent="0.2">
      <c r="E29" s="80"/>
      <c r="F29" s="15">
        <v>10925</v>
      </c>
      <c r="G29" s="15">
        <v>6</v>
      </c>
      <c r="H29" s="15">
        <v>4440</v>
      </c>
      <c r="I29" s="15">
        <v>1.1000000000000001</v>
      </c>
      <c r="J29" s="15">
        <v>0.7</v>
      </c>
    </row>
    <row r="30" spans="1:11" x14ac:dyDescent="0.2">
      <c r="E30" s="80"/>
      <c r="F30" s="15">
        <v>12746</v>
      </c>
      <c r="G30" s="15">
        <v>5</v>
      </c>
      <c r="H30" s="15">
        <v>598</v>
      </c>
      <c r="I30" s="15">
        <v>0.1</v>
      </c>
      <c r="J30" s="15">
        <v>0.6</v>
      </c>
    </row>
    <row r="31" spans="1:11" x14ac:dyDescent="0.2">
      <c r="E31" s="80"/>
      <c r="F31" s="15">
        <v>10963</v>
      </c>
      <c r="G31" s="15">
        <v>5</v>
      </c>
      <c r="H31" s="15">
        <v>3940</v>
      </c>
      <c r="I31" s="15">
        <v>1</v>
      </c>
      <c r="J31" s="15">
        <v>0.6</v>
      </c>
    </row>
    <row r="32" spans="1:11" x14ac:dyDescent="0.2">
      <c r="E32" s="80"/>
      <c r="F32" s="15">
        <v>12780</v>
      </c>
      <c r="G32" s="15">
        <v>4</v>
      </c>
      <c r="H32" s="15">
        <v>2245</v>
      </c>
      <c r="I32" s="15">
        <v>0.6</v>
      </c>
      <c r="J32" s="15">
        <v>0.5</v>
      </c>
    </row>
    <row r="33" spans="5:10" x14ac:dyDescent="0.2">
      <c r="E33" s="80"/>
      <c r="F33" s="15">
        <v>12575</v>
      </c>
      <c r="G33" s="15">
        <v>4</v>
      </c>
      <c r="H33" s="15">
        <v>1743</v>
      </c>
      <c r="I33" s="15">
        <v>0.4</v>
      </c>
      <c r="J33" s="15">
        <v>0.5</v>
      </c>
    </row>
    <row r="34" spans="5:10" x14ac:dyDescent="0.2">
      <c r="E34" s="80"/>
      <c r="F34" s="15">
        <v>12721</v>
      </c>
      <c r="G34" s="15">
        <v>3</v>
      </c>
      <c r="H34" s="15">
        <v>7590</v>
      </c>
      <c r="I34" s="17">
        <v>1.9</v>
      </c>
      <c r="J34" s="15">
        <v>0.4</v>
      </c>
    </row>
    <row r="35" spans="5:10" x14ac:dyDescent="0.2">
      <c r="E35" s="80"/>
      <c r="F35" s="15">
        <v>10987</v>
      </c>
      <c r="G35" s="15">
        <v>3</v>
      </c>
      <c r="H35" s="15">
        <v>4041</v>
      </c>
      <c r="I35" s="17">
        <v>1</v>
      </c>
      <c r="J35" s="15">
        <v>0.4</v>
      </c>
    </row>
    <row r="36" spans="5:10" x14ac:dyDescent="0.2">
      <c r="E36" s="80"/>
      <c r="F36" s="15">
        <v>10973</v>
      </c>
      <c r="G36" s="15">
        <v>3</v>
      </c>
      <c r="H36" s="15">
        <v>2300</v>
      </c>
      <c r="I36" s="17">
        <v>0.6</v>
      </c>
      <c r="J36" s="15">
        <v>0.4</v>
      </c>
    </row>
    <row r="37" spans="5:10" x14ac:dyDescent="0.2">
      <c r="E37" s="80"/>
      <c r="F37" s="15">
        <v>10969</v>
      </c>
      <c r="G37" s="15">
        <v>3</v>
      </c>
      <c r="H37" s="15">
        <v>1333</v>
      </c>
      <c r="I37" s="17">
        <v>0.3</v>
      </c>
      <c r="J37" s="15">
        <v>0.4</v>
      </c>
    </row>
    <row r="38" spans="5:10" x14ac:dyDescent="0.2">
      <c r="E38" s="80"/>
      <c r="F38" s="15">
        <v>10933</v>
      </c>
      <c r="G38" s="15">
        <v>3</v>
      </c>
      <c r="H38" s="15">
        <v>312</v>
      </c>
      <c r="I38" s="15">
        <v>0.1</v>
      </c>
      <c r="J38" s="15">
        <v>0.4</v>
      </c>
    </row>
    <row r="39" spans="5:10" x14ac:dyDescent="0.2">
      <c r="E39" s="80"/>
      <c r="F39" s="15">
        <v>10922</v>
      </c>
      <c r="G39" s="15">
        <v>3</v>
      </c>
      <c r="H39" s="15">
        <v>1072</v>
      </c>
      <c r="I39" s="15">
        <v>0.3</v>
      </c>
      <c r="J39" s="15">
        <v>0.4</v>
      </c>
    </row>
    <row r="40" spans="5:10" x14ac:dyDescent="0.2">
      <c r="E40" s="80"/>
      <c r="F40" s="15">
        <v>10919</v>
      </c>
      <c r="G40" s="15">
        <v>3</v>
      </c>
      <c r="H40" s="15">
        <v>1383</v>
      </c>
      <c r="I40" s="15">
        <v>0.3</v>
      </c>
      <c r="J40" s="15">
        <v>0.4</v>
      </c>
    </row>
    <row r="41" spans="5:10" x14ac:dyDescent="0.2">
      <c r="E41" s="80"/>
      <c r="F41" s="15">
        <v>10988</v>
      </c>
      <c r="G41" s="15">
        <v>2</v>
      </c>
      <c r="H41" s="15">
        <v>684</v>
      </c>
      <c r="I41" s="15">
        <v>0.2</v>
      </c>
      <c r="J41" s="15">
        <v>0.2</v>
      </c>
    </row>
    <row r="42" spans="5:10" x14ac:dyDescent="0.2">
      <c r="E42" s="80"/>
      <c r="F42" s="15">
        <v>10953</v>
      </c>
      <c r="G42" s="15">
        <v>2</v>
      </c>
      <c r="H42" s="15">
        <v>0</v>
      </c>
      <c r="I42" s="15">
        <v>0</v>
      </c>
      <c r="J42" s="15">
        <v>0.2</v>
      </c>
    </row>
    <row r="43" spans="5:10" x14ac:dyDescent="0.2">
      <c r="E43" s="80"/>
      <c r="F43" s="15">
        <v>10928</v>
      </c>
      <c r="G43" s="15">
        <v>2</v>
      </c>
      <c r="H43" s="15">
        <v>5273</v>
      </c>
      <c r="I43" s="15">
        <v>1.3</v>
      </c>
      <c r="J43" s="15">
        <v>0.2</v>
      </c>
    </row>
    <row r="44" spans="5:10" x14ac:dyDescent="0.2">
      <c r="E44" s="80"/>
      <c r="F44" s="15">
        <v>10926</v>
      </c>
      <c r="G44" s="15">
        <v>2</v>
      </c>
      <c r="H44" s="15">
        <v>3741</v>
      </c>
      <c r="I44" s="15">
        <v>0.9</v>
      </c>
      <c r="J44" s="15">
        <v>0.2</v>
      </c>
    </row>
    <row r="45" spans="5:10" x14ac:dyDescent="0.2">
      <c r="E45" s="80"/>
      <c r="F45" s="15">
        <v>10914</v>
      </c>
      <c r="G45" s="15">
        <v>2</v>
      </c>
      <c r="H45" s="15">
        <v>691</v>
      </c>
      <c r="I45" s="15">
        <v>0.2</v>
      </c>
      <c r="J45" s="15">
        <v>0.2</v>
      </c>
    </row>
    <row r="46" spans="5:10" x14ac:dyDescent="0.2">
      <c r="E46" s="80"/>
      <c r="F46" s="15">
        <v>12729</v>
      </c>
      <c r="G46" s="15">
        <v>1</v>
      </c>
      <c r="H46" s="15">
        <v>1307</v>
      </c>
      <c r="I46" s="15">
        <v>0.3</v>
      </c>
      <c r="J46" s="15">
        <v>0.1</v>
      </c>
    </row>
    <row r="47" spans="5:10" x14ac:dyDescent="0.2">
      <c r="E47" s="80"/>
      <c r="F47" s="15">
        <v>12542</v>
      </c>
      <c r="G47" s="15">
        <v>1</v>
      </c>
      <c r="H47" s="15">
        <v>5859</v>
      </c>
      <c r="I47" s="15">
        <v>1.5</v>
      </c>
      <c r="J47" s="15">
        <v>0.1</v>
      </c>
    </row>
    <row r="48" spans="5:10" x14ac:dyDescent="0.2">
      <c r="E48" s="80"/>
      <c r="F48" s="15">
        <v>10981</v>
      </c>
      <c r="G48" s="15">
        <v>1</v>
      </c>
      <c r="H48" s="15">
        <v>2228</v>
      </c>
      <c r="I48" s="15">
        <v>0.6</v>
      </c>
      <c r="J48" s="15">
        <v>0.1</v>
      </c>
    </row>
    <row r="49" spans="5:10" x14ac:dyDescent="0.2">
      <c r="E49" s="80"/>
      <c r="F49" s="15">
        <v>10943</v>
      </c>
      <c r="G49" s="15">
        <v>1</v>
      </c>
      <c r="H49" s="15" t="s">
        <v>1210</v>
      </c>
      <c r="I49" s="15" t="s">
        <v>1210</v>
      </c>
      <c r="J49" s="15">
        <v>0.1</v>
      </c>
    </row>
    <row r="50" spans="5:10" x14ac:dyDescent="0.2">
      <c r="E50" s="80"/>
      <c r="F50" s="15">
        <v>10917</v>
      </c>
      <c r="G50" s="15">
        <v>1</v>
      </c>
      <c r="H50" s="15">
        <v>1575</v>
      </c>
      <c r="I50" s="15">
        <v>0.4</v>
      </c>
      <c r="J50" s="15">
        <v>0.1</v>
      </c>
    </row>
    <row r="51" spans="5:10" x14ac:dyDescent="0.2">
      <c r="E51" s="80"/>
      <c r="F51" s="15">
        <v>10915</v>
      </c>
      <c r="G51" s="15">
        <v>1</v>
      </c>
      <c r="H51" s="15">
        <v>0</v>
      </c>
      <c r="I51" s="15">
        <v>0</v>
      </c>
      <c r="J51" s="15">
        <v>0.1</v>
      </c>
    </row>
    <row r="52" spans="5:10" x14ac:dyDescent="0.2">
      <c r="E52" s="80"/>
      <c r="F52" s="15">
        <v>10910</v>
      </c>
      <c r="G52" s="15">
        <v>1</v>
      </c>
      <c r="H52" s="15">
        <v>0</v>
      </c>
      <c r="I52" s="15">
        <v>0</v>
      </c>
      <c r="J52" s="15">
        <v>0.1</v>
      </c>
    </row>
    <row r="53" spans="5:10" x14ac:dyDescent="0.2">
      <c r="E53" s="80"/>
    </row>
    <row r="54" spans="5:10" x14ac:dyDescent="0.2">
      <c r="E54" s="80"/>
    </row>
    <row r="55" spans="5:10" x14ac:dyDescent="0.2">
      <c r="E55" s="80"/>
    </row>
    <row r="56" spans="5:10" x14ac:dyDescent="0.2">
      <c r="E56" s="80"/>
    </row>
    <row r="57" spans="5:10"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tbl-great-strengths-community</v>
      </c>
    </row>
    <row r="4" spans="1:17" x14ac:dyDescent="0.2">
      <c r="A4" s="16" t="s">
        <v>7</v>
      </c>
      <c r="B4" t="str">
        <f>IF($B$1="","",_xlfn.XLOOKUP($B$1,Master!$F$2:$F$321,Master!$H$2:$H$321,""))</f>
        <v>fig-great-strengths-community</v>
      </c>
      <c r="E4" s="8"/>
      <c r="F4" s="10" t="s">
        <v>1009</v>
      </c>
      <c r="G4" s="10" t="s">
        <v>968</v>
      </c>
      <c r="H4" s="10"/>
      <c r="I4" s="10"/>
      <c r="J4" s="10"/>
      <c r="K4" s="10"/>
      <c r="L4" s="10"/>
      <c r="M4" s="10"/>
      <c r="N4" s="10"/>
      <c r="O4" s="10"/>
      <c r="P4" s="10"/>
      <c r="Q4" s="10"/>
    </row>
    <row r="5" spans="1:17" x14ac:dyDescent="0.2">
      <c r="A5" s="84" t="s">
        <v>1081</v>
      </c>
      <c r="B5" s="80"/>
      <c r="E5" s="83" t="s">
        <v>1082</v>
      </c>
      <c r="F5" s="37" t="s">
        <v>2066</v>
      </c>
      <c r="G5" s="37">
        <v>340</v>
      </c>
    </row>
    <row r="6" spans="1:17" ht="15" customHeight="1" x14ac:dyDescent="0.2">
      <c r="A6" t="s">
        <v>1088</v>
      </c>
      <c r="B6" t="b">
        <v>0</v>
      </c>
      <c r="E6" s="80"/>
      <c r="F6" s="37" t="s">
        <v>2067</v>
      </c>
      <c r="G6" s="37">
        <v>301</v>
      </c>
      <c r="H6" s="15"/>
      <c r="I6" s="15"/>
      <c r="J6" s="15"/>
      <c r="K6" s="15"/>
      <c r="L6" s="15"/>
      <c r="M6" s="15"/>
      <c r="N6" s="15"/>
      <c r="O6" s="15"/>
    </row>
    <row r="7" spans="1:17" ht="15.75" customHeight="1" x14ac:dyDescent="0.2">
      <c r="E7" s="80"/>
      <c r="F7" s="37" t="s">
        <v>2068</v>
      </c>
      <c r="G7" s="37">
        <v>251</v>
      </c>
      <c r="H7" s="15"/>
      <c r="I7" s="15"/>
      <c r="J7" s="15"/>
      <c r="K7" s="15"/>
      <c r="L7" s="15"/>
      <c r="M7" s="15"/>
      <c r="N7" s="15"/>
      <c r="O7" s="15"/>
    </row>
    <row r="8" spans="1:17" x14ac:dyDescent="0.2">
      <c r="E8" s="80"/>
      <c r="F8" s="37" t="s">
        <v>2069</v>
      </c>
      <c r="G8" s="37">
        <v>247</v>
      </c>
      <c r="H8" s="15"/>
      <c r="I8" s="15"/>
      <c r="J8" s="15"/>
      <c r="K8" s="15"/>
      <c r="L8" s="15"/>
      <c r="M8" s="15"/>
      <c r="N8" s="15"/>
      <c r="O8" s="15"/>
    </row>
    <row r="9" spans="1:17" x14ac:dyDescent="0.2">
      <c r="A9" s="84" t="s">
        <v>1098</v>
      </c>
      <c r="B9" s="80"/>
      <c r="E9" s="80"/>
      <c r="F9" s="37" t="s">
        <v>2070</v>
      </c>
      <c r="G9" s="37">
        <v>162</v>
      </c>
      <c r="H9" s="15"/>
      <c r="I9" s="15"/>
      <c r="J9" s="15"/>
      <c r="K9" s="15"/>
      <c r="L9" s="15"/>
      <c r="M9" s="15"/>
      <c r="N9" s="15"/>
      <c r="O9" s="15"/>
    </row>
    <row r="10" spans="1:17" x14ac:dyDescent="0.2">
      <c r="A10" t="s">
        <v>1100</v>
      </c>
      <c r="B10" t="s">
        <v>2071</v>
      </c>
      <c r="E10" s="80"/>
      <c r="F10" s="37" t="s">
        <v>2072</v>
      </c>
      <c r="G10" s="37">
        <v>152</v>
      </c>
    </row>
    <row r="11" spans="1:17" x14ac:dyDescent="0.2">
      <c r="A11" t="s">
        <v>1102</v>
      </c>
      <c r="E11" s="80"/>
      <c r="F11" s="37" t="s">
        <v>2073</v>
      </c>
      <c r="G11" s="37">
        <v>142</v>
      </c>
      <c r="H11" s="15"/>
      <c r="I11" s="15"/>
      <c r="J11" s="17"/>
      <c r="K11" s="17"/>
      <c r="M11" s="17"/>
      <c r="N11" s="17"/>
    </row>
    <row r="12" spans="1:17" x14ac:dyDescent="0.2">
      <c r="A12" t="s">
        <v>1104</v>
      </c>
      <c r="E12" s="80"/>
      <c r="F12" s="37" t="s">
        <v>2074</v>
      </c>
      <c r="G12" s="57">
        <v>123</v>
      </c>
      <c r="H12" s="17"/>
      <c r="I12" s="15"/>
      <c r="J12" s="15"/>
      <c r="K12" s="15"/>
    </row>
    <row r="13" spans="1:17" x14ac:dyDescent="0.2">
      <c r="A13" t="s">
        <v>1108</v>
      </c>
      <c r="E13" s="80"/>
      <c r="F13" s="37" t="s">
        <v>2075</v>
      </c>
      <c r="G13" s="37">
        <v>88</v>
      </c>
    </row>
    <row r="14" spans="1:17" x14ac:dyDescent="0.2">
      <c r="A14" t="s">
        <v>1112</v>
      </c>
      <c r="E14" s="80"/>
      <c r="F14" s="37" t="s">
        <v>2076</v>
      </c>
      <c r="G14" s="37">
        <v>76</v>
      </c>
    </row>
    <row r="15" spans="1:17" x14ac:dyDescent="0.2">
      <c r="A15" t="s">
        <v>1114</v>
      </c>
      <c r="B15" t="b">
        <v>1</v>
      </c>
      <c r="E15" s="80"/>
      <c r="F15" s="37" t="s">
        <v>2077</v>
      </c>
      <c r="G15" s="37">
        <v>74</v>
      </c>
    </row>
    <row r="16" spans="1:17" x14ac:dyDescent="0.2">
      <c r="A16" t="s">
        <v>1116</v>
      </c>
      <c r="B16" t="b">
        <v>1</v>
      </c>
      <c r="E16" s="80"/>
      <c r="F16" s="37" t="s">
        <v>2078</v>
      </c>
      <c r="G16" s="37">
        <v>67</v>
      </c>
    </row>
    <row r="17" spans="1:8" x14ac:dyDescent="0.2">
      <c r="E17" s="80"/>
      <c r="F17" s="37" t="s">
        <v>2079</v>
      </c>
      <c r="G17" s="37">
        <v>66</v>
      </c>
    </row>
    <row r="18" spans="1:8" x14ac:dyDescent="0.2">
      <c r="A18" s="84" t="s">
        <v>1119</v>
      </c>
      <c r="B18" s="80"/>
      <c r="E18" s="80"/>
      <c r="F18" s="37" t="s">
        <v>2080</v>
      </c>
      <c r="G18" s="37">
        <v>59</v>
      </c>
    </row>
    <row r="19" spans="1:8" x14ac:dyDescent="0.2">
      <c r="A19" t="s">
        <v>1121</v>
      </c>
      <c r="E19" s="80"/>
      <c r="F19" s="37" t="s">
        <v>2081</v>
      </c>
      <c r="G19" s="37">
        <v>53</v>
      </c>
    </row>
    <row r="20" spans="1:8" x14ac:dyDescent="0.2">
      <c r="E20" s="80"/>
      <c r="F20" s="37" t="s">
        <v>2082</v>
      </c>
      <c r="G20" s="37">
        <v>37</v>
      </c>
      <c r="H20" s="15"/>
    </row>
    <row r="21" spans="1:8" x14ac:dyDescent="0.2">
      <c r="A21" s="82" t="s">
        <v>1125</v>
      </c>
      <c r="B21" s="80"/>
      <c r="E21" s="80"/>
      <c r="F21" s="57" t="s">
        <v>2083</v>
      </c>
      <c r="G21" s="37">
        <v>28</v>
      </c>
      <c r="H21" s="15"/>
    </row>
    <row r="22" spans="1:8" x14ac:dyDescent="0.2">
      <c r="A22" t="s">
        <v>1135</v>
      </c>
      <c r="B22" t="s">
        <v>2084</v>
      </c>
      <c r="E22" s="80"/>
      <c r="F22" s="37" t="s">
        <v>1015</v>
      </c>
      <c r="G22" s="37">
        <v>40</v>
      </c>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tabSelected="1" workbookViewId="0">
      <selection activeCell="N31" sqref="N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tbl-focus-resources-improve-life</v>
      </c>
    </row>
    <row r="4" spans="1:17" x14ac:dyDescent="0.2">
      <c r="A4" s="16" t="s">
        <v>7</v>
      </c>
      <c r="B4" t="str">
        <f>IF($B$1="","",_xlfn.XLOOKUP($B$1,Master!$F$2:$F$321,Master!$H$2:$H$321,""))</f>
        <v>fig-focus-resources-improve-life</v>
      </c>
      <c r="E4" s="8"/>
      <c r="F4" s="10" t="s">
        <v>1009</v>
      </c>
      <c r="G4" s="10" t="s">
        <v>968</v>
      </c>
      <c r="H4" s="10"/>
      <c r="I4" s="10"/>
      <c r="J4" s="10"/>
      <c r="K4" s="10"/>
      <c r="L4" s="10"/>
      <c r="M4" s="10"/>
      <c r="N4" s="10"/>
      <c r="O4" s="10"/>
      <c r="P4" s="10"/>
      <c r="Q4" s="10"/>
    </row>
    <row r="5" spans="1:17" x14ac:dyDescent="0.2">
      <c r="A5" s="84" t="s">
        <v>1081</v>
      </c>
      <c r="B5" s="80"/>
      <c r="E5" s="83" t="s">
        <v>1082</v>
      </c>
      <c r="F5" t="s">
        <v>2085</v>
      </c>
      <c r="G5" t="s">
        <v>1</v>
      </c>
    </row>
    <row r="6" spans="1:17" ht="15" customHeight="1" x14ac:dyDescent="0.2">
      <c r="A6" t="s">
        <v>1088</v>
      </c>
      <c r="B6" t="b">
        <v>0</v>
      </c>
      <c r="E6" s="80"/>
      <c r="F6" t="s">
        <v>2086</v>
      </c>
      <c r="G6" s="15">
        <v>360</v>
      </c>
      <c r="H6" s="15"/>
      <c r="I6" s="15"/>
      <c r="J6" s="15"/>
      <c r="K6" s="15"/>
      <c r="L6" s="15"/>
      <c r="M6" s="15"/>
      <c r="N6" s="15"/>
      <c r="O6" s="15"/>
    </row>
    <row r="7" spans="1:17" ht="15.75" customHeight="1" x14ac:dyDescent="0.2">
      <c r="E7" s="80"/>
      <c r="F7" t="s">
        <v>2087</v>
      </c>
      <c r="G7" s="15">
        <v>303</v>
      </c>
      <c r="H7" s="15"/>
      <c r="I7" s="15"/>
      <c r="J7" s="15"/>
      <c r="K7" s="15"/>
      <c r="L7" s="15"/>
      <c r="M7" s="15"/>
      <c r="N7" s="15"/>
      <c r="O7" s="15"/>
    </row>
    <row r="8" spans="1:17" x14ac:dyDescent="0.2">
      <c r="E8" s="80"/>
      <c r="F8" t="s">
        <v>2088</v>
      </c>
      <c r="G8" s="15">
        <v>207</v>
      </c>
      <c r="H8" s="15"/>
      <c r="I8" s="15"/>
      <c r="J8" s="15"/>
      <c r="K8" s="15"/>
      <c r="L8" s="15"/>
      <c r="M8" s="15"/>
      <c r="N8" s="15"/>
      <c r="O8" s="15"/>
    </row>
    <row r="9" spans="1:17" x14ac:dyDescent="0.2">
      <c r="A9" s="84" t="s">
        <v>1098</v>
      </c>
      <c r="B9" s="80"/>
      <c r="E9" s="80"/>
      <c r="F9" t="s">
        <v>2068</v>
      </c>
      <c r="G9" s="15">
        <v>177</v>
      </c>
      <c r="H9" s="15"/>
      <c r="I9" s="15"/>
      <c r="J9" s="15"/>
      <c r="K9" s="15"/>
      <c r="L9" s="15"/>
      <c r="M9" s="15"/>
      <c r="N9" s="15"/>
      <c r="O9" s="15"/>
    </row>
    <row r="10" spans="1:17" x14ac:dyDescent="0.2">
      <c r="A10" t="s">
        <v>1100</v>
      </c>
      <c r="B10" t="s">
        <v>2071</v>
      </c>
      <c r="E10" s="80"/>
      <c r="F10" t="s">
        <v>2089</v>
      </c>
      <c r="G10" s="15">
        <v>163</v>
      </c>
    </row>
    <row r="11" spans="1:17" x14ac:dyDescent="0.2">
      <c r="A11" t="s">
        <v>1102</v>
      </c>
      <c r="E11" s="80"/>
      <c r="F11" t="s">
        <v>2090</v>
      </c>
      <c r="G11" s="15">
        <v>158</v>
      </c>
      <c r="H11" s="15"/>
      <c r="I11" s="15"/>
      <c r="J11" s="17"/>
      <c r="K11" s="17"/>
      <c r="L11" s="17"/>
      <c r="M11" s="17"/>
      <c r="N11" s="17"/>
    </row>
    <row r="12" spans="1:17" x14ac:dyDescent="0.2">
      <c r="A12" t="s">
        <v>1104</v>
      </c>
      <c r="E12" s="80"/>
      <c r="F12" s="21" t="s">
        <v>2091</v>
      </c>
      <c r="G12" s="17">
        <v>141</v>
      </c>
      <c r="H12" s="17"/>
      <c r="I12" s="15"/>
      <c r="J12" s="15"/>
      <c r="K12" s="15"/>
      <c r="L12" s="15"/>
    </row>
    <row r="13" spans="1:17" x14ac:dyDescent="0.2">
      <c r="A13" t="s">
        <v>1108</v>
      </c>
      <c r="E13" s="80"/>
      <c r="F13" t="s">
        <v>2066</v>
      </c>
      <c r="G13" s="15">
        <v>120</v>
      </c>
    </row>
    <row r="14" spans="1:17" x14ac:dyDescent="0.2">
      <c r="A14" t="s">
        <v>1112</v>
      </c>
      <c r="E14" s="80"/>
      <c r="F14" t="s">
        <v>2092</v>
      </c>
      <c r="G14" s="15">
        <v>100</v>
      </c>
    </row>
    <row r="15" spans="1:17" x14ac:dyDescent="0.2">
      <c r="A15" t="s">
        <v>1114</v>
      </c>
      <c r="E15" s="80"/>
      <c r="F15" t="s">
        <v>2093</v>
      </c>
      <c r="G15" s="15">
        <v>92</v>
      </c>
    </row>
    <row r="16" spans="1:17" x14ac:dyDescent="0.2">
      <c r="A16" t="s">
        <v>1116</v>
      </c>
      <c r="E16" s="80"/>
      <c r="F16" t="s">
        <v>2094</v>
      </c>
      <c r="G16" s="15">
        <v>91</v>
      </c>
    </row>
    <row r="17" spans="1:11" x14ac:dyDescent="0.2">
      <c r="E17" s="80"/>
      <c r="F17" t="s">
        <v>2095</v>
      </c>
      <c r="G17" s="15">
        <v>83</v>
      </c>
    </row>
    <row r="18" spans="1:11" x14ac:dyDescent="0.2">
      <c r="A18" s="84" t="s">
        <v>1119</v>
      </c>
      <c r="B18" s="80"/>
      <c r="E18" s="80"/>
      <c r="F18" t="s">
        <v>2096</v>
      </c>
      <c r="G18" s="15">
        <v>81</v>
      </c>
    </row>
    <row r="19" spans="1:11" x14ac:dyDescent="0.2">
      <c r="A19" t="s">
        <v>1121</v>
      </c>
      <c r="E19" s="80"/>
      <c r="F19" t="s">
        <v>2097</v>
      </c>
      <c r="G19" s="15">
        <v>79</v>
      </c>
    </row>
    <row r="20" spans="1:11" x14ac:dyDescent="0.2">
      <c r="E20" s="80"/>
      <c r="F20" s="15" t="s">
        <v>2098</v>
      </c>
      <c r="G20" s="15">
        <v>65</v>
      </c>
      <c r="H20" s="15"/>
    </row>
    <row r="21" spans="1:11" x14ac:dyDescent="0.2">
      <c r="A21" s="82" t="s">
        <v>1125</v>
      </c>
      <c r="B21" s="80"/>
      <c r="E21" s="80"/>
      <c r="F21" s="15" t="s">
        <v>2099</v>
      </c>
      <c r="G21" s="15">
        <v>57</v>
      </c>
      <c r="H21" s="15"/>
    </row>
    <row r="22" spans="1:11" x14ac:dyDescent="0.2">
      <c r="A22" t="s">
        <v>1135</v>
      </c>
      <c r="B22" t="s">
        <v>2100</v>
      </c>
      <c r="E22" s="80"/>
      <c r="F22" s="15" t="s">
        <v>2101</v>
      </c>
      <c r="G22" s="15">
        <v>29</v>
      </c>
      <c r="H22" s="15"/>
    </row>
    <row r="23" spans="1:11" x14ac:dyDescent="0.2">
      <c r="E23" s="80"/>
      <c r="F23" s="15" t="s">
        <v>1015</v>
      </c>
      <c r="G23" s="15">
        <v>67</v>
      </c>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v>
      </c>
    </row>
    <row r="4" spans="1:17" x14ac:dyDescent="0.2">
      <c r="A4" s="16" t="s">
        <v>7</v>
      </c>
      <c r="B4" t="str">
        <f>IF($B$1="","",_xlfn.XLOOKUP($B$1,Master!$F$2:$F$321,Master!$H$2:$H$321,""))</f>
        <v>fig-important-health-issues</v>
      </c>
      <c r="E4" s="8"/>
      <c r="F4" s="10" t="s">
        <v>1009</v>
      </c>
      <c r="G4" s="10" t="s">
        <v>968</v>
      </c>
      <c r="H4" s="10"/>
      <c r="I4" s="10"/>
      <c r="J4" s="10"/>
      <c r="K4" s="10"/>
      <c r="L4" s="10"/>
      <c r="M4" s="10"/>
      <c r="N4" s="10"/>
      <c r="O4" s="10"/>
      <c r="P4" s="10"/>
      <c r="Q4" s="10"/>
    </row>
    <row r="5" spans="1:17" x14ac:dyDescent="0.2">
      <c r="A5" s="84" t="s">
        <v>1081</v>
      </c>
      <c r="B5" s="80"/>
      <c r="E5" s="83" t="s">
        <v>1082</v>
      </c>
      <c r="F5" t="s">
        <v>2102</v>
      </c>
      <c r="G5" t="s">
        <v>1</v>
      </c>
    </row>
    <row r="6" spans="1:17" ht="15" customHeight="1" x14ac:dyDescent="0.2">
      <c r="A6" t="s">
        <v>1088</v>
      </c>
      <c r="B6" t="b">
        <v>0</v>
      </c>
      <c r="E6" s="80"/>
      <c r="F6" t="s">
        <v>2103</v>
      </c>
      <c r="G6" s="15">
        <v>258</v>
      </c>
      <c r="H6" s="15"/>
      <c r="I6" s="15"/>
      <c r="J6" s="15"/>
      <c r="K6" s="15"/>
      <c r="L6" s="15"/>
      <c r="M6" s="15"/>
      <c r="N6" s="15"/>
      <c r="O6" s="15"/>
    </row>
    <row r="7" spans="1:17" ht="15.75" customHeight="1" x14ac:dyDescent="0.2">
      <c r="E7" s="80"/>
      <c r="F7" t="s">
        <v>2104</v>
      </c>
      <c r="G7" s="15">
        <v>243</v>
      </c>
      <c r="H7" s="15"/>
      <c r="I7" s="15"/>
      <c r="J7" s="15"/>
      <c r="K7" s="15"/>
      <c r="L7" s="15"/>
      <c r="M7" s="15"/>
      <c r="N7" s="15"/>
      <c r="O7" s="15"/>
    </row>
    <row r="8" spans="1:17" x14ac:dyDescent="0.2">
      <c r="E8" s="80"/>
      <c r="F8" t="s">
        <v>2105</v>
      </c>
      <c r="G8" s="15">
        <v>204</v>
      </c>
      <c r="H8" s="15"/>
      <c r="I8" s="15"/>
      <c r="J8" s="15"/>
      <c r="K8" s="15"/>
      <c r="L8" s="15"/>
      <c r="M8" s="15"/>
      <c r="N8" s="15"/>
      <c r="O8" s="15"/>
    </row>
    <row r="9" spans="1:17" x14ac:dyDescent="0.2">
      <c r="A9" s="84" t="s">
        <v>1098</v>
      </c>
      <c r="B9" s="80"/>
      <c r="E9" s="80"/>
      <c r="F9" t="s">
        <v>2106</v>
      </c>
      <c r="G9" s="15">
        <v>173</v>
      </c>
      <c r="H9" s="15"/>
      <c r="I9" s="15"/>
      <c r="J9" s="15"/>
      <c r="K9" s="15"/>
      <c r="L9" s="15"/>
      <c r="M9" s="15"/>
      <c r="N9" s="15"/>
      <c r="O9" s="15"/>
    </row>
    <row r="10" spans="1:17" x14ac:dyDescent="0.2">
      <c r="A10" t="s">
        <v>1100</v>
      </c>
      <c r="B10" t="s">
        <v>2071</v>
      </c>
      <c r="E10" s="80"/>
      <c r="F10" t="s">
        <v>2107</v>
      </c>
      <c r="G10" s="15">
        <v>166</v>
      </c>
    </row>
    <row r="11" spans="1:17" x14ac:dyDescent="0.2">
      <c r="A11" t="s">
        <v>1102</v>
      </c>
      <c r="E11" s="80"/>
      <c r="F11" t="s">
        <v>2108</v>
      </c>
      <c r="G11" s="15">
        <v>127</v>
      </c>
      <c r="H11" s="15"/>
      <c r="I11" s="15"/>
      <c r="J11" s="17"/>
      <c r="K11" s="17"/>
      <c r="L11" s="17"/>
      <c r="M11" s="17"/>
      <c r="N11" s="17"/>
    </row>
    <row r="12" spans="1:17" x14ac:dyDescent="0.2">
      <c r="A12" t="s">
        <v>1104</v>
      </c>
      <c r="E12" s="80"/>
      <c r="F12" s="21" t="s">
        <v>1315</v>
      </c>
      <c r="G12" s="17">
        <v>116</v>
      </c>
      <c r="H12" s="17"/>
      <c r="I12" s="15"/>
      <c r="J12" s="15"/>
      <c r="K12" s="15"/>
      <c r="L12" s="15"/>
    </row>
    <row r="13" spans="1:17" x14ac:dyDescent="0.2">
      <c r="A13" t="s">
        <v>1108</v>
      </c>
      <c r="E13" s="80"/>
      <c r="F13" t="s">
        <v>2109</v>
      </c>
      <c r="G13">
        <v>101</v>
      </c>
    </row>
    <row r="14" spans="1:17" x14ac:dyDescent="0.2">
      <c r="A14" t="s">
        <v>1112</v>
      </c>
      <c r="E14" s="80"/>
      <c r="F14" t="s">
        <v>2110</v>
      </c>
      <c r="G14">
        <v>100</v>
      </c>
    </row>
    <row r="15" spans="1:17" x14ac:dyDescent="0.2">
      <c r="A15" t="s">
        <v>1114</v>
      </c>
      <c r="B15" t="b">
        <v>1</v>
      </c>
      <c r="E15" s="80"/>
      <c r="F15" t="s">
        <v>2111</v>
      </c>
      <c r="G15">
        <v>85</v>
      </c>
    </row>
    <row r="16" spans="1:17" x14ac:dyDescent="0.2">
      <c r="A16" t="s">
        <v>1116</v>
      </c>
      <c r="B16" t="b">
        <v>1</v>
      </c>
      <c r="E16" s="80"/>
      <c r="F16" t="s">
        <v>2112</v>
      </c>
      <c r="G16">
        <v>83</v>
      </c>
    </row>
    <row r="17" spans="1:11" x14ac:dyDescent="0.2">
      <c r="E17" s="80"/>
      <c r="F17" t="s">
        <v>2113</v>
      </c>
      <c r="G17">
        <v>80</v>
      </c>
    </row>
    <row r="18" spans="1:11" x14ac:dyDescent="0.2">
      <c r="A18" s="84" t="s">
        <v>1119</v>
      </c>
      <c r="B18" s="80"/>
      <c r="E18" s="80"/>
      <c r="F18" t="s">
        <v>2114</v>
      </c>
      <c r="G18">
        <v>78</v>
      </c>
    </row>
    <row r="19" spans="1:11" x14ac:dyDescent="0.2">
      <c r="A19" t="s">
        <v>1121</v>
      </c>
      <c r="E19" s="80"/>
      <c r="F19" t="s">
        <v>2115</v>
      </c>
      <c r="G19">
        <v>71</v>
      </c>
    </row>
    <row r="20" spans="1:11" x14ac:dyDescent="0.2">
      <c r="E20" s="80"/>
      <c r="F20" s="15" t="s">
        <v>2116</v>
      </c>
      <c r="G20" s="15">
        <v>62</v>
      </c>
      <c r="H20" s="15"/>
    </row>
    <row r="21" spans="1:11" x14ac:dyDescent="0.2">
      <c r="A21" s="82" t="s">
        <v>1125</v>
      </c>
      <c r="B21" s="80"/>
      <c r="E21" s="80"/>
      <c r="F21" s="15" t="s">
        <v>1331</v>
      </c>
      <c r="G21" s="15">
        <v>62</v>
      </c>
      <c r="H21" s="15"/>
    </row>
    <row r="22" spans="1:11" x14ac:dyDescent="0.2">
      <c r="A22" t="s">
        <v>1135</v>
      </c>
      <c r="B22" t="s">
        <v>2117</v>
      </c>
      <c r="E22" s="80"/>
      <c r="F22" s="15" t="s">
        <v>2118</v>
      </c>
      <c r="G22" s="15">
        <v>60</v>
      </c>
      <c r="H22" s="15"/>
    </row>
    <row r="23" spans="1:11" x14ac:dyDescent="0.2">
      <c r="E23" s="80"/>
      <c r="F23" s="15" t="s">
        <v>2119</v>
      </c>
      <c r="G23" s="15">
        <v>57</v>
      </c>
      <c r="H23" s="15"/>
    </row>
    <row r="24" spans="1:11" x14ac:dyDescent="0.2">
      <c r="E24" s="80"/>
      <c r="F24" t="s">
        <v>2120</v>
      </c>
      <c r="G24">
        <v>56</v>
      </c>
    </row>
    <row r="25" spans="1:11" x14ac:dyDescent="0.2">
      <c r="E25" s="80"/>
      <c r="F25" s="15" t="s">
        <v>1334</v>
      </c>
      <c r="G25" s="15">
        <v>45</v>
      </c>
      <c r="H25" s="15"/>
      <c r="K25" t="s">
        <v>1226</v>
      </c>
    </row>
    <row r="26" spans="1:11" x14ac:dyDescent="0.2">
      <c r="E26" s="80"/>
      <c r="F26" s="15" t="s">
        <v>2121</v>
      </c>
      <c r="G26" s="15">
        <v>41</v>
      </c>
      <c r="H26" s="15"/>
    </row>
    <row r="27" spans="1:11" x14ac:dyDescent="0.2">
      <c r="A27" s="82"/>
      <c r="B27" s="80"/>
      <c r="E27" s="80"/>
      <c r="F27" s="15" t="s">
        <v>2122</v>
      </c>
      <c r="G27" s="15">
        <v>36</v>
      </c>
      <c r="H27" s="15"/>
    </row>
    <row r="28" spans="1:11" x14ac:dyDescent="0.2">
      <c r="E28" s="80"/>
      <c r="F28" s="15" t="s">
        <v>2123</v>
      </c>
      <c r="G28" s="15">
        <v>22</v>
      </c>
      <c r="H28" s="15"/>
    </row>
    <row r="29" spans="1:11" x14ac:dyDescent="0.2">
      <c r="E29" s="80"/>
      <c r="F29" s="15" t="s">
        <v>2124</v>
      </c>
      <c r="G29" s="15">
        <v>19</v>
      </c>
      <c r="H29" s="15"/>
    </row>
    <row r="30" spans="1:11" x14ac:dyDescent="0.2">
      <c r="E30" s="80"/>
      <c r="F30" s="15" t="s">
        <v>2125</v>
      </c>
      <c r="G30" s="15">
        <v>13</v>
      </c>
      <c r="H30" s="15"/>
    </row>
    <row r="31" spans="1:11" x14ac:dyDescent="0.2">
      <c r="E31" s="80"/>
      <c r="F31" s="15" t="s">
        <v>2126</v>
      </c>
      <c r="G31" s="15">
        <v>9</v>
      </c>
      <c r="H31" s="15"/>
    </row>
    <row r="32" spans="1:11" x14ac:dyDescent="0.2">
      <c r="E32" s="80"/>
      <c r="F32" t="s">
        <v>2127</v>
      </c>
      <c r="G32">
        <v>7</v>
      </c>
    </row>
    <row r="33" spans="5:9" x14ac:dyDescent="0.2">
      <c r="E33" s="80"/>
      <c r="F33" s="15" t="s">
        <v>1015</v>
      </c>
      <c r="G33" s="15">
        <v>34</v>
      </c>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tbl-important-health-issues-PA-area</v>
      </c>
    </row>
    <row r="4" spans="1:17" x14ac:dyDescent="0.2">
      <c r="A4" s="16" t="s">
        <v>7</v>
      </c>
      <c r="B4" t="str">
        <f>IF($B$1="","",_xlfn.XLOOKUP($B$1,Master!$F$2:$F$321,Master!$H$2:$H$321,""))</f>
        <v>fig-important-health-issues-PA-area</v>
      </c>
      <c r="E4" s="8"/>
      <c r="F4" s="10" t="s">
        <v>1009</v>
      </c>
      <c r="G4" s="10" t="s">
        <v>979</v>
      </c>
      <c r="H4" s="10" t="s">
        <v>979</v>
      </c>
      <c r="I4" s="10"/>
      <c r="J4" s="10"/>
      <c r="K4" s="10"/>
      <c r="L4" s="10"/>
      <c r="M4" s="10"/>
      <c r="N4" s="10"/>
      <c r="O4" s="10"/>
      <c r="P4" s="10"/>
      <c r="Q4" s="10"/>
    </row>
    <row r="5" spans="1:17" x14ac:dyDescent="0.2">
      <c r="A5" s="84" t="s">
        <v>1081</v>
      </c>
      <c r="B5" s="80"/>
      <c r="E5" s="83" t="s">
        <v>1082</v>
      </c>
      <c r="F5" t="s">
        <v>2102</v>
      </c>
      <c r="G5" t="s">
        <v>2128</v>
      </c>
      <c r="H5" t="s">
        <v>1</v>
      </c>
    </row>
    <row r="6" spans="1:17" ht="15" customHeight="1" x14ac:dyDescent="0.2">
      <c r="A6" t="s">
        <v>1088</v>
      </c>
      <c r="B6" t="b">
        <v>0</v>
      </c>
      <c r="E6" s="80"/>
      <c r="F6" s="15" t="s">
        <v>2106</v>
      </c>
      <c r="G6" s="15" t="s">
        <v>2129</v>
      </c>
      <c r="H6" s="15">
        <v>173</v>
      </c>
      <c r="I6" s="15"/>
      <c r="J6" s="15"/>
      <c r="K6" s="15"/>
      <c r="L6" s="15"/>
      <c r="M6" s="15"/>
      <c r="N6" s="15"/>
      <c r="O6" s="15"/>
    </row>
    <row r="7" spans="1:17" ht="15.75" customHeight="1" x14ac:dyDescent="0.2">
      <c r="E7" s="80"/>
      <c r="F7" s="15" t="s">
        <v>2107</v>
      </c>
      <c r="G7" s="15" t="s">
        <v>2129</v>
      </c>
      <c r="H7" s="15">
        <v>166</v>
      </c>
      <c r="I7" s="15"/>
      <c r="J7" s="15"/>
      <c r="K7" s="15"/>
      <c r="L7" s="15"/>
      <c r="M7" s="15"/>
      <c r="N7" s="15"/>
      <c r="O7" s="15"/>
    </row>
    <row r="8" spans="1:17" x14ac:dyDescent="0.2">
      <c r="E8" s="80"/>
      <c r="F8" s="15" t="s">
        <v>2120</v>
      </c>
      <c r="G8" s="15" t="s">
        <v>2129</v>
      </c>
      <c r="H8" s="15">
        <v>56</v>
      </c>
      <c r="I8" s="15"/>
      <c r="J8" s="15"/>
      <c r="K8" s="15"/>
      <c r="L8" s="15"/>
      <c r="M8" s="15"/>
      <c r="N8" s="15"/>
      <c r="O8" s="15"/>
    </row>
    <row r="9" spans="1:17" x14ac:dyDescent="0.2">
      <c r="A9" s="84" t="s">
        <v>1098</v>
      </c>
      <c r="B9" s="80"/>
      <c r="E9" s="80"/>
      <c r="F9" s="15" t="s">
        <v>2103</v>
      </c>
      <c r="G9" s="15" t="s">
        <v>2130</v>
      </c>
      <c r="H9" s="15">
        <v>258</v>
      </c>
      <c r="I9" s="15"/>
      <c r="J9" s="15"/>
      <c r="K9" s="15"/>
      <c r="L9" s="15"/>
      <c r="M9" s="15"/>
      <c r="N9" s="15"/>
      <c r="O9" s="15"/>
    </row>
    <row r="10" spans="1:17" x14ac:dyDescent="0.2">
      <c r="A10" t="s">
        <v>1100</v>
      </c>
      <c r="B10" t="s">
        <v>2131</v>
      </c>
      <c r="E10" s="80"/>
      <c r="F10" s="15" t="s">
        <v>2104</v>
      </c>
      <c r="G10" s="15" t="s">
        <v>2130</v>
      </c>
      <c r="H10" s="15">
        <v>243</v>
      </c>
    </row>
    <row r="11" spans="1:17" x14ac:dyDescent="0.2">
      <c r="A11" t="s">
        <v>1102</v>
      </c>
      <c r="B11" t="s">
        <v>2102</v>
      </c>
      <c r="E11" s="80"/>
      <c r="F11" s="15" t="s">
        <v>2108</v>
      </c>
      <c r="G11" s="15" t="s">
        <v>2130</v>
      </c>
      <c r="H11" s="15">
        <v>127</v>
      </c>
      <c r="I11" s="15"/>
      <c r="J11" s="17"/>
      <c r="K11" s="17"/>
      <c r="L11" s="17"/>
      <c r="M11" s="17"/>
      <c r="N11" s="17"/>
    </row>
    <row r="12" spans="1:17" x14ac:dyDescent="0.2">
      <c r="A12" t="s">
        <v>1104</v>
      </c>
      <c r="B12" t="s">
        <v>1</v>
      </c>
      <c r="E12" s="80"/>
      <c r="F12" s="17" t="s">
        <v>2132</v>
      </c>
      <c r="G12" s="17" t="s">
        <v>2130</v>
      </c>
      <c r="H12" s="17">
        <v>83</v>
      </c>
      <c r="I12" s="15"/>
      <c r="J12" s="15"/>
      <c r="K12" s="15"/>
      <c r="L12" s="15"/>
    </row>
    <row r="13" spans="1:17" x14ac:dyDescent="0.2">
      <c r="A13" t="s">
        <v>1108</v>
      </c>
      <c r="B13" t="s">
        <v>2133</v>
      </c>
      <c r="E13" s="80"/>
      <c r="F13" s="15" t="s">
        <v>2118</v>
      </c>
      <c r="G13" s="15" t="s">
        <v>2130</v>
      </c>
      <c r="H13" s="15">
        <v>60</v>
      </c>
    </row>
    <row r="14" spans="1:17" x14ac:dyDescent="0.2">
      <c r="A14" t="s">
        <v>1112</v>
      </c>
      <c r="E14" s="80"/>
      <c r="F14" s="15" t="s">
        <v>1334</v>
      </c>
      <c r="G14" s="15" t="s">
        <v>2130</v>
      </c>
      <c r="H14" s="15">
        <v>45</v>
      </c>
    </row>
    <row r="15" spans="1:17" x14ac:dyDescent="0.2">
      <c r="A15" t="s">
        <v>1114</v>
      </c>
      <c r="B15" t="b">
        <v>1</v>
      </c>
      <c r="E15" s="80"/>
      <c r="F15" s="15" t="s">
        <v>2121</v>
      </c>
      <c r="G15" s="15" t="s">
        <v>2130</v>
      </c>
      <c r="H15" s="15">
        <v>41</v>
      </c>
    </row>
    <row r="16" spans="1:17" x14ac:dyDescent="0.2">
      <c r="A16" t="s">
        <v>1116</v>
      </c>
      <c r="B16" t="b">
        <v>0</v>
      </c>
      <c r="E16" s="80"/>
      <c r="F16" s="15" t="s">
        <v>2109</v>
      </c>
      <c r="G16" s="15" t="s">
        <v>2134</v>
      </c>
      <c r="H16" s="15">
        <v>101</v>
      </c>
    </row>
    <row r="17" spans="1:11" ht="17" customHeight="1" x14ac:dyDescent="0.2">
      <c r="A17" s="73" t="s">
        <v>2135</v>
      </c>
      <c r="B17" s="74" t="s">
        <v>2128</v>
      </c>
      <c r="E17" s="80"/>
      <c r="F17" s="15" t="s">
        <v>2114</v>
      </c>
      <c r="G17" s="15" t="s">
        <v>2134</v>
      </c>
      <c r="H17" s="15">
        <v>78</v>
      </c>
    </row>
    <row r="18" spans="1:11" ht="17" customHeight="1" x14ac:dyDescent="0.2">
      <c r="A18" s="73" t="s">
        <v>2136</v>
      </c>
      <c r="B18" s="74" t="b">
        <v>1</v>
      </c>
      <c r="E18" s="80"/>
      <c r="F18" s="15" t="s">
        <v>2115</v>
      </c>
      <c r="G18" s="15" t="s">
        <v>2134</v>
      </c>
      <c r="H18" s="15">
        <v>71</v>
      </c>
    </row>
    <row r="19" spans="1:11" ht="17" customHeight="1" x14ac:dyDescent="0.2">
      <c r="A19" s="73"/>
      <c r="B19" s="74"/>
      <c r="E19" s="80"/>
      <c r="F19" s="15" t="s">
        <v>1315</v>
      </c>
      <c r="G19" s="15" t="s">
        <v>2137</v>
      </c>
      <c r="H19" s="15">
        <v>116</v>
      </c>
    </row>
    <row r="20" spans="1:11" x14ac:dyDescent="0.2">
      <c r="A20" s="84" t="s">
        <v>1119</v>
      </c>
      <c r="B20" s="80"/>
      <c r="E20" s="80"/>
      <c r="F20" s="15" t="s">
        <v>2111</v>
      </c>
      <c r="G20" s="15" t="s">
        <v>2137</v>
      </c>
      <c r="H20" s="15">
        <v>85</v>
      </c>
    </row>
    <row r="21" spans="1:11" x14ac:dyDescent="0.2">
      <c r="A21" t="s">
        <v>1121</v>
      </c>
      <c r="E21" s="80"/>
      <c r="F21" s="15" t="s">
        <v>2116</v>
      </c>
      <c r="G21" s="15" t="s">
        <v>2137</v>
      </c>
      <c r="H21" s="15">
        <v>62</v>
      </c>
    </row>
    <row r="22" spans="1:11" x14ac:dyDescent="0.2">
      <c r="E22" s="80"/>
      <c r="F22" s="15" t="s">
        <v>1331</v>
      </c>
      <c r="G22" s="15" t="s">
        <v>2137</v>
      </c>
      <c r="H22" s="15">
        <v>62</v>
      </c>
    </row>
    <row r="23" spans="1:11" x14ac:dyDescent="0.2">
      <c r="A23" s="82" t="s">
        <v>1125</v>
      </c>
      <c r="B23" s="80"/>
      <c r="E23" s="80"/>
      <c r="F23" s="15" t="s">
        <v>2138</v>
      </c>
      <c r="G23" s="15" t="s">
        <v>2137</v>
      </c>
      <c r="H23" s="15">
        <v>57</v>
      </c>
    </row>
    <row r="24" spans="1:11" x14ac:dyDescent="0.2">
      <c r="A24" t="s">
        <v>1135</v>
      </c>
      <c r="E24" s="80"/>
      <c r="F24" s="15" t="s">
        <v>2123</v>
      </c>
      <c r="G24" s="15" t="s">
        <v>2137</v>
      </c>
      <c r="H24" s="15">
        <v>22</v>
      </c>
    </row>
    <row r="25" spans="1:11" x14ac:dyDescent="0.2">
      <c r="E25" s="80"/>
      <c r="F25" s="15" t="s">
        <v>2125</v>
      </c>
      <c r="G25" s="15" t="s">
        <v>2137</v>
      </c>
      <c r="H25" s="15">
        <v>13</v>
      </c>
      <c r="K25" t="s">
        <v>1226</v>
      </c>
    </row>
    <row r="26" spans="1:11" x14ac:dyDescent="0.2">
      <c r="E26" s="80"/>
      <c r="F26" s="15" t="s">
        <v>2105</v>
      </c>
      <c r="G26" s="15" t="s">
        <v>1015</v>
      </c>
      <c r="H26" s="15">
        <v>204</v>
      </c>
    </row>
    <row r="27" spans="1:11" x14ac:dyDescent="0.2">
      <c r="E27" s="80"/>
      <c r="F27" s="15" t="s">
        <v>2110</v>
      </c>
      <c r="G27" s="15" t="s">
        <v>1015</v>
      </c>
      <c r="H27" s="15">
        <v>100</v>
      </c>
    </row>
    <row r="28" spans="1:11" x14ac:dyDescent="0.2">
      <c r="E28" s="80"/>
      <c r="F28" s="15" t="s">
        <v>2113</v>
      </c>
      <c r="G28" s="15" t="s">
        <v>1015</v>
      </c>
      <c r="H28" s="15">
        <v>80</v>
      </c>
    </row>
    <row r="29" spans="1:11" x14ac:dyDescent="0.2">
      <c r="A29" s="82"/>
      <c r="B29" s="80"/>
      <c r="E29" s="80"/>
      <c r="F29" s="15" t="s">
        <v>2122</v>
      </c>
      <c r="G29" s="15" t="s">
        <v>1015</v>
      </c>
      <c r="H29" s="15">
        <v>36</v>
      </c>
    </row>
    <row r="30" spans="1:11" x14ac:dyDescent="0.2">
      <c r="E30" s="80"/>
      <c r="F30" s="15" t="s">
        <v>2124</v>
      </c>
      <c r="G30" s="15" t="s">
        <v>1015</v>
      </c>
      <c r="H30" s="15">
        <v>19</v>
      </c>
    </row>
    <row r="31" spans="1:11" x14ac:dyDescent="0.2">
      <c r="E31" s="80"/>
      <c r="F31" s="15" t="s">
        <v>2126</v>
      </c>
      <c r="G31" s="15" t="s">
        <v>1015</v>
      </c>
      <c r="H31" s="15">
        <v>9</v>
      </c>
    </row>
    <row r="32" spans="1:11" x14ac:dyDescent="0.2">
      <c r="E32" s="80"/>
      <c r="F32" s="15" t="s">
        <v>2127</v>
      </c>
      <c r="G32" s="15" t="s">
        <v>1015</v>
      </c>
      <c r="H32" s="15">
        <v>7</v>
      </c>
    </row>
    <row r="33" spans="1:9" ht="17" customHeight="1" x14ac:dyDescent="0.2">
      <c r="A33" s="73"/>
      <c r="B33" s="74"/>
      <c r="E33" s="80"/>
      <c r="F33" s="15"/>
      <c r="G33" s="15"/>
      <c r="H33" s="15"/>
    </row>
    <row r="34" spans="1:9" ht="17" customHeight="1" x14ac:dyDescent="0.2">
      <c r="A34" s="73"/>
      <c r="B34" s="74"/>
      <c r="E34" s="80"/>
      <c r="F34" s="15"/>
      <c r="G34" s="15"/>
      <c r="H34" s="15"/>
      <c r="I34" s="17"/>
    </row>
    <row r="35" spans="1:9" ht="17" customHeight="1" x14ac:dyDescent="0.2">
      <c r="A35" s="73"/>
      <c r="B35" s="74"/>
      <c r="E35" s="80"/>
      <c r="F35" s="15"/>
      <c r="G35" s="15"/>
      <c r="H35" s="15"/>
      <c r="I35" s="17"/>
    </row>
    <row r="36" spans="1:9" ht="17" customHeight="1" x14ac:dyDescent="0.2">
      <c r="A36" s="73"/>
      <c r="B36" s="74"/>
      <c r="E36" s="80"/>
      <c r="F36" s="15"/>
      <c r="G36" s="15"/>
      <c r="H36" s="15"/>
      <c r="I36" s="17"/>
    </row>
    <row r="37" spans="1:9" ht="17" customHeight="1" x14ac:dyDescent="0.2">
      <c r="A37" s="73"/>
      <c r="B37" s="74"/>
      <c r="E37" s="80"/>
      <c r="F37" s="15"/>
      <c r="G37" s="15"/>
      <c r="H37" s="15"/>
      <c r="I37" s="17"/>
    </row>
    <row r="38" spans="1:9" ht="17" customHeight="1" x14ac:dyDescent="0.2">
      <c r="A38" s="73"/>
      <c r="B38" s="74"/>
      <c r="E38" s="80"/>
    </row>
    <row r="39" spans="1:9" x14ac:dyDescent="0.2">
      <c r="E39" s="80"/>
    </row>
    <row r="40" spans="1:9" x14ac:dyDescent="0.2">
      <c r="E40" s="80"/>
    </row>
    <row r="41" spans="1:9" x14ac:dyDescent="0.2">
      <c r="E41" s="80"/>
    </row>
    <row r="42" spans="1:9" x14ac:dyDescent="0.2">
      <c r="E42" s="80"/>
    </row>
    <row r="43" spans="1:9" x14ac:dyDescent="0.2">
      <c r="E43" s="80"/>
    </row>
    <row r="44" spans="1:9" x14ac:dyDescent="0.2">
      <c r="E44" s="80"/>
    </row>
    <row r="45" spans="1:9" x14ac:dyDescent="0.2">
      <c r="E45" s="80"/>
    </row>
    <row r="46" spans="1:9" x14ac:dyDescent="0.2">
      <c r="E46" s="80"/>
    </row>
    <row r="47" spans="1:9" x14ac:dyDescent="0.2">
      <c r="E47" s="80"/>
    </row>
    <row r="48" spans="1: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649</v>
      </c>
    </row>
    <row r="2" spans="1:10" x14ac:dyDescent="0.2">
      <c r="A2" t="s">
        <v>1078</v>
      </c>
      <c r="B2" t="s">
        <v>1079</v>
      </c>
    </row>
    <row r="3" spans="1:10" x14ac:dyDescent="0.2">
      <c r="A3" t="s">
        <v>1080</v>
      </c>
      <c r="B3" t="str">
        <f>IF($B$1="","",_xlfn.XLOOKUP($B$1,Master!$F$2:$F$321,Master!$G$2:$G$321,""))</f>
        <v>tbl-cas-great-strength-community-longitude</v>
      </c>
    </row>
    <row r="4" spans="1:10" x14ac:dyDescent="0.2">
      <c r="A4" t="s">
        <v>7</v>
      </c>
      <c r="B4" t="str">
        <f>IF($B$1="","",_xlfn.XLOOKUP($B$1,Master!$F$2:$F$321,Master!$H$2:$H$321,""))</f>
        <v>fig-cas-great-strength-community-longitude</v>
      </c>
      <c r="F4" t="s">
        <v>1009</v>
      </c>
      <c r="G4" t="s">
        <v>979</v>
      </c>
      <c r="H4" t="s">
        <v>979</v>
      </c>
      <c r="I4" t="s">
        <v>979</v>
      </c>
      <c r="J4" t="s">
        <v>979</v>
      </c>
    </row>
    <row r="5" spans="1:10" x14ac:dyDescent="0.2">
      <c r="A5" t="s">
        <v>1081</v>
      </c>
      <c r="E5" t="s">
        <v>1082</v>
      </c>
      <c r="F5" t="s">
        <v>2139</v>
      </c>
      <c r="G5" t="s">
        <v>2140</v>
      </c>
      <c r="H5" t="s">
        <v>2141</v>
      </c>
      <c r="I5" t="s">
        <v>2142</v>
      </c>
      <c r="J5" t="s">
        <v>2143</v>
      </c>
    </row>
    <row r="6" spans="1:10" x14ac:dyDescent="0.2">
      <c r="A6" t="s">
        <v>1088</v>
      </c>
      <c r="B6" t="b">
        <v>0</v>
      </c>
      <c r="F6" t="s">
        <v>1015</v>
      </c>
      <c r="G6">
        <v>3.3</v>
      </c>
      <c r="H6">
        <v>1.2</v>
      </c>
      <c r="I6">
        <v>3.8</v>
      </c>
      <c r="J6">
        <v>1.2</v>
      </c>
    </row>
    <row r="7" spans="1:10" x14ac:dyDescent="0.2">
      <c r="F7" t="s">
        <v>2083</v>
      </c>
      <c r="G7">
        <v>3.3</v>
      </c>
      <c r="H7">
        <v>1.2</v>
      </c>
      <c r="I7">
        <v>2.7</v>
      </c>
      <c r="J7">
        <v>1</v>
      </c>
    </row>
    <row r="8" spans="1:10" x14ac:dyDescent="0.2">
      <c r="F8" t="s">
        <v>2082</v>
      </c>
      <c r="G8">
        <v>4.8</v>
      </c>
      <c r="H8">
        <v>1.4</v>
      </c>
      <c r="I8">
        <v>3.5</v>
      </c>
      <c r="J8">
        <v>1.1000000000000001</v>
      </c>
    </row>
    <row r="9" spans="1:10" x14ac:dyDescent="0.2">
      <c r="A9" t="s">
        <v>1098</v>
      </c>
      <c r="F9" t="s">
        <v>2081</v>
      </c>
      <c r="G9">
        <v>9.1999999999999993</v>
      </c>
      <c r="H9">
        <v>1.9</v>
      </c>
      <c r="I9">
        <v>5</v>
      </c>
      <c r="J9">
        <v>1.3</v>
      </c>
    </row>
    <row r="10" spans="1:10" x14ac:dyDescent="0.2">
      <c r="A10" t="s">
        <v>1100</v>
      </c>
      <c r="B10" t="s">
        <v>2144</v>
      </c>
      <c r="F10" t="s">
        <v>2080</v>
      </c>
      <c r="G10">
        <v>4.3</v>
      </c>
      <c r="H10">
        <v>1.3</v>
      </c>
      <c r="I10">
        <v>5.6</v>
      </c>
      <c r="J10">
        <v>1.4</v>
      </c>
    </row>
    <row r="11" spans="1:10" x14ac:dyDescent="0.2">
      <c r="A11" t="s">
        <v>1102</v>
      </c>
      <c r="B11" t="s">
        <v>2139</v>
      </c>
      <c r="F11" t="s">
        <v>2079</v>
      </c>
      <c r="G11">
        <v>6.3</v>
      </c>
      <c r="H11">
        <v>1.6</v>
      </c>
      <c r="I11">
        <v>6.3</v>
      </c>
      <c r="J11">
        <v>1.5</v>
      </c>
    </row>
    <row r="12" spans="1:10" x14ac:dyDescent="0.2">
      <c r="A12" t="s">
        <v>1104</v>
      </c>
      <c r="B12" t="s">
        <v>2145</v>
      </c>
      <c r="F12" t="s">
        <v>2078</v>
      </c>
      <c r="G12">
        <v>9.5</v>
      </c>
      <c r="H12">
        <v>1.9</v>
      </c>
      <c r="I12">
        <v>6.4</v>
      </c>
      <c r="J12">
        <v>1.5</v>
      </c>
    </row>
    <row r="13" spans="1:10" x14ac:dyDescent="0.2">
      <c r="A13" t="s">
        <v>1108</v>
      </c>
      <c r="F13" t="s">
        <v>2077</v>
      </c>
      <c r="G13">
        <v>8.8000000000000007</v>
      </c>
      <c r="H13">
        <v>1.8</v>
      </c>
      <c r="I13">
        <v>7</v>
      </c>
      <c r="J13">
        <v>1.5</v>
      </c>
    </row>
    <row r="14" spans="1:10" x14ac:dyDescent="0.2">
      <c r="A14" t="s">
        <v>1112</v>
      </c>
      <c r="B14" t="s">
        <v>990</v>
      </c>
      <c r="F14" t="s">
        <v>2076</v>
      </c>
      <c r="G14">
        <v>7.2</v>
      </c>
      <c r="H14">
        <v>1.7</v>
      </c>
      <c r="I14">
        <v>7.2</v>
      </c>
      <c r="J14">
        <v>1.6</v>
      </c>
    </row>
    <row r="15" spans="1:10" x14ac:dyDescent="0.2">
      <c r="A15" t="s">
        <v>1114</v>
      </c>
      <c r="B15" t="b">
        <v>1</v>
      </c>
      <c r="F15" t="s">
        <v>2075</v>
      </c>
      <c r="G15">
        <v>6.2</v>
      </c>
      <c r="H15">
        <v>1.6</v>
      </c>
      <c r="I15">
        <v>8.4</v>
      </c>
      <c r="J15">
        <v>1.7</v>
      </c>
    </row>
    <row r="16" spans="1:10" x14ac:dyDescent="0.2">
      <c r="A16" t="s">
        <v>1116</v>
      </c>
      <c r="B16" t="b">
        <v>0</v>
      </c>
      <c r="F16" t="s">
        <v>2074</v>
      </c>
      <c r="G16">
        <v>10.4</v>
      </c>
      <c r="H16">
        <v>2</v>
      </c>
      <c r="I16">
        <v>11.7</v>
      </c>
      <c r="J16">
        <v>1.9</v>
      </c>
    </row>
    <row r="17" spans="1:10" x14ac:dyDescent="0.2">
      <c r="F17" t="s">
        <v>2073</v>
      </c>
      <c r="G17">
        <v>16.3</v>
      </c>
      <c r="H17">
        <v>2.4</v>
      </c>
      <c r="I17">
        <v>13.5</v>
      </c>
      <c r="J17">
        <v>2.1</v>
      </c>
    </row>
    <row r="18" spans="1:10" x14ac:dyDescent="0.2">
      <c r="A18" t="s">
        <v>1119</v>
      </c>
      <c r="F18" t="s">
        <v>2072</v>
      </c>
      <c r="G18">
        <v>20.5</v>
      </c>
      <c r="H18">
        <v>2.6</v>
      </c>
      <c r="I18">
        <v>14.5</v>
      </c>
      <c r="J18">
        <v>2.1</v>
      </c>
    </row>
    <row r="19" spans="1:10" x14ac:dyDescent="0.2">
      <c r="A19" t="s">
        <v>1121</v>
      </c>
      <c r="F19" t="s">
        <v>2070</v>
      </c>
      <c r="G19">
        <v>16.2</v>
      </c>
      <c r="H19">
        <v>2.4</v>
      </c>
      <c r="I19">
        <v>15.4</v>
      </c>
      <c r="J19">
        <v>2.2000000000000002</v>
      </c>
    </row>
    <row r="20" spans="1:10" x14ac:dyDescent="0.2">
      <c r="F20" t="s">
        <v>2069</v>
      </c>
      <c r="G20">
        <v>36.200000000000003</v>
      </c>
      <c r="H20">
        <v>3.1</v>
      </c>
      <c r="I20">
        <v>23.5</v>
      </c>
      <c r="J20">
        <v>2.6</v>
      </c>
    </row>
    <row r="21" spans="1:10" x14ac:dyDescent="0.2">
      <c r="A21" t="s">
        <v>1125</v>
      </c>
      <c r="F21" t="s">
        <v>2068</v>
      </c>
      <c r="G21">
        <v>36.200000000000003</v>
      </c>
      <c r="H21">
        <v>3</v>
      </c>
      <c r="I21">
        <v>23.9</v>
      </c>
      <c r="J21">
        <v>2.6</v>
      </c>
    </row>
    <row r="22" spans="1:10" x14ac:dyDescent="0.2">
      <c r="A22" t="s">
        <v>1135</v>
      </c>
      <c r="B22" t="s">
        <v>2146</v>
      </c>
      <c r="F22" t="s">
        <v>2067</v>
      </c>
      <c r="G22">
        <v>35.299999999999997</v>
      </c>
      <c r="H22">
        <v>3.1</v>
      </c>
      <c r="I22">
        <v>28.6</v>
      </c>
      <c r="J22">
        <v>2.7</v>
      </c>
    </row>
    <row r="23" spans="1:10" x14ac:dyDescent="0.2">
      <c r="F23" t="s">
        <v>2066</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652</v>
      </c>
    </row>
    <row r="2" spans="1:10" x14ac:dyDescent="0.2">
      <c r="A2" t="s">
        <v>1078</v>
      </c>
      <c r="B2" t="s">
        <v>1079</v>
      </c>
    </row>
    <row r="3" spans="1:10" x14ac:dyDescent="0.2">
      <c r="A3" t="s">
        <v>1080</v>
      </c>
      <c r="B3" t="str">
        <f>IF($B$1="","",_xlfn.XLOOKUP($B$1,Master!$F$2:$F$321,Master!$G$2:$G$321,""))</f>
        <v>tbl-cas-focus-resources-improve-life-longitude</v>
      </c>
    </row>
    <row r="4" spans="1:10" x14ac:dyDescent="0.2">
      <c r="A4" t="s">
        <v>7</v>
      </c>
      <c r="B4" t="str">
        <f>IF($B$1="","",_xlfn.XLOOKUP($B$1,Master!$F$2:$F$321,Master!$H$2:$H$321,""))</f>
        <v>fig-cas-focus-resources-improve-life-longitude</v>
      </c>
      <c r="F4" t="s">
        <v>1009</v>
      </c>
      <c r="G4" t="s">
        <v>979</v>
      </c>
      <c r="H4" t="s">
        <v>979</v>
      </c>
      <c r="I4" t="s">
        <v>979</v>
      </c>
      <c r="J4" t="s">
        <v>979</v>
      </c>
    </row>
    <row r="5" spans="1:10" x14ac:dyDescent="0.2">
      <c r="A5" t="s">
        <v>1081</v>
      </c>
      <c r="E5" t="s">
        <v>1082</v>
      </c>
      <c r="F5" t="s">
        <v>2085</v>
      </c>
      <c r="G5" t="s">
        <v>2140</v>
      </c>
      <c r="H5" t="s">
        <v>2141</v>
      </c>
      <c r="I5" t="s">
        <v>2142</v>
      </c>
      <c r="J5" t="s">
        <v>2143</v>
      </c>
    </row>
    <row r="6" spans="1:10" x14ac:dyDescent="0.2">
      <c r="A6" t="s">
        <v>1088</v>
      </c>
      <c r="B6" t="b">
        <v>0</v>
      </c>
      <c r="F6" t="s">
        <v>1015</v>
      </c>
      <c r="G6">
        <v>1.9</v>
      </c>
      <c r="H6">
        <v>0.9</v>
      </c>
      <c r="I6">
        <v>6.4</v>
      </c>
      <c r="J6">
        <v>1.5</v>
      </c>
    </row>
    <row r="7" spans="1:10" x14ac:dyDescent="0.2">
      <c r="F7" t="s">
        <v>2083</v>
      </c>
      <c r="G7">
        <v>4.4000000000000004</v>
      </c>
      <c r="H7">
        <v>1.3</v>
      </c>
      <c r="I7">
        <v>2.8</v>
      </c>
      <c r="J7">
        <v>1</v>
      </c>
    </row>
    <row r="8" spans="1:10" x14ac:dyDescent="0.2">
      <c r="F8" t="s">
        <v>2082</v>
      </c>
      <c r="G8">
        <v>11.4</v>
      </c>
      <c r="H8">
        <v>2</v>
      </c>
      <c r="I8">
        <v>5.4</v>
      </c>
      <c r="J8">
        <v>1.4</v>
      </c>
    </row>
    <row r="9" spans="1:10" x14ac:dyDescent="0.2">
      <c r="A9" t="s">
        <v>1098</v>
      </c>
      <c r="F9" t="s">
        <v>2081</v>
      </c>
      <c r="G9">
        <v>6.7</v>
      </c>
      <c r="H9">
        <v>1.6</v>
      </c>
      <c r="I9">
        <v>6.2</v>
      </c>
      <c r="J9">
        <v>1.5</v>
      </c>
    </row>
    <row r="10" spans="1:10" x14ac:dyDescent="0.2">
      <c r="A10" t="s">
        <v>1100</v>
      </c>
      <c r="B10" t="s">
        <v>2144</v>
      </c>
      <c r="F10" t="s">
        <v>2080</v>
      </c>
      <c r="G10">
        <v>11.5</v>
      </c>
      <c r="H10">
        <v>2</v>
      </c>
      <c r="I10">
        <v>7.5</v>
      </c>
      <c r="J10">
        <v>1.6</v>
      </c>
    </row>
    <row r="11" spans="1:10" x14ac:dyDescent="0.2">
      <c r="A11" t="s">
        <v>1102</v>
      </c>
      <c r="B11" t="s">
        <v>2085</v>
      </c>
      <c r="F11" t="s">
        <v>2079</v>
      </c>
      <c r="G11">
        <v>13.2</v>
      </c>
      <c r="H11">
        <v>2.2000000000000002</v>
      </c>
      <c r="I11">
        <v>7.7</v>
      </c>
      <c r="J11">
        <v>1.6</v>
      </c>
    </row>
    <row r="12" spans="1:10" x14ac:dyDescent="0.2">
      <c r="A12" t="s">
        <v>1104</v>
      </c>
      <c r="B12" t="s">
        <v>2145</v>
      </c>
      <c r="F12" t="s">
        <v>2078</v>
      </c>
      <c r="G12">
        <v>11.3</v>
      </c>
      <c r="H12">
        <v>2</v>
      </c>
      <c r="I12">
        <v>7.9</v>
      </c>
      <c r="J12">
        <v>1.6</v>
      </c>
    </row>
    <row r="13" spans="1:10" x14ac:dyDescent="0.2">
      <c r="A13" t="s">
        <v>1108</v>
      </c>
      <c r="F13" t="s">
        <v>2077</v>
      </c>
      <c r="G13">
        <v>12.6</v>
      </c>
      <c r="H13">
        <v>2.1</v>
      </c>
      <c r="I13">
        <v>8.6999999999999993</v>
      </c>
      <c r="J13">
        <v>1.7</v>
      </c>
    </row>
    <row r="14" spans="1:10" x14ac:dyDescent="0.2">
      <c r="A14" t="s">
        <v>1112</v>
      </c>
      <c r="B14" t="s">
        <v>990</v>
      </c>
      <c r="F14" t="s">
        <v>2076</v>
      </c>
      <c r="G14">
        <v>13.6</v>
      </c>
      <c r="H14">
        <v>2.2000000000000002</v>
      </c>
      <c r="I14">
        <v>8.8000000000000007</v>
      </c>
      <c r="J14">
        <v>1.7</v>
      </c>
    </row>
    <row r="15" spans="1:10" x14ac:dyDescent="0.2">
      <c r="A15" t="s">
        <v>1114</v>
      </c>
      <c r="B15" t="b">
        <v>1</v>
      </c>
      <c r="F15" t="s">
        <v>2075</v>
      </c>
      <c r="G15">
        <v>15.9</v>
      </c>
      <c r="H15">
        <v>2.2999999999999998</v>
      </c>
      <c r="I15">
        <v>9.5</v>
      </c>
      <c r="J15">
        <v>1.8</v>
      </c>
    </row>
    <row r="16" spans="1:10" x14ac:dyDescent="0.2">
      <c r="A16" t="s">
        <v>1116</v>
      </c>
      <c r="B16" t="b">
        <v>0</v>
      </c>
      <c r="F16" t="s">
        <v>2074</v>
      </c>
      <c r="G16">
        <v>10.5</v>
      </c>
      <c r="H16">
        <v>2</v>
      </c>
      <c r="I16">
        <v>11.4</v>
      </c>
      <c r="J16">
        <v>1.9</v>
      </c>
    </row>
    <row r="17" spans="1:10" x14ac:dyDescent="0.2">
      <c r="F17" t="s">
        <v>2073</v>
      </c>
      <c r="G17">
        <v>16.8</v>
      </c>
      <c r="H17">
        <v>2.4</v>
      </c>
      <c r="I17">
        <v>13.4</v>
      </c>
      <c r="J17">
        <v>2.1</v>
      </c>
    </row>
    <row r="18" spans="1:10" x14ac:dyDescent="0.2">
      <c r="A18" t="s">
        <v>1119</v>
      </c>
      <c r="F18" t="s">
        <v>2072</v>
      </c>
      <c r="G18">
        <v>17.5</v>
      </c>
      <c r="H18">
        <v>2.4</v>
      </c>
      <c r="I18">
        <v>15</v>
      </c>
      <c r="J18">
        <v>2.2000000000000002</v>
      </c>
    </row>
    <row r="19" spans="1:10" x14ac:dyDescent="0.2">
      <c r="A19" t="s">
        <v>1121</v>
      </c>
      <c r="F19" t="s">
        <v>2070</v>
      </c>
      <c r="G19">
        <v>22.7</v>
      </c>
      <c r="H19">
        <v>2.7</v>
      </c>
      <c r="I19">
        <v>15.5</v>
      </c>
      <c r="J19">
        <v>2.2000000000000002</v>
      </c>
    </row>
    <row r="20" spans="1:10" x14ac:dyDescent="0.2">
      <c r="F20" t="s">
        <v>2069</v>
      </c>
      <c r="G20">
        <v>16.100000000000001</v>
      </c>
      <c r="H20">
        <v>2.4</v>
      </c>
      <c r="I20">
        <v>16.8</v>
      </c>
      <c r="J20">
        <v>2.2999999999999998</v>
      </c>
    </row>
    <row r="21" spans="1:10" x14ac:dyDescent="0.2">
      <c r="A21" t="s">
        <v>1125</v>
      </c>
      <c r="F21" t="s">
        <v>2068</v>
      </c>
      <c r="G21">
        <v>25</v>
      </c>
      <c r="H21">
        <v>2.8</v>
      </c>
      <c r="I21">
        <v>19.7</v>
      </c>
      <c r="J21">
        <v>2.4</v>
      </c>
    </row>
    <row r="22" spans="1:10" x14ac:dyDescent="0.2">
      <c r="A22" t="s">
        <v>1135</v>
      </c>
      <c r="B22" t="s">
        <v>2147</v>
      </c>
      <c r="F22" t="s">
        <v>2067</v>
      </c>
      <c r="G22">
        <v>26.4</v>
      </c>
      <c r="H22">
        <v>2.8</v>
      </c>
      <c r="I22">
        <v>28.8</v>
      </c>
      <c r="J22">
        <v>2.7</v>
      </c>
    </row>
    <row r="23" spans="1:10" x14ac:dyDescent="0.2">
      <c r="F23" t="s">
        <v>2066</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655</v>
      </c>
    </row>
    <row r="2" spans="1:10" x14ac:dyDescent="0.2">
      <c r="A2" t="s">
        <v>1078</v>
      </c>
      <c r="B2" t="s">
        <v>1079</v>
      </c>
    </row>
    <row r="3" spans="1:10" x14ac:dyDescent="0.2">
      <c r="A3" t="s">
        <v>1080</v>
      </c>
      <c r="B3" t="str">
        <f>IF($B$1="","",_xlfn.XLOOKUP($B$1,Master!$F$2:$F$321,Master!$G$2:$G$321,""))</f>
        <v>tbl-cas-important-health-issues-longitude</v>
      </c>
    </row>
    <row r="4" spans="1:10" x14ac:dyDescent="0.2">
      <c r="A4" t="s">
        <v>7</v>
      </c>
      <c r="B4" t="str">
        <f>IF($B$1="","",_xlfn.XLOOKUP($B$1,Master!$F$2:$F$321,Master!$H$2:$H$321,""))</f>
        <v>fig-cas-important-health-issues-longitude</v>
      </c>
      <c r="F4" t="s">
        <v>1009</v>
      </c>
      <c r="G4" t="s">
        <v>979</v>
      </c>
      <c r="H4" t="s">
        <v>979</v>
      </c>
      <c r="I4" t="s">
        <v>979</v>
      </c>
      <c r="J4" t="s">
        <v>979</v>
      </c>
    </row>
    <row r="5" spans="1:10" x14ac:dyDescent="0.2">
      <c r="A5" t="s">
        <v>1081</v>
      </c>
      <c r="E5" t="s">
        <v>1082</v>
      </c>
      <c r="F5" t="s">
        <v>2102</v>
      </c>
      <c r="G5" t="s">
        <v>2140</v>
      </c>
      <c r="H5" t="s">
        <v>2141</v>
      </c>
      <c r="I5" t="s">
        <v>2142</v>
      </c>
      <c r="J5" t="s">
        <v>2143</v>
      </c>
    </row>
    <row r="6" spans="1:10" x14ac:dyDescent="0.2">
      <c r="A6" t="s">
        <v>1088</v>
      </c>
      <c r="B6" t="b">
        <v>0</v>
      </c>
      <c r="F6" t="s">
        <v>1015</v>
      </c>
      <c r="G6">
        <v>2</v>
      </c>
      <c r="H6">
        <v>0.9</v>
      </c>
      <c r="I6">
        <v>3.2</v>
      </c>
      <c r="J6">
        <v>1.1000000000000001</v>
      </c>
    </row>
    <row r="7" spans="1:10" x14ac:dyDescent="0.2">
      <c r="F7" t="s">
        <v>2127</v>
      </c>
      <c r="G7">
        <v>1</v>
      </c>
      <c r="H7">
        <v>0.6</v>
      </c>
      <c r="I7">
        <v>0.7</v>
      </c>
      <c r="J7">
        <v>0.5</v>
      </c>
    </row>
    <row r="8" spans="1:10" x14ac:dyDescent="0.2">
      <c r="F8" t="s">
        <v>2126</v>
      </c>
      <c r="G8">
        <v>1.5</v>
      </c>
      <c r="H8">
        <v>0.8</v>
      </c>
      <c r="I8">
        <v>0.9</v>
      </c>
      <c r="J8">
        <v>0.6</v>
      </c>
    </row>
    <row r="9" spans="1:10" x14ac:dyDescent="0.2">
      <c r="A9" t="s">
        <v>1098</v>
      </c>
      <c r="F9" t="s">
        <v>2125</v>
      </c>
      <c r="G9">
        <v>1</v>
      </c>
      <c r="H9">
        <v>0.6</v>
      </c>
      <c r="I9">
        <v>1.2</v>
      </c>
      <c r="J9">
        <v>0.7</v>
      </c>
    </row>
    <row r="10" spans="1:10" x14ac:dyDescent="0.2">
      <c r="A10" t="s">
        <v>1100</v>
      </c>
      <c r="B10" t="s">
        <v>2144</v>
      </c>
      <c r="F10" t="s">
        <v>2124</v>
      </c>
      <c r="G10">
        <v>5.5</v>
      </c>
      <c r="H10">
        <v>1.5</v>
      </c>
      <c r="I10">
        <v>1.8</v>
      </c>
      <c r="J10">
        <v>0.8</v>
      </c>
    </row>
    <row r="11" spans="1:10" x14ac:dyDescent="0.2">
      <c r="A11" t="s">
        <v>1102</v>
      </c>
      <c r="B11" t="s">
        <v>2102</v>
      </c>
      <c r="F11" t="s">
        <v>2123</v>
      </c>
      <c r="G11">
        <v>2</v>
      </c>
      <c r="H11">
        <v>0.9</v>
      </c>
      <c r="I11">
        <v>2.1</v>
      </c>
      <c r="J11">
        <v>0.9</v>
      </c>
    </row>
    <row r="12" spans="1:10" x14ac:dyDescent="0.2">
      <c r="A12" t="s">
        <v>1104</v>
      </c>
      <c r="B12" t="s">
        <v>2145</v>
      </c>
      <c r="F12" t="s">
        <v>2122</v>
      </c>
      <c r="G12">
        <v>3.8</v>
      </c>
      <c r="H12">
        <v>1.2</v>
      </c>
      <c r="I12">
        <v>3.4</v>
      </c>
      <c r="J12">
        <v>1.1000000000000001</v>
      </c>
    </row>
    <row r="13" spans="1:10" x14ac:dyDescent="0.2">
      <c r="A13" t="s">
        <v>1108</v>
      </c>
      <c r="F13" t="s">
        <v>2121</v>
      </c>
      <c r="G13">
        <v>4.2</v>
      </c>
      <c r="H13">
        <v>1.3</v>
      </c>
      <c r="I13">
        <v>3.9</v>
      </c>
      <c r="J13">
        <v>1.2</v>
      </c>
    </row>
    <row r="14" spans="1:10" x14ac:dyDescent="0.2">
      <c r="A14" t="s">
        <v>1112</v>
      </c>
      <c r="B14" t="s">
        <v>990</v>
      </c>
      <c r="F14" t="s">
        <v>1334</v>
      </c>
      <c r="G14">
        <v>6.6</v>
      </c>
      <c r="H14">
        <v>1.6</v>
      </c>
      <c r="I14">
        <v>4.3</v>
      </c>
      <c r="J14">
        <v>1.2</v>
      </c>
    </row>
    <row r="15" spans="1:10" x14ac:dyDescent="0.2">
      <c r="A15" t="s">
        <v>1114</v>
      </c>
      <c r="B15" t="b">
        <v>1</v>
      </c>
      <c r="F15" t="s">
        <v>2120</v>
      </c>
      <c r="G15">
        <v>7</v>
      </c>
      <c r="H15">
        <v>1.6</v>
      </c>
      <c r="I15">
        <v>5.3</v>
      </c>
      <c r="J15">
        <v>1.4</v>
      </c>
    </row>
    <row r="16" spans="1:10" x14ac:dyDescent="0.2">
      <c r="A16" t="s">
        <v>1116</v>
      </c>
      <c r="B16" t="b">
        <v>0</v>
      </c>
      <c r="F16" t="s">
        <v>2119</v>
      </c>
      <c r="G16">
        <v>7</v>
      </c>
      <c r="H16">
        <v>1.6</v>
      </c>
      <c r="I16">
        <v>5.4</v>
      </c>
      <c r="J16">
        <v>1.4</v>
      </c>
    </row>
    <row r="17" spans="1:10" x14ac:dyDescent="0.2">
      <c r="F17" t="s">
        <v>2118</v>
      </c>
      <c r="G17">
        <v>7.7</v>
      </c>
      <c r="H17">
        <v>1.7</v>
      </c>
      <c r="I17">
        <v>5.7</v>
      </c>
      <c r="J17">
        <v>1.4</v>
      </c>
    </row>
    <row r="18" spans="1:10" x14ac:dyDescent="0.2">
      <c r="A18" t="s">
        <v>1119</v>
      </c>
      <c r="F18" t="s">
        <v>1331</v>
      </c>
      <c r="G18">
        <v>5.9</v>
      </c>
      <c r="H18">
        <v>1.5</v>
      </c>
      <c r="I18">
        <v>5.9</v>
      </c>
      <c r="J18">
        <v>1.4</v>
      </c>
    </row>
    <row r="19" spans="1:10" x14ac:dyDescent="0.2">
      <c r="A19" t="s">
        <v>1121</v>
      </c>
      <c r="F19" t="s">
        <v>2116</v>
      </c>
      <c r="G19">
        <v>7.8</v>
      </c>
      <c r="H19">
        <v>1.7</v>
      </c>
      <c r="I19">
        <v>5.9</v>
      </c>
      <c r="J19">
        <v>1.4</v>
      </c>
    </row>
    <row r="20" spans="1:10" x14ac:dyDescent="0.2">
      <c r="F20" t="s">
        <v>2115</v>
      </c>
      <c r="G20">
        <v>7.4</v>
      </c>
      <c r="H20">
        <v>1.7</v>
      </c>
      <c r="I20">
        <v>6.8</v>
      </c>
      <c r="J20">
        <v>1.5</v>
      </c>
    </row>
    <row r="21" spans="1:10" x14ac:dyDescent="0.2">
      <c r="A21" t="s">
        <v>1125</v>
      </c>
      <c r="F21" t="s">
        <v>2114</v>
      </c>
      <c r="G21">
        <v>8.5</v>
      </c>
      <c r="H21">
        <v>1.7</v>
      </c>
      <c r="I21">
        <v>7.4</v>
      </c>
      <c r="J21">
        <v>1.6</v>
      </c>
    </row>
    <row r="22" spans="1:10" x14ac:dyDescent="0.2">
      <c r="A22" t="s">
        <v>1135</v>
      </c>
      <c r="B22" t="s">
        <v>2148</v>
      </c>
      <c r="F22" t="s">
        <v>2113</v>
      </c>
      <c r="G22">
        <v>8.1</v>
      </c>
      <c r="H22">
        <v>1.7</v>
      </c>
      <c r="I22">
        <v>7.6</v>
      </c>
      <c r="J22">
        <v>1.6</v>
      </c>
    </row>
    <row r="23" spans="1:10" x14ac:dyDescent="0.2">
      <c r="F23" t="s">
        <v>2112</v>
      </c>
      <c r="G23">
        <v>8.5</v>
      </c>
      <c r="H23">
        <v>1.8</v>
      </c>
      <c r="I23">
        <v>7.9</v>
      </c>
      <c r="J23">
        <v>1.6</v>
      </c>
    </row>
    <row r="24" spans="1:10" x14ac:dyDescent="0.2">
      <c r="F24" t="s">
        <v>2111</v>
      </c>
      <c r="G24">
        <v>9.9</v>
      </c>
      <c r="H24">
        <v>1.9</v>
      </c>
      <c r="I24">
        <v>8.1</v>
      </c>
      <c r="J24">
        <v>1.6</v>
      </c>
    </row>
    <row r="25" spans="1:10" x14ac:dyDescent="0.2">
      <c r="F25" t="s">
        <v>2110</v>
      </c>
      <c r="G25">
        <v>11.8</v>
      </c>
      <c r="H25">
        <v>2.1</v>
      </c>
      <c r="I25">
        <v>9.5</v>
      </c>
      <c r="J25">
        <v>1.8</v>
      </c>
    </row>
    <row r="26" spans="1:10" x14ac:dyDescent="0.2">
      <c r="F26" t="s">
        <v>2109</v>
      </c>
      <c r="G26">
        <v>11.2</v>
      </c>
      <c r="H26">
        <v>2</v>
      </c>
      <c r="I26">
        <v>9.6</v>
      </c>
      <c r="J26">
        <v>1.8</v>
      </c>
    </row>
    <row r="27" spans="1:10" x14ac:dyDescent="0.2">
      <c r="F27" t="s">
        <v>1315</v>
      </c>
      <c r="G27">
        <v>9.3000000000000007</v>
      </c>
      <c r="H27">
        <v>1.9</v>
      </c>
      <c r="I27">
        <v>11</v>
      </c>
      <c r="J27">
        <v>1.9</v>
      </c>
    </row>
    <row r="28" spans="1:10" x14ac:dyDescent="0.2">
      <c r="F28" t="s">
        <v>2108</v>
      </c>
      <c r="G28">
        <v>14.5</v>
      </c>
      <c r="H28">
        <v>2.2999999999999998</v>
      </c>
      <c r="I28">
        <v>12.1</v>
      </c>
      <c r="J28">
        <v>2</v>
      </c>
    </row>
    <row r="29" spans="1:10" x14ac:dyDescent="0.2">
      <c r="F29" t="s">
        <v>2107</v>
      </c>
      <c r="G29">
        <v>17.8</v>
      </c>
      <c r="H29">
        <v>2.5</v>
      </c>
      <c r="I29">
        <v>15.8</v>
      </c>
      <c r="J29">
        <v>2.2000000000000002</v>
      </c>
    </row>
    <row r="30" spans="1:10" x14ac:dyDescent="0.2">
      <c r="F30" t="s">
        <v>2106</v>
      </c>
      <c r="G30">
        <v>10</v>
      </c>
      <c r="H30">
        <v>1.9</v>
      </c>
      <c r="I30">
        <v>16.5</v>
      </c>
      <c r="J30">
        <v>2.2000000000000002</v>
      </c>
    </row>
    <row r="31" spans="1:10" x14ac:dyDescent="0.2">
      <c r="F31" t="s">
        <v>2105</v>
      </c>
      <c r="G31">
        <v>21.2</v>
      </c>
      <c r="H31">
        <v>2.6</v>
      </c>
      <c r="I31">
        <v>19.399999999999999</v>
      </c>
      <c r="J31">
        <v>2.4</v>
      </c>
    </row>
    <row r="32" spans="1:10" x14ac:dyDescent="0.2">
      <c r="F32" t="s">
        <v>2104</v>
      </c>
      <c r="G32">
        <v>42.5</v>
      </c>
      <c r="H32">
        <v>3.2</v>
      </c>
      <c r="I32">
        <v>23.1</v>
      </c>
      <c r="J32">
        <v>2.5</v>
      </c>
    </row>
    <row r="33" spans="6:10" x14ac:dyDescent="0.2">
      <c r="F33" t="s">
        <v>2103</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tbl-health-problem-fix-first</v>
      </c>
    </row>
    <row r="4" spans="1:17" x14ac:dyDescent="0.2">
      <c r="A4" s="16" t="s">
        <v>7</v>
      </c>
      <c r="B4" t="str">
        <f>IF($B$1="","",_xlfn.XLOOKUP($B$1,Master!$F$2:$F$321,Master!$H$2:$H$321,""))</f>
        <v>fig-health-problem-fix-first</v>
      </c>
      <c r="E4" s="8"/>
      <c r="F4" s="10" t="s">
        <v>1009</v>
      </c>
      <c r="G4" s="10" t="s">
        <v>979</v>
      </c>
      <c r="H4" s="10"/>
      <c r="I4" s="10"/>
      <c r="J4" s="10"/>
      <c r="K4" s="10"/>
      <c r="L4" s="10"/>
      <c r="M4" s="10"/>
      <c r="N4" s="10"/>
      <c r="O4" s="10"/>
      <c r="P4" s="10"/>
      <c r="Q4" s="10"/>
    </row>
    <row r="5" spans="1:17" x14ac:dyDescent="0.2">
      <c r="A5" s="84" t="s">
        <v>1081</v>
      </c>
      <c r="B5" s="80"/>
      <c r="E5" s="83" t="s">
        <v>1082</v>
      </c>
      <c r="F5" t="s">
        <v>2149</v>
      </c>
      <c r="G5" t="s">
        <v>2150</v>
      </c>
    </row>
    <row r="6" spans="1:17" ht="15" customHeight="1" x14ac:dyDescent="0.2">
      <c r="A6" t="s">
        <v>1088</v>
      </c>
      <c r="B6" t="b">
        <v>0</v>
      </c>
      <c r="E6" s="80"/>
      <c r="F6" t="s">
        <v>2151</v>
      </c>
      <c r="G6" s="15">
        <v>26.9</v>
      </c>
      <c r="H6" s="15"/>
      <c r="I6" s="15"/>
      <c r="J6" s="15"/>
      <c r="K6" s="15"/>
      <c r="L6" s="15"/>
      <c r="M6" s="15"/>
      <c r="N6" s="15"/>
      <c r="O6" s="15"/>
    </row>
    <row r="7" spans="1:17" ht="15.75" customHeight="1" x14ac:dyDescent="0.2">
      <c r="E7" s="80"/>
      <c r="F7" t="s">
        <v>1315</v>
      </c>
      <c r="G7" s="15">
        <v>15.3</v>
      </c>
      <c r="H7" s="15"/>
      <c r="I7" s="15"/>
      <c r="J7" s="15"/>
      <c r="K7" s="15"/>
      <c r="L7" s="15"/>
      <c r="M7" s="15"/>
      <c r="N7" s="15"/>
      <c r="O7" s="15"/>
    </row>
    <row r="8" spans="1:17" x14ac:dyDescent="0.2">
      <c r="E8" s="80"/>
      <c r="F8" t="s">
        <v>2152</v>
      </c>
      <c r="G8" s="15">
        <v>9.4</v>
      </c>
      <c r="H8" s="15"/>
      <c r="I8" s="15"/>
      <c r="J8" s="15"/>
      <c r="K8" s="15"/>
      <c r="L8" s="15"/>
      <c r="M8" s="15"/>
      <c r="N8" s="15"/>
      <c r="O8" s="15"/>
    </row>
    <row r="9" spans="1:17" x14ac:dyDescent="0.2">
      <c r="A9" s="84" t="s">
        <v>1098</v>
      </c>
      <c r="B9" s="80"/>
      <c r="E9" s="80"/>
      <c r="F9" t="s">
        <v>2153</v>
      </c>
      <c r="G9" s="15">
        <v>40.1</v>
      </c>
      <c r="H9" s="15"/>
      <c r="I9" s="15"/>
      <c r="J9" s="15"/>
      <c r="K9" s="15"/>
      <c r="L9" s="15"/>
      <c r="M9" s="15"/>
      <c r="N9" s="15"/>
      <c r="O9" s="15"/>
    </row>
    <row r="10" spans="1:17" x14ac:dyDescent="0.2">
      <c r="A10" t="s">
        <v>1100</v>
      </c>
      <c r="B10" t="s">
        <v>1758</v>
      </c>
      <c r="E10" s="80"/>
      <c r="F10" t="s">
        <v>1334</v>
      </c>
      <c r="G10" s="15">
        <v>8.3000000000000007</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2154</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2155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tbl-siena-demographic-break-down</v>
      </c>
    </row>
    <row r="4" spans="1:17" x14ac:dyDescent="0.2">
      <c r="A4" s="16" t="s">
        <v>7</v>
      </c>
      <c r="B4" t="str">
        <f>IF($B$1="","",_xlfn.XLOOKUP($B$1,Master!$F$2:$F$321,Master!$H$2:$H$321,""))</f>
        <v>fig-siena-demographic-break-down</v>
      </c>
      <c r="E4" s="8"/>
      <c r="F4" s="10" t="s">
        <v>1009</v>
      </c>
      <c r="G4" s="10" t="s">
        <v>968</v>
      </c>
      <c r="H4" s="10"/>
      <c r="I4" s="10"/>
      <c r="J4" s="10"/>
      <c r="K4" s="10"/>
      <c r="L4" s="10"/>
      <c r="M4" s="10"/>
      <c r="N4" s="10"/>
      <c r="O4" s="10"/>
      <c r="P4" s="10"/>
      <c r="Q4" s="10"/>
    </row>
    <row r="5" spans="1:17" x14ac:dyDescent="0.2">
      <c r="A5" s="84" t="s">
        <v>1081</v>
      </c>
      <c r="B5" s="80"/>
      <c r="E5" s="83" t="s">
        <v>1082</v>
      </c>
      <c r="F5" s="16" t="s">
        <v>2156</v>
      </c>
      <c r="G5" s="15">
        <v>900</v>
      </c>
    </row>
    <row r="6" spans="1:17" ht="15" customHeight="1" x14ac:dyDescent="0.2">
      <c r="A6" t="s">
        <v>1088</v>
      </c>
      <c r="B6" t="b">
        <v>0</v>
      </c>
      <c r="E6" s="80"/>
      <c r="F6" s="16" t="s">
        <v>1980</v>
      </c>
      <c r="G6" s="60" t="s">
        <v>1344</v>
      </c>
      <c r="I6" s="15"/>
      <c r="J6" s="15"/>
      <c r="K6" s="15"/>
      <c r="L6" s="15"/>
      <c r="M6" s="15"/>
      <c r="N6" s="15"/>
      <c r="O6" s="15"/>
    </row>
    <row r="7" spans="1:17" ht="15.75" customHeight="1" x14ac:dyDescent="0.2">
      <c r="E7" s="80"/>
      <c r="F7" s="47" t="s">
        <v>1305</v>
      </c>
      <c r="G7" s="15">
        <v>48</v>
      </c>
      <c r="I7" s="15"/>
      <c r="J7" s="63"/>
      <c r="K7" s="15"/>
      <c r="L7" s="15"/>
      <c r="M7" s="15"/>
      <c r="N7" s="15"/>
      <c r="O7" s="15"/>
    </row>
    <row r="8" spans="1:17" x14ac:dyDescent="0.2">
      <c r="E8" s="80"/>
      <c r="F8" s="47" t="s">
        <v>1095</v>
      </c>
      <c r="G8" s="15">
        <v>48</v>
      </c>
      <c r="I8" s="15"/>
      <c r="J8" s="63"/>
      <c r="K8" s="15"/>
      <c r="L8" s="15"/>
      <c r="M8" s="15"/>
      <c r="N8" s="15"/>
      <c r="O8" s="15"/>
    </row>
    <row r="9" spans="1:17" x14ac:dyDescent="0.2">
      <c r="A9" s="84" t="s">
        <v>1098</v>
      </c>
      <c r="B9" s="80"/>
      <c r="E9" s="80"/>
      <c r="F9" s="16" t="s">
        <v>1085</v>
      </c>
      <c r="G9" s="60" t="s">
        <v>1344</v>
      </c>
      <c r="I9" s="15"/>
      <c r="J9" s="60"/>
      <c r="K9" s="15"/>
      <c r="L9" s="15"/>
      <c r="M9" s="15"/>
      <c r="N9" s="15"/>
      <c r="O9" s="15"/>
    </row>
    <row r="10" spans="1:17" x14ac:dyDescent="0.2">
      <c r="A10" t="s">
        <v>1100</v>
      </c>
      <c r="E10" s="80"/>
      <c r="F10" s="47" t="s">
        <v>2157</v>
      </c>
      <c r="G10" s="15">
        <v>29</v>
      </c>
      <c r="J10" s="63"/>
    </row>
    <row r="11" spans="1:17" x14ac:dyDescent="0.2">
      <c r="A11" t="s">
        <v>1102</v>
      </c>
      <c r="E11" s="80"/>
      <c r="F11" s="47" t="s">
        <v>2158</v>
      </c>
      <c r="G11" s="15">
        <v>36</v>
      </c>
      <c r="I11" s="15"/>
      <c r="J11" s="63"/>
      <c r="K11" s="17"/>
      <c r="L11" s="17"/>
      <c r="M11" s="17"/>
      <c r="N11" s="17"/>
    </row>
    <row r="12" spans="1:17" x14ac:dyDescent="0.2">
      <c r="A12" t="s">
        <v>1104</v>
      </c>
      <c r="E12" s="80"/>
      <c r="F12" s="48" t="s">
        <v>2159</v>
      </c>
      <c r="G12" s="17">
        <v>33</v>
      </c>
      <c r="I12" s="15"/>
      <c r="J12" s="65"/>
      <c r="K12" s="15"/>
      <c r="L12" s="15"/>
    </row>
    <row r="13" spans="1:17" x14ac:dyDescent="0.2">
      <c r="A13" t="s">
        <v>1108</v>
      </c>
      <c r="E13" s="80"/>
      <c r="F13" s="16" t="s">
        <v>2160</v>
      </c>
      <c r="G13" s="60" t="s">
        <v>1344</v>
      </c>
      <c r="J13" s="60"/>
    </row>
    <row r="14" spans="1:17" x14ac:dyDescent="0.2">
      <c r="A14" t="s">
        <v>1112</v>
      </c>
      <c r="E14" s="80"/>
      <c r="F14" s="47" t="s">
        <v>1381</v>
      </c>
      <c r="G14" s="15">
        <v>64</v>
      </c>
      <c r="J14" s="63"/>
    </row>
    <row r="15" spans="1:17" x14ac:dyDescent="0.2">
      <c r="A15" t="s">
        <v>1114</v>
      </c>
      <c r="E15" s="80"/>
      <c r="F15" s="47" t="s">
        <v>2161</v>
      </c>
      <c r="G15" s="15">
        <v>20</v>
      </c>
      <c r="J15" s="63"/>
    </row>
    <row r="16" spans="1:17" x14ac:dyDescent="0.2">
      <c r="A16" t="s">
        <v>1116</v>
      </c>
      <c r="E16" s="80"/>
      <c r="F16" s="47" t="s">
        <v>2162</v>
      </c>
      <c r="G16" s="15">
        <v>11</v>
      </c>
      <c r="J16" s="63"/>
    </row>
    <row r="17" spans="1:11" x14ac:dyDescent="0.2">
      <c r="E17" s="80"/>
      <c r="F17" s="16" t="s">
        <v>2163</v>
      </c>
      <c r="G17" s="60" t="s">
        <v>1344</v>
      </c>
      <c r="J17" s="60"/>
    </row>
    <row r="18" spans="1:11" x14ac:dyDescent="0.2">
      <c r="A18" s="84" t="s">
        <v>1119</v>
      </c>
      <c r="B18" s="80"/>
      <c r="E18" s="80"/>
      <c r="F18" s="47" t="s">
        <v>2164</v>
      </c>
      <c r="G18" s="15">
        <v>10</v>
      </c>
      <c r="J18" s="63"/>
    </row>
    <row r="19" spans="1:11" x14ac:dyDescent="0.2">
      <c r="A19" t="s">
        <v>1121</v>
      </c>
      <c r="E19" s="80"/>
      <c r="F19" s="47" t="s">
        <v>2165</v>
      </c>
      <c r="G19" s="15">
        <v>18</v>
      </c>
      <c r="J19" s="63"/>
    </row>
    <row r="20" spans="1:11" x14ac:dyDescent="0.2">
      <c r="E20" s="80"/>
      <c r="F20" s="47" t="s">
        <v>2166</v>
      </c>
      <c r="G20" s="15">
        <v>25</v>
      </c>
      <c r="J20" s="63"/>
    </row>
    <row r="21" spans="1:11" x14ac:dyDescent="0.2">
      <c r="A21" s="82" t="s">
        <v>1125</v>
      </c>
      <c r="B21" s="80"/>
      <c r="E21" s="80"/>
      <c r="F21" s="47" t="s">
        <v>2167</v>
      </c>
      <c r="G21" s="15">
        <v>16</v>
      </c>
      <c r="J21" s="63"/>
    </row>
    <row r="22" spans="1:11" x14ac:dyDescent="0.2">
      <c r="A22" t="s">
        <v>1135</v>
      </c>
      <c r="E22" s="80"/>
      <c r="F22" s="47" t="s">
        <v>2168</v>
      </c>
      <c r="G22" s="15">
        <v>20</v>
      </c>
      <c r="J22" s="63"/>
    </row>
    <row r="23" spans="1:11" x14ac:dyDescent="0.2">
      <c r="E23" s="80"/>
    </row>
    <row r="24" spans="1:11" x14ac:dyDescent="0.2">
      <c r="E24" s="80"/>
    </row>
    <row r="25" spans="1:11" x14ac:dyDescent="0.2">
      <c r="E25" s="80"/>
      <c r="K25" t="s">
        <v>1226</v>
      </c>
    </row>
    <row r="26" spans="1:11" x14ac:dyDescent="0.2">
      <c r="E26" s="80"/>
    </row>
    <row r="27" spans="1:11" x14ac:dyDescent="0.2">
      <c r="A27" s="82"/>
      <c r="B27" s="80"/>
      <c r="E27" s="80"/>
    </row>
    <row r="28" spans="1:11" x14ac:dyDescent="0.2">
      <c r="E28" s="80"/>
    </row>
    <row r="29" spans="1:11" x14ac:dyDescent="0.2">
      <c r="E29" s="80"/>
    </row>
    <row r="30" spans="1:11" x14ac:dyDescent="0.2">
      <c r="E30" s="80"/>
      <c r="F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tbl-siena-live-oc</v>
      </c>
    </row>
    <row r="4" spans="1:17" x14ac:dyDescent="0.2">
      <c r="A4" s="16" t="s">
        <v>7</v>
      </c>
      <c r="B4" t="str">
        <f>IF($B$1="","",_xlfn.XLOOKUP($B$1,Master!$F$2:$F$321,Master!$H$2:$H$321,""))</f>
        <v>fig-siena-live-oc</v>
      </c>
      <c r="E4" s="8"/>
      <c r="F4" s="10" t="s">
        <v>1009</v>
      </c>
      <c r="G4" s="10" t="s">
        <v>979</v>
      </c>
      <c r="H4" s="10"/>
      <c r="I4" s="10"/>
      <c r="J4" s="10"/>
      <c r="K4" s="10"/>
      <c r="L4" s="10"/>
      <c r="M4" s="10"/>
      <c r="N4" s="10"/>
      <c r="O4" s="10"/>
      <c r="P4" s="10"/>
      <c r="Q4" s="10"/>
    </row>
    <row r="5" spans="1:17" x14ac:dyDescent="0.2">
      <c r="A5" s="84" t="s">
        <v>1081</v>
      </c>
      <c r="B5" s="80"/>
      <c r="E5" s="83" t="s">
        <v>1082</v>
      </c>
      <c r="F5" t="s">
        <v>2169</v>
      </c>
      <c r="G5" t="s">
        <v>2150</v>
      </c>
    </row>
    <row r="6" spans="1:17" ht="15" customHeight="1" x14ac:dyDescent="0.2">
      <c r="A6" t="s">
        <v>1088</v>
      </c>
      <c r="B6" t="b">
        <v>0</v>
      </c>
      <c r="E6" s="80"/>
      <c r="F6" t="s">
        <v>2170</v>
      </c>
      <c r="G6" s="15">
        <v>1</v>
      </c>
      <c r="H6" s="15"/>
      <c r="I6" s="15"/>
      <c r="J6" s="15"/>
      <c r="K6" s="15"/>
      <c r="L6" s="15"/>
      <c r="M6" s="15"/>
      <c r="N6" s="15"/>
      <c r="O6" s="15"/>
    </row>
    <row r="7" spans="1:17" ht="15.75" customHeight="1" x14ac:dyDescent="0.2">
      <c r="E7" s="80"/>
      <c r="F7" t="s">
        <v>2171</v>
      </c>
      <c r="G7" s="15">
        <v>2</v>
      </c>
      <c r="H7" s="15"/>
      <c r="I7" s="15"/>
      <c r="J7" s="15"/>
      <c r="K7" s="15"/>
      <c r="L7" s="15"/>
      <c r="M7" s="15"/>
      <c r="N7" s="15"/>
      <c r="O7" s="15"/>
    </row>
    <row r="8" spans="1:17" x14ac:dyDescent="0.2">
      <c r="E8" s="80"/>
      <c r="F8" t="s">
        <v>2172</v>
      </c>
      <c r="G8" s="15">
        <v>8</v>
      </c>
      <c r="H8" s="15"/>
      <c r="I8" s="15"/>
      <c r="J8" s="15"/>
      <c r="K8" s="15"/>
      <c r="L8" s="15"/>
      <c r="M8" s="15"/>
      <c r="N8" s="15"/>
      <c r="O8" s="15"/>
    </row>
    <row r="9" spans="1:17" x14ac:dyDescent="0.2">
      <c r="A9" s="84" t="s">
        <v>1098</v>
      </c>
      <c r="B9" s="80"/>
      <c r="E9" s="80"/>
      <c r="F9" t="s">
        <v>2173</v>
      </c>
      <c r="G9" s="15">
        <v>89</v>
      </c>
      <c r="H9" s="15"/>
      <c r="I9" s="15"/>
      <c r="J9" s="15"/>
      <c r="K9" s="15"/>
      <c r="L9" s="15"/>
      <c r="M9" s="15"/>
      <c r="N9" s="15"/>
      <c r="O9" s="15"/>
    </row>
    <row r="10" spans="1:17" x14ac:dyDescent="0.2">
      <c r="A10" t="s">
        <v>1100</v>
      </c>
      <c r="B10" s="75" t="s">
        <v>2174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0</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R41" sqref="R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v>
      </c>
    </row>
    <row r="4" spans="1:17" x14ac:dyDescent="0.2">
      <c r="A4" s="16" t="s">
        <v>7</v>
      </c>
      <c r="B4" t="str">
        <f>IF($B$1="","",_xlfn.XLOOKUP($B$1,Master!$F$2:$F$321,Master!$H$2:$H$321,""))</f>
        <v>fig-siena-quality-life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t="s">
        <v>2175</v>
      </c>
      <c r="H5" t="s">
        <v>2176</v>
      </c>
      <c r="I5" t="s">
        <v>2177</v>
      </c>
      <c r="J5" t="s">
        <v>2178</v>
      </c>
    </row>
    <row r="6" spans="1:17" ht="15" customHeight="1" x14ac:dyDescent="0.2">
      <c r="A6" t="s">
        <v>1088</v>
      </c>
      <c r="B6" t="b">
        <v>0</v>
      </c>
      <c r="E6" s="80"/>
      <c r="F6">
        <v>2024</v>
      </c>
      <c r="G6" s="15">
        <v>23</v>
      </c>
      <c r="H6" s="15">
        <v>39</v>
      </c>
      <c r="I6" s="15">
        <v>34</v>
      </c>
      <c r="J6" s="15">
        <v>4</v>
      </c>
      <c r="K6" s="15"/>
      <c r="L6" s="15"/>
      <c r="M6" s="15"/>
      <c r="N6" s="15"/>
      <c r="O6" s="15"/>
    </row>
    <row r="7" spans="1:17" ht="15.75" customHeight="1" x14ac:dyDescent="0.2">
      <c r="E7" s="80"/>
      <c r="F7">
        <v>2023</v>
      </c>
      <c r="G7" s="15">
        <v>25</v>
      </c>
      <c r="H7" s="15">
        <v>37</v>
      </c>
      <c r="I7" s="15">
        <v>31</v>
      </c>
      <c r="J7" s="15">
        <v>7</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c r="H16" s="63"/>
      <c r="I16" s="63"/>
      <c r="J16" s="63"/>
      <c r="K16" s="63"/>
    </row>
    <row r="17" spans="1:11" x14ac:dyDescent="0.2">
      <c r="E17" s="80"/>
      <c r="H17" s="63"/>
      <c r="I17" s="63"/>
      <c r="J17" s="63"/>
      <c r="K17" s="63"/>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tbl-siena-quality-life-income</v>
      </c>
    </row>
    <row r="4" spans="1:17" x14ac:dyDescent="0.2">
      <c r="A4" s="16" t="s">
        <v>7</v>
      </c>
      <c r="B4" t="str">
        <f>IF($B$1="","",_xlfn.XLOOKUP($B$1,Master!$F$2:$F$321,Master!$H$2:$H$321,""))</f>
        <v>fig-siena-quality-life-income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2163</v>
      </c>
      <c r="G5" t="s">
        <v>2175</v>
      </c>
      <c r="H5" t="s">
        <v>2176</v>
      </c>
      <c r="I5" t="s">
        <v>2177</v>
      </c>
      <c r="J5" t="s">
        <v>2178</v>
      </c>
    </row>
    <row r="6" spans="1:17" ht="15" customHeight="1" x14ac:dyDescent="0.2">
      <c r="A6" t="s">
        <v>1088</v>
      </c>
      <c r="B6" t="b">
        <v>0</v>
      </c>
      <c r="E6" s="80"/>
      <c r="F6" t="s">
        <v>2179</v>
      </c>
      <c r="G6" s="15">
        <v>22</v>
      </c>
      <c r="H6" s="15">
        <v>33</v>
      </c>
      <c r="I6" s="15">
        <v>39</v>
      </c>
      <c r="J6" s="15">
        <v>7</v>
      </c>
      <c r="K6" s="15"/>
      <c r="L6" s="15"/>
      <c r="M6" s="15"/>
      <c r="N6" s="15"/>
      <c r="O6" s="15"/>
    </row>
    <row r="7" spans="1:17" ht="15.75" customHeight="1" x14ac:dyDescent="0.2">
      <c r="E7" s="80"/>
      <c r="F7" t="s">
        <v>2165</v>
      </c>
      <c r="G7" s="15">
        <v>27</v>
      </c>
      <c r="H7" s="15">
        <v>31</v>
      </c>
      <c r="I7" s="15">
        <v>35</v>
      </c>
      <c r="J7" s="15">
        <v>7</v>
      </c>
      <c r="K7" s="15"/>
      <c r="L7" s="15"/>
      <c r="M7" s="15"/>
      <c r="N7" s="15"/>
      <c r="O7" s="15"/>
    </row>
    <row r="8" spans="1:17" x14ac:dyDescent="0.2">
      <c r="E8" s="80"/>
      <c r="F8" t="s">
        <v>2166</v>
      </c>
      <c r="G8" s="15">
        <v>22</v>
      </c>
      <c r="H8" s="15">
        <v>38</v>
      </c>
      <c r="I8" s="15">
        <v>36</v>
      </c>
      <c r="J8" s="15">
        <v>4</v>
      </c>
      <c r="K8" s="15"/>
      <c r="L8" s="15"/>
      <c r="M8" s="15"/>
      <c r="N8" s="15"/>
      <c r="O8" s="15"/>
    </row>
    <row r="9" spans="1:17" x14ac:dyDescent="0.2">
      <c r="A9" s="84" t="s">
        <v>1098</v>
      </c>
      <c r="B9" s="80"/>
      <c r="E9" s="80"/>
      <c r="F9" t="s">
        <v>2167</v>
      </c>
      <c r="G9" s="15">
        <v>18</v>
      </c>
      <c r="H9" s="15">
        <v>45</v>
      </c>
      <c r="I9" s="15">
        <v>34</v>
      </c>
      <c r="J9" s="15">
        <v>3</v>
      </c>
      <c r="K9" s="15"/>
      <c r="L9" s="15"/>
      <c r="M9" s="15"/>
      <c r="N9" s="15"/>
      <c r="O9" s="15"/>
    </row>
    <row r="10" spans="1:17" x14ac:dyDescent="0.2">
      <c r="A10" t="s">
        <v>1100</v>
      </c>
      <c r="B10" t="s">
        <v>1300</v>
      </c>
      <c r="E10" s="80"/>
      <c r="F10" t="s">
        <v>2168</v>
      </c>
      <c r="G10" s="15">
        <v>25</v>
      </c>
      <c r="H10" s="15">
        <v>42</v>
      </c>
      <c r="I10" s="15">
        <v>33</v>
      </c>
      <c r="J10" s="15">
        <v>1</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3"/>
      <c r="I17" s="63"/>
      <c r="J17" s="63"/>
    </row>
    <row r="18" spans="1:11" x14ac:dyDescent="0.2">
      <c r="A18" s="84" t="s">
        <v>1119</v>
      </c>
      <c r="B18" s="80"/>
      <c r="E18" s="80"/>
      <c r="G18" s="63"/>
      <c r="H18" s="63"/>
      <c r="I18" s="63"/>
      <c r="J18" s="63"/>
    </row>
    <row r="19" spans="1:11" x14ac:dyDescent="0.2">
      <c r="A19" t="s">
        <v>1121</v>
      </c>
      <c r="E19" s="80"/>
      <c r="G19" s="63"/>
      <c r="H19" s="63"/>
      <c r="I19" s="63"/>
      <c r="J19" s="63"/>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v>
      </c>
    </row>
    <row r="4" spans="1:17" x14ac:dyDescent="0.2">
      <c r="A4" s="16" t="s">
        <v>7</v>
      </c>
      <c r="B4" t="str">
        <f>IF($B$1="","",_xlfn.XLOOKUP($B$1,Master!$F$2:$F$321,Master!$H$2:$H$321,""))</f>
        <v>fig-siena-info-bad-weather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2181</v>
      </c>
      <c r="H5" t="s">
        <v>2182</v>
      </c>
      <c r="I5" t="s">
        <v>2183</v>
      </c>
      <c r="J5" t="s">
        <v>2184</v>
      </c>
      <c r="K5" t="s">
        <v>2178</v>
      </c>
    </row>
    <row r="6" spans="1:17" ht="15" customHeight="1" x14ac:dyDescent="0.2">
      <c r="A6" t="s">
        <v>1088</v>
      </c>
      <c r="B6" t="b">
        <v>0</v>
      </c>
      <c r="E6" s="80"/>
      <c r="F6">
        <v>2024</v>
      </c>
      <c r="G6" s="15">
        <v>15</v>
      </c>
      <c r="H6" s="15">
        <v>42</v>
      </c>
      <c r="I6" s="15">
        <v>28</v>
      </c>
      <c r="J6" s="15">
        <v>8</v>
      </c>
      <c r="K6" s="15">
        <v>7</v>
      </c>
      <c r="L6" s="15"/>
      <c r="M6" s="15"/>
      <c r="N6" s="15"/>
      <c r="O6" s="15"/>
    </row>
    <row r="7" spans="1:17" ht="15.75" customHeight="1" x14ac:dyDescent="0.2">
      <c r="E7" s="80"/>
      <c r="F7">
        <v>2023</v>
      </c>
      <c r="G7" s="15">
        <v>18</v>
      </c>
      <c r="H7" s="15">
        <v>42</v>
      </c>
      <c r="I7" s="15">
        <v>23</v>
      </c>
      <c r="J7" s="15">
        <v>8</v>
      </c>
      <c r="K7" s="15">
        <v>8</v>
      </c>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2071</v>
      </c>
      <c r="E10" s="80"/>
      <c r="G10" s="63"/>
      <c r="H10" s="63"/>
      <c r="I10" s="63"/>
      <c r="J10" s="63"/>
      <c r="K10" s="63"/>
    </row>
    <row r="11" spans="1:17" x14ac:dyDescent="0.2">
      <c r="A11" t="s">
        <v>1102</v>
      </c>
      <c r="E11" s="80"/>
      <c r="G11" s="63"/>
      <c r="H11" s="63"/>
      <c r="I11" s="63"/>
      <c r="J11" s="63"/>
      <c r="K11" s="63"/>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tbl-siena-info-bad-weather-income</v>
      </c>
    </row>
    <row r="4" spans="1:17" x14ac:dyDescent="0.2">
      <c r="A4" s="16" t="s">
        <v>7</v>
      </c>
      <c r="B4" t="str">
        <f>IF($B$1="","",_xlfn.XLOOKUP($B$1,Master!$F$2:$F$321,Master!$H$2:$H$321,""))</f>
        <v>fig-siena-info-bad-weather-income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2163</v>
      </c>
      <c r="G5" t="s">
        <v>2181</v>
      </c>
      <c r="H5" t="s">
        <v>2182</v>
      </c>
      <c r="I5" t="s">
        <v>2183</v>
      </c>
      <c r="J5" t="s">
        <v>2184</v>
      </c>
      <c r="K5" t="s">
        <v>2178</v>
      </c>
    </row>
    <row r="6" spans="1:17" ht="15" customHeight="1" x14ac:dyDescent="0.2">
      <c r="A6" t="s">
        <v>1088</v>
      </c>
      <c r="B6" t="b">
        <v>0</v>
      </c>
      <c r="E6" s="80"/>
      <c r="F6" t="s">
        <v>2179</v>
      </c>
      <c r="G6" s="15">
        <v>10</v>
      </c>
      <c r="H6" s="15">
        <v>40</v>
      </c>
      <c r="I6" s="15">
        <v>38</v>
      </c>
      <c r="J6" s="15">
        <v>6</v>
      </c>
      <c r="K6" s="15">
        <v>6</v>
      </c>
      <c r="L6" s="15"/>
      <c r="M6" s="15"/>
      <c r="N6" s="15"/>
      <c r="O6" s="15"/>
    </row>
    <row r="7" spans="1:17" ht="15.75" customHeight="1" x14ac:dyDescent="0.2">
      <c r="E7" s="80"/>
      <c r="F7" t="s">
        <v>2165</v>
      </c>
      <c r="G7" s="15">
        <v>17</v>
      </c>
      <c r="H7" s="15">
        <v>43</v>
      </c>
      <c r="I7" s="15">
        <v>23</v>
      </c>
      <c r="J7" s="15">
        <v>9</v>
      </c>
      <c r="K7" s="15">
        <v>8</v>
      </c>
      <c r="L7" s="15"/>
      <c r="M7" s="15"/>
      <c r="N7" s="15"/>
      <c r="O7" s="15"/>
    </row>
    <row r="8" spans="1:17" x14ac:dyDescent="0.2">
      <c r="E8" s="80"/>
      <c r="F8" t="s">
        <v>2166</v>
      </c>
      <c r="G8" s="15">
        <v>13</v>
      </c>
      <c r="H8" s="15">
        <v>39</v>
      </c>
      <c r="I8" s="15">
        <v>33</v>
      </c>
      <c r="J8" s="15">
        <v>7</v>
      </c>
      <c r="K8" s="15">
        <v>8</v>
      </c>
      <c r="L8" s="15"/>
      <c r="M8" s="15"/>
      <c r="N8" s="15"/>
      <c r="O8" s="15"/>
    </row>
    <row r="9" spans="1:17" x14ac:dyDescent="0.2">
      <c r="A9" s="84" t="s">
        <v>1098</v>
      </c>
      <c r="B9" s="80"/>
      <c r="E9" s="80"/>
      <c r="F9" t="s">
        <v>2167</v>
      </c>
      <c r="G9" s="15">
        <v>13</v>
      </c>
      <c r="H9" s="15">
        <v>42</v>
      </c>
      <c r="I9" s="15">
        <v>27</v>
      </c>
      <c r="J9" s="15">
        <v>9</v>
      </c>
      <c r="K9" s="15">
        <v>10</v>
      </c>
      <c r="L9" s="15"/>
      <c r="M9" s="15"/>
      <c r="N9" s="15"/>
      <c r="O9" s="15"/>
    </row>
    <row r="10" spans="1:17" x14ac:dyDescent="0.2">
      <c r="A10" t="s">
        <v>1100</v>
      </c>
      <c r="B10" t="s">
        <v>1300</v>
      </c>
      <c r="E10" s="80"/>
      <c r="F10" t="s">
        <v>2168</v>
      </c>
      <c r="G10" s="15">
        <v>17</v>
      </c>
      <c r="H10" s="15">
        <v>51</v>
      </c>
      <c r="I10" s="15">
        <v>22</v>
      </c>
      <c r="J10" s="15">
        <v>6</v>
      </c>
      <c r="K10" s="15">
        <v>4</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2136</v>
      </c>
      <c r="B17" t="b">
        <v>0</v>
      </c>
      <c r="E17" s="80"/>
      <c r="G17" s="63"/>
      <c r="H17" s="63"/>
      <c r="I17" s="63"/>
      <c r="J17" s="63"/>
      <c r="K17" s="63"/>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v>
      </c>
    </row>
    <row r="4" spans="1:17" x14ac:dyDescent="0.2">
      <c r="A4" s="16" t="s">
        <v>7</v>
      </c>
      <c r="B4" t="str">
        <f>IF($B$1="","",_xlfn.XLOOKUP($B$1,Master!$F$2:$F$321,Master!$H$2:$H$321,""))</f>
        <v>fig-siena-ph-emergency</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2181</v>
      </c>
      <c r="H5" t="s">
        <v>2182</v>
      </c>
      <c r="I5" t="s">
        <v>2183</v>
      </c>
      <c r="J5" t="s">
        <v>2184</v>
      </c>
      <c r="K5" t="s">
        <v>2178</v>
      </c>
    </row>
    <row r="6" spans="1:17" ht="15" customHeight="1" x14ac:dyDescent="0.2">
      <c r="A6" t="s">
        <v>1088</v>
      </c>
      <c r="B6" t="b">
        <v>0</v>
      </c>
      <c r="E6" s="80"/>
      <c r="F6">
        <v>2024</v>
      </c>
      <c r="G6" s="15">
        <v>17</v>
      </c>
      <c r="H6" s="15">
        <v>41</v>
      </c>
      <c r="I6" s="15">
        <v>24</v>
      </c>
      <c r="J6" s="15">
        <v>10</v>
      </c>
      <c r="K6" s="15">
        <v>7</v>
      </c>
      <c r="L6" s="15"/>
      <c r="M6" s="15"/>
      <c r="N6" s="15"/>
      <c r="O6" s="15"/>
    </row>
    <row r="7" spans="1:17" ht="15.75" customHeight="1" x14ac:dyDescent="0.2">
      <c r="E7" s="80"/>
      <c r="F7">
        <v>2023</v>
      </c>
      <c r="G7" s="15">
        <v>20</v>
      </c>
      <c r="H7" s="15">
        <v>42</v>
      </c>
      <c r="I7" s="15">
        <v>22</v>
      </c>
      <c r="J7" s="15">
        <v>9</v>
      </c>
      <c r="K7" s="15">
        <v>6</v>
      </c>
      <c r="L7" s="15"/>
      <c r="M7" s="15"/>
      <c r="N7" s="15"/>
      <c r="O7" s="15"/>
    </row>
    <row r="8" spans="1:17" x14ac:dyDescent="0.2">
      <c r="E8" s="80"/>
      <c r="G8" s="15"/>
      <c r="H8" s="15"/>
      <c r="I8" s="15"/>
      <c r="J8" s="15"/>
      <c r="K8" s="15"/>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3"/>
      <c r="I10" s="63"/>
      <c r="J10" s="63"/>
      <c r="K10" s="63"/>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tbl-siena-ph-emergency-income</v>
      </c>
    </row>
    <row r="4" spans="1:17" x14ac:dyDescent="0.2">
      <c r="A4" s="16" t="s">
        <v>7</v>
      </c>
      <c r="B4" t="str">
        <f>IF($B$1="","",_xlfn.XLOOKUP($B$1,Master!$F$2:$F$321,Master!$H$2:$H$321,""))</f>
        <v>fig-siena-ph-emergency-income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2163</v>
      </c>
      <c r="G5" s="15" t="s">
        <v>2181</v>
      </c>
      <c r="H5" s="15" t="s">
        <v>2182</v>
      </c>
      <c r="I5" s="15" t="s">
        <v>2183</v>
      </c>
      <c r="J5" s="15" t="s">
        <v>2184</v>
      </c>
      <c r="K5" s="15" t="s">
        <v>2178</v>
      </c>
    </row>
    <row r="6" spans="1:17" ht="15" customHeight="1" x14ac:dyDescent="0.2">
      <c r="A6" t="s">
        <v>1088</v>
      </c>
      <c r="B6" t="b">
        <v>0</v>
      </c>
      <c r="E6" s="80"/>
      <c r="F6" t="s">
        <v>2179</v>
      </c>
      <c r="G6" s="15">
        <v>10</v>
      </c>
      <c r="H6" s="15">
        <v>44</v>
      </c>
      <c r="I6" s="15">
        <v>34</v>
      </c>
      <c r="J6" s="15">
        <v>8</v>
      </c>
      <c r="K6" s="15">
        <v>4</v>
      </c>
      <c r="L6" s="15"/>
      <c r="M6" s="15"/>
      <c r="N6" s="15"/>
      <c r="O6" s="15"/>
    </row>
    <row r="7" spans="1:17" ht="15.75" customHeight="1" x14ac:dyDescent="0.2">
      <c r="E7" s="80"/>
      <c r="F7" t="s">
        <v>2165</v>
      </c>
      <c r="G7" s="15">
        <v>16</v>
      </c>
      <c r="H7" s="15">
        <v>36</v>
      </c>
      <c r="I7" s="15">
        <v>29</v>
      </c>
      <c r="J7" s="15">
        <v>10</v>
      </c>
      <c r="K7" s="15">
        <v>9</v>
      </c>
      <c r="L7" s="15"/>
      <c r="M7" s="15"/>
      <c r="N7" s="15"/>
      <c r="O7" s="15"/>
    </row>
    <row r="8" spans="1:17" x14ac:dyDescent="0.2">
      <c r="E8" s="80"/>
      <c r="F8" t="s">
        <v>2166</v>
      </c>
      <c r="G8" s="15">
        <v>12</v>
      </c>
      <c r="H8" s="15">
        <v>48</v>
      </c>
      <c r="I8" s="15">
        <v>21</v>
      </c>
      <c r="J8" s="15">
        <v>10</v>
      </c>
      <c r="K8" s="15">
        <v>9</v>
      </c>
      <c r="L8" s="15"/>
      <c r="M8" s="15"/>
      <c r="N8" s="15"/>
      <c r="O8" s="15"/>
    </row>
    <row r="9" spans="1:17" x14ac:dyDescent="0.2">
      <c r="A9" s="84" t="s">
        <v>1098</v>
      </c>
      <c r="B9" s="80"/>
      <c r="E9" s="80"/>
      <c r="F9" t="s">
        <v>2167</v>
      </c>
      <c r="G9" s="15">
        <v>20</v>
      </c>
      <c r="H9" s="15">
        <v>38</v>
      </c>
      <c r="I9" s="15">
        <v>25</v>
      </c>
      <c r="J9" s="15">
        <v>0</v>
      </c>
      <c r="K9" s="15">
        <v>8</v>
      </c>
      <c r="L9" s="15"/>
      <c r="M9" s="15"/>
      <c r="N9" s="15"/>
      <c r="O9" s="15"/>
    </row>
    <row r="10" spans="1:17" x14ac:dyDescent="0.2">
      <c r="A10" t="s">
        <v>1100</v>
      </c>
      <c r="B10" t="s">
        <v>1300</v>
      </c>
      <c r="E10" s="80"/>
      <c r="F10" t="s">
        <v>2168</v>
      </c>
      <c r="G10" s="15">
        <v>23</v>
      </c>
      <c r="H10" s="15">
        <v>41</v>
      </c>
      <c r="I10" s="15">
        <v>18</v>
      </c>
      <c r="J10" s="15">
        <v>14</v>
      </c>
      <c r="K10" s="15">
        <v>3</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15"/>
      <c r="H13" s="15"/>
      <c r="I13" s="15"/>
      <c r="J13" s="15"/>
      <c r="K13" s="15"/>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2136</v>
      </c>
      <c r="B17" t="b">
        <v>0</v>
      </c>
      <c r="E17" s="80"/>
      <c r="G17" s="63"/>
      <c r="H17" s="63"/>
      <c r="I17" s="63"/>
      <c r="J17" s="63"/>
      <c r="K17" s="63"/>
    </row>
    <row r="18" spans="1:11" x14ac:dyDescent="0.2">
      <c r="A18" s="84" t="s">
        <v>1119</v>
      </c>
      <c r="B18" s="80"/>
      <c r="E18" s="80"/>
      <c r="G18" s="63"/>
      <c r="H18" s="63"/>
      <c r="I18" s="63"/>
      <c r="J18" s="63"/>
      <c r="K18" s="63"/>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v>
      </c>
    </row>
    <row r="4" spans="1:17" x14ac:dyDescent="0.2">
      <c r="A4" s="16" t="s">
        <v>7</v>
      </c>
      <c r="B4" t="str">
        <f>IF($B$1="","",_xlfn.XLOOKUP($B$1,Master!$F$2:$F$321,Master!$H$2:$H$321,""))</f>
        <v>fig-siena-safe-place-walk-bike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2185</v>
      </c>
      <c r="H5" t="s">
        <v>2186</v>
      </c>
      <c r="I5" t="s">
        <v>2187</v>
      </c>
      <c r="J5" t="s">
        <v>2188</v>
      </c>
      <c r="K5" t="s">
        <v>2178</v>
      </c>
    </row>
    <row r="6" spans="1:17" ht="15" customHeight="1" x14ac:dyDescent="0.2">
      <c r="A6" t="s">
        <v>1088</v>
      </c>
      <c r="B6" t="b">
        <v>0</v>
      </c>
      <c r="E6" s="80"/>
      <c r="F6">
        <v>2024</v>
      </c>
      <c r="G6" s="15">
        <v>25</v>
      </c>
      <c r="H6" s="15">
        <v>42</v>
      </c>
      <c r="I6" s="15">
        <v>20</v>
      </c>
      <c r="J6" s="15">
        <v>12</v>
      </c>
      <c r="K6" s="15">
        <v>1</v>
      </c>
      <c r="L6" s="15"/>
      <c r="M6" s="15"/>
      <c r="N6" s="15"/>
      <c r="O6" s="15"/>
    </row>
    <row r="7" spans="1:17" ht="15.75" customHeight="1" x14ac:dyDescent="0.2">
      <c r="E7" s="80"/>
      <c r="F7">
        <v>2023</v>
      </c>
      <c r="G7" s="15">
        <v>25</v>
      </c>
      <c r="H7" s="15">
        <v>43</v>
      </c>
      <c r="I7" s="15">
        <v>17</v>
      </c>
      <c r="J7" s="15">
        <v>13</v>
      </c>
      <c r="K7" s="15">
        <v>2</v>
      </c>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63"/>
      <c r="H11" s="63"/>
      <c r="I11" s="63"/>
      <c r="J11" s="63"/>
      <c r="K11" s="63"/>
      <c r="L11" s="17"/>
      <c r="M11" s="17"/>
      <c r="N11" s="17"/>
    </row>
    <row r="12" spans="1:17" x14ac:dyDescent="0.2">
      <c r="A12" t="s">
        <v>1104</v>
      </c>
      <c r="B12" t="s">
        <v>1303</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D16" t="s">
        <v>1227</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tbl-siena-safe-place-walk-bike-income</v>
      </c>
    </row>
    <row r="4" spans="1:17" x14ac:dyDescent="0.2">
      <c r="A4" s="16" t="s">
        <v>7</v>
      </c>
      <c r="B4" t="str">
        <f>IF($B$1="","",_xlfn.XLOOKUP($B$1,Master!$F$2:$F$321,Master!$H$2:$H$321,""))</f>
        <v>fig-siena-safe-place-walk-bike-income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2163</v>
      </c>
      <c r="G5" t="s">
        <v>2185</v>
      </c>
      <c r="H5" t="s">
        <v>2186</v>
      </c>
      <c r="I5" t="s">
        <v>2187</v>
      </c>
      <c r="J5" t="s">
        <v>2188</v>
      </c>
    </row>
    <row r="6" spans="1:17" ht="15" customHeight="1" x14ac:dyDescent="0.2">
      <c r="A6" t="s">
        <v>1088</v>
      </c>
      <c r="B6" t="b">
        <v>0</v>
      </c>
      <c r="E6" s="80"/>
      <c r="F6" t="s">
        <v>2179</v>
      </c>
      <c r="G6" s="15">
        <v>20</v>
      </c>
      <c r="H6" s="15">
        <v>46</v>
      </c>
      <c r="I6" s="15">
        <v>21</v>
      </c>
      <c r="J6" s="15">
        <v>10</v>
      </c>
      <c r="K6" s="15"/>
      <c r="L6" s="15"/>
      <c r="M6" s="15"/>
      <c r="N6" s="15"/>
      <c r="O6" s="15"/>
    </row>
    <row r="7" spans="1:17" ht="15.75" customHeight="1" x14ac:dyDescent="0.2">
      <c r="E7" s="80"/>
      <c r="F7" t="s">
        <v>2165</v>
      </c>
      <c r="G7" s="15">
        <v>28</v>
      </c>
      <c r="H7" s="15">
        <v>37</v>
      </c>
      <c r="I7" s="15">
        <v>23</v>
      </c>
      <c r="J7" s="15">
        <v>11</v>
      </c>
      <c r="K7" s="15"/>
      <c r="L7" s="15"/>
      <c r="M7" s="15"/>
      <c r="N7" s="15"/>
      <c r="O7" s="15"/>
    </row>
    <row r="8" spans="1:17" x14ac:dyDescent="0.2">
      <c r="E8" s="80"/>
      <c r="F8" t="s">
        <v>2166</v>
      </c>
      <c r="G8" s="15">
        <v>25</v>
      </c>
      <c r="H8" s="15">
        <v>40</v>
      </c>
      <c r="I8" s="15">
        <v>24</v>
      </c>
      <c r="J8" s="15">
        <v>14</v>
      </c>
      <c r="K8" s="15"/>
      <c r="L8" s="15"/>
      <c r="M8" s="15"/>
      <c r="N8" s="15"/>
      <c r="O8" s="15"/>
    </row>
    <row r="9" spans="1:17" x14ac:dyDescent="0.2">
      <c r="A9" s="84" t="s">
        <v>1098</v>
      </c>
      <c r="B9" s="80"/>
      <c r="E9" s="80"/>
      <c r="F9" t="s">
        <v>2167</v>
      </c>
      <c r="G9" s="15">
        <v>24</v>
      </c>
      <c r="H9" s="15">
        <v>45</v>
      </c>
      <c r="I9" s="15">
        <v>17</v>
      </c>
      <c r="J9" s="15">
        <v>14</v>
      </c>
      <c r="K9" s="15"/>
      <c r="L9" s="15"/>
      <c r="M9" s="15"/>
      <c r="N9" s="15"/>
      <c r="O9" s="15"/>
    </row>
    <row r="10" spans="1:17" x14ac:dyDescent="0.2">
      <c r="A10" t="s">
        <v>1100</v>
      </c>
      <c r="B10" t="s">
        <v>1300</v>
      </c>
      <c r="E10" s="80"/>
      <c r="F10" t="s">
        <v>2168</v>
      </c>
      <c r="G10" s="15">
        <v>26</v>
      </c>
      <c r="H10" s="15">
        <v>44</v>
      </c>
      <c r="I10" s="15">
        <v>16</v>
      </c>
      <c r="J10" s="15">
        <v>13</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4"/>
      <c r="I17" s="64"/>
      <c r="J17" s="64"/>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v>
      </c>
    </row>
    <row r="4" spans="1:17" x14ac:dyDescent="0.2">
      <c r="A4" s="16" t="s">
        <v>7</v>
      </c>
      <c r="B4" t="str">
        <f>IF($B$1="","",_xlfn.XLOOKUP($B$1,Master!$F$2:$F$321,Master!$H$2:$H$321,""))</f>
        <v>fig-siena-walk-bike-safe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2185</v>
      </c>
      <c r="H5" t="s">
        <v>2186</v>
      </c>
      <c r="I5" t="s">
        <v>2187</v>
      </c>
      <c r="J5" t="s">
        <v>2188</v>
      </c>
      <c r="K5" t="s">
        <v>2178</v>
      </c>
    </row>
    <row r="6" spans="1:17" ht="15" customHeight="1" x14ac:dyDescent="0.2">
      <c r="A6" t="s">
        <v>1088</v>
      </c>
      <c r="B6" t="b">
        <v>0</v>
      </c>
      <c r="E6" s="80"/>
      <c r="F6">
        <v>2024</v>
      </c>
      <c r="G6" s="15">
        <v>13</v>
      </c>
      <c r="H6" s="15">
        <v>35</v>
      </c>
      <c r="I6" s="15">
        <v>27</v>
      </c>
      <c r="J6" s="15">
        <v>23</v>
      </c>
      <c r="K6" s="15">
        <v>2</v>
      </c>
      <c r="L6" s="15"/>
      <c r="M6" s="15"/>
      <c r="N6" s="15"/>
      <c r="O6" s="15"/>
    </row>
    <row r="7" spans="1:17" ht="15.75" customHeight="1" x14ac:dyDescent="0.2">
      <c r="E7" s="80"/>
      <c r="F7">
        <v>2023</v>
      </c>
      <c r="G7" s="15">
        <v>14</v>
      </c>
      <c r="H7" s="15">
        <v>32</v>
      </c>
      <c r="I7" s="15">
        <v>29</v>
      </c>
      <c r="J7" s="15">
        <v>23</v>
      </c>
      <c r="K7" s="15">
        <v>2</v>
      </c>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63"/>
      <c r="H11" s="63"/>
      <c r="I11" s="63"/>
      <c r="J11" s="63"/>
      <c r="K11" s="63"/>
      <c r="L11" s="17"/>
      <c r="M11" s="17"/>
      <c r="N11" s="17"/>
    </row>
    <row r="12" spans="1:17" x14ac:dyDescent="0.2">
      <c r="A12" t="s">
        <v>1104</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tbl-siena-walk-bike-safe-income</v>
      </c>
    </row>
    <row r="4" spans="1:17" x14ac:dyDescent="0.2">
      <c r="A4" s="16" t="s">
        <v>7</v>
      </c>
      <c r="B4" t="str">
        <f>IF($B$1="","",_xlfn.XLOOKUP($B$1,Master!$F$2:$F$321,Master!$H$2:$H$321,""))</f>
        <v>fig-siena-walk-bike-safe-income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2163</v>
      </c>
      <c r="G5" t="s">
        <v>2185</v>
      </c>
      <c r="H5" t="s">
        <v>2186</v>
      </c>
      <c r="I5" t="s">
        <v>2187</v>
      </c>
      <c r="J5" t="s">
        <v>2188</v>
      </c>
    </row>
    <row r="6" spans="1:17" ht="15" customHeight="1" x14ac:dyDescent="0.2">
      <c r="A6" t="s">
        <v>1088</v>
      </c>
      <c r="B6" t="b">
        <v>0</v>
      </c>
      <c r="E6" s="80"/>
      <c r="F6" t="s">
        <v>2179</v>
      </c>
      <c r="G6" s="15">
        <v>14</v>
      </c>
      <c r="H6" s="15">
        <v>43</v>
      </c>
      <c r="I6" s="15">
        <v>22</v>
      </c>
      <c r="J6" s="15">
        <v>18</v>
      </c>
      <c r="K6" s="15"/>
      <c r="L6" s="15"/>
      <c r="M6" s="15"/>
      <c r="N6" s="15"/>
      <c r="O6" s="15"/>
    </row>
    <row r="7" spans="1:17" ht="15.75" customHeight="1" x14ac:dyDescent="0.2">
      <c r="E7" s="80"/>
      <c r="F7" t="s">
        <v>2165</v>
      </c>
      <c r="G7" s="15">
        <v>17</v>
      </c>
      <c r="H7" s="15">
        <v>38</v>
      </c>
      <c r="I7" s="15">
        <v>25</v>
      </c>
      <c r="J7" s="15">
        <v>17</v>
      </c>
      <c r="K7" s="15"/>
      <c r="L7" s="15"/>
      <c r="M7" s="15"/>
      <c r="N7" s="15"/>
      <c r="O7" s="15"/>
    </row>
    <row r="8" spans="1:17" x14ac:dyDescent="0.2">
      <c r="E8" s="80"/>
      <c r="F8" t="s">
        <v>2166</v>
      </c>
      <c r="G8" s="15">
        <v>13</v>
      </c>
      <c r="H8" s="15">
        <v>36</v>
      </c>
      <c r="I8" s="15">
        <v>21</v>
      </c>
      <c r="J8" s="15">
        <v>20</v>
      </c>
      <c r="K8" s="15"/>
      <c r="L8" s="15"/>
      <c r="M8" s="15"/>
      <c r="N8" s="15"/>
      <c r="O8" s="15"/>
    </row>
    <row r="9" spans="1:17" x14ac:dyDescent="0.2">
      <c r="A9" s="84" t="s">
        <v>1098</v>
      </c>
      <c r="B9" s="80"/>
      <c r="E9" s="80"/>
      <c r="F9" t="s">
        <v>2167</v>
      </c>
      <c r="G9" s="15">
        <v>7</v>
      </c>
      <c r="H9" s="15">
        <v>39</v>
      </c>
      <c r="I9" s="15">
        <v>26</v>
      </c>
      <c r="J9" s="15">
        <v>25</v>
      </c>
      <c r="K9" s="15"/>
      <c r="L9" s="15"/>
      <c r="M9" s="15"/>
      <c r="N9" s="15"/>
      <c r="O9" s="15"/>
    </row>
    <row r="10" spans="1:17" x14ac:dyDescent="0.2">
      <c r="A10" t="s">
        <v>1100</v>
      </c>
      <c r="B10" t="s">
        <v>1300</v>
      </c>
      <c r="E10" s="80"/>
      <c r="F10" t="s">
        <v>2168</v>
      </c>
      <c r="G10" s="15">
        <v>9</v>
      </c>
      <c r="H10" s="15">
        <v>30</v>
      </c>
      <c r="I10" s="15">
        <v>29</v>
      </c>
      <c r="J10" s="15">
        <v>32</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3"/>
      <c r="I17" s="63"/>
      <c r="J17" s="63"/>
    </row>
    <row r="18" spans="1:11" x14ac:dyDescent="0.2">
      <c r="A18" s="84" t="s">
        <v>1119</v>
      </c>
      <c r="B18" s="80"/>
      <c r="E18" s="80"/>
      <c r="G18" s="63"/>
      <c r="H18" s="64"/>
      <c r="I18" s="64"/>
      <c r="J18" s="64"/>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v>
      </c>
    </row>
    <row r="4" spans="1:17" x14ac:dyDescent="0.2">
      <c r="A4" s="16" t="s">
        <v>7</v>
      </c>
      <c r="B4" t="str">
        <f>IF($B$1="","",_xlfn.XLOOKUP($B$1,Master!$F$2:$F$321,Master!$H$2:$H$321,""))</f>
        <v>fig-siena-rate-community-as-place-to-age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2181</v>
      </c>
      <c r="H5" t="s">
        <v>2182</v>
      </c>
      <c r="I5" t="s">
        <v>2183</v>
      </c>
      <c r="J5" t="s">
        <v>2184</v>
      </c>
      <c r="K5" t="s">
        <v>2189</v>
      </c>
    </row>
    <row r="6" spans="1:17" ht="15" customHeight="1" x14ac:dyDescent="0.2">
      <c r="A6" t="s">
        <v>1088</v>
      </c>
      <c r="B6" t="b">
        <v>0</v>
      </c>
      <c r="E6" s="80"/>
      <c r="F6">
        <v>2024</v>
      </c>
      <c r="G6" s="15">
        <v>25</v>
      </c>
      <c r="H6" s="15">
        <v>34</v>
      </c>
      <c r="I6" s="15">
        <v>28</v>
      </c>
      <c r="J6" s="15">
        <v>12</v>
      </c>
      <c r="K6" s="15">
        <v>1</v>
      </c>
      <c r="L6" s="15"/>
      <c r="M6" s="15"/>
      <c r="N6" s="15"/>
      <c r="O6" s="15"/>
    </row>
    <row r="7" spans="1:17" ht="15.75" customHeight="1" x14ac:dyDescent="0.2">
      <c r="E7" s="80"/>
      <c r="G7" s="15"/>
      <c r="H7" s="15"/>
      <c r="I7" s="15"/>
      <c r="J7" s="15"/>
      <c r="K7" s="15"/>
      <c r="L7" s="15"/>
      <c r="M7" s="15"/>
      <c r="N7" s="15"/>
      <c r="O7" s="15"/>
    </row>
    <row r="8" spans="1:17" x14ac:dyDescent="0.2">
      <c r="E8" s="80"/>
      <c r="G8" s="63"/>
      <c r="H8" s="63"/>
      <c r="I8" s="63"/>
      <c r="J8" s="63"/>
      <c r="K8" s="63"/>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v>
      </c>
    </row>
    <row r="4" spans="1:17" x14ac:dyDescent="0.2">
      <c r="A4" s="16" t="s">
        <v>7</v>
      </c>
      <c r="B4" t="str">
        <f>IF($B$1="","",_xlfn.XLOOKUP($B$1,Master!$F$2:$F$321,Master!$H$2:$H$321,""))</f>
        <v>fig-siena-physical-health</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t="s">
        <v>2181</v>
      </c>
      <c r="H5" t="s">
        <v>2182</v>
      </c>
      <c r="I5" t="s">
        <v>2183</v>
      </c>
      <c r="J5" t="s">
        <v>2184</v>
      </c>
      <c r="K5" t="s">
        <v>2178</v>
      </c>
    </row>
    <row r="6" spans="1:17" ht="15" customHeight="1" x14ac:dyDescent="0.2">
      <c r="A6" t="s">
        <v>1088</v>
      </c>
      <c r="B6" t="b">
        <v>0</v>
      </c>
      <c r="E6" s="80"/>
      <c r="F6">
        <v>2024</v>
      </c>
      <c r="G6" s="15">
        <v>28</v>
      </c>
      <c r="H6" s="15">
        <v>46</v>
      </c>
      <c r="I6" s="15">
        <v>21</v>
      </c>
      <c r="J6" s="15">
        <v>6</v>
      </c>
      <c r="K6" s="15">
        <v>0</v>
      </c>
      <c r="L6" s="15"/>
      <c r="M6" s="15"/>
      <c r="N6" s="15"/>
      <c r="O6" s="15"/>
    </row>
    <row r="7" spans="1:17" ht="15.75" customHeight="1" x14ac:dyDescent="0.2">
      <c r="E7" s="80"/>
      <c r="F7">
        <v>2023</v>
      </c>
      <c r="G7" s="15">
        <v>25</v>
      </c>
      <c r="H7" s="15">
        <v>49</v>
      </c>
      <c r="I7" s="15">
        <v>20</v>
      </c>
      <c r="J7" s="15">
        <v>5</v>
      </c>
      <c r="K7" s="15">
        <v>0</v>
      </c>
      <c r="L7" s="15"/>
      <c r="M7" s="15"/>
      <c r="N7" s="15"/>
      <c r="O7" s="15"/>
    </row>
    <row r="8" spans="1:17" x14ac:dyDescent="0.2">
      <c r="E8" s="80"/>
      <c r="F8">
        <v>2022</v>
      </c>
      <c r="G8" s="15">
        <v>23</v>
      </c>
      <c r="H8" s="15">
        <v>50</v>
      </c>
      <c r="I8" s="15">
        <v>22</v>
      </c>
      <c r="J8" s="15">
        <v>4</v>
      </c>
      <c r="K8" s="15">
        <v>0</v>
      </c>
      <c r="L8" s="15"/>
      <c r="M8" s="15"/>
      <c r="N8" s="15"/>
      <c r="O8" s="15"/>
    </row>
    <row r="9" spans="1:17" x14ac:dyDescent="0.2">
      <c r="A9" s="84" t="s">
        <v>1098</v>
      </c>
      <c r="B9" s="80"/>
      <c r="E9" s="80"/>
      <c r="F9">
        <v>2018</v>
      </c>
      <c r="G9" s="15">
        <v>35</v>
      </c>
      <c r="H9" s="15">
        <v>44</v>
      </c>
      <c r="I9" s="15">
        <v>15</v>
      </c>
      <c r="J9" s="15">
        <v>5</v>
      </c>
      <c r="K9" s="15">
        <v>0</v>
      </c>
      <c r="L9" s="15"/>
      <c r="M9" s="15"/>
      <c r="N9" s="15"/>
      <c r="O9" s="15"/>
    </row>
    <row r="10" spans="1:17" x14ac:dyDescent="0.2">
      <c r="A10" t="s">
        <v>1100</v>
      </c>
      <c r="B10" t="s">
        <v>2071</v>
      </c>
      <c r="E10" s="80"/>
      <c r="G10" s="63"/>
      <c r="H10" s="64"/>
      <c r="I10" s="64"/>
      <c r="J10" s="64"/>
      <c r="K10" s="15"/>
    </row>
    <row r="11" spans="1:17" x14ac:dyDescent="0.2">
      <c r="A11" t="s">
        <v>1102</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E14" s="80"/>
      <c r="G14" s="63"/>
      <c r="H14" s="63"/>
      <c r="I14" s="63"/>
      <c r="J14" s="63"/>
    </row>
    <row r="15" spans="1:17" x14ac:dyDescent="0.2">
      <c r="A15" t="s">
        <v>1114</v>
      </c>
      <c r="B15" t="b">
        <v>1</v>
      </c>
      <c r="E15" s="80"/>
      <c r="G15" s="63"/>
      <c r="H15" s="63"/>
      <c r="I15" s="63"/>
      <c r="J15" s="63"/>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tbl-siena-physical-health-income</v>
      </c>
    </row>
    <row r="4" spans="1:17" x14ac:dyDescent="0.2">
      <c r="A4" s="16" t="s">
        <v>7</v>
      </c>
      <c r="B4" t="str">
        <f>IF($B$1="","",_xlfn.XLOOKUP($B$1,Master!$F$2:$F$321,Master!$H$2:$H$321,""))</f>
        <v>fig-siena-physical-health-income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2163</v>
      </c>
      <c r="G5" t="s">
        <v>2181</v>
      </c>
      <c r="H5" t="s">
        <v>2182</v>
      </c>
      <c r="I5" t="s">
        <v>2183</v>
      </c>
      <c r="J5" t="s">
        <v>2184</v>
      </c>
    </row>
    <row r="6" spans="1:17" ht="15" customHeight="1" x14ac:dyDescent="0.2">
      <c r="A6" t="s">
        <v>1088</v>
      </c>
      <c r="B6" t="b">
        <v>0</v>
      </c>
      <c r="E6" s="80"/>
      <c r="F6" t="s">
        <v>2179</v>
      </c>
      <c r="G6" s="15">
        <v>14</v>
      </c>
      <c r="H6" s="15">
        <v>46</v>
      </c>
      <c r="I6" s="15">
        <v>31</v>
      </c>
      <c r="J6" s="15">
        <v>10</v>
      </c>
      <c r="K6" s="15"/>
      <c r="L6" s="15"/>
      <c r="M6" s="15"/>
      <c r="N6" s="15"/>
      <c r="O6" s="15"/>
    </row>
    <row r="7" spans="1:17" ht="15.75" customHeight="1" x14ac:dyDescent="0.2">
      <c r="E7" s="80"/>
      <c r="F7" t="s">
        <v>2165</v>
      </c>
      <c r="G7" s="15">
        <v>26</v>
      </c>
      <c r="H7" s="15">
        <v>39</v>
      </c>
      <c r="I7" s="15">
        <v>26</v>
      </c>
      <c r="J7" s="15">
        <v>8</v>
      </c>
      <c r="K7" s="15"/>
      <c r="L7" s="15"/>
      <c r="M7" s="15"/>
      <c r="N7" s="15"/>
      <c r="O7" s="15"/>
    </row>
    <row r="8" spans="1:17" x14ac:dyDescent="0.2">
      <c r="E8" s="80"/>
      <c r="F8" t="s">
        <v>2166</v>
      </c>
      <c r="G8" s="15">
        <v>25</v>
      </c>
      <c r="H8" s="15">
        <v>48</v>
      </c>
      <c r="I8" s="15">
        <v>21</v>
      </c>
      <c r="J8" s="15">
        <v>6</v>
      </c>
      <c r="K8" s="15"/>
      <c r="L8" s="15"/>
      <c r="M8" s="15"/>
      <c r="N8" s="15"/>
      <c r="O8" s="15"/>
    </row>
    <row r="9" spans="1:17" x14ac:dyDescent="0.2">
      <c r="A9" s="84" t="s">
        <v>1098</v>
      </c>
      <c r="B9" s="80"/>
      <c r="E9" s="80"/>
      <c r="F9" t="s">
        <v>2167</v>
      </c>
      <c r="G9" s="15">
        <v>31</v>
      </c>
      <c r="H9" s="15">
        <v>48</v>
      </c>
      <c r="I9" s="15">
        <v>19</v>
      </c>
      <c r="J9" s="15">
        <v>1</v>
      </c>
      <c r="K9" s="15"/>
      <c r="L9" s="15"/>
      <c r="M9" s="15"/>
      <c r="N9" s="15"/>
      <c r="O9" s="15"/>
    </row>
    <row r="10" spans="1:17" x14ac:dyDescent="0.2">
      <c r="A10" t="s">
        <v>1100</v>
      </c>
      <c r="B10" t="s">
        <v>1300</v>
      </c>
      <c r="E10" s="80"/>
      <c r="F10" t="s">
        <v>2168</v>
      </c>
      <c r="G10" s="15">
        <v>34</v>
      </c>
      <c r="H10" s="15">
        <v>50</v>
      </c>
      <c r="I10" s="15">
        <v>12</v>
      </c>
      <c r="J10" s="15">
        <v>3</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3"/>
      <c r="I17" s="63"/>
      <c r="J17" s="63"/>
    </row>
    <row r="18" spans="1:11" x14ac:dyDescent="0.2">
      <c r="A18" s="84" t="s">
        <v>1119</v>
      </c>
      <c r="B18" s="80"/>
      <c r="E18" s="80"/>
      <c r="G18" s="63"/>
      <c r="H18" s="64"/>
      <c r="I18" s="64"/>
      <c r="J18" s="64"/>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tbl-siena-mental-health-income</v>
      </c>
    </row>
    <row r="4" spans="1:17" x14ac:dyDescent="0.2">
      <c r="A4" s="16" t="s">
        <v>7</v>
      </c>
      <c r="B4" t="str">
        <f>IF($B$1="","",_xlfn.XLOOKUP($B$1,Master!$F$2:$F$321,Master!$H$2:$H$321,""))</f>
        <v>fig-siena-mental-health-income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2163</v>
      </c>
      <c r="G5" t="s">
        <v>2181</v>
      </c>
      <c r="H5" t="s">
        <v>2182</v>
      </c>
      <c r="I5" t="s">
        <v>2183</v>
      </c>
      <c r="J5" t="s">
        <v>2184</v>
      </c>
    </row>
    <row r="6" spans="1:17" ht="15" customHeight="1" x14ac:dyDescent="0.2">
      <c r="A6" t="s">
        <v>1088</v>
      </c>
      <c r="B6" t="b">
        <v>0</v>
      </c>
      <c r="E6" s="80"/>
      <c r="F6" t="s">
        <v>2179</v>
      </c>
      <c r="G6" s="15">
        <v>24</v>
      </c>
      <c r="H6" s="15">
        <v>43</v>
      </c>
      <c r="I6" s="15">
        <v>26</v>
      </c>
      <c r="J6" s="15">
        <v>6</v>
      </c>
      <c r="K6" s="15"/>
      <c r="L6" s="15"/>
      <c r="M6" s="15"/>
      <c r="N6" s="15"/>
      <c r="O6" s="15"/>
    </row>
    <row r="7" spans="1:17" ht="15.75" customHeight="1" x14ac:dyDescent="0.2">
      <c r="E7" s="80"/>
      <c r="F7" t="s">
        <v>2165</v>
      </c>
      <c r="G7" s="15">
        <v>35</v>
      </c>
      <c r="H7" s="15">
        <v>38</v>
      </c>
      <c r="I7" s="15">
        <v>22</v>
      </c>
      <c r="J7" s="15">
        <v>4</v>
      </c>
      <c r="K7" s="15"/>
      <c r="L7" s="15"/>
      <c r="M7" s="15"/>
      <c r="N7" s="15"/>
      <c r="O7" s="15"/>
    </row>
    <row r="8" spans="1:17" x14ac:dyDescent="0.2">
      <c r="E8" s="80"/>
      <c r="F8" t="s">
        <v>2166</v>
      </c>
      <c r="G8" s="15">
        <v>31</v>
      </c>
      <c r="H8" s="15">
        <v>51</v>
      </c>
      <c r="I8" s="15">
        <v>14</v>
      </c>
      <c r="J8" s="15">
        <v>4</v>
      </c>
      <c r="K8" s="15"/>
      <c r="L8" s="15"/>
      <c r="M8" s="15"/>
      <c r="N8" s="15"/>
      <c r="O8" s="15"/>
    </row>
    <row r="9" spans="1:17" x14ac:dyDescent="0.2">
      <c r="A9" s="84" t="s">
        <v>1098</v>
      </c>
      <c r="B9" s="80"/>
      <c r="E9" s="80"/>
      <c r="F9" t="s">
        <v>2167</v>
      </c>
      <c r="G9" s="15">
        <v>37</v>
      </c>
      <c r="H9" s="15">
        <v>39</v>
      </c>
      <c r="I9" s="15">
        <v>2</v>
      </c>
      <c r="J9" s="15">
        <v>5</v>
      </c>
      <c r="K9" s="15"/>
      <c r="L9" s="15"/>
      <c r="M9" s="15"/>
      <c r="N9" s="15"/>
      <c r="O9" s="15"/>
    </row>
    <row r="10" spans="1:17" x14ac:dyDescent="0.2">
      <c r="A10" t="s">
        <v>1100</v>
      </c>
      <c r="B10" t="s">
        <v>1300</v>
      </c>
      <c r="E10" s="80"/>
      <c r="F10" t="s">
        <v>2168</v>
      </c>
      <c r="G10" s="15">
        <v>52</v>
      </c>
      <c r="H10" s="15">
        <v>37</v>
      </c>
      <c r="I10" s="15">
        <v>10</v>
      </c>
      <c r="J10" s="15">
        <v>1</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3"/>
      <c r="I17" s="63"/>
      <c r="J17" s="63"/>
    </row>
    <row r="18" spans="1:11" x14ac:dyDescent="0.2">
      <c r="A18" s="84" t="s">
        <v>1119</v>
      </c>
      <c r="B18" s="80"/>
      <c r="E18" s="80"/>
      <c r="G18" s="63"/>
      <c r="H18" s="63"/>
      <c r="I18" s="63"/>
      <c r="J18" s="63"/>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tbl-siena-healthy-diet-income</v>
      </c>
    </row>
    <row r="4" spans="1:17" x14ac:dyDescent="0.2">
      <c r="A4" s="16" t="s">
        <v>7</v>
      </c>
      <c r="B4" t="str">
        <f>IF($B$1="","",_xlfn.XLOOKUP($B$1,Master!$F$2:$F$321,Master!$H$2:$H$321,""))</f>
        <v>fig-siena-healthy-diet-income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2163</v>
      </c>
      <c r="G5" t="s">
        <v>2190</v>
      </c>
      <c r="H5" t="s">
        <v>2191</v>
      </c>
      <c r="I5" t="s">
        <v>2192</v>
      </c>
      <c r="J5" t="s">
        <v>2193</v>
      </c>
      <c r="K5" t="s">
        <v>2178</v>
      </c>
    </row>
    <row r="6" spans="1:17" ht="15" customHeight="1" x14ac:dyDescent="0.2">
      <c r="A6" t="s">
        <v>1088</v>
      </c>
      <c r="B6" t="b">
        <v>0</v>
      </c>
      <c r="E6" s="80"/>
      <c r="F6" t="s">
        <v>2179</v>
      </c>
      <c r="G6" s="15">
        <v>11</v>
      </c>
      <c r="H6" s="15">
        <v>24</v>
      </c>
      <c r="I6" s="15">
        <v>42</v>
      </c>
      <c r="J6" s="15">
        <v>22</v>
      </c>
      <c r="K6" s="15">
        <v>1</v>
      </c>
      <c r="L6" s="15"/>
      <c r="M6" s="15"/>
      <c r="N6" s="15"/>
      <c r="O6" s="15"/>
    </row>
    <row r="7" spans="1:17" ht="15.75" customHeight="1" x14ac:dyDescent="0.2">
      <c r="E7" s="80"/>
      <c r="F7" t="s">
        <v>2165</v>
      </c>
      <c r="G7" s="15">
        <v>7</v>
      </c>
      <c r="H7" s="15">
        <v>25</v>
      </c>
      <c r="I7" s="15">
        <v>40</v>
      </c>
      <c r="J7" s="15">
        <v>28</v>
      </c>
      <c r="K7" s="15">
        <v>0</v>
      </c>
      <c r="L7" s="15"/>
      <c r="M7" s="15"/>
      <c r="N7" s="15"/>
      <c r="O7" s="15"/>
    </row>
    <row r="8" spans="1:17" x14ac:dyDescent="0.2">
      <c r="E8" s="80"/>
      <c r="F8" t="s">
        <v>2166</v>
      </c>
      <c r="G8" s="15">
        <v>1</v>
      </c>
      <c r="H8" s="15">
        <v>30</v>
      </c>
      <c r="I8" s="15">
        <v>38</v>
      </c>
      <c r="J8" s="15">
        <v>31</v>
      </c>
      <c r="K8" s="15">
        <v>0</v>
      </c>
      <c r="L8" s="15"/>
      <c r="M8" s="15"/>
      <c r="N8" s="15"/>
      <c r="O8" s="15"/>
    </row>
    <row r="9" spans="1:17" x14ac:dyDescent="0.2">
      <c r="A9" s="84" t="s">
        <v>1098</v>
      </c>
      <c r="B9" s="80"/>
      <c r="E9" s="80"/>
      <c r="F9" t="s">
        <v>2167</v>
      </c>
      <c r="G9" s="15">
        <v>4</v>
      </c>
      <c r="H9" s="15">
        <v>15</v>
      </c>
      <c r="I9" s="15">
        <v>50</v>
      </c>
      <c r="J9" s="15">
        <v>30</v>
      </c>
      <c r="K9" s="15">
        <v>0</v>
      </c>
      <c r="L9" s="15"/>
      <c r="M9" s="15"/>
      <c r="N9" s="15"/>
      <c r="O9" s="15"/>
    </row>
    <row r="10" spans="1:17" x14ac:dyDescent="0.2">
      <c r="A10" t="s">
        <v>1100</v>
      </c>
      <c r="B10" t="s">
        <v>1300</v>
      </c>
      <c r="E10" s="80"/>
      <c r="F10" t="s">
        <v>2168</v>
      </c>
      <c r="G10" s="15">
        <v>4</v>
      </c>
      <c r="H10" s="15">
        <v>26</v>
      </c>
      <c r="I10" s="15">
        <v>47</v>
      </c>
      <c r="J10" s="15">
        <v>23</v>
      </c>
      <c r="K10" s="15">
        <v>0</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2136</v>
      </c>
      <c r="B17" t="b">
        <v>0</v>
      </c>
      <c r="E17" s="80"/>
      <c r="G17" s="63"/>
      <c r="H17" s="63"/>
      <c r="I17" s="63"/>
      <c r="J17" s="63"/>
      <c r="K17" s="63"/>
    </row>
    <row r="18" spans="1:11" x14ac:dyDescent="0.2">
      <c r="A18" s="84" t="s">
        <v>1119</v>
      </c>
      <c r="B18" s="80"/>
      <c r="E18" s="80"/>
      <c r="G18" s="63"/>
      <c r="H18" s="63"/>
      <c r="I18" s="63"/>
      <c r="J18" s="63"/>
      <c r="K18" s="63"/>
    </row>
    <row r="19" spans="1:11" x14ac:dyDescent="0.2">
      <c r="A19" t="s">
        <v>1121</v>
      </c>
      <c r="E19" s="80"/>
      <c r="G19" s="63"/>
      <c r="H19" s="63"/>
      <c r="I19" s="63"/>
      <c r="J19" s="63"/>
      <c r="K19" s="63"/>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tbl-siena-exercise-income</v>
      </c>
    </row>
    <row r="4" spans="1:17" x14ac:dyDescent="0.2">
      <c r="A4" s="16" t="s">
        <v>7</v>
      </c>
      <c r="B4" t="str">
        <f>IF($B$1="","",_xlfn.XLOOKUP($B$1,Master!$F$2:$F$321,Master!$H$2:$H$321,""))</f>
        <v>fig-siena-exercise-income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2163</v>
      </c>
      <c r="G5" t="s">
        <v>2190</v>
      </c>
      <c r="H5" t="s">
        <v>2191</v>
      </c>
      <c r="I5" t="s">
        <v>2192</v>
      </c>
      <c r="J5" t="s">
        <v>2193</v>
      </c>
    </row>
    <row r="6" spans="1:17" ht="15" customHeight="1" x14ac:dyDescent="0.2">
      <c r="A6" t="s">
        <v>1088</v>
      </c>
      <c r="B6" t="b">
        <v>0</v>
      </c>
      <c r="E6" s="80"/>
      <c r="F6" t="s">
        <v>2179</v>
      </c>
      <c r="G6" s="15">
        <v>33</v>
      </c>
      <c r="H6" s="15">
        <v>31</v>
      </c>
      <c r="I6" s="15">
        <v>16</v>
      </c>
      <c r="J6" s="15">
        <v>19</v>
      </c>
      <c r="K6" s="15"/>
      <c r="L6" s="15"/>
      <c r="M6" s="15"/>
      <c r="N6" s="15"/>
      <c r="O6" s="15"/>
    </row>
    <row r="7" spans="1:17" ht="15.75" customHeight="1" x14ac:dyDescent="0.2">
      <c r="E7" s="80"/>
      <c r="F7" t="s">
        <v>2165</v>
      </c>
      <c r="G7" s="15">
        <v>19</v>
      </c>
      <c r="H7" s="15">
        <v>47</v>
      </c>
      <c r="I7" s="15">
        <v>20</v>
      </c>
      <c r="J7" s="15">
        <v>13</v>
      </c>
      <c r="K7" s="15"/>
      <c r="L7" s="15"/>
      <c r="M7" s="15"/>
      <c r="N7" s="15"/>
      <c r="O7" s="15"/>
    </row>
    <row r="8" spans="1:17" x14ac:dyDescent="0.2">
      <c r="E8" s="80"/>
      <c r="F8" t="s">
        <v>2166</v>
      </c>
      <c r="G8" s="15">
        <v>19</v>
      </c>
      <c r="H8" s="15">
        <v>41</v>
      </c>
      <c r="I8" s="15">
        <v>31</v>
      </c>
      <c r="J8" s="15">
        <v>8</v>
      </c>
      <c r="K8" s="15"/>
      <c r="L8" s="15"/>
      <c r="M8" s="15"/>
      <c r="N8" s="15"/>
      <c r="O8" s="15"/>
    </row>
    <row r="9" spans="1:17" x14ac:dyDescent="0.2">
      <c r="A9" s="84" t="s">
        <v>1098</v>
      </c>
      <c r="B9" s="80"/>
      <c r="E9" s="80"/>
      <c r="F9" t="s">
        <v>2167</v>
      </c>
      <c r="G9" s="15">
        <v>15</v>
      </c>
      <c r="H9" s="15">
        <v>41</v>
      </c>
      <c r="I9" s="15">
        <v>31</v>
      </c>
      <c r="J9" s="15">
        <v>11</v>
      </c>
      <c r="K9" s="15"/>
      <c r="L9" s="15"/>
      <c r="M9" s="15"/>
      <c r="N9" s="15"/>
      <c r="O9" s="15"/>
    </row>
    <row r="10" spans="1:17" x14ac:dyDescent="0.2">
      <c r="A10" t="s">
        <v>1100</v>
      </c>
      <c r="B10" t="s">
        <v>1300</v>
      </c>
      <c r="E10" s="80"/>
      <c r="F10" t="s">
        <v>2168</v>
      </c>
      <c r="G10" s="15">
        <v>10</v>
      </c>
      <c r="H10" s="15">
        <v>36</v>
      </c>
      <c r="I10" s="15">
        <v>37</v>
      </c>
      <c r="J10" s="15">
        <v>17</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4"/>
      <c r="I17" s="64"/>
      <c r="J17" s="64"/>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tbl-siena-sleep-income</v>
      </c>
    </row>
    <row r="4" spans="1:17" x14ac:dyDescent="0.2">
      <c r="A4" s="16" t="s">
        <v>7</v>
      </c>
      <c r="B4" t="str">
        <f>IF($B$1="","",_xlfn.XLOOKUP($B$1,Master!$F$2:$F$321,Master!$H$2:$H$321,""))</f>
        <v>fig-siena-sleep-income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2163</v>
      </c>
      <c r="G5" t="s">
        <v>2190</v>
      </c>
      <c r="H5" t="s">
        <v>2191</v>
      </c>
      <c r="I5" t="s">
        <v>2192</v>
      </c>
      <c r="J5" t="s">
        <v>2193</v>
      </c>
    </row>
    <row r="6" spans="1:17" ht="15" customHeight="1" x14ac:dyDescent="0.2">
      <c r="A6" t="s">
        <v>1088</v>
      </c>
      <c r="B6" t="b">
        <v>0</v>
      </c>
      <c r="E6" s="80"/>
      <c r="F6" t="s">
        <v>2179</v>
      </c>
      <c r="G6" s="15">
        <v>21</v>
      </c>
      <c r="H6" s="15">
        <v>22</v>
      </c>
      <c r="I6" s="15">
        <v>32</v>
      </c>
      <c r="J6" s="15">
        <v>25</v>
      </c>
      <c r="K6" s="15"/>
      <c r="L6" s="15"/>
      <c r="M6" s="15"/>
      <c r="N6" s="15"/>
      <c r="O6" s="15"/>
    </row>
    <row r="7" spans="1:17" ht="15.75" customHeight="1" x14ac:dyDescent="0.2">
      <c r="E7" s="80"/>
      <c r="F7" t="s">
        <v>2165</v>
      </c>
      <c r="G7" s="15">
        <v>12</v>
      </c>
      <c r="H7" s="15">
        <v>32</v>
      </c>
      <c r="I7" s="15">
        <v>35</v>
      </c>
      <c r="J7" s="15">
        <v>21</v>
      </c>
      <c r="K7" s="15"/>
      <c r="L7" s="15"/>
      <c r="M7" s="15"/>
      <c r="N7" s="15"/>
      <c r="O7" s="15"/>
    </row>
    <row r="8" spans="1:17" x14ac:dyDescent="0.2">
      <c r="E8" s="80"/>
      <c r="F8" t="s">
        <v>2166</v>
      </c>
      <c r="G8" s="15">
        <v>12</v>
      </c>
      <c r="H8" s="15">
        <v>33</v>
      </c>
      <c r="I8" s="15">
        <v>29</v>
      </c>
      <c r="J8" s="15">
        <v>25</v>
      </c>
      <c r="K8" s="15"/>
      <c r="L8" s="15"/>
      <c r="M8" s="15"/>
      <c r="N8" s="15"/>
      <c r="O8" s="15"/>
    </row>
    <row r="9" spans="1:17" x14ac:dyDescent="0.2">
      <c r="A9" s="84" t="s">
        <v>1098</v>
      </c>
      <c r="B9" s="80"/>
      <c r="E9" s="80"/>
      <c r="F9" t="s">
        <v>2167</v>
      </c>
      <c r="G9" s="15">
        <v>13</v>
      </c>
      <c r="H9" s="15">
        <v>32</v>
      </c>
      <c r="I9" s="15">
        <v>37</v>
      </c>
      <c r="J9" s="15">
        <v>18</v>
      </c>
      <c r="K9" s="15"/>
      <c r="L9" s="15"/>
      <c r="M9" s="15"/>
      <c r="N9" s="15"/>
      <c r="O9" s="15"/>
    </row>
    <row r="10" spans="1:17" x14ac:dyDescent="0.2">
      <c r="A10" t="s">
        <v>1100</v>
      </c>
      <c r="B10" t="s">
        <v>1300</v>
      </c>
      <c r="E10" s="80"/>
      <c r="F10" t="s">
        <v>2168</v>
      </c>
      <c r="G10" s="15">
        <v>17</v>
      </c>
      <c r="H10" s="15">
        <v>27</v>
      </c>
      <c r="I10" s="15">
        <v>40</v>
      </c>
      <c r="J10" s="15">
        <v>16</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4"/>
      <c r="I17" s="64"/>
      <c r="J17" s="64"/>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tbl-siena-stress-income</v>
      </c>
    </row>
    <row r="4" spans="1:17" x14ac:dyDescent="0.2">
      <c r="A4" s="16" t="s">
        <v>7</v>
      </c>
      <c r="B4" t="str">
        <f>IF($B$1="","",_xlfn.XLOOKUP($B$1,Master!$F$2:$F$321,Master!$H$2:$H$321,""))</f>
        <v>fig-siena-stress-income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2163</v>
      </c>
      <c r="G5" t="s">
        <v>2194</v>
      </c>
      <c r="H5" t="s">
        <v>2195</v>
      </c>
      <c r="I5" t="s">
        <v>2196</v>
      </c>
      <c r="J5" t="s">
        <v>2197</v>
      </c>
    </row>
    <row r="6" spans="1:17" ht="15" customHeight="1" x14ac:dyDescent="0.2">
      <c r="A6" t="s">
        <v>1088</v>
      </c>
      <c r="B6" t="b">
        <v>0</v>
      </c>
      <c r="E6" s="80"/>
      <c r="F6" t="s">
        <v>2179</v>
      </c>
      <c r="G6" s="15">
        <v>14</v>
      </c>
      <c r="H6" s="15">
        <v>15</v>
      </c>
      <c r="I6" s="15">
        <v>44</v>
      </c>
      <c r="J6" s="15">
        <v>27</v>
      </c>
      <c r="K6" s="15"/>
      <c r="L6" s="15"/>
      <c r="M6" s="15"/>
      <c r="N6" s="15"/>
      <c r="O6" s="15"/>
    </row>
    <row r="7" spans="1:17" ht="15.75" customHeight="1" x14ac:dyDescent="0.2">
      <c r="E7" s="80"/>
      <c r="F7" t="s">
        <v>2165</v>
      </c>
      <c r="G7" s="15">
        <v>12</v>
      </c>
      <c r="H7" s="15">
        <v>27</v>
      </c>
      <c r="I7" s="15">
        <v>42</v>
      </c>
      <c r="J7" s="15">
        <v>19</v>
      </c>
      <c r="K7" s="15"/>
      <c r="L7" s="15"/>
      <c r="M7" s="15"/>
      <c r="N7" s="15"/>
      <c r="O7" s="15"/>
    </row>
    <row r="8" spans="1:17" x14ac:dyDescent="0.2">
      <c r="E8" s="80"/>
      <c r="F8" t="s">
        <v>2166</v>
      </c>
      <c r="G8" s="15">
        <v>16</v>
      </c>
      <c r="H8" s="15">
        <v>24</v>
      </c>
      <c r="I8" s="15">
        <v>44</v>
      </c>
      <c r="J8" s="15">
        <v>16</v>
      </c>
      <c r="K8" s="15"/>
      <c r="L8" s="15"/>
      <c r="M8" s="15"/>
      <c r="N8" s="15"/>
      <c r="O8" s="15"/>
    </row>
    <row r="9" spans="1:17" x14ac:dyDescent="0.2">
      <c r="A9" s="84" t="s">
        <v>1098</v>
      </c>
      <c r="B9" s="80"/>
      <c r="E9" s="80"/>
      <c r="F9" t="s">
        <v>2167</v>
      </c>
      <c r="G9" s="15">
        <v>9</v>
      </c>
      <c r="H9" s="15">
        <v>27</v>
      </c>
      <c r="I9" s="15">
        <v>51</v>
      </c>
      <c r="J9" s="15">
        <v>13</v>
      </c>
      <c r="K9" s="15"/>
      <c r="L9" s="15"/>
      <c r="M9" s="15"/>
      <c r="N9" s="15"/>
      <c r="O9" s="15"/>
    </row>
    <row r="10" spans="1:17" x14ac:dyDescent="0.2">
      <c r="A10" t="s">
        <v>1100</v>
      </c>
      <c r="B10" t="s">
        <v>1300</v>
      </c>
      <c r="E10" s="80"/>
      <c r="F10" t="s">
        <v>2168</v>
      </c>
      <c r="G10" s="15">
        <v>14</v>
      </c>
      <c r="H10" s="15">
        <v>20</v>
      </c>
      <c r="I10" s="15">
        <v>52</v>
      </c>
      <c r="J10" s="15">
        <v>14</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2136</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tbl-siena-quality-encounter-income</v>
      </c>
    </row>
    <row r="4" spans="1:17" x14ac:dyDescent="0.2">
      <c r="A4" s="16" t="s">
        <v>7</v>
      </c>
      <c r="B4" t="str">
        <f>IF($B$1="","",_xlfn.XLOOKUP($B$1,Master!$F$2:$F$321,Master!$H$2:$H$321,""))</f>
        <v>fig-siena-quality-encounter-income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2163</v>
      </c>
      <c r="G5" t="s">
        <v>2198</v>
      </c>
      <c r="H5" t="s">
        <v>2199</v>
      </c>
      <c r="I5" t="s">
        <v>2200</v>
      </c>
      <c r="J5" t="s">
        <v>2201</v>
      </c>
    </row>
    <row r="6" spans="1:17" ht="15" customHeight="1" x14ac:dyDescent="0.2">
      <c r="A6" t="s">
        <v>1088</v>
      </c>
      <c r="B6" t="b">
        <v>0</v>
      </c>
      <c r="E6" s="80"/>
      <c r="F6" t="s">
        <v>2179</v>
      </c>
      <c r="G6" s="15">
        <v>17</v>
      </c>
      <c r="H6" s="15">
        <v>26</v>
      </c>
      <c r="I6" s="15">
        <v>28</v>
      </c>
      <c r="J6" s="15">
        <v>29</v>
      </c>
      <c r="K6" s="15"/>
      <c r="L6" s="15"/>
      <c r="M6" s="15"/>
      <c r="N6" s="15"/>
      <c r="O6" s="15"/>
    </row>
    <row r="7" spans="1:17" ht="15.75" customHeight="1" x14ac:dyDescent="0.2">
      <c r="E7" s="80"/>
      <c r="F7" t="s">
        <v>2165</v>
      </c>
      <c r="G7" s="15">
        <v>10</v>
      </c>
      <c r="H7" s="15">
        <v>20</v>
      </c>
      <c r="I7" s="15">
        <v>29</v>
      </c>
      <c r="J7" s="15">
        <v>40</v>
      </c>
      <c r="K7" s="15"/>
      <c r="L7" s="15"/>
      <c r="M7" s="15"/>
      <c r="N7" s="15"/>
      <c r="O7" s="15"/>
    </row>
    <row r="8" spans="1:17" x14ac:dyDescent="0.2">
      <c r="E8" s="80"/>
      <c r="F8" t="s">
        <v>2166</v>
      </c>
      <c r="G8" s="15">
        <v>7</v>
      </c>
      <c r="H8" s="15">
        <v>30</v>
      </c>
      <c r="I8" s="15">
        <v>25</v>
      </c>
      <c r="J8" s="15">
        <v>37</v>
      </c>
      <c r="K8" s="15"/>
      <c r="L8" s="15"/>
      <c r="M8" s="15"/>
      <c r="N8" s="15"/>
      <c r="O8" s="15"/>
    </row>
    <row r="9" spans="1:17" x14ac:dyDescent="0.2">
      <c r="A9" s="84" t="s">
        <v>1098</v>
      </c>
      <c r="B9" s="80"/>
      <c r="E9" s="80"/>
      <c r="F9" t="s">
        <v>2167</v>
      </c>
      <c r="G9" s="15">
        <v>5</v>
      </c>
      <c r="H9" s="15">
        <v>22</v>
      </c>
      <c r="I9" s="15">
        <v>43</v>
      </c>
      <c r="J9" s="15">
        <v>29</v>
      </c>
      <c r="K9" s="15"/>
      <c r="L9" s="15"/>
      <c r="M9" s="15"/>
      <c r="N9" s="15"/>
      <c r="O9" s="15"/>
    </row>
    <row r="10" spans="1:17" x14ac:dyDescent="0.2">
      <c r="A10" t="s">
        <v>1100</v>
      </c>
      <c r="B10" t="s">
        <v>1300</v>
      </c>
      <c r="E10" s="80"/>
      <c r="F10" t="s">
        <v>2168</v>
      </c>
      <c r="G10" s="15">
        <v>5</v>
      </c>
      <c r="H10" s="15">
        <v>17</v>
      </c>
      <c r="I10" s="15">
        <v>33</v>
      </c>
      <c r="J10" s="15">
        <v>45</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2136</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tbl-siena-alcohol-income</v>
      </c>
    </row>
    <row r="4" spans="1:17" x14ac:dyDescent="0.2">
      <c r="A4" s="16" t="s">
        <v>7</v>
      </c>
      <c r="B4" t="str">
        <f>IF($B$1="","",_xlfn.XLOOKUP($B$1,Master!$F$2:$F$321,Master!$H$2:$H$321,""))</f>
        <v>fig-siena-alcohol-income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2163</v>
      </c>
      <c r="G5" s="15" t="s">
        <v>2202</v>
      </c>
      <c r="H5" s="15" t="s">
        <v>2203</v>
      </c>
      <c r="I5" s="15" t="s">
        <v>2204</v>
      </c>
      <c r="J5" s="15" t="s">
        <v>2205</v>
      </c>
      <c r="K5" s="15" t="s">
        <v>2206</v>
      </c>
    </row>
    <row r="6" spans="1:17" ht="15" customHeight="1" x14ac:dyDescent="0.2">
      <c r="A6" t="s">
        <v>1088</v>
      </c>
      <c r="B6" t="b">
        <v>0</v>
      </c>
      <c r="E6" s="80"/>
      <c r="F6" t="s">
        <v>2179</v>
      </c>
      <c r="G6" s="15">
        <v>46</v>
      </c>
      <c r="H6" s="15">
        <v>27</v>
      </c>
      <c r="I6" s="15">
        <v>12</v>
      </c>
      <c r="J6" s="15">
        <v>7</v>
      </c>
      <c r="K6" s="15">
        <v>6</v>
      </c>
      <c r="L6" s="15"/>
      <c r="M6" s="15"/>
      <c r="N6" s="15"/>
      <c r="O6" s="15"/>
    </row>
    <row r="7" spans="1:17" ht="15.75" customHeight="1" x14ac:dyDescent="0.2">
      <c r="E7" s="80"/>
      <c r="F7" t="s">
        <v>2165</v>
      </c>
      <c r="G7" s="15">
        <v>48</v>
      </c>
      <c r="H7" s="15">
        <v>17</v>
      </c>
      <c r="I7" s="15">
        <v>20</v>
      </c>
      <c r="J7" s="15">
        <v>10</v>
      </c>
      <c r="K7" s="15">
        <v>4</v>
      </c>
      <c r="L7" s="15"/>
      <c r="M7" s="15"/>
      <c r="N7" s="15"/>
      <c r="O7" s="15"/>
    </row>
    <row r="8" spans="1:17" x14ac:dyDescent="0.2">
      <c r="E8" s="80"/>
      <c r="F8" t="s">
        <v>2166</v>
      </c>
      <c r="G8" s="15">
        <v>28</v>
      </c>
      <c r="H8" s="15">
        <v>28</v>
      </c>
      <c r="I8" s="15">
        <v>17</v>
      </c>
      <c r="J8" s="15">
        <v>21</v>
      </c>
      <c r="K8" s="15">
        <v>6</v>
      </c>
      <c r="L8" s="15"/>
      <c r="M8" s="15"/>
      <c r="N8" s="15"/>
      <c r="O8" s="15"/>
    </row>
    <row r="9" spans="1:17" x14ac:dyDescent="0.2">
      <c r="A9" s="84" t="s">
        <v>1098</v>
      </c>
      <c r="B9" s="80"/>
      <c r="E9" s="80"/>
      <c r="F9" t="s">
        <v>2167</v>
      </c>
      <c r="G9" s="15">
        <v>25</v>
      </c>
      <c r="H9" s="15">
        <v>21</v>
      </c>
      <c r="I9" s="15">
        <v>30</v>
      </c>
      <c r="J9" s="15">
        <v>19</v>
      </c>
      <c r="K9" s="15">
        <v>5</v>
      </c>
      <c r="L9" s="15"/>
      <c r="M9" s="15"/>
      <c r="N9" s="15"/>
      <c r="O9" s="15"/>
    </row>
    <row r="10" spans="1:17" x14ac:dyDescent="0.2">
      <c r="A10" t="s">
        <v>1100</v>
      </c>
      <c r="B10" t="s">
        <v>1300</v>
      </c>
      <c r="E10" s="80"/>
      <c r="F10" t="s">
        <v>2168</v>
      </c>
      <c r="G10" s="15">
        <v>20</v>
      </c>
      <c r="H10" s="15">
        <v>25</v>
      </c>
      <c r="I10" s="15">
        <v>27</v>
      </c>
      <c r="J10" s="15">
        <v>25</v>
      </c>
      <c r="K10" s="15">
        <v>4</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63"/>
      <c r="J12" s="63"/>
      <c r="K12" s="63"/>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4"/>
      <c r="I16" s="64"/>
      <c r="J16" s="64"/>
      <c r="K16" s="64"/>
    </row>
    <row r="17" spans="1:11" x14ac:dyDescent="0.2">
      <c r="A17" s="76" t="s">
        <v>2136</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tbl-siena-non-medical-drug-use-income</v>
      </c>
    </row>
    <row r="4" spans="1:17" x14ac:dyDescent="0.2">
      <c r="A4" s="16" t="s">
        <v>7</v>
      </c>
      <c r="B4" t="str">
        <f>IF($B$1="","",_xlfn.XLOOKUP($B$1,Master!$F$2:$F$321,Master!$H$2:$H$321,""))</f>
        <v>fig-siena-non-medical-drug-use-income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2163</v>
      </c>
      <c r="G5" s="15" t="s">
        <v>2202</v>
      </c>
      <c r="H5" s="15" t="s">
        <v>2203</v>
      </c>
      <c r="I5" s="15" t="s">
        <v>2204</v>
      </c>
      <c r="J5" s="15" t="s">
        <v>2205</v>
      </c>
      <c r="K5" s="15" t="s">
        <v>2206</v>
      </c>
    </row>
    <row r="6" spans="1:17" ht="15" customHeight="1" x14ac:dyDescent="0.2">
      <c r="A6" t="s">
        <v>1088</v>
      </c>
      <c r="B6" t="b">
        <v>0</v>
      </c>
      <c r="E6" s="80"/>
      <c r="F6" t="s">
        <v>2179</v>
      </c>
      <c r="G6" s="15">
        <v>80</v>
      </c>
      <c r="H6" s="15">
        <v>5</v>
      </c>
      <c r="I6" s="15">
        <v>5</v>
      </c>
      <c r="J6" s="15">
        <v>0</v>
      </c>
      <c r="K6" s="15">
        <v>10</v>
      </c>
      <c r="L6" s="15"/>
      <c r="M6" s="15"/>
      <c r="N6" s="15"/>
      <c r="O6" s="15"/>
    </row>
    <row r="7" spans="1:17" ht="15.75" customHeight="1" x14ac:dyDescent="0.2">
      <c r="E7" s="80"/>
      <c r="F7" t="s">
        <v>2165</v>
      </c>
      <c r="G7" s="15">
        <v>78</v>
      </c>
      <c r="H7" s="15">
        <v>7</v>
      </c>
      <c r="I7" s="15">
        <v>3</v>
      </c>
      <c r="J7" s="15">
        <v>0</v>
      </c>
      <c r="K7" s="15">
        <v>12</v>
      </c>
      <c r="L7" s="15"/>
      <c r="M7" s="15"/>
      <c r="N7" s="15"/>
      <c r="O7" s="15"/>
    </row>
    <row r="8" spans="1:17" x14ac:dyDescent="0.2">
      <c r="E8" s="80"/>
      <c r="F8" t="s">
        <v>2166</v>
      </c>
      <c r="G8" s="15">
        <v>70</v>
      </c>
      <c r="H8" s="15">
        <v>9</v>
      </c>
      <c r="I8" s="15">
        <v>8</v>
      </c>
      <c r="J8" s="15">
        <v>2</v>
      </c>
      <c r="K8" s="15">
        <v>8</v>
      </c>
      <c r="L8" s="15"/>
      <c r="M8" s="15"/>
      <c r="N8" s="15"/>
      <c r="O8" s="15"/>
    </row>
    <row r="9" spans="1:17" x14ac:dyDescent="0.2">
      <c r="A9" s="84" t="s">
        <v>1098</v>
      </c>
      <c r="B9" s="80"/>
      <c r="E9" s="80"/>
      <c r="F9" t="s">
        <v>2167</v>
      </c>
      <c r="G9" s="15">
        <v>77</v>
      </c>
      <c r="H9" s="15">
        <v>6</v>
      </c>
      <c r="I9" s="15">
        <v>4</v>
      </c>
      <c r="J9" s="15">
        <v>2</v>
      </c>
      <c r="K9" s="15">
        <v>11</v>
      </c>
      <c r="L9" s="15"/>
      <c r="M9" s="15"/>
      <c r="N9" s="15"/>
      <c r="O9" s="15"/>
    </row>
    <row r="10" spans="1:17" x14ac:dyDescent="0.2">
      <c r="A10" t="s">
        <v>1100</v>
      </c>
      <c r="B10" t="s">
        <v>1300</v>
      </c>
      <c r="E10" s="80"/>
      <c r="F10" t="s">
        <v>2168</v>
      </c>
      <c r="G10" s="15">
        <v>82</v>
      </c>
      <c r="H10" s="15">
        <v>7</v>
      </c>
      <c r="I10" s="15">
        <v>2</v>
      </c>
      <c r="J10" s="15">
        <v>3</v>
      </c>
      <c r="K10" s="15">
        <v>5</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2136</v>
      </c>
      <c r="B17" t="b">
        <v>0</v>
      </c>
      <c r="E17" s="80"/>
      <c r="G17" s="63"/>
      <c r="H17" s="63"/>
      <c r="I17" s="63"/>
      <c r="J17" s="63"/>
      <c r="K17" s="63"/>
    </row>
    <row r="18" spans="1:11" x14ac:dyDescent="0.2">
      <c r="A18" s="84" t="s">
        <v>1119</v>
      </c>
      <c r="B18" s="80"/>
      <c r="E18" s="80"/>
      <c r="G18" s="63"/>
      <c r="H18" s="64"/>
      <c r="I18" s="64"/>
      <c r="J18" s="64"/>
      <c r="K18" s="64"/>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tbl-siena-cannabis-income</v>
      </c>
    </row>
    <row r="4" spans="1:17" x14ac:dyDescent="0.2">
      <c r="A4" s="16" t="s">
        <v>7</v>
      </c>
      <c r="B4" t="str">
        <f>IF($B$1="","",_xlfn.XLOOKUP($B$1,Master!$F$2:$F$321,Master!$H$2:$H$321,""))</f>
        <v>fig-siena-cannabis-income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2163</v>
      </c>
      <c r="G5" t="s">
        <v>2207</v>
      </c>
      <c r="H5" t="s">
        <v>2208</v>
      </c>
      <c r="I5" t="s">
        <v>2209</v>
      </c>
    </row>
    <row r="6" spans="1:17" ht="15" customHeight="1" x14ac:dyDescent="0.2">
      <c r="A6" t="s">
        <v>1088</v>
      </c>
      <c r="B6" t="b">
        <v>0</v>
      </c>
      <c r="E6" s="80"/>
      <c r="F6" t="s">
        <v>2179</v>
      </c>
      <c r="G6" s="15">
        <v>8</v>
      </c>
      <c r="H6" s="15">
        <v>13</v>
      </c>
      <c r="I6" s="15">
        <v>77</v>
      </c>
      <c r="J6" s="63"/>
      <c r="K6" s="15"/>
      <c r="L6" s="15"/>
      <c r="M6" s="15"/>
      <c r="N6" s="15"/>
      <c r="O6" s="15"/>
    </row>
    <row r="7" spans="1:17" ht="15.75" customHeight="1" x14ac:dyDescent="0.2">
      <c r="E7" s="80"/>
      <c r="F7" t="s">
        <v>2165</v>
      </c>
      <c r="G7" s="15">
        <v>11</v>
      </c>
      <c r="H7" s="15">
        <v>9</v>
      </c>
      <c r="I7" s="15">
        <v>78</v>
      </c>
      <c r="J7" s="15"/>
      <c r="K7" s="15"/>
      <c r="L7" s="15"/>
      <c r="M7" s="15"/>
      <c r="N7" s="15"/>
      <c r="O7" s="15"/>
    </row>
    <row r="8" spans="1:17" x14ac:dyDescent="0.2">
      <c r="E8" s="80"/>
      <c r="F8" t="s">
        <v>2166</v>
      </c>
      <c r="G8" s="15">
        <v>7</v>
      </c>
      <c r="H8" s="15">
        <v>14</v>
      </c>
      <c r="I8" s="15">
        <v>78</v>
      </c>
      <c r="J8" s="15"/>
      <c r="K8" s="15"/>
      <c r="L8" s="15"/>
      <c r="M8" s="15"/>
      <c r="N8" s="15"/>
      <c r="O8" s="15"/>
    </row>
    <row r="9" spans="1:17" x14ac:dyDescent="0.2">
      <c r="A9" s="84" t="s">
        <v>1098</v>
      </c>
      <c r="B9" s="80"/>
      <c r="E9" s="80"/>
      <c r="F9" t="s">
        <v>2167</v>
      </c>
      <c r="G9" s="15">
        <v>4</v>
      </c>
      <c r="H9" s="15">
        <v>24</v>
      </c>
      <c r="I9" s="15">
        <v>72</v>
      </c>
      <c r="J9" s="15"/>
      <c r="K9" s="15"/>
      <c r="L9" s="15"/>
      <c r="M9" s="15"/>
      <c r="N9" s="15"/>
      <c r="O9" s="15"/>
    </row>
    <row r="10" spans="1:17" x14ac:dyDescent="0.2">
      <c r="A10" t="s">
        <v>1100</v>
      </c>
      <c r="B10" t="s">
        <v>1300</v>
      </c>
      <c r="E10" s="80"/>
      <c r="F10" t="s">
        <v>2168</v>
      </c>
      <c r="G10" s="15">
        <v>4</v>
      </c>
      <c r="H10" s="15">
        <v>9</v>
      </c>
      <c r="I10" s="15">
        <v>87</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63"/>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4"/>
      <c r="I16" s="64"/>
    </row>
    <row r="17" spans="1:11" x14ac:dyDescent="0.2">
      <c r="A17" s="76" t="s">
        <v>2136</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tbl-siena-unable-food-income</v>
      </c>
    </row>
    <row r="4" spans="1:17" x14ac:dyDescent="0.2">
      <c r="A4" s="16" t="s">
        <v>7</v>
      </c>
      <c r="B4" t="str">
        <f>IF($B$1="","",_xlfn.XLOOKUP($B$1,Master!$F$2:$F$321,Master!$H$2:$H$321,""))</f>
        <v>fig-siena-unable-food-income</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t="s">
        <v>2210</v>
      </c>
      <c r="H5" t="s">
        <v>2211</v>
      </c>
    </row>
    <row r="6" spans="1:17" ht="15" customHeight="1" x14ac:dyDescent="0.2">
      <c r="A6" t="s">
        <v>1088</v>
      </c>
      <c r="B6" t="b">
        <v>0</v>
      </c>
      <c r="E6" s="80"/>
      <c r="F6" t="s">
        <v>2179</v>
      </c>
      <c r="G6" s="15">
        <v>22</v>
      </c>
      <c r="H6" s="15">
        <v>78</v>
      </c>
      <c r="I6" s="15"/>
      <c r="J6" s="15"/>
      <c r="K6" s="15"/>
      <c r="L6" s="15"/>
      <c r="M6" s="15"/>
      <c r="N6" s="15"/>
      <c r="O6" s="15"/>
    </row>
    <row r="7" spans="1:17" ht="15.75" customHeight="1" x14ac:dyDescent="0.2">
      <c r="E7" s="80"/>
      <c r="F7" t="s">
        <v>2165</v>
      </c>
      <c r="G7" s="15">
        <v>22</v>
      </c>
      <c r="H7" s="15">
        <v>78</v>
      </c>
      <c r="I7" s="15"/>
      <c r="J7" s="15"/>
      <c r="K7" s="15"/>
      <c r="L7" s="15"/>
      <c r="M7" s="15"/>
      <c r="N7" s="15"/>
      <c r="O7" s="15"/>
    </row>
    <row r="8" spans="1:17" x14ac:dyDescent="0.2">
      <c r="E8" s="80"/>
      <c r="F8" t="s">
        <v>2166</v>
      </c>
      <c r="G8" s="15">
        <v>19</v>
      </c>
      <c r="H8" s="15">
        <v>80</v>
      </c>
      <c r="I8" s="15"/>
      <c r="J8" s="15"/>
      <c r="K8" s="15"/>
      <c r="L8" s="15"/>
      <c r="M8" s="15"/>
      <c r="N8" s="15"/>
      <c r="O8" s="15"/>
    </row>
    <row r="9" spans="1:17" x14ac:dyDescent="0.2">
      <c r="A9" s="84" t="s">
        <v>1098</v>
      </c>
      <c r="B9" s="80"/>
      <c r="E9" s="80"/>
      <c r="F9" t="s">
        <v>2167</v>
      </c>
      <c r="G9" s="15">
        <v>9</v>
      </c>
      <c r="H9" s="15">
        <v>91</v>
      </c>
      <c r="I9" s="15"/>
      <c r="J9" s="15"/>
      <c r="K9" s="15"/>
      <c r="L9" s="15"/>
      <c r="M9" s="15"/>
      <c r="N9" s="15"/>
      <c r="O9" s="15"/>
    </row>
    <row r="10" spans="1:17" x14ac:dyDescent="0.2">
      <c r="A10" t="s">
        <v>1100</v>
      </c>
      <c r="B10" t="s">
        <v>1300</v>
      </c>
      <c r="E10" s="80"/>
      <c r="F10" t="s">
        <v>2168</v>
      </c>
      <c r="G10" s="15">
        <v>7</v>
      </c>
      <c r="H10" s="15">
        <v>92</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2136</v>
      </c>
      <c r="B17" t="b">
        <v>0</v>
      </c>
      <c r="E17" s="80"/>
      <c r="G17" s="63"/>
      <c r="H17" s="64"/>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s="15" t="s">
        <v>2210</v>
      </c>
      <c r="H5" s="15" t="s">
        <v>2211</v>
      </c>
    </row>
    <row r="6" spans="1:17" ht="15" customHeight="1" x14ac:dyDescent="0.2">
      <c r="A6" t="s">
        <v>1088</v>
      </c>
      <c r="B6" t="b">
        <v>0</v>
      </c>
      <c r="E6" s="80"/>
      <c r="F6" t="s">
        <v>2179</v>
      </c>
      <c r="G6" s="15">
        <v>23</v>
      </c>
      <c r="H6" s="15">
        <v>77</v>
      </c>
      <c r="I6" s="15"/>
      <c r="J6" s="15"/>
      <c r="K6" s="15"/>
      <c r="L6" s="15"/>
      <c r="M6" s="15"/>
      <c r="N6" s="15"/>
      <c r="O6" s="15"/>
    </row>
    <row r="7" spans="1:17" ht="15.75" customHeight="1" x14ac:dyDescent="0.2">
      <c r="E7" s="80"/>
      <c r="F7" t="s">
        <v>2165</v>
      </c>
      <c r="G7" s="15">
        <v>20</v>
      </c>
      <c r="H7" s="15">
        <v>80</v>
      </c>
      <c r="I7" s="15"/>
      <c r="J7" s="15"/>
      <c r="K7" s="15"/>
      <c r="L7" s="15"/>
      <c r="M7" s="15"/>
      <c r="N7" s="15"/>
      <c r="O7" s="15"/>
    </row>
    <row r="8" spans="1:17" x14ac:dyDescent="0.2">
      <c r="E8" s="80"/>
      <c r="F8" t="s">
        <v>2166</v>
      </c>
      <c r="G8" s="15">
        <v>18</v>
      </c>
      <c r="H8" s="15">
        <v>82</v>
      </c>
      <c r="I8" s="15"/>
      <c r="J8" s="15"/>
      <c r="K8" s="15"/>
      <c r="L8" s="15"/>
      <c r="M8" s="15"/>
      <c r="N8" s="15"/>
      <c r="O8" s="15"/>
    </row>
    <row r="9" spans="1:17" x14ac:dyDescent="0.2">
      <c r="A9" s="84" t="s">
        <v>1098</v>
      </c>
      <c r="B9" s="80"/>
      <c r="E9" s="80"/>
      <c r="F9" t="s">
        <v>2167</v>
      </c>
      <c r="G9" s="15">
        <v>8</v>
      </c>
      <c r="H9" s="15">
        <v>92</v>
      </c>
      <c r="I9" s="15"/>
      <c r="J9" s="15"/>
      <c r="K9" s="15"/>
      <c r="L9" s="15"/>
      <c r="M9" s="15"/>
      <c r="N9" s="15"/>
      <c r="O9" s="15"/>
    </row>
    <row r="10" spans="1:17" x14ac:dyDescent="0.2">
      <c r="A10" t="s">
        <v>1100</v>
      </c>
      <c r="B10" t="s">
        <v>1300</v>
      </c>
      <c r="E10" s="80"/>
      <c r="F10" t="s">
        <v>2168</v>
      </c>
      <c r="G10" s="15">
        <v>9</v>
      </c>
      <c r="H10" s="15">
        <v>92</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2136</v>
      </c>
      <c r="B17" t="b">
        <v>0</v>
      </c>
      <c r="E17" s="80"/>
      <c r="G17" s="63"/>
      <c r="H17" s="63"/>
    </row>
    <row r="18" spans="1:11" x14ac:dyDescent="0.2">
      <c r="A18" s="84" t="s">
        <v>1119</v>
      </c>
      <c r="B18" s="80"/>
      <c r="E18" s="80"/>
      <c r="G18" s="63"/>
      <c r="H18" s="63"/>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tbl-siena-unable-dental-vision-income</v>
      </c>
    </row>
    <row r="4" spans="1:17" x14ac:dyDescent="0.2">
      <c r="A4" s="16" t="s">
        <v>7</v>
      </c>
      <c r="B4" t="str">
        <f>IF($B$1="","",_xlfn.XLOOKUP($B$1,Master!$F$2:$F$321,Master!$H$2:$H$321,""))</f>
        <v>fig-siena-unable-dental-vision-income</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t="s">
        <v>2210</v>
      </c>
      <c r="H5" t="s">
        <v>2211</v>
      </c>
    </row>
    <row r="6" spans="1:17" ht="15" customHeight="1" x14ac:dyDescent="0.2">
      <c r="A6" t="s">
        <v>1088</v>
      </c>
      <c r="B6" t="b">
        <v>0</v>
      </c>
      <c r="E6" s="80"/>
      <c r="F6" t="s">
        <v>2179</v>
      </c>
      <c r="G6" s="15">
        <v>24</v>
      </c>
      <c r="H6" s="15">
        <v>75</v>
      </c>
      <c r="I6" s="15"/>
      <c r="J6" s="15"/>
      <c r="K6" s="15"/>
      <c r="L6" s="15"/>
      <c r="M6" s="15"/>
      <c r="N6" s="15"/>
      <c r="O6" s="15"/>
    </row>
    <row r="7" spans="1:17" ht="15.75" customHeight="1" x14ac:dyDescent="0.2">
      <c r="E7" s="80"/>
      <c r="F7" t="s">
        <v>2165</v>
      </c>
      <c r="G7" s="15">
        <v>30</v>
      </c>
      <c r="H7" s="15">
        <v>70</v>
      </c>
      <c r="I7" s="15"/>
      <c r="J7" s="15"/>
      <c r="K7" s="15"/>
      <c r="L7" s="15"/>
      <c r="M7" s="15"/>
      <c r="N7" s="15"/>
      <c r="O7" s="15"/>
    </row>
    <row r="8" spans="1:17" x14ac:dyDescent="0.2">
      <c r="E8" s="80"/>
      <c r="F8" t="s">
        <v>2166</v>
      </c>
      <c r="G8" s="15">
        <v>24</v>
      </c>
      <c r="H8" s="15">
        <v>73</v>
      </c>
      <c r="I8" s="15"/>
      <c r="J8" s="15"/>
      <c r="K8" s="15"/>
      <c r="L8" s="15"/>
      <c r="M8" s="15"/>
      <c r="N8" s="15"/>
      <c r="O8" s="15"/>
    </row>
    <row r="9" spans="1:17" x14ac:dyDescent="0.2">
      <c r="A9" s="84" t="s">
        <v>1098</v>
      </c>
      <c r="B9" s="80"/>
      <c r="E9" s="80"/>
      <c r="F9" t="s">
        <v>2167</v>
      </c>
      <c r="G9" s="15">
        <v>16</v>
      </c>
      <c r="H9" s="15">
        <v>84</v>
      </c>
      <c r="I9" s="15"/>
      <c r="J9" s="15"/>
      <c r="K9" s="15"/>
      <c r="L9" s="15"/>
      <c r="M9" s="15"/>
      <c r="N9" s="15"/>
      <c r="O9" s="15"/>
    </row>
    <row r="10" spans="1:17" x14ac:dyDescent="0.2">
      <c r="A10" t="s">
        <v>1100</v>
      </c>
      <c r="B10" t="s">
        <v>1300</v>
      </c>
      <c r="E10" s="80"/>
      <c r="F10" t="s">
        <v>2168</v>
      </c>
      <c r="G10" s="15">
        <v>13</v>
      </c>
      <c r="H10" s="15">
        <v>86</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2136</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tbl-siena-unable-phone-income</v>
      </c>
    </row>
    <row r="4" spans="1:17" x14ac:dyDescent="0.2">
      <c r="A4" s="16" t="s">
        <v>7</v>
      </c>
      <c r="B4" t="str">
        <f>IF($B$1="","",_xlfn.XLOOKUP($B$1,Master!$F$2:$F$321,Master!$H$2:$H$321,""))</f>
        <v>fig-siena-unable-phone-income</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t="s">
        <v>2210</v>
      </c>
      <c r="H5" t="s">
        <v>2211</v>
      </c>
    </row>
    <row r="6" spans="1:17" ht="15" customHeight="1" x14ac:dyDescent="0.2">
      <c r="A6" t="s">
        <v>1088</v>
      </c>
      <c r="B6" t="b">
        <v>0</v>
      </c>
      <c r="E6" s="80"/>
      <c r="F6" t="s">
        <v>2179</v>
      </c>
      <c r="G6" s="15">
        <v>19</v>
      </c>
      <c r="H6" s="15">
        <v>81</v>
      </c>
      <c r="I6" s="15"/>
      <c r="J6" s="15"/>
      <c r="K6" s="15"/>
      <c r="L6" s="15"/>
      <c r="M6" s="15"/>
      <c r="N6" s="15"/>
      <c r="O6" s="15"/>
    </row>
    <row r="7" spans="1:17" ht="15.75" customHeight="1" x14ac:dyDescent="0.2">
      <c r="E7" s="80"/>
      <c r="F7" t="s">
        <v>2165</v>
      </c>
      <c r="G7" s="15">
        <v>21</v>
      </c>
      <c r="H7" s="15">
        <v>79</v>
      </c>
      <c r="I7" s="15"/>
      <c r="J7" s="15"/>
      <c r="K7" s="15"/>
      <c r="L7" s="15"/>
      <c r="M7" s="15"/>
      <c r="N7" s="15"/>
      <c r="O7" s="15"/>
    </row>
    <row r="8" spans="1:17" x14ac:dyDescent="0.2">
      <c r="E8" s="80"/>
      <c r="F8" t="s">
        <v>2166</v>
      </c>
      <c r="G8" s="15">
        <v>17</v>
      </c>
      <c r="H8" s="15">
        <v>80</v>
      </c>
      <c r="I8" s="15"/>
      <c r="J8" s="15"/>
      <c r="K8" s="15"/>
      <c r="L8" s="15"/>
      <c r="M8" s="15"/>
      <c r="N8" s="15"/>
      <c r="O8" s="15"/>
    </row>
    <row r="9" spans="1:17" x14ac:dyDescent="0.2">
      <c r="A9" s="84" t="s">
        <v>1098</v>
      </c>
      <c r="B9" s="80"/>
      <c r="E9" s="80"/>
      <c r="F9" t="s">
        <v>2167</v>
      </c>
      <c r="G9" s="15">
        <v>9</v>
      </c>
      <c r="H9" s="15">
        <v>91</v>
      </c>
      <c r="I9" s="15"/>
      <c r="J9" s="15"/>
      <c r="K9" s="15"/>
      <c r="L9" s="15"/>
      <c r="M9" s="15"/>
      <c r="N9" s="15"/>
      <c r="O9" s="15"/>
    </row>
    <row r="10" spans="1:17" x14ac:dyDescent="0.2">
      <c r="A10" t="s">
        <v>1100</v>
      </c>
      <c r="B10" t="s">
        <v>1300</v>
      </c>
      <c r="E10" s="80"/>
      <c r="F10" t="s">
        <v>2168</v>
      </c>
      <c r="G10" s="15">
        <v>9</v>
      </c>
      <c r="H10" s="15">
        <v>91</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2136</v>
      </c>
      <c r="B17" t="b">
        <v>0</v>
      </c>
      <c r="E17" s="80"/>
      <c r="G17" s="63"/>
      <c r="H17" s="64"/>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tbl-siena-unable-transportation-income</v>
      </c>
    </row>
    <row r="4" spans="1:17" x14ac:dyDescent="0.2">
      <c r="A4" s="16" t="s">
        <v>7</v>
      </c>
      <c r="B4" t="str">
        <f>IF($B$1="","",_xlfn.XLOOKUP($B$1,Master!$F$2:$F$321,Master!$H$2:$H$321,""))</f>
        <v>fig-siena-unable-transportation-income</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s="15" t="s">
        <v>2210</v>
      </c>
      <c r="H5" s="15" t="s">
        <v>2211</v>
      </c>
    </row>
    <row r="6" spans="1:17" ht="15" customHeight="1" x14ac:dyDescent="0.2">
      <c r="A6" t="s">
        <v>1088</v>
      </c>
      <c r="B6" t="b">
        <v>0</v>
      </c>
      <c r="E6" s="80"/>
      <c r="F6" t="s">
        <v>2179</v>
      </c>
      <c r="G6" s="15">
        <v>30</v>
      </c>
      <c r="H6" s="15">
        <v>70</v>
      </c>
      <c r="I6" s="15"/>
      <c r="J6" s="15"/>
      <c r="K6" s="15"/>
      <c r="L6" s="15"/>
      <c r="M6" s="15"/>
      <c r="N6" s="15"/>
      <c r="O6" s="15"/>
    </row>
    <row r="7" spans="1:17" ht="15.75" customHeight="1" x14ac:dyDescent="0.2">
      <c r="E7" s="80"/>
      <c r="F7" t="s">
        <v>2165</v>
      </c>
      <c r="G7" s="15">
        <v>24</v>
      </c>
      <c r="H7" s="15">
        <v>76</v>
      </c>
      <c r="I7" s="15"/>
      <c r="J7" s="15"/>
      <c r="K7" s="15"/>
      <c r="L7" s="15"/>
      <c r="M7" s="15"/>
      <c r="N7" s="15"/>
      <c r="O7" s="15"/>
    </row>
    <row r="8" spans="1:17" x14ac:dyDescent="0.2">
      <c r="E8" s="80"/>
      <c r="F8" t="s">
        <v>2166</v>
      </c>
      <c r="G8" s="15">
        <v>18</v>
      </c>
      <c r="H8" s="15">
        <v>81</v>
      </c>
      <c r="I8" s="15"/>
      <c r="J8" s="15"/>
      <c r="K8" s="15"/>
      <c r="L8" s="15"/>
      <c r="M8" s="15"/>
      <c r="N8" s="15"/>
      <c r="O8" s="15"/>
    </row>
    <row r="9" spans="1:17" x14ac:dyDescent="0.2">
      <c r="A9" s="84" t="s">
        <v>1098</v>
      </c>
      <c r="B9" s="80"/>
      <c r="E9" s="80"/>
      <c r="F9" t="s">
        <v>2167</v>
      </c>
      <c r="G9" s="15">
        <v>11</v>
      </c>
      <c r="H9" s="15">
        <v>89</v>
      </c>
      <c r="I9" s="15"/>
      <c r="J9" s="15"/>
      <c r="K9" s="15"/>
      <c r="L9" s="15"/>
      <c r="M9" s="15"/>
      <c r="N9" s="15"/>
      <c r="O9" s="15"/>
    </row>
    <row r="10" spans="1:17" x14ac:dyDescent="0.2">
      <c r="A10" t="s">
        <v>1100</v>
      </c>
      <c r="B10" t="s">
        <v>1300</v>
      </c>
      <c r="E10" s="80"/>
      <c r="F10" t="s">
        <v>2168</v>
      </c>
      <c r="G10" s="15">
        <v>10</v>
      </c>
      <c r="H10" s="15">
        <v>90</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2136</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tbl-siena-unable-housing-income</v>
      </c>
    </row>
    <row r="4" spans="1:17" x14ac:dyDescent="0.2">
      <c r="A4" s="16" t="s">
        <v>7</v>
      </c>
      <c r="B4" t="str">
        <f>IF($B$1="","",_xlfn.XLOOKUP($B$1,Master!$F$2:$F$321,Master!$H$2:$H$321,""))</f>
        <v>fig-siena-unable-housing-income</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t="s">
        <v>2210</v>
      </c>
      <c r="H5" t="s">
        <v>2211</v>
      </c>
    </row>
    <row r="6" spans="1:17" ht="15" customHeight="1" x14ac:dyDescent="0.2">
      <c r="A6" t="s">
        <v>1088</v>
      </c>
      <c r="B6" t="b">
        <v>0</v>
      </c>
      <c r="E6" s="80"/>
      <c r="F6" t="s">
        <v>2179</v>
      </c>
      <c r="G6" s="15">
        <v>21</v>
      </c>
      <c r="H6" s="15">
        <v>79</v>
      </c>
      <c r="I6" s="15"/>
      <c r="J6" s="15"/>
      <c r="K6" s="15"/>
      <c r="L6" s="15"/>
      <c r="M6" s="15"/>
      <c r="N6" s="15"/>
      <c r="O6" s="15"/>
    </row>
    <row r="7" spans="1:17" ht="15.75" customHeight="1" x14ac:dyDescent="0.2">
      <c r="E7" s="80"/>
      <c r="F7" t="s">
        <v>2165</v>
      </c>
      <c r="G7" s="15">
        <v>22</v>
      </c>
      <c r="H7" s="15">
        <v>77</v>
      </c>
      <c r="I7" s="63"/>
      <c r="J7" s="15"/>
      <c r="K7" s="15"/>
      <c r="L7" s="15"/>
      <c r="M7" s="15"/>
      <c r="N7" s="15"/>
      <c r="O7" s="15"/>
    </row>
    <row r="8" spans="1:17" x14ac:dyDescent="0.2">
      <c r="E8" s="80"/>
      <c r="F8" t="s">
        <v>2166</v>
      </c>
      <c r="G8" s="15">
        <v>16</v>
      </c>
      <c r="H8" s="15">
        <v>84</v>
      </c>
      <c r="I8" s="15"/>
      <c r="J8" s="15"/>
      <c r="K8" s="15"/>
      <c r="L8" s="15"/>
      <c r="M8" s="15"/>
      <c r="N8" s="15"/>
      <c r="O8" s="15"/>
    </row>
    <row r="9" spans="1:17" x14ac:dyDescent="0.2">
      <c r="A9" s="84" t="s">
        <v>1098</v>
      </c>
      <c r="B9" s="80"/>
      <c r="E9" s="80"/>
      <c r="F9" t="s">
        <v>2167</v>
      </c>
      <c r="G9" s="15">
        <v>7</v>
      </c>
      <c r="H9" s="15">
        <v>93</v>
      </c>
      <c r="I9" s="63"/>
      <c r="J9" s="15"/>
      <c r="K9" s="15"/>
      <c r="L9" s="15"/>
      <c r="M9" s="15"/>
      <c r="N9" s="15"/>
      <c r="O9" s="15"/>
    </row>
    <row r="10" spans="1:17" x14ac:dyDescent="0.2">
      <c r="A10" t="s">
        <v>1100</v>
      </c>
      <c r="B10" t="s">
        <v>1300</v>
      </c>
      <c r="E10" s="80"/>
      <c r="F10" t="s">
        <v>2168</v>
      </c>
      <c r="G10" s="15">
        <v>7</v>
      </c>
      <c r="H10" s="15">
        <v>92</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2136</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tbl-siena-unable-childcare-income</v>
      </c>
    </row>
    <row r="4" spans="1:17" x14ac:dyDescent="0.2">
      <c r="A4" s="16" t="s">
        <v>7</v>
      </c>
      <c r="B4" t="str">
        <f>IF($B$1="","",_xlfn.XLOOKUP($B$1,Master!$F$2:$F$321,Master!$H$2:$H$321,""))</f>
        <v>fig-siena-unable-childcare-income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2163</v>
      </c>
      <c r="G5" t="s">
        <v>2210</v>
      </c>
      <c r="H5" t="s">
        <v>2211</v>
      </c>
      <c r="I5" t="s">
        <v>2178</v>
      </c>
    </row>
    <row r="6" spans="1:17" ht="15" customHeight="1" x14ac:dyDescent="0.2">
      <c r="A6" t="s">
        <v>1088</v>
      </c>
      <c r="B6" t="b">
        <v>0</v>
      </c>
      <c r="E6" s="80"/>
      <c r="F6" t="s">
        <v>2179</v>
      </c>
      <c r="G6" s="15">
        <v>12</v>
      </c>
      <c r="H6" s="15">
        <v>78</v>
      </c>
      <c r="I6" s="15">
        <v>9</v>
      </c>
      <c r="J6" s="15"/>
      <c r="K6" s="15"/>
      <c r="L6" s="15"/>
      <c r="M6" s="15"/>
      <c r="N6" s="15"/>
      <c r="O6" s="15"/>
    </row>
    <row r="7" spans="1:17" ht="15.75" customHeight="1" x14ac:dyDescent="0.2">
      <c r="E7" s="80"/>
      <c r="F7" t="s">
        <v>2165</v>
      </c>
      <c r="G7" s="15">
        <v>17</v>
      </c>
      <c r="H7" s="15">
        <v>74</v>
      </c>
      <c r="I7" s="15">
        <v>9</v>
      </c>
      <c r="J7" s="15"/>
      <c r="K7" s="15"/>
      <c r="L7" s="15"/>
      <c r="M7" s="15"/>
      <c r="N7" s="15"/>
      <c r="O7" s="15"/>
    </row>
    <row r="8" spans="1:17" x14ac:dyDescent="0.2">
      <c r="E8" s="80"/>
      <c r="F8" t="s">
        <v>2166</v>
      </c>
      <c r="G8" s="15">
        <v>11</v>
      </c>
      <c r="H8" s="15">
        <v>79</v>
      </c>
      <c r="I8" s="15">
        <v>10</v>
      </c>
      <c r="J8" s="15"/>
      <c r="K8" s="15"/>
      <c r="L8" s="15"/>
      <c r="M8" s="15"/>
      <c r="N8" s="15"/>
      <c r="O8" s="15"/>
    </row>
    <row r="9" spans="1:17" x14ac:dyDescent="0.2">
      <c r="A9" s="84" t="s">
        <v>1098</v>
      </c>
      <c r="B9" s="80"/>
      <c r="E9" s="80"/>
      <c r="F9" t="s">
        <v>2167</v>
      </c>
      <c r="G9" s="15">
        <v>5</v>
      </c>
      <c r="H9" s="15">
        <v>90</v>
      </c>
      <c r="I9" s="15">
        <v>5</v>
      </c>
      <c r="J9" s="15"/>
      <c r="K9" s="15"/>
      <c r="L9" s="15"/>
      <c r="M9" s="15"/>
      <c r="N9" s="15"/>
      <c r="O9" s="15"/>
    </row>
    <row r="10" spans="1:17" x14ac:dyDescent="0.2">
      <c r="A10" t="s">
        <v>1100</v>
      </c>
      <c r="B10" t="s">
        <v>1300</v>
      </c>
      <c r="E10" s="80"/>
      <c r="F10" t="s">
        <v>2168</v>
      </c>
      <c r="G10" s="15">
        <v>4</v>
      </c>
      <c r="H10">
        <v>88</v>
      </c>
      <c r="I10">
        <v>7</v>
      </c>
    </row>
    <row r="11" spans="1:17" x14ac:dyDescent="0.2">
      <c r="A11" t="s">
        <v>1102</v>
      </c>
      <c r="B11" t="s">
        <v>2180</v>
      </c>
      <c r="E11" s="80"/>
      <c r="G11" s="15"/>
      <c r="H11" s="15"/>
      <c r="I11" s="15"/>
      <c r="J11" s="17"/>
      <c r="K11" s="17"/>
      <c r="L11" s="17"/>
      <c r="M11" s="17"/>
      <c r="N11" s="17"/>
    </row>
    <row r="12" spans="1:17" x14ac:dyDescent="0.2">
      <c r="A12" t="s">
        <v>1104</v>
      </c>
      <c r="B12" t="s">
        <v>2163</v>
      </c>
      <c r="E12" s="80"/>
      <c r="F12" s="21"/>
      <c r="G12" s="17"/>
      <c r="H12" s="17"/>
      <c r="I12" s="15"/>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3"/>
      <c r="I16" s="63"/>
    </row>
    <row r="17" spans="1:11" x14ac:dyDescent="0.2">
      <c r="A17" s="76" t="s">
        <v>2136</v>
      </c>
      <c r="B17" t="b">
        <v>0</v>
      </c>
      <c r="E17" s="80"/>
      <c r="G17" s="63"/>
      <c r="H17" s="64"/>
      <c r="I17" s="64"/>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tbl-siena-unable-internet-income</v>
      </c>
    </row>
    <row r="4" spans="1:17" x14ac:dyDescent="0.2">
      <c r="A4" s="16" t="s">
        <v>7</v>
      </c>
      <c r="B4" t="str">
        <f>IF($B$1="","",_xlfn.XLOOKUP($B$1,Master!$F$2:$F$321,Master!$H$2:$H$321,""))</f>
        <v>fig-siena-unable-internet-income</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t="s">
        <v>2210</v>
      </c>
      <c r="H5" t="s">
        <v>2211</v>
      </c>
    </row>
    <row r="6" spans="1:17" ht="15" customHeight="1" x14ac:dyDescent="0.2">
      <c r="A6" t="s">
        <v>1088</v>
      </c>
      <c r="B6" t="b">
        <v>0</v>
      </c>
      <c r="E6" s="80"/>
      <c r="F6" t="s">
        <v>2179</v>
      </c>
      <c r="G6" s="15">
        <v>27</v>
      </c>
      <c r="H6" s="15">
        <v>73</v>
      </c>
      <c r="I6" s="15"/>
      <c r="J6" s="15"/>
      <c r="K6" s="15"/>
      <c r="L6" s="15"/>
      <c r="M6" s="15"/>
      <c r="N6" s="15"/>
      <c r="O6" s="15"/>
    </row>
    <row r="7" spans="1:17" ht="15.75" customHeight="1" x14ac:dyDescent="0.2">
      <c r="E7" s="80"/>
      <c r="F7" t="s">
        <v>2165</v>
      </c>
      <c r="G7" s="15">
        <v>24</v>
      </c>
      <c r="H7" s="15">
        <v>75</v>
      </c>
      <c r="I7" s="15"/>
      <c r="J7" s="15"/>
      <c r="K7" s="15"/>
      <c r="L7" s="15"/>
      <c r="M7" s="15"/>
      <c r="N7" s="15"/>
      <c r="O7" s="15"/>
    </row>
    <row r="8" spans="1:17" x14ac:dyDescent="0.2">
      <c r="E8" s="80"/>
      <c r="F8" t="s">
        <v>2166</v>
      </c>
      <c r="G8" s="15">
        <v>20</v>
      </c>
      <c r="H8" s="15">
        <v>78</v>
      </c>
      <c r="I8" s="15"/>
      <c r="J8" s="15"/>
      <c r="K8" s="15"/>
      <c r="L8" s="15"/>
      <c r="M8" s="15"/>
      <c r="N8" s="15"/>
      <c r="O8" s="15"/>
    </row>
    <row r="9" spans="1:17" x14ac:dyDescent="0.2">
      <c r="A9" s="84" t="s">
        <v>1098</v>
      </c>
      <c r="B9" s="80"/>
      <c r="E9" s="80"/>
      <c r="F9" t="s">
        <v>2167</v>
      </c>
      <c r="G9" s="15">
        <v>10</v>
      </c>
      <c r="H9" s="15">
        <v>89</v>
      </c>
      <c r="I9" s="15"/>
      <c r="J9" s="15"/>
      <c r="K9" s="15"/>
      <c r="L9" s="15"/>
      <c r="M9" s="15"/>
      <c r="N9" s="15"/>
      <c r="O9" s="15"/>
    </row>
    <row r="10" spans="1:17" x14ac:dyDescent="0.2">
      <c r="A10" t="s">
        <v>1100</v>
      </c>
      <c r="B10" t="s">
        <v>1300</v>
      </c>
      <c r="E10" s="80"/>
      <c r="F10" t="s">
        <v>2168</v>
      </c>
      <c r="G10" s="15">
        <v>13</v>
      </c>
      <c r="H10" s="15">
        <v>86</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2136</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t="s">
        <v>2210</v>
      </c>
      <c r="H5" t="s">
        <v>2211</v>
      </c>
    </row>
    <row r="6" spans="1:17" ht="15" customHeight="1" x14ac:dyDescent="0.2">
      <c r="A6" t="s">
        <v>1088</v>
      </c>
      <c r="B6" t="b">
        <v>0</v>
      </c>
      <c r="E6" s="80"/>
      <c r="F6" t="s">
        <v>2179</v>
      </c>
      <c r="G6" s="15">
        <v>73</v>
      </c>
      <c r="H6" s="15">
        <v>27</v>
      </c>
      <c r="I6" s="15"/>
      <c r="J6" s="15"/>
      <c r="K6" s="15"/>
      <c r="L6" s="15"/>
      <c r="M6" s="15"/>
      <c r="N6" s="15"/>
      <c r="O6" s="15"/>
    </row>
    <row r="7" spans="1:17" ht="15.75" customHeight="1" x14ac:dyDescent="0.2">
      <c r="E7" s="80"/>
      <c r="F7" t="s">
        <v>2165</v>
      </c>
      <c r="G7" s="15">
        <v>74</v>
      </c>
      <c r="H7" s="15">
        <v>26</v>
      </c>
      <c r="I7" s="15"/>
      <c r="J7" s="15"/>
      <c r="K7" s="15"/>
      <c r="L7" s="15"/>
      <c r="M7" s="15"/>
      <c r="N7" s="15"/>
      <c r="O7" s="15"/>
    </row>
    <row r="8" spans="1:17" x14ac:dyDescent="0.2">
      <c r="E8" s="80"/>
      <c r="F8" t="s">
        <v>2166</v>
      </c>
      <c r="G8" s="15">
        <v>75</v>
      </c>
      <c r="H8" s="15">
        <v>25</v>
      </c>
      <c r="I8" s="15"/>
      <c r="J8" s="15"/>
      <c r="K8" s="15"/>
      <c r="L8" s="15"/>
      <c r="M8" s="15"/>
      <c r="N8" s="15"/>
      <c r="O8" s="15"/>
    </row>
    <row r="9" spans="1:17" x14ac:dyDescent="0.2">
      <c r="A9" s="84" t="s">
        <v>1098</v>
      </c>
      <c r="B9" s="80"/>
      <c r="E9" s="80"/>
      <c r="F9" t="s">
        <v>2167</v>
      </c>
      <c r="G9" s="15">
        <v>81</v>
      </c>
      <c r="H9" s="15">
        <v>19</v>
      </c>
      <c r="I9" s="15"/>
      <c r="J9" s="15"/>
      <c r="K9" s="15"/>
      <c r="L9" s="15"/>
      <c r="M9" s="15"/>
      <c r="N9" s="15"/>
      <c r="O9" s="15"/>
    </row>
    <row r="10" spans="1:17" x14ac:dyDescent="0.2">
      <c r="A10" t="s">
        <v>1100</v>
      </c>
      <c r="B10" t="s">
        <v>1300</v>
      </c>
      <c r="E10" s="80"/>
      <c r="F10" t="s">
        <v>2168</v>
      </c>
      <c r="G10" s="15">
        <v>89</v>
      </c>
      <c r="H10">
        <v>11</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A17" s="76" t="s">
        <v>2136</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tbl-siena-not-routine-physical</v>
      </c>
    </row>
    <row r="4" spans="1:17" x14ac:dyDescent="0.2">
      <c r="A4" s="16" t="s">
        <v>7</v>
      </c>
      <c r="B4" t="str">
        <f>IF($B$1="","",_xlfn.XLOOKUP($B$1,Master!$F$2:$F$321,Master!$H$2:$H$321,""))</f>
        <v>fig-siena-not-routine-physical</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2214</v>
      </c>
      <c r="G5">
        <v>2022</v>
      </c>
      <c r="H5">
        <v>2023</v>
      </c>
      <c r="I5">
        <v>2024</v>
      </c>
    </row>
    <row r="6" spans="1:17" ht="15" customHeight="1" x14ac:dyDescent="0.2">
      <c r="A6" t="s">
        <v>1088</v>
      </c>
      <c r="B6" t="b">
        <v>0</v>
      </c>
      <c r="E6" s="80"/>
      <c r="F6" s="37" t="s">
        <v>2215</v>
      </c>
      <c r="G6" s="15">
        <v>20</v>
      </c>
      <c r="H6" s="15">
        <v>21</v>
      </c>
      <c r="I6" s="15">
        <v>15</v>
      </c>
      <c r="J6" s="15"/>
      <c r="K6" s="15"/>
      <c r="L6" s="15"/>
      <c r="M6" s="15"/>
      <c r="N6" s="15"/>
      <c r="O6" s="15"/>
    </row>
    <row r="7" spans="1:17" ht="15.75" customHeight="1" x14ac:dyDescent="0.2">
      <c r="E7" s="80"/>
      <c r="F7" s="37" t="s">
        <v>2216</v>
      </c>
      <c r="G7" s="15">
        <v>12</v>
      </c>
      <c r="H7" s="15">
        <v>14</v>
      </c>
      <c r="I7" s="15">
        <v>11</v>
      </c>
      <c r="J7" s="15"/>
      <c r="K7" s="15"/>
      <c r="L7" s="15"/>
      <c r="M7" s="15"/>
      <c r="N7" s="15"/>
      <c r="O7" s="15"/>
    </row>
    <row r="8" spans="1:17" x14ac:dyDescent="0.2">
      <c r="E8" s="80"/>
      <c r="F8" s="37" t="s">
        <v>2217</v>
      </c>
      <c r="G8" s="15">
        <v>5</v>
      </c>
      <c r="H8" s="15">
        <v>3</v>
      </c>
      <c r="I8" s="15">
        <v>7</v>
      </c>
      <c r="J8" s="15"/>
      <c r="K8" s="15"/>
      <c r="L8" s="15"/>
      <c r="M8" s="15"/>
      <c r="N8" s="15"/>
      <c r="O8" s="15"/>
    </row>
    <row r="9" spans="1:17" x14ac:dyDescent="0.2">
      <c r="A9" s="84" t="s">
        <v>1098</v>
      </c>
      <c r="B9" s="80"/>
      <c r="E9" s="80"/>
      <c r="F9" s="37" t="s">
        <v>2218</v>
      </c>
      <c r="G9" s="15">
        <v>29</v>
      </c>
      <c r="H9" s="15">
        <v>31</v>
      </c>
      <c r="I9" s="15">
        <v>41</v>
      </c>
      <c r="J9" s="15"/>
      <c r="K9" s="15"/>
      <c r="L9" s="15"/>
      <c r="M9" s="15"/>
      <c r="N9" s="15"/>
      <c r="O9" s="15"/>
    </row>
    <row r="10" spans="1:17" x14ac:dyDescent="0.2">
      <c r="A10" t="s">
        <v>1100</v>
      </c>
      <c r="B10" t="s">
        <v>1300</v>
      </c>
      <c r="E10" s="80"/>
      <c r="F10" s="37" t="s">
        <v>2219</v>
      </c>
      <c r="G10" s="15">
        <v>18</v>
      </c>
      <c r="H10" s="15">
        <v>4</v>
      </c>
      <c r="I10" s="15">
        <v>4</v>
      </c>
    </row>
    <row r="11" spans="1:17" x14ac:dyDescent="0.2">
      <c r="A11" t="s">
        <v>1102</v>
      </c>
      <c r="B11" t="s">
        <v>1303</v>
      </c>
      <c r="E11" s="80"/>
      <c r="F11" s="37" t="s">
        <v>2220</v>
      </c>
      <c r="G11" s="15">
        <v>27</v>
      </c>
      <c r="H11" s="15">
        <v>34</v>
      </c>
      <c r="I11" s="15">
        <v>48</v>
      </c>
      <c r="J11" s="17"/>
      <c r="K11" s="17"/>
      <c r="L11" s="17"/>
      <c r="M11" s="17"/>
      <c r="N11" s="17"/>
    </row>
    <row r="12" spans="1:17" x14ac:dyDescent="0.2">
      <c r="A12" t="s">
        <v>1104</v>
      </c>
      <c r="B12" t="s">
        <v>2214</v>
      </c>
      <c r="E12" s="80"/>
      <c r="F12" s="57" t="s">
        <v>2221</v>
      </c>
      <c r="G12" s="17">
        <v>8</v>
      </c>
      <c r="H12" s="17">
        <v>8</v>
      </c>
      <c r="I12" s="15">
        <v>5</v>
      </c>
      <c r="J12" s="15"/>
      <c r="K12" s="15"/>
      <c r="L12" s="15"/>
    </row>
    <row r="13" spans="1:17" x14ac:dyDescent="0.2">
      <c r="A13" t="s">
        <v>1108</v>
      </c>
      <c r="E13" s="80"/>
      <c r="F13" s="37" t="s">
        <v>1015</v>
      </c>
      <c r="G13" s="15">
        <v>13</v>
      </c>
      <c r="H13" s="15">
        <v>6</v>
      </c>
      <c r="I13" s="15">
        <v>3</v>
      </c>
    </row>
    <row r="14" spans="1:17" x14ac:dyDescent="0.2">
      <c r="A14" t="s">
        <v>1112</v>
      </c>
      <c r="E14" s="80"/>
      <c r="F14" s="37"/>
    </row>
    <row r="15" spans="1:17" x14ac:dyDescent="0.2">
      <c r="A15" t="s">
        <v>1114</v>
      </c>
      <c r="B15" t="b">
        <v>1</v>
      </c>
      <c r="E15" s="80"/>
    </row>
    <row r="16" spans="1:17" x14ac:dyDescent="0.2">
      <c r="A16" t="s">
        <v>1116</v>
      </c>
      <c r="B16" t="b">
        <v>0</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820</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tbl-siena-not-routine-physical-income</v>
      </c>
    </row>
    <row r="4" spans="1:17" x14ac:dyDescent="0.2">
      <c r="A4" s="16" t="s">
        <v>7</v>
      </c>
      <c r="B4" t="str">
        <f>IF($B$1="","",_xlfn.XLOOKUP($B$1,Master!$F$2:$F$321,Master!$H$2:$H$321,""))</f>
        <v>fig-siena-not-routine-physical-income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2214</v>
      </c>
      <c r="G5" t="s">
        <v>2179</v>
      </c>
      <c r="H5" t="s">
        <v>2165</v>
      </c>
      <c r="I5" t="s">
        <v>2166</v>
      </c>
      <c r="J5" t="s">
        <v>2167</v>
      </c>
      <c r="K5" t="s">
        <v>2168</v>
      </c>
    </row>
    <row r="6" spans="1:17" ht="15" customHeight="1" x14ac:dyDescent="0.2">
      <c r="A6" t="s">
        <v>1088</v>
      </c>
      <c r="B6" t="b">
        <v>0</v>
      </c>
      <c r="E6" s="80"/>
      <c r="F6" t="s">
        <v>2215</v>
      </c>
      <c r="G6" s="15">
        <v>33</v>
      </c>
      <c r="H6" s="15">
        <v>14</v>
      </c>
      <c r="I6" s="15">
        <v>22</v>
      </c>
      <c r="J6" s="15">
        <v>6</v>
      </c>
      <c r="K6" s="15">
        <v>4</v>
      </c>
      <c r="L6" s="15"/>
      <c r="M6" s="15"/>
      <c r="N6" s="15"/>
      <c r="O6" s="15"/>
    </row>
    <row r="7" spans="1:17" ht="15.75" customHeight="1" x14ac:dyDescent="0.2">
      <c r="E7" s="80"/>
      <c r="F7" t="s">
        <v>2216</v>
      </c>
      <c r="G7" s="15">
        <v>21</v>
      </c>
      <c r="H7" s="15">
        <v>20</v>
      </c>
      <c r="I7" s="15">
        <v>6</v>
      </c>
      <c r="J7" s="15">
        <v>8</v>
      </c>
      <c r="K7" s="15">
        <v>4</v>
      </c>
      <c r="L7" s="15"/>
      <c r="M7" s="15"/>
      <c r="N7" s="15"/>
      <c r="O7" s="15"/>
    </row>
    <row r="8" spans="1:17" x14ac:dyDescent="0.2">
      <c r="E8" s="80"/>
      <c r="F8" t="s">
        <v>2217</v>
      </c>
      <c r="G8" s="15">
        <v>18</v>
      </c>
      <c r="H8" s="15">
        <v>14</v>
      </c>
      <c r="I8" s="15">
        <v>0</v>
      </c>
      <c r="J8" s="15">
        <v>0</v>
      </c>
      <c r="K8" s="15">
        <v>4</v>
      </c>
      <c r="L8" s="15"/>
      <c r="M8" s="15"/>
      <c r="N8" s="15"/>
      <c r="O8" s="15"/>
    </row>
    <row r="9" spans="1:17" x14ac:dyDescent="0.2">
      <c r="A9" s="84" t="s">
        <v>1098</v>
      </c>
      <c r="B9" s="80"/>
      <c r="E9" s="80"/>
      <c r="F9" t="s">
        <v>2218</v>
      </c>
      <c r="G9" s="15">
        <v>22</v>
      </c>
      <c r="H9" s="15">
        <v>37</v>
      </c>
      <c r="I9" s="15">
        <v>47</v>
      </c>
      <c r="J9" s="15">
        <v>36</v>
      </c>
      <c r="K9" s="15">
        <v>68</v>
      </c>
      <c r="L9" s="15"/>
      <c r="M9" s="15"/>
      <c r="N9" s="15"/>
      <c r="O9" s="15"/>
    </row>
    <row r="10" spans="1:17" x14ac:dyDescent="0.2">
      <c r="A10" t="s">
        <v>1100</v>
      </c>
      <c r="E10" s="80"/>
      <c r="F10" t="s">
        <v>2219</v>
      </c>
      <c r="G10" s="15">
        <v>8</v>
      </c>
      <c r="H10" s="15">
        <v>0</v>
      </c>
      <c r="I10" s="15">
        <v>4</v>
      </c>
      <c r="J10" s="15">
        <v>0</v>
      </c>
      <c r="K10" s="15">
        <v>4</v>
      </c>
    </row>
    <row r="11" spans="1:17" x14ac:dyDescent="0.2">
      <c r="A11" t="s">
        <v>1102</v>
      </c>
      <c r="E11" s="80"/>
      <c r="F11" t="s">
        <v>2220</v>
      </c>
      <c r="G11" s="15">
        <v>43</v>
      </c>
      <c r="H11" s="15">
        <v>54</v>
      </c>
      <c r="I11" s="15">
        <v>40</v>
      </c>
      <c r="J11" s="17">
        <v>65</v>
      </c>
      <c r="K11" s="17">
        <v>35</v>
      </c>
      <c r="L11" s="17"/>
      <c r="M11" s="17"/>
      <c r="N11" s="17"/>
    </row>
    <row r="12" spans="1:17" x14ac:dyDescent="0.2">
      <c r="A12" t="s">
        <v>1104</v>
      </c>
      <c r="E12" s="80"/>
      <c r="F12" s="21" t="s">
        <v>2221</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2178</v>
      </c>
      <c r="G14" s="15">
        <v>3</v>
      </c>
      <c r="H14" s="15">
        <v>4</v>
      </c>
      <c r="I14" s="15">
        <v>6</v>
      </c>
      <c r="J14" s="15">
        <v>0</v>
      </c>
      <c r="K14" s="15">
        <v>0</v>
      </c>
    </row>
    <row r="15" spans="1:17" x14ac:dyDescent="0.2">
      <c r="A15" t="s">
        <v>1114</v>
      </c>
      <c r="E15" s="80"/>
    </row>
    <row r="16" spans="1:17" x14ac:dyDescent="0.2">
      <c r="A16" t="s">
        <v>1116</v>
      </c>
      <c r="E16" s="80"/>
    </row>
    <row r="17" spans="1:11" x14ac:dyDescent="0.2">
      <c r="A17" s="76" t="s">
        <v>2136</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tbl-siena-routine-dentist-income</v>
      </c>
    </row>
    <row r="4" spans="1:17" x14ac:dyDescent="0.2">
      <c r="A4" s="16" t="s">
        <v>7</v>
      </c>
      <c r="B4" t="str">
        <f>IF($B$1="","",_xlfn.XLOOKUP($B$1,Master!$F$2:$F$321,Master!$H$2:$H$321,""))</f>
        <v>fig-siena-routine-dentist-income</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t="s">
        <v>2210</v>
      </c>
      <c r="H5" t="s">
        <v>2211</v>
      </c>
    </row>
    <row r="6" spans="1:17" ht="15" customHeight="1" x14ac:dyDescent="0.2">
      <c r="A6" t="s">
        <v>1088</v>
      </c>
      <c r="B6" t="b">
        <v>0</v>
      </c>
      <c r="E6" s="80"/>
      <c r="F6" t="s">
        <v>2179</v>
      </c>
      <c r="G6" s="15">
        <v>50</v>
      </c>
      <c r="H6" s="15">
        <v>50</v>
      </c>
      <c r="I6" s="63"/>
      <c r="J6" s="63"/>
      <c r="K6" s="63"/>
      <c r="L6" s="15"/>
      <c r="M6" s="15"/>
      <c r="N6" s="15"/>
      <c r="O6" s="15"/>
    </row>
    <row r="7" spans="1:17" ht="15.75" customHeight="1" x14ac:dyDescent="0.2">
      <c r="E7" s="80"/>
      <c r="F7" t="s">
        <v>2165</v>
      </c>
      <c r="G7" s="15">
        <v>59</v>
      </c>
      <c r="H7" s="15">
        <v>40</v>
      </c>
      <c r="I7" s="63"/>
      <c r="J7" s="63"/>
      <c r="K7" s="63"/>
      <c r="L7" s="15"/>
      <c r="M7" s="15"/>
      <c r="N7" s="15"/>
      <c r="O7" s="15"/>
    </row>
    <row r="8" spans="1:17" x14ac:dyDescent="0.2">
      <c r="E8" s="80"/>
      <c r="F8" t="s">
        <v>2166</v>
      </c>
      <c r="G8" s="15">
        <v>64</v>
      </c>
      <c r="H8" s="15">
        <v>36</v>
      </c>
      <c r="I8" s="63"/>
      <c r="J8" s="63"/>
      <c r="K8" s="63"/>
      <c r="L8" s="15"/>
      <c r="M8" s="15"/>
      <c r="N8" s="15"/>
      <c r="O8" s="15"/>
    </row>
    <row r="9" spans="1:17" x14ac:dyDescent="0.2">
      <c r="A9" s="84" t="s">
        <v>1098</v>
      </c>
      <c r="B9" s="80"/>
      <c r="E9" s="80"/>
      <c r="F9" t="s">
        <v>2167</v>
      </c>
      <c r="G9" s="15">
        <v>80</v>
      </c>
      <c r="H9" s="15">
        <v>20</v>
      </c>
      <c r="I9" s="63"/>
      <c r="J9" s="63"/>
      <c r="K9" s="63"/>
      <c r="L9" s="15"/>
      <c r="M9" s="15"/>
      <c r="N9" s="15"/>
      <c r="O9" s="15"/>
    </row>
    <row r="10" spans="1:17" x14ac:dyDescent="0.2">
      <c r="A10" t="s">
        <v>1100</v>
      </c>
      <c r="B10" t="s">
        <v>1300</v>
      </c>
      <c r="E10" s="80"/>
      <c r="F10" t="s">
        <v>2168</v>
      </c>
      <c r="G10" s="15">
        <v>77</v>
      </c>
      <c r="H10">
        <v>23</v>
      </c>
      <c r="I10" s="64"/>
      <c r="J10" s="64"/>
      <c r="K10" s="64"/>
    </row>
    <row r="11" spans="1:17" x14ac:dyDescent="0.2">
      <c r="A11" t="s">
        <v>1102</v>
      </c>
      <c r="B11" t="s">
        <v>2180</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A17" s="76" t="s">
        <v>2136</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2222</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2214</v>
      </c>
      <c r="G5" s="15" t="s">
        <v>2179</v>
      </c>
      <c r="H5" s="15" t="s">
        <v>2165</v>
      </c>
      <c r="I5" s="15" t="s">
        <v>2166</v>
      </c>
      <c r="J5" s="15" t="s">
        <v>2167</v>
      </c>
      <c r="K5" s="15" t="s">
        <v>2168</v>
      </c>
    </row>
    <row r="6" spans="1:17" ht="15" customHeight="1" x14ac:dyDescent="0.2">
      <c r="A6" t="s">
        <v>1088</v>
      </c>
      <c r="B6" t="b">
        <v>0</v>
      </c>
      <c r="E6" s="80"/>
      <c r="F6" t="s">
        <v>2215</v>
      </c>
      <c r="G6" s="15">
        <v>33</v>
      </c>
      <c r="H6" s="15">
        <v>14</v>
      </c>
      <c r="I6" s="15">
        <v>22</v>
      </c>
      <c r="J6" s="15">
        <v>6</v>
      </c>
      <c r="K6" s="15">
        <v>4</v>
      </c>
      <c r="L6" s="15"/>
      <c r="M6" s="15"/>
      <c r="N6" s="15"/>
      <c r="O6" s="15"/>
    </row>
    <row r="7" spans="1:17" ht="15.75" customHeight="1" x14ac:dyDescent="0.2">
      <c r="E7" s="80"/>
      <c r="F7" t="s">
        <v>2216</v>
      </c>
      <c r="G7" s="15">
        <v>21</v>
      </c>
      <c r="H7" s="15">
        <v>20</v>
      </c>
      <c r="I7" s="15">
        <v>6</v>
      </c>
      <c r="J7" s="15">
        <v>8</v>
      </c>
      <c r="K7" s="15">
        <v>4</v>
      </c>
      <c r="L7" s="15"/>
      <c r="M7" s="15"/>
      <c r="N7" s="15"/>
      <c r="O7" s="15"/>
    </row>
    <row r="8" spans="1:17" x14ac:dyDescent="0.2">
      <c r="E8" s="80"/>
      <c r="F8" t="s">
        <v>2217</v>
      </c>
      <c r="G8" s="15">
        <v>18</v>
      </c>
      <c r="H8" s="15">
        <v>14</v>
      </c>
      <c r="I8" s="15">
        <v>0</v>
      </c>
      <c r="J8" s="15">
        <v>0</v>
      </c>
      <c r="K8" s="15">
        <v>4</v>
      </c>
      <c r="L8" s="15"/>
      <c r="M8" s="15"/>
      <c r="N8" s="15"/>
      <c r="O8" s="15"/>
    </row>
    <row r="9" spans="1:17" x14ac:dyDescent="0.2">
      <c r="A9" s="84" t="s">
        <v>1098</v>
      </c>
      <c r="B9" s="80"/>
      <c r="E9" s="80"/>
      <c r="F9" t="s">
        <v>2218</v>
      </c>
      <c r="G9" s="15">
        <v>22</v>
      </c>
      <c r="H9" s="15">
        <v>37</v>
      </c>
      <c r="I9" s="15">
        <v>47</v>
      </c>
      <c r="J9" s="15">
        <v>36</v>
      </c>
      <c r="K9" s="15">
        <v>68</v>
      </c>
      <c r="L9" s="15"/>
      <c r="M9" s="15"/>
      <c r="N9" s="15"/>
      <c r="O9" s="15"/>
    </row>
    <row r="10" spans="1:17" x14ac:dyDescent="0.2">
      <c r="A10" t="s">
        <v>1100</v>
      </c>
      <c r="E10" s="80"/>
      <c r="F10" t="s">
        <v>2219</v>
      </c>
      <c r="G10" s="15">
        <v>8</v>
      </c>
      <c r="H10" s="15">
        <v>0</v>
      </c>
      <c r="I10" s="15">
        <v>4</v>
      </c>
      <c r="J10" s="15">
        <v>0</v>
      </c>
      <c r="K10" s="15">
        <v>4</v>
      </c>
    </row>
    <row r="11" spans="1:17" x14ac:dyDescent="0.2">
      <c r="A11" t="s">
        <v>1102</v>
      </c>
      <c r="E11" s="80"/>
      <c r="F11" t="s">
        <v>2220</v>
      </c>
      <c r="G11" s="15">
        <v>43</v>
      </c>
      <c r="H11" s="15">
        <v>54</v>
      </c>
      <c r="I11" s="15">
        <v>40</v>
      </c>
      <c r="J11" s="17">
        <v>65</v>
      </c>
      <c r="K11" s="17">
        <v>35</v>
      </c>
      <c r="L11" s="17"/>
      <c r="M11" s="17"/>
      <c r="N11" s="17"/>
    </row>
    <row r="12" spans="1:17" x14ac:dyDescent="0.2">
      <c r="A12" t="s">
        <v>1104</v>
      </c>
      <c r="E12" s="80"/>
      <c r="F12" s="21" t="s">
        <v>2221</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2178</v>
      </c>
      <c r="G14" s="15">
        <v>3</v>
      </c>
      <c r="H14" s="15">
        <v>4</v>
      </c>
      <c r="I14" s="15">
        <v>6</v>
      </c>
      <c r="J14" s="15">
        <v>0</v>
      </c>
      <c r="K14" s="15">
        <v>0</v>
      </c>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tbl-siena-not-routine-dentist-income</v>
      </c>
    </row>
    <row r="4" spans="1:17" x14ac:dyDescent="0.2">
      <c r="A4" s="16" t="s">
        <v>7</v>
      </c>
      <c r="B4" t="str">
        <f>IF($B$1="","",_xlfn.XLOOKUP($B$1,Master!$F$2:$F$321,Master!$H$2:$H$321,""))</f>
        <v>fig-siena-not-routine-dentist-income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2214</v>
      </c>
      <c r="G5" t="s">
        <v>2179</v>
      </c>
      <c r="H5" t="s">
        <v>2165</v>
      </c>
      <c r="I5" t="s">
        <v>2166</v>
      </c>
      <c r="J5" t="s">
        <v>2167</v>
      </c>
      <c r="K5" t="s">
        <v>2168</v>
      </c>
    </row>
    <row r="6" spans="1:17" ht="15" customHeight="1" x14ac:dyDescent="0.2">
      <c r="A6" t="s">
        <v>1088</v>
      </c>
      <c r="B6" t="b">
        <v>0</v>
      </c>
      <c r="E6" s="80"/>
      <c r="F6" t="s">
        <v>2215</v>
      </c>
      <c r="G6" s="15">
        <v>32</v>
      </c>
      <c r="H6" s="15">
        <v>35</v>
      </c>
      <c r="I6" s="15">
        <v>28</v>
      </c>
      <c r="J6" s="15">
        <v>9</v>
      </c>
      <c r="K6" s="15">
        <v>7</v>
      </c>
      <c r="L6" s="15"/>
      <c r="M6" s="15"/>
      <c r="N6" s="15"/>
      <c r="O6" s="15"/>
    </row>
    <row r="7" spans="1:17" ht="15.75" customHeight="1" x14ac:dyDescent="0.2">
      <c r="E7" s="80"/>
      <c r="F7" t="s">
        <v>2216</v>
      </c>
      <c r="G7" s="15">
        <v>25</v>
      </c>
      <c r="H7" s="15">
        <v>32</v>
      </c>
      <c r="I7" s="15">
        <v>23</v>
      </c>
      <c r="J7" s="15">
        <v>13</v>
      </c>
      <c r="K7" s="15">
        <v>10</v>
      </c>
      <c r="L7" s="15"/>
      <c r="M7" s="15"/>
      <c r="N7" s="15"/>
      <c r="O7" s="15"/>
    </row>
    <row r="8" spans="1:17" x14ac:dyDescent="0.2">
      <c r="E8" s="80"/>
      <c r="F8" t="s">
        <v>2217</v>
      </c>
      <c r="G8" s="15">
        <v>17</v>
      </c>
      <c r="H8" s="15">
        <v>17</v>
      </c>
      <c r="I8" s="15">
        <v>5</v>
      </c>
      <c r="J8" s="15">
        <v>0</v>
      </c>
      <c r="K8" s="15">
        <v>0</v>
      </c>
      <c r="L8" s="15"/>
      <c r="M8" s="15"/>
      <c r="N8" s="15"/>
      <c r="O8" s="15"/>
    </row>
    <row r="9" spans="1:17" x14ac:dyDescent="0.2">
      <c r="A9" s="84" t="s">
        <v>1098</v>
      </c>
      <c r="B9" s="80"/>
      <c r="E9" s="80"/>
      <c r="F9" t="s">
        <v>2218</v>
      </c>
      <c r="G9" s="15">
        <v>18</v>
      </c>
      <c r="H9" s="15">
        <v>39</v>
      </c>
      <c r="I9" s="15">
        <v>27</v>
      </c>
      <c r="J9" s="15">
        <v>30</v>
      </c>
      <c r="K9" s="15">
        <v>51</v>
      </c>
      <c r="L9" s="15"/>
      <c r="M9" s="15"/>
      <c r="N9" s="15"/>
      <c r="O9" s="15"/>
    </row>
    <row r="10" spans="1:17" x14ac:dyDescent="0.2">
      <c r="A10" t="s">
        <v>1100</v>
      </c>
      <c r="B10" t="s">
        <v>1300</v>
      </c>
      <c r="E10" s="80"/>
      <c r="F10" t="s">
        <v>2219</v>
      </c>
      <c r="G10" s="15">
        <v>9</v>
      </c>
      <c r="H10" s="15">
        <v>5</v>
      </c>
      <c r="I10" s="15">
        <v>3</v>
      </c>
      <c r="J10" s="15">
        <v>0</v>
      </c>
      <c r="K10" s="15">
        <v>0</v>
      </c>
    </row>
    <row r="11" spans="1:17" x14ac:dyDescent="0.2">
      <c r="A11" t="s">
        <v>1102</v>
      </c>
      <c r="B11" t="s">
        <v>2214</v>
      </c>
      <c r="E11" s="80"/>
      <c r="F11" t="s">
        <v>2220</v>
      </c>
      <c r="G11" s="15">
        <v>53</v>
      </c>
      <c r="H11" s="15">
        <v>26</v>
      </c>
      <c r="I11" s="15">
        <v>32</v>
      </c>
      <c r="J11" s="17">
        <v>40</v>
      </c>
      <c r="K11" s="17">
        <v>37</v>
      </c>
      <c r="L11" s="17"/>
      <c r="M11" s="17"/>
      <c r="N11" s="17"/>
    </row>
    <row r="12" spans="1:17" x14ac:dyDescent="0.2">
      <c r="A12" t="s">
        <v>1104</v>
      </c>
      <c r="B12" t="s">
        <v>2163</v>
      </c>
      <c r="E12" s="80"/>
      <c r="F12" s="21" t="s">
        <v>2223</v>
      </c>
      <c r="G12" s="17">
        <v>15</v>
      </c>
      <c r="H12" s="17">
        <v>20</v>
      </c>
      <c r="I12" s="15">
        <v>10</v>
      </c>
      <c r="J12" s="15">
        <v>11</v>
      </c>
      <c r="K12" s="15">
        <v>8</v>
      </c>
      <c r="L12" s="15"/>
    </row>
    <row r="13" spans="1:17" x14ac:dyDescent="0.2">
      <c r="A13" t="s">
        <v>1108</v>
      </c>
      <c r="E13" s="80"/>
      <c r="F13" t="s">
        <v>1015</v>
      </c>
      <c r="G13" s="15">
        <v>2</v>
      </c>
      <c r="H13" s="15">
        <v>5</v>
      </c>
      <c r="I13" s="15">
        <v>4</v>
      </c>
      <c r="J13" s="15">
        <v>4</v>
      </c>
      <c r="K13" s="15">
        <v>1</v>
      </c>
    </row>
    <row r="14" spans="1:17" x14ac:dyDescent="0.2">
      <c r="A14" t="s">
        <v>1112</v>
      </c>
      <c r="E14" s="80"/>
      <c r="F14" t="s">
        <v>2178</v>
      </c>
      <c r="G14" s="15">
        <v>1</v>
      </c>
      <c r="H14" s="15">
        <v>4</v>
      </c>
      <c r="I14" s="15">
        <v>9</v>
      </c>
      <c r="J14" s="15">
        <v>7</v>
      </c>
      <c r="K14" s="15">
        <v>5</v>
      </c>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tbl-siena-ed-not-for-emergency-income</v>
      </c>
    </row>
    <row r="4" spans="1:17" x14ac:dyDescent="0.2">
      <c r="A4" s="16" t="s">
        <v>7</v>
      </c>
      <c r="B4" t="str">
        <f>IF($B$1="","",_xlfn.XLOOKUP($B$1,Master!$F$2:$F$321,Master!$H$2:$H$321,""))</f>
        <v>fig-siena-ed-not-for-emergency-income</v>
      </c>
      <c r="E4" s="8"/>
      <c r="F4" s="10" t="s">
        <v>1009</v>
      </c>
      <c r="G4" s="10" t="s">
        <v>979</v>
      </c>
      <c r="H4" s="10" t="s">
        <v>979</v>
      </c>
      <c r="I4" s="10"/>
      <c r="J4" s="10"/>
      <c r="K4" s="10"/>
      <c r="L4" s="10"/>
      <c r="M4" s="10"/>
      <c r="N4" s="10"/>
      <c r="O4" s="10"/>
      <c r="P4" s="10"/>
      <c r="Q4" s="10"/>
    </row>
    <row r="5" spans="1:17" x14ac:dyDescent="0.2">
      <c r="A5" s="84" t="s">
        <v>1081</v>
      </c>
      <c r="B5" s="80"/>
      <c r="E5" s="83" t="s">
        <v>1082</v>
      </c>
      <c r="F5" s="15" t="s">
        <v>2163</v>
      </c>
      <c r="G5" s="15" t="s">
        <v>2210</v>
      </c>
      <c r="H5" s="15" t="s">
        <v>2211</v>
      </c>
    </row>
    <row r="6" spans="1:17" ht="15" customHeight="1" x14ac:dyDescent="0.2">
      <c r="A6" t="s">
        <v>1088</v>
      </c>
      <c r="B6" t="b">
        <v>0</v>
      </c>
      <c r="E6" s="80"/>
      <c r="F6" s="15" t="s">
        <v>2179</v>
      </c>
      <c r="G6" s="15">
        <v>15</v>
      </c>
      <c r="H6" s="15">
        <v>85</v>
      </c>
      <c r="I6" s="63"/>
      <c r="J6" s="63"/>
      <c r="K6" s="63"/>
      <c r="L6" s="15"/>
      <c r="M6" s="15"/>
      <c r="N6" s="15"/>
      <c r="O6" s="15"/>
    </row>
    <row r="7" spans="1:17" ht="15.75" customHeight="1" x14ac:dyDescent="0.2">
      <c r="E7" s="80"/>
      <c r="F7" s="15" t="s">
        <v>2165</v>
      </c>
      <c r="G7" s="15">
        <v>6</v>
      </c>
      <c r="H7" s="15">
        <v>94</v>
      </c>
      <c r="I7" s="63"/>
      <c r="J7" s="63"/>
      <c r="K7" s="63"/>
      <c r="L7" s="15"/>
      <c r="M7" s="15"/>
      <c r="N7" s="15"/>
      <c r="O7" s="15"/>
    </row>
    <row r="8" spans="1:17" x14ac:dyDescent="0.2">
      <c r="E8" s="80"/>
      <c r="F8" s="15" t="s">
        <v>2166</v>
      </c>
      <c r="G8" s="15">
        <v>6</v>
      </c>
      <c r="H8" s="15">
        <v>94</v>
      </c>
      <c r="I8" s="63"/>
      <c r="J8" s="63"/>
      <c r="K8" s="63"/>
      <c r="L8" s="15"/>
      <c r="M8" s="15"/>
      <c r="N8" s="15"/>
      <c r="O8" s="15"/>
    </row>
    <row r="9" spans="1:17" x14ac:dyDescent="0.2">
      <c r="A9" s="84" t="s">
        <v>1098</v>
      </c>
      <c r="B9" s="80"/>
      <c r="E9" s="80"/>
      <c r="F9" s="15" t="s">
        <v>2167</v>
      </c>
      <c r="G9" s="15">
        <v>9</v>
      </c>
      <c r="H9" s="15">
        <v>91</v>
      </c>
      <c r="I9" s="63"/>
      <c r="J9" s="63"/>
      <c r="K9" s="63"/>
      <c r="L9" s="15"/>
      <c r="M9" s="15"/>
      <c r="N9" s="15"/>
      <c r="O9" s="15"/>
    </row>
    <row r="10" spans="1:17" x14ac:dyDescent="0.2">
      <c r="A10" t="s">
        <v>1100</v>
      </c>
      <c r="B10" t="s">
        <v>1300</v>
      </c>
      <c r="E10" s="80"/>
      <c r="F10" s="15" t="s">
        <v>2168</v>
      </c>
      <c r="G10" s="15">
        <v>7</v>
      </c>
      <c r="H10" s="15">
        <v>93</v>
      </c>
      <c r="I10" s="64"/>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tbl-siena-reason-ed-not-emergency</v>
      </c>
    </row>
    <row r="4" spans="1:17" x14ac:dyDescent="0.2">
      <c r="A4" s="16" t="s">
        <v>7</v>
      </c>
      <c r="B4" t="str">
        <f>IF($B$1="","",_xlfn.XLOOKUP($B$1,Master!$F$2:$F$321,Master!$H$2:$H$321,""))</f>
        <v>fig-siena-reason-ed-not-emergency</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2214</v>
      </c>
      <c r="G5">
        <v>2022</v>
      </c>
      <c r="H5">
        <v>2023</v>
      </c>
      <c r="I5">
        <v>2024</v>
      </c>
    </row>
    <row r="6" spans="1:17" ht="15" customHeight="1" x14ac:dyDescent="0.2">
      <c r="A6" t="s">
        <v>1088</v>
      </c>
      <c r="B6" t="b">
        <v>0</v>
      </c>
      <c r="E6" s="80"/>
      <c r="F6" t="s">
        <v>2224</v>
      </c>
      <c r="G6" s="15">
        <v>25</v>
      </c>
      <c r="H6" s="15">
        <v>15</v>
      </c>
      <c r="I6" s="15">
        <v>9</v>
      </c>
      <c r="J6" s="63"/>
      <c r="K6" s="63"/>
      <c r="L6" s="15"/>
      <c r="M6" s="15"/>
      <c r="N6" s="15"/>
      <c r="O6" s="15"/>
    </row>
    <row r="7" spans="1:17" ht="15.75" customHeight="1" x14ac:dyDescent="0.2">
      <c r="E7" s="80"/>
      <c r="F7" t="s">
        <v>2225</v>
      </c>
      <c r="G7" s="15">
        <v>19</v>
      </c>
      <c r="H7" s="15">
        <v>22</v>
      </c>
      <c r="I7" s="15">
        <v>24</v>
      </c>
      <c r="J7" s="63"/>
      <c r="K7" s="63"/>
      <c r="L7" s="15"/>
      <c r="M7" s="15"/>
      <c r="N7" s="15"/>
      <c r="O7" s="15"/>
    </row>
    <row r="8" spans="1:17" x14ac:dyDescent="0.2">
      <c r="E8" s="80"/>
      <c r="F8" t="s">
        <v>2226</v>
      </c>
      <c r="G8" s="15">
        <v>9</v>
      </c>
      <c r="H8" s="15">
        <v>11</v>
      </c>
      <c r="I8" s="15">
        <v>10</v>
      </c>
      <c r="J8" s="63"/>
      <c r="K8" s="63"/>
      <c r="L8" s="15"/>
      <c r="M8" s="15"/>
      <c r="N8" s="15"/>
      <c r="O8" s="15"/>
    </row>
    <row r="9" spans="1:17" x14ac:dyDescent="0.2">
      <c r="A9" s="84" t="s">
        <v>1098</v>
      </c>
      <c r="B9" s="80"/>
      <c r="E9" s="80"/>
      <c r="F9" t="s">
        <v>2227</v>
      </c>
      <c r="G9" s="15">
        <v>40</v>
      </c>
      <c r="H9" s="15">
        <v>37</v>
      </c>
      <c r="I9" s="15">
        <v>41</v>
      </c>
      <c r="J9" s="63"/>
      <c r="K9" s="63"/>
      <c r="L9" s="15"/>
      <c r="M9" s="15"/>
      <c r="N9" s="15"/>
      <c r="O9" s="15"/>
    </row>
    <row r="10" spans="1:17" x14ac:dyDescent="0.2">
      <c r="A10" t="s">
        <v>1100</v>
      </c>
      <c r="B10" t="s">
        <v>1300</v>
      </c>
      <c r="E10" s="80"/>
      <c r="F10" t="s">
        <v>2228</v>
      </c>
      <c r="G10" s="15">
        <v>27</v>
      </c>
      <c r="H10" s="15">
        <v>27</v>
      </c>
      <c r="I10" s="15">
        <v>42</v>
      </c>
      <c r="J10" s="64"/>
      <c r="K10" s="64"/>
    </row>
    <row r="11" spans="1:17" x14ac:dyDescent="0.2">
      <c r="A11" t="s">
        <v>1102</v>
      </c>
      <c r="B11" t="s">
        <v>1303</v>
      </c>
      <c r="E11" s="80"/>
      <c r="F11" t="s">
        <v>2229</v>
      </c>
      <c r="G11" s="15">
        <v>2</v>
      </c>
      <c r="H11" s="15">
        <v>7</v>
      </c>
      <c r="I11" s="15">
        <v>3</v>
      </c>
      <c r="J11" s="65"/>
      <c r="K11" s="65"/>
      <c r="L11" s="17"/>
      <c r="M11" s="17"/>
      <c r="N11" s="17"/>
    </row>
    <row r="12" spans="1:17" x14ac:dyDescent="0.2">
      <c r="A12" t="s">
        <v>1104</v>
      </c>
      <c r="B12" t="s">
        <v>2214</v>
      </c>
      <c r="E12" s="80"/>
      <c r="F12" t="s">
        <v>2230</v>
      </c>
      <c r="G12" s="17">
        <v>10</v>
      </c>
      <c r="H12" s="17">
        <v>9</v>
      </c>
      <c r="I12" s="15">
        <v>9</v>
      </c>
      <c r="J12" s="63"/>
      <c r="K12" s="63"/>
      <c r="L12" s="15"/>
    </row>
    <row r="13" spans="1:17" x14ac:dyDescent="0.2">
      <c r="A13" t="s">
        <v>1108</v>
      </c>
      <c r="E13" s="80"/>
      <c r="F13" t="s">
        <v>2178</v>
      </c>
      <c r="G13" s="15">
        <v>14</v>
      </c>
      <c r="H13" s="15">
        <v>18</v>
      </c>
      <c r="I13" s="15">
        <v>16</v>
      </c>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844</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tbl-siena-reason-ed-not-emergency-income</v>
      </c>
    </row>
    <row r="4" spans="1:17" x14ac:dyDescent="0.2">
      <c r="A4" s="16" t="s">
        <v>7</v>
      </c>
      <c r="B4" t="str">
        <f>IF($B$1="","",_xlfn.XLOOKUP($B$1,Master!$F$2:$F$321,Master!$H$2:$H$321,""))</f>
        <v>fig-siena-reason-ed-not-emergency-income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2214</v>
      </c>
      <c r="G5" s="15" t="s">
        <v>2179</v>
      </c>
      <c r="H5" s="15" t="s">
        <v>2165</v>
      </c>
      <c r="I5" s="15" t="s">
        <v>2166</v>
      </c>
      <c r="J5" s="15" t="s">
        <v>2167</v>
      </c>
      <c r="K5" s="15" t="s">
        <v>2168</v>
      </c>
    </row>
    <row r="6" spans="1:17" ht="15" customHeight="1" x14ac:dyDescent="0.2">
      <c r="A6" t="s">
        <v>1088</v>
      </c>
      <c r="B6" t="b">
        <v>0</v>
      </c>
      <c r="E6" s="80"/>
      <c r="F6" t="s">
        <v>2224</v>
      </c>
      <c r="G6" s="15">
        <v>21</v>
      </c>
      <c r="H6" s="15">
        <v>18</v>
      </c>
      <c r="I6" s="15">
        <v>10</v>
      </c>
      <c r="J6" s="15">
        <v>0</v>
      </c>
      <c r="K6" s="15">
        <v>0</v>
      </c>
      <c r="L6" s="15"/>
      <c r="M6" s="15"/>
      <c r="N6" s="15"/>
      <c r="O6" s="15"/>
    </row>
    <row r="7" spans="1:17" ht="15.75" customHeight="1" x14ac:dyDescent="0.2">
      <c r="E7" s="80"/>
      <c r="F7" t="s">
        <v>2225</v>
      </c>
      <c r="G7" s="15">
        <v>22</v>
      </c>
      <c r="H7" s="15">
        <v>40</v>
      </c>
      <c r="I7" s="15">
        <v>21</v>
      </c>
      <c r="J7" s="15">
        <v>26</v>
      </c>
      <c r="K7" s="15">
        <v>0</v>
      </c>
      <c r="L7" s="15"/>
      <c r="M7" s="15"/>
      <c r="N7" s="15"/>
      <c r="O7" s="15"/>
    </row>
    <row r="8" spans="1:17" x14ac:dyDescent="0.2">
      <c r="E8" s="80"/>
      <c r="F8" t="s">
        <v>2226</v>
      </c>
      <c r="G8" s="15">
        <v>0</v>
      </c>
      <c r="H8" s="15">
        <v>6</v>
      </c>
      <c r="I8" s="15">
        <v>6</v>
      </c>
      <c r="J8" s="15">
        <v>36</v>
      </c>
      <c r="K8" s="15">
        <v>0</v>
      </c>
      <c r="L8" s="15"/>
      <c r="M8" s="15"/>
      <c r="N8" s="15"/>
      <c r="O8" s="15"/>
    </row>
    <row r="9" spans="1:17" x14ac:dyDescent="0.2">
      <c r="A9" s="84" t="s">
        <v>1098</v>
      </c>
      <c r="B9" s="80"/>
      <c r="E9" s="80"/>
      <c r="F9" t="s">
        <v>2227</v>
      </c>
      <c r="G9" s="15">
        <v>57</v>
      </c>
      <c r="H9" s="15">
        <v>40</v>
      </c>
      <c r="I9" s="15">
        <v>33</v>
      </c>
      <c r="J9" s="15">
        <v>60</v>
      </c>
      <c r="K9" s="15">
        <v>24</v>
      </c>
      <c r="L9" s="15"/>
      <c r="M9" s="15"/>
      <c r="N9" s="15"/>
      <c r="O9" s="15"/>
    </row>
    <row r="10" spans="1:17" x14ac:dyDescent="0.2">
      <c r="A10" t="s">
        <v>1100</v>
      </c>
      <c r="E10" s="80"/>
      <c r="F10" t="s">
        <v>2228</v>
      </c>
      <c r="G10" s="15">
        <v>24</v>
      </c>
      <c r="H10" s="15">
        <v>50</v>
      </c>
      <c r="I10" s="15">
        <v>46</v>
      </c>
      <c r="J10" s="15">
        <v>41</v>
      </c>
      <c r="K10" s="15">
        <v>52</v>
      </c>
    </row>
    <row r="11" spans="1:17" x14ac:dyDescent="0.2">
      <c r="A11" t="s">
        <v>1102</v>
      </c>
      <c r="E11" s="80"/>
      <c r="F11" t="s">
        <v>2229</v>
      </c>
      <c r="G11" s="15">
        <v>5</v>
      </c>
      <c r="H11" s="15">
        <v>5</v>
      </c>
      <c r="I11" s="15">
        <v>6</v>
      </c>
      <c r="J11" s="17">
        <v>0</v>
      </c>
      <c r="K11" s="17">
        <v>0</v>
      </c>
      <c r="L11" s="17"/>
      <c r="M11" s="17"/>
      <c r="N11" s="17"/>
    </row>
    <row r="12" spans="1:17" x14ac:dyDescent="0.2">
      <c r="A12" t="s">
        <v>1104</v>
      </c>
      <c r="E12" s="80"/>
      <c r="F12" s="21" t="s">
        <v>2230</v>
      </c>
      <c r="G12" s="17">
        <v>7</v>
      </c>
      <c r="H12" s="17">
        <v>13</v>
      </c>
      <c r="I12" s="15">
        <v>12</v>
      </c>
      <c r="J12" s="15">
        <v>14</v>
      </c>
      <c r="K12" s="15">
        <v>0</v>
      </c>
      <c r="L12" s="15"/>
    </row>
    <row r="13" spans="1:17" x14ac:dyDescent="0.2">
      <c r="A13" t="s">
        <v>1108</v>
      </c>
      <c r="E13" s="80"/>
      <c r="F13" t="s">
        <v>2178</v>
      </c>
      <c r="G13" s="15">
        <v>7</v>
      </c>
      <c r="H13" s="15">
        <v>26</v>
      </c>
      <c r="I13" s="15">
        <v>16</v>
      </c>
      <c r="J13" s="15">
        <v>7</v>
      </c>
      <c r="K13" s="15">
        <v>33</v>
      </c>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tbl-siena-routine-mh-visit-income</v>
      </c>
    </row>
    <row r="4" spans="1:17" x14ac:dyDescent="0.2">
      <c r="A4" s="16" t="s">
        <v>7</v>
      </c>
      <c r="B4" t="str">
        <f>IF($B$1="","",_xlfn.XLOOKUP($B$1,Master!$F$2:$F$321,Master!$H$2:$H$321,""))</f>
        <v>fig-siena-routine-mh-visit-income</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s="15" t="s">
        <v>2210</v>
      </c>
      <c r="H5" s="15" t="s">
        <v>2211</v>
      </c>
    </row>
    <row r="6" spans="1:17" ht="15" customHeight="1" x14ac:dyDescent="0.2">
      <c r="A6" t="s">
        <v>1088</v>
      </c>
      <c r="B6" t="b">
        <v>0</v>
      </c>
      <c r="E6" s="80"/>
      <c r="F6" t="s">
        <v>2179</v>
      </c>
      <c r="G6" s="15">
        <v>24</v>
      </c>
      <c r="H6" s="15">
        <v>76</v>
      </c>
      <c r="I6" s="63"/>
      <c r="J6" s="63"/>
      <c r="K6" s="63"/>
      <c r="L6" s="15"/>
      <c r="M6" s="15"/>
      <c r="N6" s="15"/>
      <c r="O6" s="15"/>
    </row>
    <row r="7" spans="1:17" ht="15.75" customHeight="1" x14ac:dyDescent="0.2">
      <c r="E7" s="80"/>
      <c r="F7" t="s">
        <v>2165</v>
      </c>
      <c r="G7" s="15">
        <v>28</v>
      </c>
      <c r="H7" s="15">
        <v>72</v>
      </c>
      <c r="I7" s="63"/>
      <c r="J7" s="63"/>
      <c r="K7" s="63"/>
      <c r="L7" s="15"/>
      <c r="M7" s="15"/>
      <c r="N7" s="15"/>
      <c r="O7" s="15"/>
    </row>
    <row r="8" spans="1:17" x14ac:dyDescent="0.2">
      <c r="E8" s="80"/>
      <c r="F8" t="s">
        <v>2166</v>
      </c>
      <c r="G8" s="15">
        <v>19</v>
      </c>
      <c r="H8" s="15">
        <v>81</v>
      </c>
      <c r="I8" s="63"/>
      <c r="J8" s="63"/>
      <c r="K8" s="63"/>
      <c r="L8" s="15"/>
      <c r="M8" s="15"/>
      <c r="N8" s="15"/>
      <c r="O8" s="15"/>
    </row>
    <row r="9" spans="1:17" x14ac:dyDescent="0.2">
      <c r="A9" s="84" t="s">
        <v>1098</v>
      </c>
      <c r="B9" s="80"/>
      <c r="E9" s="80"/>
      <c r="F9" t="s">
        <v>2167</v>
      </c>
      <c r="G9" s="15">
        <v>26</v>
      </c>
      <c r="H9" s="15">
        <v>74</v>
      </c>
      <c r="I9" s="63"/>
      <c r="J9" s="63"/>
      <c r="K9" s="63"/>
      <c r="L9" s="15"/>
      <c r="M9" s="15"/>
      <c r="N9" s="15"/>
      <c r="O9" s="15"/>
    </row>
    <row r="10" spans="1:17" x14ac:dyDescent="0.2">
      <c r="A10" t="s">
        <v>1100</v>
      </c>
      <c r="B10" t="s">
        <v>1300</v>
      </c>
      <c r="E10" s="80"/>
      <c r="F10" t="s">
        <v>2168</v>
      </c>
      <c r="G10" s="15">
        <v>17</v>
      </c>
      <c r="H10" s="15">
        <v>83</v>
      </c>
      <c r="I10" s="64"/>
      <c r="J10" s="64"/>
      <c r="K10" s="64"/>
    </row>
    <row r="11" spans="1:17" x14ac:dyDescent="0.2">
      <c r="A11" t="s">
        <v>1102</v>
      </c>
      <c r="B11" t="s">
        <v>2231</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v>
      </c>
    </row>
    <row r="4" spans="1:17" x14ac:dyDescent="0.2">
      <c r="A4" s="16" t="s">
        <v>7</v>
      </c>
      <c r="B4" t="str">
        <f>IF($B$1="","",_xlfn.XLOOKUP($B$1,Master!$F$2:$F$321,Master!$H$2:$H$321,""))</f>
        <v>fig-siena-reason-not-mh-visist</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2214</v>
      </c>
      <c r="G5" s="15">
        <v>2022</v>
      </c>
      <c r="H5" s="15">
        <v>2023</v>
      </c>
      <c r="I5" s="15">
        <v>2024</v>
      </c>
    </row>
    <row r="6" spans="1:17" ht="15" customHeight="1" x14ac:dyDescent="0.2">
      <c r="A6" t="s">
        <v>1088</v>
      </c>
      <c r="B6" t="b">
        <v>0</v>
      </c>
      <c r="E6" s="80"/>
      <c r="F6" t="s">
        <v>2232</v>
      </c>
      <c r="G6" s="15">
        <v>74</v>
      </c>
      <c r="H6" s="15">
        <v>81</v>
      </c>
      <c r="I6" s="15">
        <v>80</v>
      </c>
      <c r="J6" s="63"/>
      <c r="K6" s="63"/>
      <c r="L6" s="15"/>
      <c r="M6" s="15"/>
      <c r="N6" s="15"/>
      <c r="O6" s="15"/>
    </row>
    <row r="7" spans="1:17" ht="15.75" customHeight="1" x14ac:dyDescent="0.2">
      <c r="E7" s="80"/>
      <c r="F7" t="s">
        <v>2215</v>
      </c>
      <c r="G7" s="15">
        <v>6</v>
      </c>
      <c r="H7" s="15">
        <v>3</v>
      </c>
      <c r="I7" s="15">
        <v>5</v>
      </c>
      <c r="J7" s="63"/>
      <c r="K7" s="63"/>
      <c r="L7" s="15"/>
      <c r="M7" s="15"/>
      <c r="N7" s="15"/>
      <c r="O7" s="15"/>
    </row>
    <row r="8" spans="1:17" x14ac:dyDescent="0.2">
      <c r="E8" s="80"/>
      <c r="F8" t="s">
        <v>2216</v>
      </c>
      <c r="G8" s="15">
        <v>5</v>
      </c>
      <c r="H8" s="15">
        <v>5</v>
      </c>
      <c r="I8" s="15">
        <v>6</v>
      </c>
      <c r="J8" s="63"/>
      <c r="K8" s="63"/>
      <c r="L8" s="15"/>
      <c r="M8" s="15"/>
      <c r="N8" s="15"/>
      <c r="O8" s="15"/>
    </row>
    <row r="9" spans="1:17" x14ac:dyDescent="0.2">
      <c r="A9" s="84" t="s">
        <v>1098</v>
      </c>
      <c r="B9" s="80"/>
      <c r="E9" s="80"/>
      <c r="F9" t="s">
        <v>2217</v>
      </c>
      <c r="G9" s="15">
        <v>2</v>
      </c>
      <c r="H9" s="15">
        <v>1</v>
      </c>
      <c r="I9" s="15">
        <v>2</v>
      </c>
      <c r="J9" s="63"/>
      <c r="K9" s="63"/>
      <c r="L9" s="15"/>
      <c r="M9" s="15"/>
      <c r="N9" s="15"/>
      <c r="O9" s="15"/>
    </row>
    <row r="10" spans="1:17" x14ac:dyDescent="0.2">
      <c r="A10" t="s">
        <v>1100</v>
      </c>
      <c r="B10" t="s">
        <v>1300</v>
      </c>
      <c r="E10" s="80"/>
      <c r="F10" t="s">
        <v>2218</v>
      </c>
      <c r="G10" s="15">
        <v>7</v>
      </c>
      <c r="H10" s="15">
        <v>6</v>
      </c>
      <c r="I10" s="15">
        <v>6</v>
      </c>
      <c r="J10" s="64"/>
      <c r="K10" s="64"/>
    </row>
    <row r="11" spans="1:17" x14ac:dyDescent="0.2">
      <c r="A11" t="s">
        <v>1102</v>
      </c>
      <c r="B11" t="s">
        <v>1303</v>
      </c>
      <c r="E11" s="80"/>
      <c r="F11" t="s">
        <v>2233</v>
      </c>
      <c r="G11" s="15">
        <v>18</v>
      </c>
      <c r="H11" s="15">
        <v>16</v>
      </c>
      <c r="I11" s="15">
        <v>18</v>
      </c>
      <c r="J11" s="65"/>
      <c r="K11" s="65"/>
      <c r="L11" s="17"/>
      <c r="M11" s="17"/>
      <c r="N11" s="17"/>
    </row>
    <row r="12" spans="1:17" x14ac:dyDescent="0.2">
      <c r="A12" t="s">
        <v>1104</v>
      </c>
      <c r="B12" t="s">
        <v>2214</v>
      </c>
      <c r="E12" s="80"/>
      <c r="F12" s="21" t="s">
        <v>2234</v>
      </c>
      <c r="G12" s="17">
        <v>3</v>
      </c>
      <c r="H12" s="17">
        <v>2</v>
      </c>
      <c r="I12" s="15">
        <v>2</v>
      </c>
      <c r="J12" s="63"/>
      <c r="K12" s="63"/>
      <c r="L12" s="15"/>
    </row>
    <row r="13" spans="1:17" x14ac:dyDescent="0.2">
      <c r="A13" t="s">
        <v>1108</v>
      </c>
      <c r="E13" s="80"/>
      <c r="F13" t="s">
        <v>1015</v>
      </c>
      <c r="G13" s="15">
        <v>1</v>
      </c>
      <c r="H13" s="15">
        <v>2</v>
      </c>
      <c r="I13" s="15">
        <v>0</v>
      </c>
      <c r="J13" s="64"/>
      <c r="K13" s="64"/>
    </row>
    <row r="14" spans="1:17" x14ac:dyDescent="0.2">
      <c r="A14" t="s">
        <v>1112</v>
      </c>
      <c r="E14" s="80"/>
      <c r="F14" t="s">
        <v>2178</v>
      </c>
      <c r="G14" s="15">
        <v>4</v>
      </c>
      <c r="H14" s="15">
        <v>3</v>
      </c>
      <c r="I14" s="15">
        <v>4</v>
      </c>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tbl-siena-reason-not-mh-visist-income</v>
      </c>
    </row>
    <row r="4" spans="1:17" x14ac:dyDescent="0.2">
      <c r="A4" s="16" t="s">
        <v>7</v>
      </c>
      <c r="B4" t="str">
        <f>IF($B$1="","",_xlfn.XLOOKUP($B$1,Master!$F$2:$F$321,Master!$H$2:$H$321,""))</f>
        <v>fig-siena-reason-not-mh-visist-income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2214</v>
      </c>
      <c r="G5" t="s">
        <v>2179</v>
      </c>
      <c r="H5" t="s">
        <v>2165</v>
      </c>
      <c r="I5" t="s">
        <v>2166</v>
      </c>
      <c r="J5" t="s">
        <v>2167</v>
      </c>
      <c r="K5" t="s">
        <v>2168</v>
      </c>
    </row>
    <row r="6" spans="1:17" ht="15" customHeight="1" x14ac:dyDescent="0.2">
      <c r="A6" t="s">
        <v>1088</v>
      </c>
      <c r="B6" t="b">
        <v>0</v>
      </c>
      <c r="E6" s="80"/>
      <c r="F6" t="s">
        <v>2232</v>
      </c>
      <c r="G6" s="15">
        <v>80</v>
      </c>
      <c r="H6" s="15">
        <v>73</v>
      </c>
      <c r="I6" s="15">
        <v>79</v>
      </c>
      <c r="J6" s="15">
        <v>77</v>
      </c>
      <c r="K6" s="15">
        <v>86</v>
      </c>
      <c r="L6" s="15"/>
      <c r="M6" s="15"/>
      <c r="N6" s="15"/>
      <c r="O6" s="15"/>
    </row>
    <row r="7" spans="1:17" ht="15.75" customHeight="1" x14ac:dyDescent="0.2">
      <c r="E7" s="80"/>
      <c r="F7" t="s">
        <v>2215</v>
      </c>
      <c r="G7" s="15">
        <v>8</v>
      </c>
      <c r="H7" s="15">
        <v>8</v>
      </c>
      <c r="I7" s="15">
        <v>5</v>
      </c>
      <c r="J7" s="15">
        <v>4</v>
      </c>
      <c r="K7" s="15">
        <v>0</v>
      </c>
      <c r="L7" s="15"/>
      <c r="M7" s="15"/>
      <c r="N7" s="15"/>
      <c r="O7" s="15"/>
    </row>
    <row r="8" spans="1:17" x14ac:dyDescent="0.2">
      <c r="E8" s="80"/>
      <c r="F8" t="s">
        <v>2216</v>
      </c>
      <c r="G8" s="15">
        <v>5</v>
      </c>
      <c r="H8" s="15">
        <v>11</v>
      </c>
      <c r="I8" s="15">
        <v>8</v>
      </c>
      <c r="J8" s="15">
        <v>9</v>
      </c>
      <c r="K8" s="15">
        <v>1</v>
      </c>
      <c r="L8" s="15"/>
      <c r="M8" s="15"/>
      <c r="N8" s="15"/>
      <c r="O8" s="15"/>
    </row>
    <row r="9" spans="1:17" x14ac:dyDescent="0.2">
      <c r="A9" s="84" t="s">
        <v>1098</v>
      </c>
      <c r="B9" s="80"/>
      <c r="E9" s="80"/>
      <c r="F9" t="s">
        <v>2217</v>
      </c>
      <c r="G9" s="15">
        <v>3</v>
      </c>
      <c r="H9" s="15">
        <v>5</v>
      </c>
      <c r="I9" s="15">
        <v>1</v>
      </c>
      <c r="J9" s="15">
        <v>1</v>
      </c>
      <c r="K9" s="15">
        <v>1</v>
      </c>
      <c r="L9" s="15"/>
      <c r="M9" s="15"/>
      <c r="N9" s="15"/>
      <c r="O9" s="15"/>
    </row>
    <row r="10" spans="1:17" x14ac:dyDescent="0.2">
      <c r="A10" t="s">
        <v>1100</v>
      </c>
      <c r="E10" s="80"/>
      <c r="F10" t="s">
        <v>2218</v>
      </c>
      <c r="G10" s="15">
        <v>4</v>
      </c>
      <c r="H10" s="15">
        <v>9</v>
      </c>
      <c r="I10" s="15">
        <v>5</v>
      </c>
      <c r="J10" s="15">
        <v>7</v>
      </c>
      <c r="K10" s="15">
        <v>6</v>
      </c>
    </row>
    <row r="11" spans="1:17" x14ac:dyDescent="0.2">
      <c r="A11" t="s">
        <v>1102</v>
      </c>
      <c r="E11" s="80"/>
      <c r="F11" t="s">
        <v>2233</v>
      </c>
      <c r="G11" s="15">
        <v>17</v>
      </c>
      <c r="H11" s="15">
        <v>18</v>
      </c>
      <c r="I11" s="15">
        <v>21</v>
      </c>
      <c r="J11" s="17">
        <v>19</v>
      </c>
      <c r="K11" s="17">
        <v>14</v>
      </c>
      <c r="L11" s="17"/>
      <c r="M11" s="17"/>
      <c r="N11" s="17"/>
    </row>
    <row r="12" spans="1:17" x14ac:dyDescent="0.2">
      <c r="A12" t="s">
        <v>1104</v>
      </c>
      <c r="E12" s="80"/>
      <c r="F12" s="21" t="s">
        <v>2234</v>
      </c>
      <c r="G12" s="17">
        <v>3</v>
      </c>
      <c r="H12" s="17">
        <v>1</v>
      </c>
      <c r="I12" s="15">
        <v>3</v>
      </c>
      <c r="J12" s="15">
        <v>4</v>
      </c>
      <c r="K12" s="15">
        <v>1</v>
      </c>
      <c r="L12" s="15"/>
    </row>
    <row r="13" spans="1:17" x14ac:dyDescent="0.2">
      <c r="A13" t="s">
        <v>1108</v>
      </c>
      <c r="E13" s="80"/>
      <c r="F13" t="s">
        <v>1015</v>
      </c>
      <c r="G13" s="15">
        <v>0</v>
      </c>
      <c r="H13" s="15">
        <v>1</v>
      </c>
      <c r="I13" s="15">
        <v>0</v>
      </c>
      <c r="J13" s="15">
        <v>0</v>
      </c>
      <c r="K13" s="15">
        <v>0</v>
      </c>
    </row>
    <row r="14" spans="1:17" x14ac:dyDescent="0.2">
      <c r="A14" t="s">
        <v>1112</v>
      </c>
      <c r="E14" s="80"/>
      <c r="F14" t="s">
        <v>2178</v>
      </c>
      <c r="G14" s="15">
        <v>3</v>
      </c>
      <c r="H14" s="15">
        <v>8</v>
      </c>
      <c r="I14" s="15">
        <v>6</v>
      </c>
      <c r="J14" s="15">
        <v>2</v>
      </c>
      <c r="K14" s="15">
        <v>3</v>
      </c>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tbl-siena-had-covid-income</v>
      </c>
    </row>
    <row r="4" spans="1:17" x14ac:dyDescent="0.2">
      <c r="A4" s="16" t="s">
        <v>7</v>
      </c>
      <c r="B4" t="str">
        <f>IF($B$1="","",_xlfn.XLOOKUP($B$1,Master!$F$2:$F$321,Master!$H$2:$H$321,""))</f>
        <v>fig-siena-had-covid-income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2163</v>
      </c>
      <c r="G5" t="s">
        <v>2210</v>
      </c>
      <c r="H5" t="s">
        <v>2211</v>
      </c>
      <c r="I5" t="s">
        <v>2235</v>
      </c>
    </row>
    <row r="6" spans="1:17" ht="15" customHeight="1" x14ac:dyDescent="0.2">
      <c r="A6" t="s">
        <v>1088</v>
      </c>
      <c r="B6" t="b">
        <v>0</v>
      </c>
      <c r="E6" s="80"/>
      <c r="F6" t="s">
        <v>2179</v>
      </c>
      <c r="G6" s="15">
        <v>52</v>
      </c>
      <c r="H6" s="15">
        <v>46</v>
      </c>
      <c r="I6" s="15">
        <v>1</v>
      </c>
      <c r="J6" s="63"/>
      <c r="K6" s="63"/>
      <c r="L6" s="15"/>
      <c r="M6" s="15"/>
      <c r="N6" s="15"/>
      <c r="O6" s="15"/>
    </row>
    <row r="7" spans="1:17" ht="15.75" customHeight="1" x14ac:dyDescent="0.2">
      <c r="E7" s="80"/>
      <c r="F7" t="s">
        <v>2165</v>
      </c>
      <c r="G7" s="15">
        <v>65</v>
      </c>
      <c r="H7" s="15">
        <v>34</v>
      </c>
      <c r="I7" s="15">
        <v>1</v>
      </c>
      <c r="J7" s="63"/>
      <c r="K7" s="63"/>
      <c r="L7" s="15"/>
      <c r="M7" s="15"/>
      <c r="N7" s="15"/>
      <c r="O7" s="15"/>
    </row>
    <row r="8" spans="1:17" x14ac:dyDescent="0.2">
      <c r="E8" s="80"/>
      <c r="F8" t="s">
        <v>2166</v>
      </c>
      <c r="G8" s="15">
        <v>73</v>
      </c>
      <c r="H8" s="15">
        <v>27</v>
      </c>
      <c r="I8" s="15">
        <v>1</v>
      </c>
      <c r="J8" s="63"/>
      <c r="K8" s="63"/>
      <c r="L8" s="15"/>
      <c r="M8" s="15"/>
      <c r="N8" s="15"/>
      <c r="O8" s="15"/>
    </row>
    <row r="9" spans="1:17" x14ac:dyDescent="0.2">
      <c r="A9" s="84" t="s">
        <v>1098</v>
      </c>
      <c r="B9" s="80"/>
      <c r="E9" s="80"/>
      <c r="F9" t="s">
        <v>2167</v>
      </c>
      <c r="G9" s="15">
        <v>71</v>
      </c>
      <c r="H9" s="15">
        <v>27</v>
      </c>
      <c r="I9" s="15">
        <v>2</v>
      </c>
      <c r="J9" s="63"/>
      <c r="K9" s="63"/>
      <c r="L9" s="15"/>
      <c r="M9" s="15"/>
      <c r="N9" s="15"/>
      <c r="O9" s="15"/>
    </row>
    <row r="10" spans="1:17" x14ac:dyDescent="0.2">
      <c r="A10" t="s">
        <v>1100</v>
      </c>
      <c r="B10" t="s">
        <v>1300</v>
      </c>
      <c r="E10" s="80"/>
      <c r="F10" t="s">
        <v>2168</v>
      </c>
      <c r="G10" s="15">
        <v>69</v>
      </c>
      <c r="H10" s="15">
        <v>27</v>
      </c>
      <c r="I10" s="15">
        <v>4</v>
      </c>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tbl-siena-had-long-covid-income</v>
      </c>
    </row>
    <row r="4" spans="1:17" x14ac:dyDescent="0.2">
      <c r="A4" s="16" t="s">
        <v>7</v>
      </c>
      <c r="B4" t="str">
        <f>IF($B$1="","",_xlfn.XLOOKUP($B$1,Master!$F$2:$F$321,Master!$H$2:$H$321,""))</f>
        <v>fig-siena-had-long-covid-income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2163</v>
      </c>
      <c r="G5" s="15" t="s">
        <v>2210</v>
      </c>
      <c r="H5" s="15" t="s">
        <v>2211</v>
      </c>
      <c r="I5" s="15" t="s">
        <v>2178</v>
      </c>
    </row>
    <row r="6" spans="1:17" ht="15" customHeight="1" x14ac:dyDescent="0.2">
      <c r="A6" t="s">
        <v>1088</v>
      </c>
      <c r="B6" t="b">
        <v>0</v>
      </c>
      <c r="E6" s="80"/>
      <c r="F6" t="s">
        <v>2179</v>
      </c>
      <c r="G6" s="15">
        <v>15</v>
      </c>
      <c r="H6" s="15">
        <v>85</v>
      </c>
      <c r="I6" s="15">
        <v>0</v>
      </c>
      <c r="J6" s="63"/>
      <c r="K6" s="63"/>
      <c r="L6" s="15"/>
      <c r="M6" s="15"/>
      <c r="N6" s="15"/>
      <c r="O6" s="15"/>
    </row>
    <row r="7" spans="1:17" ht="15.75" customHeight="1" x14ac:dyDescent="0.2">
      <c r="E7" s="80"/>
      <c r="F7" t="s">
        <v>2165</v>
      </c>
      <c r="G7" s="15">
        <v>18</v>
      </c>
      <c r="H7" s="15">
        <v>79</v>
      </c>
      <c r="I7" s="15">
        <v>3</v>
      </c>
      <c r="J7" s="63"/>
      <c r="K7" s="63"/>
      <c r="L7" s="15"/>
      <c r="M7" s="15"/>
      <c r="N7" s="15"/>
      <c r="O7" s="15"/>
    </row>
    <row r="8" spans="1:17" x14ac:dyDescent="0.2">
      <c r="E8" s="80"/>
      <c r="F8" t="s">
        <v>2166</v>
      </c>
      <c r="G8" s="15">
        <v>15</v>
      </c>
      <c r="H8" s="15">
        <v>85</v>
      </c>
      <c r="I8" s="15">
        <v>0</v>
      </c>
      <c r="J8" s="63"/>
      <c r="K8" s="63"/>
      <c r="L8" s="15"/>
      <c r="M8" s="15"/>
      <c r="N8" s="15"/>
      <c r="O8" s="15"/>
    </row>
    <row r="9" spans="1:17" x14ac:dyDescent="0.2">
      <c r="A9" s="84" t="s">
        <v>1098</v>
      </c>
      <c r="B9" s="80"/>
      <c r="E9" s="80"/>
      <c r="F9" t="s">
        <v>2167</v>
      </c>
      <c r="G9" s="15">
        <v>22</v>
      </c>
      <c r="H9" s="15">
        <v>76</v>
      </c>
      <c r="I9" s="15">
        <v>2</v>
      </c>
      <c r="J9" s="63"/>
      <c r="K9" s="63"/>
      <c r="L9" s="15"/>
      <c r="M9" s="15"/>
      <c r="N9" s="15"/>
      <c r="O9" s="15"/>
    </row>
    <row r="10" spans="1:17" x14ac:dyDescent="0.2">
      <c r="A10" t="s">
        <v>1100</v>
      </c>
      <c r="B10" t="s">
        <v>1300</v>
      </c>
      <c r="E10" s="80"/>
      <c r="F10" t="s">
        <v>2168</v>
      </c>
      <c r="G10" s="15">
        <v>18</v>
      </c>
      <c r="H10" s="15">
        <v>81</v>
      </c>
      <c r="I10" s="15">
        <v>1</v>
      </c>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tbl-siena-covid-vaccine-income</v>
      </c>
    </row>
    <row r="4" spans="1:17" x14ac:dyDescent="0.2">
      <c r="A4" s="16" t="s">
        <v>7</v>
      </c>
      <c r="B4" t="str">
        <f>IF($B$1="","",_xlfn.XLOOKUP($B$1,Master!$F$2:$F$321,Master!$H$2:$H$321,""))</f>
        <v>fig-siena-covid-vaccine-income</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t="s">
        <v>2210</v>
      </c>
      <c r="H5" t="s">
        <v>2211</v>
      </c>
    </row>
    <row r="6" spans="1:17" ht="15" customHeight="1" x14ac:dyDescent="0.2">
      <c r="A6" t="s">
        <v>1088</v>
      </c>
      <c r="B6" t="b">
        <v>0</v>
      </c>
      <c r="E6" s="80"/>
      <c r="F6" t="s">
        <v>2179</v>
      </c>
      <c r="G6" s="15">
        <v>75</v>
      </c>
      <c r="H6" s="15">
        <v>25</v>
      </c>
      <c r="I6" s="63"/>
      <c r="J6" s="63"/>
      <c r="K6" s="63"/>
      <c r="L6" s="15"/>
      <c r="M6" s="15"/>
      <c r="N6" s="15"/>
      <c r="O6" s="15"/>
    </row>
    <row r="7" spans="1:17" ht="15.75" customHeight="1" x14ac:dyDescent="0.2">
      <c r="E7" s="80"/>
      <c r="F7" t="s">
        <v>2165</v>
      </c>
      <c r="G7" s="15">
        <v>63</v>
      </c>
      <c r="H7" s="15">
        <v>37</v>
      </c>
      <c r="I7" s="63"/>
      <c r="J7" s="63"/>
      <c r="K7" s="63"/>
      <c r="L7" s="15"/>
      <c r="M7" s="15"/>
      <c r="N7" s="15"/>
      <c r="O7" s="15"/>
    </row>
    <row r="8" spans="1:17" x14ac:dyDescent="0.2">
      <c r="E8" s="80"/>
      <c r="F8" t="s">
        <v>2166</v>
      </c>
      <c r="G8" s="15">
        <v>77</v>
      </c>
      <c r="H8" s="15">
        <v>23</v>
      </c>
      <c r="I8" s="63"/>
      <c r="J8" s="63"/>
      <c r="K8" s="63"/>
      <c r="L8" s="15"/>
      <c r="M8" s="15"/>
      <c r="N8" s="15"/>
      <c r="O8" s="15"/>
    </row>
    <row r="9" spans="1:17" x14ac:dyDescent="0.2">
      <c r="A9" s="84" t="s">
        <v>1098</v>
      </c>
      <c r="B9" s="80"/>
      <c r="E9" s="80"/>
      <c r="F9" t="s">
        <v>2167</v>
      </c>
      <c r="G9" s="15">
        <v>72</v>
      </c>
      <c r="H9" s="15">
        <v>26</v>
      </c>
      <c r="I9" s="63"/>
      <c r="J9" s="63"/>
      <c r="K9" s="63"/>
      <c r="L9" s="15"/>
      <c r="M9" s="15"/>
      <c r="N9" s="15"/>
      <c r="O9" s="15"/>
    </row>
    <row r="10" spans="1:17" x14ac:dyDescent="0.2">
      <c r="A10" t="s">
        <v>1100</v>
      </c>
      <c r="B10" t="s">
        <v>1300</v>
      </c>
      <c r="E10" s="80"/>
      <c r="F10" t="s">
        <v>2168</v>
      </c>
      <c r="G10" s="15">
        <v>82</v>
      </c>
      <c r="H10">
        <v>16</v>
      </c>
      <c r="I10" s="64"/>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tbl-siena-updated-covid-vaccine-income</v>
      </c>
    </row>
    <row r="4" spans="1:17" x14ac:dyDescent="0.2">
      <c r="A4" s="16" t="s">
        <v>7</v>
      </c>
      <c r="B4" t="str">
        <f>IF($B$1="","",_xlfn.XLOOKUP($B$1,Master!$F$2:$F$321,Master!$H$2:$H$321,""))</f>
        <v>fig-siena-updated-covid-vaccine-income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2163</v>
      </c>
      <c r="G5" s="15" t="s">
        <v>2236</v>
      </c>
      <c r="H5" s="15" t="s">
        <v>2237</v>
      </c>
      <c r="I5" s="15" t="s">
        <v>2238</v>
      </c>
      <c r="J5" s="15" t="s">
        <v>2239</v>
      </c>
      <c r="K5" s="15" t="s">
        <v>2189</v>
      </c>
    </row>
    <row r="6" spans="1:17" ht="15" customHeight="1" x14ac:dyDescent="0.2">
      <c r="A6" t="s">
        <v>1088</v>
      </c>
      <c r="B6" t="b">
        <v>0</v>
      </c>
      <c r="E6" s="80"/>
      <c r="F6" t="s">
        <v>2179</v>
      </c>
      <c r="G6" s="15">
        <v>30</v>
      </c>
      <c r="H6" s="15">
        <v>9</v>
      </c>
      <c r="I6" s="15">
        <v>16</v>
      </c>
      <c r="J6" s="15">
        <v>42</v>
      </c>
      <c r="K6" s="15">
        <v>3</v>
      </c>
      <c r="L6" s="15"/>
      <c r="M6" s="15"/>
      <c r="N6" s="15"/>
      <c r="O6" s="15"/>
    </row>
    <row r="7" spans="1:17" ht="15.75" customHeight="1" x14ac:dyDescent="0.2">
      <c r="E7" s="80"/>
      <c r="F7" t="s">
        <v>2165</v>
      </c>
      <c r="G7" s="15">
        <v>20</v>
      </c>
      <c r="H7" s="15">
        <v>9</v>
      </c>
      <c r="I7" s="15">
        <v>14</v>
      </c>
      <c r="J7" s="15">
        <v>53</v>
      </c>
      <c r="K7" s="15">
        <v>4</v>
      </c>
      <c r="L7" s="15"/>
      <c r="M7" s="15"/>
      <c r="N7" s="15"/>
      <c r="O7" s="15"/>
    </row>
    <row r="8" spans="1:17" x14ac:dyDescent="0.2">
      <c r="E8" s="80"/>
      <c r="F8" t="s">
        <v>2166</v>
      </c>
      <c r="G8" s="15">
        <v>21</v>
      </c>
      <c r="H8" s="15">
        <v>15</v>
      </c>
      <c r="I8" s="15">
        <v>15</v>
      </c>
      <c r="J8" s="15">
        <v>48</v>
      </c>
      <c r="K8" s="15">
        <v>1</v>
      </c>
      <c r="L8" s="15"/>
      <c r="M8" s="15"/>
      <c r="N8" s="15"/>
      <c r="O8" s="15"/>
    </row>
    <row r="9" spans="1:17" x14ac:dyDescent="0.2">
      <c r="A9" s="84" t="s">
        <v>1098</v>
      </c>
      <c r="B9" s="80"/>
      <c r="E9" s="80"/>
      <c r="F9" t="s">
        <v>2167</v>
      </c>
      <c r="G9" s="15">
        <v>21</v>
      </c>
      <c r="H9" s="15">
        <v>4</v>
      </c>
      <c r="I9" s="15">
        <v>14</v>
      </c>
      <c r="J9" s="15">
        <v>49</v>
      </c>
      <c r="K9" s="15">
        <v>1</v>
      </c>
      <c r="L9" s="15"/>
      <c r="M9" s="15"/>
      <c r="N9" s="15"/>
      <c r="O9" s="15"/>
    </row>
    <row r="10" spans="1:17" x14ac:dyDescent="0.2">
      <c r="A10" t="s">
        <v>1100</v>
      </c>
      <c r="B10" t="s">
        <v>1300</v>
      </c>
      <c r="E10" s="80"/>
      <c r="F10" t="s">
        <v>2168</v>
      </c>
      <c r="G10" s="15">
        <v>22</v>
      </c>
      <c r="H10" s="15">
        <v>3</v>
      </c>
      <c r="I10" s="15">
        <v>14</v>
      </c>
      <c r="J10" s="15">
        <v>52</v>
      </c>
      <c r="K10" s="15">
        <v>0</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tbl-siena-flu-vaccine-income</v>
      </c>
    </row>
    <row r="4" spans="1:17" x14ac:dyDescent="0.2">
      <c r="A4" s="16" t="s">
        <v>7</v>
      </c>
      <c r="B4" t="str">
        <f>IF($B$1="","",_xlfn.XLOOKUP($B$1,Master!$F$2:$F$321,Master!$H$2:$H$321,""))</f>
        <v>fig-siena-flu-vaccine-income</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s="15" t="s">
        <v>2210</v>
      </c>
      <c r="H5" s="15" t="s">
        <v>2211</v>
      </c>
    </row>
    <row r="6" spans="1:17" ht="15" customHeight="1" x14ac:dyDescent="0.2">
      <c r="A6" t="s">
        <v>1088</v>
      </c>
      <c r="B6" t="b">
        <v>0</v>
      </c>
      <c r="E6" s="80"/>
      <c r="F6" t="s">
        <v>2179</v>
      </c>
      <c r="G6" s="15">
        <v>48</v>
      </c>
      <c r="H6" s="15">
        <v>52</v>
      </c>
      <c r="I6" s="63"/>
      <c r="J6" s="63"/>
      <c r="K6" s="63"/>
      <c r="L6" s="15"/>
      <c r="M6" s="15"/>
      <c r="N6" s="15"/>
      <c r="O6" s="15"/>
    </row>
    <row r="7" spans="1:17" ht="15.75" customHeight="1" x14ac:dyDescent="0.2">
      <c r="E7" s="80"/>
      <c r="F7" t="s">
        <v>2165</v>
      </c>
      <c r="G7" s="15">
        <v>39</v>
      </c>
      <c r="H7" s="15">
        <v>60</v>
      </c>
      <c r="I7" s="63"/>
      <c r="J7" s="63"/>
      <c r="K7" s="63"/>
      <c r="L7" s="15"/>
      <c r="M7" s="15"/>
      <c r="N7" s="15"/>
      <c r="O7" s="15"/>
    </row>
    <row r="8" spans="1:17" x14ac:dyDescent="0.2">
      <c r="E8" s="80"/>
      <c r="F8" t="s">
        <v>2166</v>
      </c>
      <c r="G8" s="15">
        <v>45</v>
      </c>
      <c r="H8" s="15">
        <v>55</v>
      </c>
      <c r="I8" s="63"/>
      <c r="J8" s="63"/>
      <c r="K8" s="63"/>
      <c r="L8" s="15"/>
      <c r="M8" s="15"/>
      <c r="N8" s="15"/>
      <c r="O8" s="15"/>
    </row>
    <row r="9" spans="1:17" x14ac:dyDescent="0.2">
      <c r="A9" s="84" t="s">
        <v>1098</v>
      </c>
      <c r="B9" s="80"/>
      <c r="E9" s="80"/>
      <c r="F9" t="s">
        <v>2167</v>
      </c>
      <c r="G9" s="15">
        <v>45</v>
      </c>
      <c r="H9" s="15">
        <v>54</v>
      </c>
      <c r="I9" s="63"/>
      <c r="J9" s="63"/>
      <c r="K9" s="63"/>
      <c r="L9" s="15"/>
      <c r="M9" s="15"/>
      <c r="N9" s="15"/>
      <c r="O9" s="15"/>
    </row>
    <row r="10" spans="1:17" x14ac:dyDescent="0.2">
      <c r="A10" t="s">
        <v>1100</v>
      </c>
      <c r="B10" t="s">
        <v>1300</v>
      </c>
      <c r="E10" s="80"/>
      <c r="F10" t="s">
        <v>2168</v>
      </c>
      <c r="G10" s="15">
        <v>48</v>
      </c>
      <c r="H10" s="15">
        <v>52</v>
      </c>
      <c r="I10" s="64"/>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tbl-siena-feeling-nervous-income</v>
      </c>
    </row>
    <row r="4" spans="1:17" x14ac:dyDescent="0.2">
      <c r="A4" s="16" t="s">
        <v>7</v>
      </c>
      <c r="B4" t="str">
        <f>IF($B$1="","",_xlfn.XLOOKUP($B$1,Master!$F$2:$F$321,Master!$H$2:$H$321,""))</f>
        <v>fig-siena-feeling-nervous-income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2163</v>
      </c>
      <c r="G5" t="s">
        <v>2240</v>
      </c>
      <c r="H5" t="s">
        <v>2241</v>
      </c>
      <c r="I5" t="s">
        <v>2242</v>
      </c>
      <c r="J5" t="s">
        <v>2243</v>
      </c>
      <c r="K5" t="s">
        <v>2244</v>
      </c>
    </row>
    <row r="6" spans="1:17" ht="15" customHeight="1" x14ac:dyDescent="0.2">
      <c r="A6" t="s">
        <v>1088</v>
      </c>
      <c r="B6" t="b">
        <v>0</v>
      </c>
      <c r="E6" s="80"/>
      <c r="F6" t="s">
        <v>2179</v>
      </c>
      <c r="G6" s="15">
        <v>11</v>
      </c>
      <c r="H6" s="15">
        <v>4</v>
      </c>
      <c r="I6" s="15">
        <v>29</v>
      </c>
      <c r="J6" s="15">
        <v>24</v>
      </c>
      <c r="K6" s="15">
        <v>31</v>
      </c>
      <c r="L6" s="15"/>
      <c r="M6" s="15"/>
      <c r="N6" s="15"/>
      <c r="O6" s="15"/>
    </row>
    <row r="7" spans="1:17" ht="15.75" customHeight="1" x14ac:dyDescent="0.2">
      <c r="E7" s="80"/>
      <c r="F7" t="s">
        <v>2165</v>
      </c>
      <c r="G7" s="15">
        <v>8</v>
      </c>
      <c r="H7" s="15">
        <v>9</v>
      </c>
      <c r="I7" s="15">
        <v>22</v>
      </c>
      <c r="J7" s="15">
        <v>23</v>
      </c>
      <c r="K7" s="15">
        <v>38</v>
      </c>
      <c r="L7" s="15"/>
      <c r="M7" s="15"/>
      <c r="N7" s="15"/>
      <c r="O7" s="15"/>
    </row>
    <row r="8" spans="1:17" x14ac:dyDescent="0.2">
      <c r="E8" s="80"/>
      <c r="F8" t="s">
        <v>2166</v>
      </c>
      <c r="G8" s="15">
        <v>2</v>
      </c>
      <c r="H8" s="15">
        <v>7</v>
      </c>
      <c r="I8" s="15">
        <v>25</v>
      </c>
      <c r="J8" s="15">
        <v>24</v>
      </c>
      <c r="K8" s="15">
        <v>41</v>
      </c>
      <c r="L8" s="15"/>
      <c r="M8" s="15"/>
      <c r="N8" s="15"/>
      <c r="O8" s="15"/>
    </row>
    <row r="9" spans="1:17" x14ac:dyDescent="0.2">
      <c r="A9" s="84" t="s">
        <v>1098</v>
      </c>
      <c r="B9" s="80"/>
      <c r="E9" s="80"/>
      <c r="F9" t="s">
        <v>2167</v>
      </c>
      <c r="G9" s="15">
        <v>4</v>
      </c>
      <c r="H9" s="15">
        <v>9</v>
      </c>
      <c r="I9" s="15">
        <v>27</v>
      </c>
      <c r="J9" s="15">
        <v>23</v>
      </c>
      <c r="K9" s="15">
        <v>37</v>
      </c>
      <c r="L9" s="15"/>
      <c r="M9" s="15"/>
      <c r="N9" s="15"/>
      <c r="O9" s="15"/>
    </row>
    <row r="10" spans="1:17" x14ac:dyDescent="0.2">
      <c r="A10" t="s">
        <v>1100</v>
      </c>
      <c r="B10" t="s">
        <v>1300</v>
      </c>
      <c r="E10" s="80"/>
      <c r="F10" t="s">
        <v>2168</v>
      </c>
      <c r="G10" s="15">
        <v>2</v>
      </c>
      <c r="H10">
        <v>8</v>
      </c>
      <c r="I10">
        <v>17</v>
      </c>
      <c r="J10">
        <v>26</v>
      </c>
      <c r="K10">
        <v>46</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902</v>
      </c>
    </row>
    <row r="4" spans="1:17" x14ac:dyDescent="0.2">
      <c r="A4" s="16" t="s">
        <v>7</v>
      </c>
      <c r="B4" t="s">
        <v>2245</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2163</v>
      </c>
      <c r="G5" t="s">
        <v>2240</v>
      </c>
      <c r="H5" t="s">
        <v>2241</v>
      </c>
      <c r="I5" t="s">
        <v>2242</v>
      </c>
      <c r="J5" t="s">
        <v>2243</v>
      </c>
      <c r="K5" t="s">
        <v>2244</v>
      </c>
    </row>
    <row r="6" spans="1:17" ht="15" customHeight="1" x14ac:dyDescent="0.2">
      <c r="A6" t="s">
        <v>1088</v>
      </c>
      <c r="B6" t="b">
        <v>0</v>
      </c>
      <c r="E6" s="80"/>
      <c r="F6" t="s">
        <v>2179</v>
      </c>
      <c r="G6" s="15">
        <v>3</v>
      </c>
      <c r="H6" s="15">
        <v>4</v>
      </c>
      <c r="I6" s="15">
        <v>17</v>
      </c>
      <c r="J6" s="15">
        <v>9</v>
      </c>
      <c r="K6" s="15">
        <v>66</v>
      </c>
      <c r="L6" s="15"/>
      <c r="M6" s="15"/>
      <c r="N6" s="15"/>
      <c r="O6" s="15"/>
    </row>
    <row r="7" spans="1:17" ht="15.75" customHeight="1" x14ac:dyDescent="0.2">
      <c r="E7" s="80"/>
      <c r="F7" t="s">
        <v>2165</v>
      </c>
      <c r="G7" s="15">
        <v>2</v>
      </c>
      <c r="H7" s="15">
        <v>6</v>
      </c>
      <c r="I7" s="15">
        <v>11</v>
      </c>
      <c r="J7" s="15">
        <v>14</v>
      </c>
      <c r="K7" s="15">
        <v>65</v>
      </c>
      <c r="L7" s="15"/>
      <c r="M7" s="15"/>
      <c r="N7" s="15"/>
      <c r="O7" s="15"/>
    </row>
    <row r="8" spans="1:17" x14ac:dyDescent="0.2">
      <c r="E8" s="80"/>
      <c r="F8" t="s">
        <v>2166</v>
      </c>
      <c r="G8" s="15">
        <v>1</v>
      </c>
      <c r="H8" s="15">
        <v>4</v>
      </c>
      <c r="I8" s="15">
        <v>9</v>
      </c>
      <c r="J8" s="15">
        <v>11</v>
      </c>
      <c r="K8" s="15">
        <v>74</v>
      </c>
      <c r="L8" s="15"/>
      <c r="M8" s="15"/>
      <c r="N8" s="15"/>
      <c r="O8" s="15"/>
    </row>
    <row r="9" spans="1:17" x14ac:dyDescent="0.2">
      <c r="A9" s="84" t="s">
        <v>1098</v>
      </c>
      <c r="B9" s="80"/>
      <c r="E9" s="80"/>
      <c r="F9" t="s">
        <v>2167</v>
      </c>
      <c r="G9" s="15">
        <v>1</v>
      </c>
      <c r="H9" s="15">
        <v>1</v>
      </c>
      <c r="I9" s="15">
        <v>14</v>
      </c>
      <c r="J9" s="15">
        <v>7</v>
      </c>
      <c r="K9" s="15">
        <v>76</v>
      </c>
      <c r="L9" s="15"/>
      <c r="M9" s="15"/>
      <c r="N9" s="15"/>
      <c r="O9" s="15"/>
    </row>
    <row r="10" spans="1:17" x14ac:dyDescent="0.2">
      <c r="A10" t="s">
        <v>1100</v>
      </c>
      <c r="B10" t="s">
        <v>1300</v>
      </c>
      <c r="E10" s="80"/>
      <c r="F10" t="s">
        <v>2168</v>
      </c>
      <c r="G10" s="15">
        <v>1</v>
      </c>
      <c r="H10">
        <v>2</v>
      </c>
      <c r="I10">
        <v>9</v>
      </c>
      <c r="J10">
        <v>7</v>
      </c>
      <c r="K10">
        <v>82</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tbl-siena-restless-fidgety-income</v>
      </c>
    </row>
    <row r="4" spans="1:17" x14ac:dyDescent="0.2">
      <c r="A4" s="16" t="s">
        <v>7</v>
      </c>
      <c r="B4" t="str">
        <f>IF($B$1="","",_xlfn.XLOOKUP($B$1,Master!$F$2:$F$321,Master!$H$2:$H$321,""))</f>
        <v>fig-siena-restless-fidgety-income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2163</v>
      </c>
      <c r="G5" t="s">
        <v>2240</v>
      </c>
      <c r="H5" t="s">
        <v>2241</v>
      </c>
      <c r="I5" t="s">
        <v>2242</v>
      </c>
      <c r="J5" t="s">
        <v>2243</v>
      </c>
      <c r="K5" t="s">
        <v>2244</v>
      </c>
    </row>
    <row r="6" spans="1:17" ht="15" customHeight="1" x14ac:dyDescent="0.2">
      <c r="A6" t="s">
        <v>1088</v>
      </c>
      <c r="B6" t="b">
        <v>0</v>
      </c>
      <c r="E6" s="80"/>
      <c r="F6" t="s">
        <v>2179</v>
      </c>
      <c r="G6" s="15">
        <v>6</v>
      </c>
      <c r="H6" s="15">
        <v>9</v>
      </c>
      <c r="I6" s="15">
        <v>27</v>
      </c>
      <c r="J6" s="15">
        <v>25</v>
      </c>
      <c r="K6" s="15">
        <v>33</v>
      </c>
      <c r="L6" s="15"/>
      <c r="M6" s="15"/>
      <c r="N6" s="15"/>
      <c r="O6" s="15"/>
    </row>
    <row r="7" spans="1:17" ht="15.75" customHeight="1" x14ac:dyDescent="0.2">
      <c r="E7" s="80"/>
      <c r="F7" t="s">
        <v>2165</v>
      </c>
      <c r="G7" s="15">
        <v>6</v>
      </c>
      <c r="H7" s="15">
        <v>11</v>
      </c>
      <c r="I7" s="15">
        <v>21</v>
      </c>
      <c r="J7" s="15">
        <v>17</v>
      </c>
      <c r="K7" s="15">
        <v>43</v>
      </c>
      <c r="L7" s="15"/>
      <c r="M7" s="15"/>
      <c r="N7" s="15"/>
      <c r="O7" s="15"/>
    </row>
    <row r="8" spans="1:17" x14ac:dyDescent="0.2">
      <c r="E8" s="80"/>
      <c r="F8" t="s">
        <v>2166</v>
      </c>
      <c r="G8" s="15">
        <v>1</v>
      </c>
      <c r="H8" s="15">
        <v>5</v>
      </c>
      <c r="I8" s="15">
        <v>21</v>
      </c>
      <c r="J8" s="15">
        <v>22</v>
      </c>
      <c r="K8" s="15">
        <v>51</v>
      </c>
      <c r="L8" s="15"/>
      <c r="M8" s="15"/>
      <c r="N8" s="15"/>
      <c r="O8" s="15"/>
    </row>
    <row r="9" spans="1:17" x14ac:dyDescent="0.2">
      <c r="A9" s="84" t="s">
        <v>1098</v>
      </c>
      <c r="B9" s="80"/>
      <c r="E9" s="80"/>
      <c r="F9" t="s">
        <v>2167</v>
      </c>
      <c r="G9" s="15">
        <v>3</v>
      </c>
      <c r="H9" s="15">
        <v>6</v>
      </c>
      <c r="I9" s="15">
        <v>21</v>
      </c>
      <c r="J9" s="15">
        <v>16</v>
      </c>
      <c r="K9" s="15">
        <v>54</v>
      </c>
      <c r="L9" s="15"/>
      <c r="M9" s="15"/>
      <c r="N9" s="15"/>
      <c r="O9" s="15"/>
    </row>
    <row r="10" spans="1:17" x14ac:dyDescent="0.2">
      <c r="A10" t="s">
        <v>1100</v>
      </c>
      <c r="B10" t="s">
        <v>1300</v>
      </c>
      <c r="E10" s="80"/>
      <c r="F10" t="s">
        <v>2168</v>
      </c>
      <c r="G10" s="15">
        <v>4</v>
      </c>
      <c r="H10">
        <v>4</v>
      </c>
      <c r="I10">
        <v>22</v>
      </c>
      <c r="J10">
        <v>18</v>
      </c>
      <c r="K10">
        <v>51</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tbl-siena-depressed-income</v>
      </c>
    </row>
    <row r="4" spans="1:17" x14ac:dyDescent="0.2">
      <c r="A4" s="16" t="s">
        <v>7</v>
      </c>
      <c r="B4" t="str">
        <f>IF($B$1="","",_xlfn.XLOOKUP($B$1,Master!$F$2:$F$321,Master!$H$2:$H$321,""))</f>
        <v>fig-siena-depressed-income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2163</v>
      </c>
      <c r="G5" t="s">
        <v>2240</v>
      </c>
      <c r="H5" t="s">
        <v>2241</v>
      </c>
      <c r="I5" t="s">
        <v>2242</v>
      </c>
      <c r="J5" t="s">
        <v>2243</v>
      </c>
      <c r="K5" t="s">
        <v>2244</v>
      </c>
    </row>
    <row r="6" spans="1:17" ht="15" customHeight="1" x14ac:dyDescent="0.2">
      <c r="A6" t="s">
        <v>1088</v>
      </c>
      <c r="B6" t="b">
        <v>0</v>
      </c>
      <c r="E6" s="80"/>
      <c r="F6" t="s">
        <v>2179</v>
      </c>
      <c r="G6" s="15">
        <v>4</v>
      </c>
      <c r="H6" s="15">
        <v>4</v>
      </c>
      <c r="I6" s="15">
        <v>17</v>
      </c>
      <c r="J6" s="15">
        <v>15</v>
      </c>
      <c r="K6" s="15">
        <v>60</v>
      </c>
      <c r="L6" s="15"/>
      <c r="M6" s="15"/>
      <c r="N6" s="15"/>
      <c r="O6" s="15"/>
    </row>
    <row r="7" spans="1:17" ht="15.75" customHeight="1" x14ac:dyDescent="0.2">
      <c r="E7" s="80"/>
      <c r="F7" t="s">
        <v>2165</v>
      </c>
      <c r="G7" s="15">
        <v>3</v>
      </c>
      <c r="H7" s="15">
        <v>2</v>
      </c>
      <c r="I7" s="15">
        <v>11</v>
      </c>
      <c r="J7" s="15">
        <v>14</v>
      </c>
      <c r="K7" s="15">
        <v>70</v>
      </c>
      <c r="L7" s="15"/>
      <c r="M7" s="15"/>
      <c r="N7" s="15"/>
      <c r="O7" s="15"/>
    </row>
    <row r="8" spans="1:17" x14ac:dyDescent="0.2">
      <c r="E8" s="80"/>
      <c r="F8" t="s">
        <v>2166</v>
      </c>
      <c r="G8" s="15">
        <v>0</v>
      </c>
      <c r="H8" s="15">
        <v>1</v>
      </c>
      <c r="I8" s="15">
        <v>8</v>
      </c>
      <c r="J8" s="15">
        <v>10</v>
      </c>
      <c r="K8" s="15">
        <v>81</v>
      </c>
      <c r="L8" s="15"/>
      <c r="M8" s="15"/>
      <c r="N8" s="15"/>
      <c r="O8" s="15"/>
    </row>
    <row r="9" spans="1:17" x14ac:dyDescent="0.2">
      <c r="A9" s="84" t="s">
        <v>1098</v>
      </c>
      <c r="B9" s="80"/>
      <c r="E9" s="80"/>
      <c r="F9" t="s">
        <v>2167</v>
      </c>
      <c r="G9" s="15">
        <v>0</v>
      </c>
      <c r="H9" s="15">
        <v>3</v>
      </c>
      <c r="I9" s="15">
        <v>8</v>
      </c>
      <c r="J9" s="15">
        <v>9</v>
      </c>
      <c r="K9" s="15">
        <v>80</v>
      </c>
      <c r="L9" s="15"/>
      <c r="M9" s="15"/>
      <c r="N9" s="15"/>
      <c r="O9" s="15"/>
    </row>
    <row r="10" spans="1:17" x14ac:dyDescent="0.2">
      <c r="A10" t="s">
        <v>1100</v>
      </c>
      <c r="B10" t="s">
        <v>1300</v>
      </c>
      <c r="E10" s="80"/>
      <c r="F10" t="s">
        <v>2168</v>
      </c>
      <c r="G10" s="15">
        <v>0</v>
      </c>
      <c r="H10">
        <v>1</v>
      </c>
      <c r="I10">
        <v>7</v>
      </c>
      <c r="J10">
        <v>3</v>
      </c>
      <c r="K10">
        <v>89</v>
      </c>
    </row>
    <row r="11" spans="1:17" x14ac:dyDescent="0.2">
      <c r="A11" t="s">
        <v>1102</v>
      </c>
      <c r="B11" t="s">
        <v>2246</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tbl-siena-everything-effort-income</v>
      </c>
    </row>
    <row r="4" spans="1:17" x14ac:dyDescent="0.2">
      <c r="A4" s="16" t="s">
        <v>7</v>
      </c>
      <c r="B4" t="str">
        <f>IF($B$1="","",_xlfn.XLOOKUP($B$1,Master!$F$2:$F$321,Master!$H$2:$H$321,""))</f>
        <v>fig-siena-everything-effort-income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2163</v>
      </c>
      <c r="G5" t="s">
        <v>2240</v>
      </c>
      <c r="H5" t="s">
        <v>2241</v>
      </c>
      <c r="I5" t="s">
        <v>2242</v>
      </c>
      <c r="J5" t="s">
        <v>2243</v>
      </c>
      <c r="K5" t="s">
        <v>2244</v>
      </c>
    </row>
    <row r="6" spans="1:17" ht="15" customHeight="1" x14ac:dyDescent="0.2">
      <c r="A6" t="s">
        <v>1088</v>
      </c>
      <c r="B6" t="b">
        <v>0</v>
      </c>
      <c r="E6" s="80"/>
      <c r="F6" t="s">
        <v>2179</v>
      </c>
      <c r="G6" s="15">
        <v>8</v>
      </c>
      <c r="H6" s="15">
        <v>9</v>
      </c>
      <c r="I6" s="15">
        <v>27</v>
      </c>
      <c r="J6" s="15">
        <v>14</v>
      </c>
      <c r="K6" s="15">
        <v>39</v>
      </c>
      <c r="L6" s="15"/>
      <c r="M6" s="15"/>
      <c r="N6" s="15"/>
      <c r="O6" s="15"/>
    </row>
    <row r="7" spans="1:17" ht="15.75" customHeight="1" x14ac:dyDescent="0.2">
      <c r="E7" s="80"/>
      <c r="F7" t="s">
        <v>2165</v>
      </c>
      <c r="G7" s="15">
        <v>6</v>
      </c>
      <c r="H7" s="15">
        <v>12</v>
      </c>
      <c r="I7" s="15">
        <v>22</v>
      </c>
      <c r="J7" s="15">
        <v>16</v>
      </c>
      <c r="K7" s="15">
        <v>43</v>
      </c>
      <c r="L7" s="15"/>
      <c r="M7" s="15"/>
      <c r="N7" s="15"/>
      <c r="O7" s="15"/>
    </row>
    <row r="8" spans="1:17" x14ac:dyDescent="0.2">
      <c r="E8" s="80"/>
      <c r="F8" t="s">
        <v>2166</v>
      </c>
      <c r="G8" s="15">
        <v>9</v>
      </c>
      <c r="H8" s="15">
        <v>6</v>
      </c>
      <c r="I8" s="15">
        <v>15</v>
      </c>
      <c r="J8" s="15">
        <v>16</v>
      </c>
      <c r="K8" s="15">
        <v>49</v>
      </c>
      <c r="L8" s="15"/>
      <c r="M8" s="15"/>
      <c r="N8" s="15"/>
      <c r="O8" s="15"/>
    </row>
    <row r="9" spans="1:17" x14ac:dyDescent="0.2">
      <c r="A9" s="84" t="s">
        <v>1098</v>
      </c>
      <c r="B9" s="80"/>
      <c r="E9" s="80"/>
      <c r="F9" t="s">
        <v>2167</v>
      </c>
      <c r="G9" s="15">
        <v>1</v>
      </c>
      <c r="H9" s="15">
        <v>6</v>
      </c>
      <c r="I9" s="15">
        <v>19</v>
      </c>
      <c r="J9" s="15">
        <v>21</v>
      </c>
      <c r="K9" s="15">
        <v>44</v>
      </c>
      <c r="L9" s="15"/>
      <c r="M9" s="15"/>
      <c r="N9" s="15"/>
      <c r="O9" s="15"/>
    </row>
    <row r="10" spans="1:17" x14ac:dyDescent="0.2">
      <c r="A10" t="s">
        <v>1100</v>
      </c>
      <c r="B10" t="s">
        <v>1300</v>
      </c>
      <c r="E10" s="80"/>
      <c r="F10" t="s">
        <v>2168</v>
      </c>
      <c r="G10" s="15">
        <v>6</v>
      </c>
      <c r="H10">
        <v>11</v>
      </c>
      <c r="I10">
        <v>16</v>
      </c>
      <c r="J10">
        <v>24</v>
      </c>
      <c r="K10">
        <v>57</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v>
      </c>
    </row>
    <row r="4" spans="1:17" x14ac:dyDescent="0.2">
      <c r="A4" s="16" t="s">
        <v>7</v>
      </c>
      <c r="B4" t="str">
        <f>IF($B$1="","",_xlfn.XLOOKUP($B$1,Master!$F$2:$F$321,Master!$H$2:$H$321,""))</f>
        <v>fig-siena-worthless</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2240</v>
      </c>
      <c r="H5" t="s">
        <v>2241</v>
      </c>
      <c r="I5" t="s">
        <v>2242</v>
      </c>
      <c r="J5" t="s">
        <v>2243</v>
      </c>
      <c r="K5" t="s">
        <v>2244</v>
      </c>
    </row>
    <row r="6" spans="1:17" ht="15" customHeight="1" x14ac:dyDescent="0.2">
      <c r="A6" t="s">
        <v>1088</v>
      </c>
      <c r="B6" t="b">
        <v>0</v>
      </c>
      <c r="E6" s="80"/>
      <c r="F6">
        <v>2024</v>
      </c>
      <c r="G6" s="15">
        <v>1</v>
      </c>
      <c r="H6" s="15">
        <v>3</v>
      </c>
      <c r="I6" s="15">
        <v>7</v>
      </c>
      <c r="J6" s="15">
        <v>8</v>
      </c>
      <c r="K6" s="15">
        <v>80</v>
      </c>
      <c r="M6" s="15"/>
      <c r="N6" s="15"/>
      <c r="O6" s="15"/>
    </row>
    <row r="7" spans="1:17" ht="15.75" customHeight="1" x14ac:dyDescent="0.2">
      <c r="E7" s="80"/>
      <c r="F7">
        <v>2023</v>
      </c>
      <c r="G7" s="15">
        <v>3</v>
      </c>
      <c r="H7" s="15">
        <v>2</v>
      </c>
      <c r="I7" s="15">
        <v>8</v>
      </c>
      <c r="J7" s="15">
        <v>10</v>
      </c>
      <c r="K7" s="15">
        <v>77</v>
      </c>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tbl-siena-worthless-income</v>
      </c>
    </row>
    <row r="4" spans="1:17" x14ac:dyDescent="0.2">
      <c r="A4" s="16" t="s">
        <v>7</v>
      </c>
      <c r="B4" t="str">
        <f>IF($B$1="","",_xlfn.XLOOKUP($B$1,Master!$F$2:$F$321,Master!$H$2:$H$321,""))</f>
        <v>fig-siena-worthless-income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2163</v>
      </c>
      <c r="G5" t="s">
        <v>2240</v>
      </c>
      <c r="H5" t="s">
        <v>2241</v>
      </c>
      <c r="I5" t="s">
        <v>2242</v>
      </c>
      <c r="J5" t="s">
        <v>2243</v>
      </c>
      <c r="K5" t="s">
        <v>2244</v>
      </c>
    </row>
    <row r="6" spans="1:17" ht="15" customHeight="1" x14ac:dyDescent="0.2">
      <c r="A6" t="s">
        <v>1088</v>
      </c>
      <c r="B6" t="b">
        <v>0</v>
      </c>
      <c r="E6" s="80"/>
      <c r="F6" t="s">
        <v>2179</v>
      </c>
      <c r="G6" s="15">
        <v>2</v>
      </c>
      <c r="H6" s="15">
        <v>8</v>
      </c>
      <c r="I6" s="15">
        <v>12</v>
      </c>
      <c r="J6" s="15">
        <v>8</v>
      </c>
      <c r="K6" s="15">
        <v>70</v>
      </c>
      <c r="L6" s="15"/>
      <c r="M6" s="15"/>
      <c r="N6" s="15"/>
      <c r="O6" s="15"/>
    </row>
    <row r="7" spans="1:17" ht="15.75" customHeight="1" x14ac:dyDescent="0.2">
      <c r="E7" s="80"/>
      <c r="F7" t="s">
        <v>2165</v>
      </c>
      <c r="G7" s="15">
        <v>3</v>
      </c>
      <c r="H7" s="15">
        <v>2</v>
      </c>
      <c r="I7" s="15">
        <v>2</v>
      </c>
      <c r="J7" s="15">
        <v>12</v>
      </c>
      <c r="K7" s="15">
        <v>71</v>
      </c>
      <c r="L7" s="15"/>
      <c r="M7" s="15"/>
      <c r="N7" s="15"/>
      <c r="O7" s="15"/>
    </row>
    <row r="8" spans="1:17" x14ac:dyDescent="0.2">
      <c r="E8" s="80"/>
      <c r="F8" t="s">
        <v>2166</v>
      </c>
      <c r="G8" s="15">
        <v>1</v>
      </c>
      <c r="H8" s="15">
        <v>4</v>
      </c>
      <c r="I8" s="15">
        <v>4</v>
      </c>
      <c r="J8" s="15">
        <v>7</v>
      </c>
      <c r="K8" s="15">
        <v>84</v>
      </c>
      <c r="L8" s="15"/>
      <c r="M8" s="15"/>
      <c r="N8" s="15"/>
      <c r="O8" s="15"/>
    </row>
    <row r="9" spans="1:17" x14ac:dyDescent="0.2">
      <c r="A9" s="84" t="s">
        <v>1098</v>
      </c>
      <c r="B9" s="80"/>
      <c r="E9" s="80"/>
      <c r="F9" t="s">
        <v>2167</v>
      </c>
      <c r="G9" s="15">
        <v>0</v>
      </c>
      <c r="H9" s="15">
        <v>4</v>
      </c>
      <c r="I9" s="15">
        <v>6</v>
      </c>
      <c r="J9" s="15">
        <v>6</v>
      </c>
      <c r="K9" s="15">
        <v>77</v>
      </c>
      <c r="L9" s="15"/>
      <c r="M9" s="15"/>
      <c r="N9" s="15"/>
      <c r="O9" s="15"/>
    </row>
    <row r="10" spans="1:17" x14ac:dyDescent="0.2">
      <c r="A10" t="s">
        <v>1100</v>
      </c>
      <c r="B10" t="s">
        <v>1300</v>
      </c>
      <c r="E10" s="80"/>
      <c r="F10" t="s">
        <v>2168</v>
      </c>
      <c r="G10" s="15">
        <v>0</v>
      </c>
      <c r="H10">
        <v>1</v>
      </c>
      <c r="I10">
        <v>5</v>
      </c>
      <c r="J10">
        <v>4</v>
      </c>
      <c r="K10">
        <v>89</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v>
      </c>
    </row>
    <row r="4" spans="1:17" x14ac:dyDescent="0.2">
      <c r="A4" s="16" t="s">
        <v>7</v>
      </c>
      <c r="B4" t="str">
        <f>IF($B$1="","",_xlfn.XLOOKUP($B$1,Master!$F$2:$F$321,Master!$H$2:$H$321,""))</f>
        <v>fig-siena-kessler</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2247</v>
      </c>
      <c r="H5" t="s">
        <v>2248</v>
      </c>
      <c r="I5" t="s">
        <v>2249</v>
      </c>
    </row>
    <row r="6" spans="1:17" ht="15" customHeight="1" x14ac:dyDescent="0.2">
      <c r="A6" t="s">
        <v>1088</v>
      </c>
      <c r="B6" t="b">
        <v>0</v>
      </c>
      <c r="E6" s="80"/>
      <c r="F6">
        <v>2024</v>
      </c>
      <c r="G6" s="15">
        <v>64</v>
      </c>
      <c r="H6" s="15">
        <v>28</v>
      </c>
      <c r="I6" s="15">
        <v>8</v>
      </c>
      <c r="J6" s="63"/>
      <c r="K6" s="63"/>
      <c r="L6" s="15"/>
      <c r="M6" s="15"/>
      <c r="N6" s="15"/>
      <c r="O6" s="15"/>
    </row>
    <row r="7" spans="1:17" ht="15.75" customHeight="1" x14ac:dyDescent="0.2">
      <c r="E7" s="80"/>
      <c r="F7">
        <v>2023</v>
      </c>
      <c r="G7" s="15">
        <v>61</v>
      </c>
      <c r="H7" s="15">
        <v>30</v>
      </c>
      <c r="I7" s="15">
        <v>9</v>
      </c>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tbl-siena-kessler-income</v>
      </c>
    </row>
    <row r="4" spans="1:17" x14ac:dyDescent="0.2">
      <c r="A4" s="16" t="s">
        <v>7</v>
      </c>
      <c r="B4" t="str">
        <f>IF($B$1="","",_xlfn.XLOOKUP($B$1,Master!$F$2:$F$321,Master!$H$2:$H$321,""))</f>
        <v>fig-siena-kessler-income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2163</v>
      </c>
      <c r="G5" t="s">
        <v>2247</v>
      </c>
      <c r="H5" t="s">
        <v>2248</v>
      </c>
      <c r="I5" t="s">
        <v>2249</v>
      </c>
    </row>
    <row r="6" spans="1:17" ht="15" customHeight="1" x14ac:dyDescent="0.2">
      <c r="A6" t="s">
        <v>1088</v>
      </c>
      <c r="B6" t="b">
        <v>0</v>
      </c>
      <c r="E6" s="80"/>
      <c r="F6" t="s">
        <v>2179</v>
      </c>
      <c r="G6" s="15">
        <v>53</v>
      </c>
      <c r="H6" s="15">
        <v>33</v>
      </c>
      <c r="I6" s="15">
        <v>14</v>
      </c>
      <c r="J6" s="63"/>
      <c r="K6" s="63"/>
      <c r="L6" s="15"/>
      <c r="M6" s="15"/>
      <c r="N6" s="15"/>
      <c r="O6" s="15"/>
    </row>
    <row r="7" spans="1:17" ht="15.75" customHeight="1" x14ac:dyDescent="0.2">
      <c r="E7" s="80"/>
      <c r="F7" t="s">
        <v>2165</v>
      </c>
      <c r="G7" s="15">
        <v>59</v>
      </c>
      <c r="H7" s="15">
        <v>26</v>
      </c>
      <c r="I7" s="15">
        <v>15</v>
      </c>
      <c r="J7" s="63"/>
      <c r="K7" s="63"/>
      <c r="L7" s="15"/>
      <c r="M7" s="15"/>
      <c r="N7" s="15"/>
      <c r="O7" s="15"/>
    </row>
    <row r="8" spans="1:17" x14ac:dyDescent="0.2">
      <c r="E8" s="80"/>
      <c r="F8" t="s">
        <v>2166</v>
      </c>
      <c r="G8" s="15">
        <v>67</v>
      </c>
      <c r="H8" s="15">
        <v>28</v>
      </c>
      <c r="I8" s="15">
        <v>5</v>
      </c>
      <c r="J8" s="63"/>
      <c r="K8" s="63"/>
      <c r="L8" s="15"/>
      <c r="M8" s="15"/>
      <c r="N8" s="15"/>
      <c r="O8" s="15"/>
    </row>
    <row r="9" spans="1:17" x14ac:dyDescent="0.2">
      <c r="A9" s="84" t="s">
        <v>1098</v>
      </c>
      <c r="B9" s="80"/>
      <c r="E9" s="80"/>
      <c r="F9" t="s">
        <v>2167</v>
      </c>
      <c r="G9" s="15">
        <v>65</v>
      </c>
      <c r="H9" s="15">
        <v>29</v>
      </c>
      <c r="I9" s="15">
        <v>7</v>
      </c>
      <c r="J9" s="63"/>
      <c r="K9" s="63"/>
      <c r="L9" s="15"/>
      <c r="M9" s="15"/>
      <c r="N9" s="15"/>
      <c r="O9" s="15"/>
    </row>
    <row r="10" spans="1:17" x14ac:dyDescent="0.2">
      <c r="A10" t="s">
        <v>1100</v>
      </c>
      <c r="B10" t="s">
        <v>1300</v>
      </c>
      <c r="E10" s="80"/>
      <c r="F10" t="s">
        <v>2168</v>
      </c>
      <c r="G10" s="15">
        <v>70</v>
      </c>
      <c r="H10">
        <v>26</v>
      </c>
      <c r="I10">
        <v>4</v>
      </c>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tbl-siena-had-a-child</v>
      </c>
    </row>
    <row r="4" spans="1:17" x14ac:dyDescent="0.2">
      <c r="A4" s="16" t="s">
        <v>7</v>
      </c>
      <c r="B4" t="str">
        <f>IF($B$1="","",_xlfn.XLOOKUP($B$1,Master!$F$2:$F$321,Master!$H$2:$H$321,""))</f>
        <v>fig-siena-had-a-child</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2250</v>
      </c>
    </row>
    <row r="6" spans="1:17" ht="15" customHeight="1" x14ac:dyDescent="0.2">
      <c r="A6" t="s">
        <v>1088</v>
      </c>
      <c r="B6" t="b">
        <v>0</v>
      </c>
      <c r="E6" s="80"/>
      <c r="F6">
        <v>2024</v>
      </c>
      <c r="G6" s="15">
        <v>26</v>
      </c>
      <c r="H6" s="15">
        <v>73</v>
      </c>
      <c r="I6" s="15">
        <v>1</v>
      </c>
      <c r="J6" s="63"/>
      <c r="K6" s="63"/>
      <c r="L6" s="15"/>
      <c r="M6" s="15"/>
      <c r="N6" s="15"/>
      <c r="O6" s="15"/>
    </row>
    <row r="7" spans="1:17" ht="15.75" customHeight="1" x14ac:dyDescent="0.2">
      <c r="E7" s="80"/>
      <c r="F7">
        <v>2024</v>
      </c>
      <c r="G7" s="15">
        <v>23</v>
      </c>
      <c r="H7" s="15">
        <v>77</v>
      </c>
      <c r="I7" s="15"/>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tbl-siena-bf-any-child</v>
      </c>
    </row>
    <row r="4" spans="1:17" x14ac:dyDescent="0.2">
      <c r="A4" s="16" t="s">
        <v>7</v>
      </c>
      <c r="B4" t="str">
        <f>IF($B$1="","",_xlfn.XLOOKUP($B$1,Master!$F$2:$F$321,Master!$H$2:$H$321,""))</f>
        <v>fig-siena-bf-any-child</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t="s">
        <v>2251</v>
      </c>
      <c r="H5" t="s">
        <v>2252</v>
      </c>
      <c r="I5" t="s">
        <v>2253</v>
      </c>
      <c r="J5" t="s">
        <v>2250</v>
      </c>
    </row>
    <row r="6" spans="1:17" ht="15" customHeight="1" x14ac:dyDescent="0.2">
      <c r="A6" t="s">
        <v>1088</v>
      </c>
      <c r="B6" t="b">
        <v>0</v>
      </c>
      <c r="E6" s="80"/>
      <c r="F6">
        <v>2024</v>
      </c>
      <c r="G6" s="15">
        <v>76</v>
      </c>
      <c r="H6" s="15">
        <v>14</v>
      </c>
      <c r="I6" s="15">
        <v>10</v>
      </c>
      <c r="J6" s="15">
        <v>1</v>
      </c>
      <c r="K6" s="63"/>
      <c r="L6" s="15"/>
      <c r="M6" s="15"/>
      <c r="N6" s="15"/>
      <c r="O6" s="15"/>
    </row>
    <row r="7" spans="1:17" ht="15.75" customHeight="1" x14ac:dyDescent="0.2">
      <c r="E7" s="80"/>
      <c r="F7">
        <v>2023</v>
      </c>
      <c r="G7" s="15">
        <v>76</v>
      </c>
      <c r="H7" s="15">
        <v>8</v>
      </c>
      <c r="I7" s="15">
        <v>16</v>
      </c>
      <c r="J7" s="15"/>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tbl-siena-bf-duration</v>
      </c>
    </row>
    <row r="4" spans="1:17" x14ac:dyDescent="0.2">
      <c r="A4" s="16" t="s">
        <v>7</v>
      </c>
      <c r="B4" t="str">
        <f>IF($B$1="","",_xlfn.XLOOKUP($B$1,Master!$F$2:$F$321,Master!$H$2:$H$321,""))</f>
        <v>fig-siena-bf-duration</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2254</v>
      </c>
      <c r="H5" t="s">
        <v>2255</v>
      </c>
      <c r="I5" t="s">
        <v>2256</v>
      </c>
      <c r="J5" t="s">
        <v>2257</v>
      </c>
      <c r="K5" t="s">
        <v>2258</v>
      </c>
      <c r="L5" t="s">
        <v>2178</v>
      </c>
    </row>
    <row r="6" spans="1:17" ht="15" customHeight="1" x14ac:dyDescent="0.2">
      <c r="A6" t="s">
        <v>1088</v>
      </c>
      <c r="B6" t="b">
        <v>0</v>
      </c>
      <c r="E6" s="80"/>
      <c r="F6">
        <v>2024</v>
      </c>
      <c r="G6" s="15">
        <v>3</v>
      </c>
      <c r="H6" s="15">
        <v>11</v>
      </c>
      <c r="I6" s="15">
        <v>13</v>
      </c>
      <c r="J6" s="15">
        <v>29</v>
      </c>
      <c r="K6" s="15">
        <v>42</v>
      </c>
      <c r="L6" s="15">
        <v>2</v>
      </c>
      <c r="M6" s="15"/>
      <c r="N6" s="15"/>
      <c r="O6" s="15"/>
    </row>
    <row r="7" spans="1:17" ht="15.75" customHeight="1" x14ac:dyDescent="0.2">
      <c r="E7" s="80"/>
      <c r="F7">
        <v>2023</v>
      </c>
      <c r="G7" s="15">
        <v>5</v>
      </c>
      <c r="H7" s="15">
        <v>12</v>
      </c>
      <c r="I7" s="15">
        <v>14</v>
      </c>
      <c r="J7" s="15">
        <v>20</v>
      </c>
      <c r="K7" s="15">
        <v>48</v>
      </c>
      <c r="L7" s="15">
        <v>1</v>
      </c>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tbl-siena-help-basic-needs</v>
      </c>
    </row>
    <row r="4" spans="1:17" x14ac:dyDescent="0.2">
      <c r="A4" s="16" t="s">
        <v>7</v>
      </c>
      <c r="B4" t="str">
        <f>IF($B$1="","",_xlfn.XLOOKUP($B$1,Master!$F$2:$F$321,Master!$H$2:$H$321,""))</f>
        <v>fig-siena-help-basic-needs</v>
      </c>
      <c r="E4" s="8"/>
      <c r="F4" s="10" t="s">
        <v>1009</v>
      </c>
      <c r="G4" s="10" t="s">
        <v>979</v>
      </c>
      <c r="H4" s="10"/>
      <c r="I4" s="10"/>
      <c r="J4" s="10"/>
      <c r="K4" s="10"/>
      <c r="L4" s="10"/>
      <c r="M4" s="10"/>
      <c r="N4" s="10"/>
      <c r="O4" s="10"/>
      <c r="P4" s="10"/>
      <c r="Q4" s="10"/>
    </row>
    <row r="5" spans="1:17" x14ac:dyDescent="0.2">
      <c r="A5" s="84" t="s">
        <v>1081</v>
      </c>
      <c r="B5" s="80"/>
      <c r="E5" s="83" t="s">
        <v>1082</v>
      </c>
      <c r="F5" t="s">
        <v>1121</v>
      </c>
      <c r="G5" t="s">
        <v>2150</v>
      </c>
    </row>
    <row r="6" spans="1:17" ht="15" customHeight="1" x14ac:dyDescent="0.2">
      <c r="A6" t="s">
        <v>1088</v>
      </c>
      <c r="B6" t="b">
        <v>0</v>
      </c>
      <c r="E6" s="80"/>
      <c r="F6" t="s">
        <v>2259</v>
      </c>
      <c r="G6" s="15">
        <v>10</v>
      </c>
      <c r="H6" s="63"/>
      <c r="I6" s="63"/>
      <c r="J6" s="63"/>
      <c r="K6" s="63"/>
      <c r="L6" s="15"/>
      <c r="M6" s="15"/>
      <c r="N6" s="15"/>
      <c r="O6" s="15"/>
    </row>
    <row r="7" spans="1:17" ht="15.75" customHeight="1" x14ac:dyDescent="0.2">
      <c r="E7" s="80"/>
      <c r="F7" t="s">
        <v>2260</v>
      </c>
      <c r="G7" s="15">
        <v>3</v>
      </c>
      <c r="H7" s="63"/>
      <c r="I7" s="63"/>
      <c r="J7" s="63"/>
      <c r="K7" s="63"/>
      <c r="L7" s="15"/>
      <c r="M7" s="15"/>
      <c r="N7" s="15"/>
      <c r="O7" s="15"/>
    </row>
    <row r="8" spans="1:17" x14ac:dyDescent="0.2">
      <c r="E8" s="80"/>
      <c r="F8" t="s">
        <v>2261</v>
      </c>
      <c r="G8" s="15">
        <v>26</v>
      </c>
      <c r="H8" s="63"/>
      <c r="I8" s="63"/>
      <c r="J8" s="63"/>
      <c r="K8" s="63"/>
      <c r="L8" s="15"/>
      <c r="M8" s="15"/>
      <c r="N8" s="15"/>
      <c r="O8" s="15"/>
    </row>
    <row r="9" spans="1:17" x14ac:dyDescent="0.2">
      <c r="A9" s="84" t="s">
        <v>1098</v>
      </c>
      <c r="B9" s="80"/>
      <c r="E9" s="80"/>
      <c r="F9" t="s">
        <v>2262</v>
      </c>
      <c r="G9" s="15">
        <v>2</v>
      </c>
      <c r="H9" s="63"/>
      <c r="I9" s="63"/>
      <c r="J9" s="63"/>
      <c r="K9" s="63"/>
      <c r="L9" s="15"/>
      <c r="M9" s="15"/>
      <c r="N9" s="15"/>
      <c r="O9" s="15"/>
    </row>
    <row r="10" spans="1:17" x14ac:dyDescent="0.2">
      <c r="A10" t="s">
        <v>1100</v>
      </c>
      <c r="E10" s="80"/>
      <c r="F10" t="s">
        <v>2263</v>
      </c>
      <c r="G10" s="15">
        <v>10</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2</v>
      </c>
      <c r="H12" s="65"/>
      <c r="I12" s="63"/>
      <c r="J12" s="63"/>
      <c r="K12" s="63"/>
      <c r="L12" s="15"/>
    </row>
    <row r="13" spans="1:17" x14ac:dyDescent="0.2">
      <c r="A13" t="s">
        <v>1108</v>
      </c>
      <c r="E13" s="80"/>
      <c r="F13" t="s">
        <v>2264</v>
      </c>
      <c r="G13">
        <v>28</v>
      </c>
      <c r="H13" s="64"/>
      <c r="I13" s="64"/>
      <c r="J13" s="64"/>
      <c r="K13" s="64"/>
    </row>
    <row r="14" spans="1:17" x14ac:dyDescent="0.2">
      <c r="A14" t="s">
        <v>1112</v>
      </c>
      <c r="E14" s="80"/>
      <c r="F14" t="s">
        <v>1015</v>
      </c>
      <c r="G14">
        <v>1</v>
      </c>
      <c r="H14" s="64"/>
      <c r="I14" s="64"/>
      <c r="J14" s="64"/>
      <c r="K14" s="64"/>
    </row>
    <row r="15" spans="1:17" x14ac:dyDescent="0.2">
      <c r="A15" t="s">
        <v>1114</v>
      </c>
      <c r="E15" s="80"/>
      <c r="F15" t="s">
        <v>2265</v>
      </c>
      <c r="G15">
        <v>19</v>
      </c>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tbl-siena-help-child-behavior-develop</v>
      </c>
    </row>
    <row r="4" spans="1:17" x14ac:dyDescent="0.2">
      <c r="A4" s="16" t="s">
        <v>7</v>
      </c>
      <c r="B4" t="str">
        <f>IF($B$1="","",_xlfn.XLOOKUP($B$1,Master!$F$2:$F$321,Master!$H$2:$H$321,""))</f>
        <v>fig-siena-help-child-behavior-develop</v>
      </c>
      <c r="E4" s="8"/>
      <c r="F4" s="10" t="s">
        <v>1009</v>
      </c>
      <c r="G4" s="10" t="s">
        <v>979</v>
      </c>
      <c r="H4" s="10"/>
      <c r="I4" s="10"/>
      <c r="J4" s="10"/>
      <c r="K4" s="10"/>
      <c r="L4" s="10"/>
      <c r="M4" s="10"/>
      <c r="N4" s="10"/>
      <c r="O4" s="10"/>
      <c r="P4" s="10"/>
      <c r="Q4" s="10"/>
    </row>
    <row r="5" spans="1:17" x14ac:dyDescent="0.2">
      <c r="A5" s="84" t="s">
        <v>1081</v>
      </c>
      <c r="B5" s="80"/>
      <c r="E5" s="83" t="s">
        <v>1082</v>
      </c>
      <c r="F5" t="s">
        <v>1121</v>
      </c>
      <c r="G5" s="15" t="s">
        <v>1089</v>
      </c>
    </row>
    <row r="6" spans="1:17" ht="15" customHeight="1" x14ac:dyDescent="0.2">
      <c r="A6" t="s">
        <v>1088</v>
      </c>
      <c r="B6" t="b">
        <v>0</v>
      </c>
      <c r="E6" s="80"/>
      <c r="F6" t="s">
        <v>2259</v>
      </c>
      <c r="G6" s="15">
        <v>68</v>
      </c>
      <c r="H6" s="63"/>
      <c r="I6" s="63"/>
      <c r="J6" s="63"/>
      <c r="K6" s="63"/>
      <c r="L6" s="15"/>
      <c r="M6" s="15"/>
      <c r="N6" s="15"/>
      <c r="O6" s="15"/>
    </row>
    <row r="7" spans="1:17" ht="15.75" customHeight="1" x14ac:dyDescent="0.2">
      <c r="E7" s="80"/>
      <c r="F7" t="s">
        <v>2260</v>
      </c>
      <c r="G7" s="15">
        <v>2</v>
      </c>
      <c r="H7" s="63"/>
      <c r="I7" s="63"/>
      <c r="J7" s="63"/>
      <c r="K7" s="63"/>
      <c r="L7" s="15"/>
      <c r="M7" s="15"/>
      <c r="N7" s="15"/>
      <c r="O7" s="15"/>
    </row>
    <row r="8" spans="1:17" x14ac:dyDescent="0.2">
      <c r="E8" s="80"/>
      <c r="F8" t="s">
        <v>2261</v>
      </c>
      <c r="G8" s="15">
        <v>2</v>
      </c>
      <c r="H8" s="63"/>
      <c r="I8" s="63"/>
      <c r="J8" s="63"/>
      <c r="K8" s="63"/>
      <c r="L8" s="15"/>
      <c r="M8" s="15"/>
      <c r="N8" s="15"/>
      <c r="O8" s="15"/>
    </row>
    <row r="9" spans="1:17" x14ac:dyDescent="0.2">
      <c r="A9" s="84" t="s">
        <v>1098</v>
      </c>
      <c r="B9" s="80"/>
      <c r="E9" s="80"/>
      <c r="F9" t="s">
        <v>2262</v>
      </c>
      <c r="G9" s="15">
        <v>12</v>
      </c>
      <c r="H9" s="63"/>
      <c r="I9" s="63"/>
      <c r="J9" s="63"/>
      <c r="K9" s="63"/>
      <c r="L9" s="15"/>
      <c r="M9" s="15"/>
      <c r="N9" s="15"/>
      <c r="O9" s="15"/>
    </row>
    <row r="10" spans="1:17" x14ac:dyDescent="0.2">
      <c r="A10" t="s">
        <v>1100</v>
      </c>
      <c r="E10" s="80"/>
      <c r="F10" t="s">
        <v>2263</v>
      </c>
      <c r="G10" s="15">
        <v>3</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0</v>
      </c>
      <c r="H12" s="65"/>
      <c r="I12" s="63"/>
      <c r="J12" s="63"/>
      <c r="K12" s="63"/>
      <c r="L12" s="15"/>
    </row>
    <row r="13" spans="1:17" x14ac:dyDescent="0.2">
      <c r="A13" t="s">
        <v>1108</v>
      </c>
      <c r="E13" s="80"/>
      <c r="F13" t="s">
        <v>1015</v>
      </c>
      <c r="G13" s="15">
        <v>5</v>
      </c>
      <c r="H13" s="64"/>
      <c r="I13" s="64"/>
      <c r="J13" s="64"/>
      <c r="K13" s="64"/>
    </row>
    <row r="14" spans="1:17" x14ac:dyDescent="0.2">
      <c r="A14" t="s">
        <v>1112</v>
      </c>
      <c r="E14" s="80"/>
      <c r="F14" t="s">
        <v>2265</v>
      </c>
      <c r="G14" s="15">
        <v>7</v>
      </c>
      <c r="H14" s="64"/>
      <c r="I14" s="64"/>
      <c r="J14" s="64"/>
      <c r="K14" s="64"/>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tbl-ebi-long-term-objective</v>
      </c>
    </row>
    <row r="4" spans="1:17" x14ac:dyDescent="0.2">
      <c r="A4" s="16" t="s">
        <v>7</v>
      </c>
      <c r="B4" t="str">
        <f>IF($B$1="","",_xlfn.XLOOKUP($B$1,Master!$F$2:$F$321,Master!$H$2:$H$321,""))</f>
        <v>fig-ebi-long-term-objective</v>
      </c>
      <c r="E4" s="8"/>
      <c r="F4" s="10" t="s">
        <v>1009</v>
      </c>
      <c r="G4" s="10" t="s">
        <v>1009</v>
      </c>
      <c r="H4" s="10" t="s">
        <v>1009</v>
      </c>
      <c r="I4" s="10"/>
      <c r="J4" s="10"/>
      <c r="K4" s="10"/>
      <c r="L4" s="10"/>
      <c r="M4" s="10"/>
      <c r="N4" s="10"/>
      <c r="O4" s="10"/>
      <c r="P4" s="10"/>
      <c r="Q4" s="10"/>
    </row>
    <row r="5" spans="1:17" x14ac:dyDescent="0.2">
      <c r="A5" s="84" t="s">
        <v>1081</v>
      </c>
      <c r="B5" s="80"/>
      <c r="E5" s="83" t="s">
        <v>1082</v>
      </c>
      <c r="F5" s="16" t="s">
        <v>2266</v>
      </c>
      <c r="G5" s="16" t="s">
        <v>2267</v>
      </c>
      <c r="H5" s="16" t="s">
        <v>2268</v>
      </c>
    </row>
    <row r="6" spans="1:17" ht="15" customHeight="1" x14ac:dyDescent="0.2">
      <c r="A6" t="s">
        <v>1088</v>
      </c>
      <c r="B6" t="b">
        <v>1</v>
      </c>
      <c r="E6" s="80"/>
      <c r="F6" s="90" t="s">
        <v>2269</v>
      </c>
      <c r="G6" s="97" t="s">
        <v>2270</v>
      </c>
      <c r="H6" s="97" t="s">
        <v>2271</v>
      </c>
      <c r="I6" s="63"/>
      <c r="J6" s="63"/>
      <c r="K6" s="63"/>
      <c r="L6" s="15"/>
      <c r="M6" s="15"/>
      <c r="N6" s="15"/>
      <c r="O6" s="15"/>
    </row>
    <row r="7" spans="1:17" ht="15.75" customHeight="1" x14ac:dyDescent="0.2">
      <c r="E7" s="80"/>
      <c r="F7" s="80"/>
      <c r="G7" s="80"/>
      <c r="H7" s="80"/>
      <c r="I7" s="63"/>
      <c r="J7" s="63"/>
      <c r="K7" s="63"/>
      <c r="L7" s="15"/>
      <c r="M7" s="15"/>
      <c r="N7" s="15"/>
      <c r="O7" s="15"/>
    </row>
    <row r="8" spans="1:17" x14ac:dyDescent="0.2">
      <c r="E8" s="80"/>
      <c r="F8" s="80"/>
      <c r="G8" s="80"/>
      <c r="H8" s="80"/>
      <c r="I8" s="63"/>
      <c r="J8" s="63"/>
      <c r="K8" s="63"/>
      <c r="L8" s="15"/>
      <c r="M8" s="15"/>
      <c r="N8" s="15"/>
      <c r="O8" s="15"/>
    </row>
    <row r="9" spans="1:17" ht="105" customHeight="1" x14ac:dyDescent="0.2">
      <c r="A9" s="84" t="s">
        <v>1098</v>
      </c>
      <c r="B9" s="80"/>
      <c r="E9" s="80"/>
      <c r="F9" s="90" t="s">
        <v>2272</v>
      </c>
      <c r="G9" s="97" t="s">
        <v>2273</v>
      </c>
      <c r="H9" s="96" t="s">
        <v>2274</v>
      </c>
      <c r="I9" s="63"/>
      <c r="J9" s="63"/>
      <c r="K9" s="63"/>
      <c r="L9" s="15"/>
      <c r="M9" s="15"/>
      <c r="N9" s="15"/>
      <c r="O9" s="15"/>
    </row>
    <row r="10" spans="1:17" x14ac:dyDescent="0.2">
      <c r="A10" t="s">
        <v>1100</v>
      </c>
      <c r="E10" s="80"/>
      <c r="F10" s="80"/>
      <c r="G10" s="80"/>
      <c r="H10" s="80"/>
      <c r="I10" s="64"/>
      <c r="J10" s="64"/>
      <c r="K10" s="64"/>
    </row>
    <row r="11" spans="1:17" x14ac:dyDescent="0.2">
      <c r="A11" t="s">
        <v>1102</v>
      </c>
      <c r="E11" s="80"/>
      <c r="F11" s="80"/>
      <c r="G11" s="80"/>
      <c r="H11" s="80"/>
      <c r="I11" s="63"/>
      <c r="J11" s="65"/>
      <c r="K11" s="65"/>
      <c r="L11" s="17"/>
      <c r="M11" s="17"/>
      <c r="N11" s="17"/>
    </row>
    <row r="12" spans="1:17" ht="60" customHeight="1" x14ac:dyDescent="0.2">
      <c r="A12" t="s">
        <v>1104</v>
      </c>
      <c r="E12" s="80"/>
      <c r="F12" s="66" t="s">
        <v>2275</v>
      </c>
      <c r="G12" s="67" t="s">
        <v>2276</v>
      </c>
      <c r="H12" s="65" t="s">
        <v>2277</v>
      </c>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tbl-short-term-process</v>
      </c>
    </row>
    <row r="4" spans="1:17" x14ac:dyDescent="0.2">
      <c r="A4" s="16" t="s">
        <v>7</v>
      </c>
      <c r="B4" t="str">
        <f>IF($B$1="","",_xlfn.XLOOKUP($B$1,Master!$F$2:$F$321,Master!$H$2:$H$321,""))</f>
        <v>fig-short-term-process</v>
      </c>
      <c r="E4" s="8"/>
      <c r="F4" s="10" t="s">
        <v>1009</v>
      </c>
      <c r="G4" s="10" t="s">
        <v>1009</v>
      </c>
      <c r="H4" s="10" t="s">
        <v>1009</v>
      </c>
      <c r="I4" s="10"/>
      <c r="J4" s="10"/>
      <c r="K4" s="10"/>
      <c r="L4" s="10"/>
      <c r="M4" s="10"/>
      <c r="N4" s="10"/>
      <c r="O4" s="10"/>
      <c r="P4" s="10"/>
      <c r="Q4" s="10"/>
    </row>
    <row r="5" spans="1:17" x14ac:dyDescent="0.2">
      <c r="A5" s="84" t="s">
        <v>1081</v>
      </c>
      <c r="B5" s="80"/>
      <c r="E5" s="83" t="s">
        <v>1082</v>
      </c>
      <c r="F5" s="16" t="s">
        <v>2266</v>
      </c>
      <c r="G5" s="16" t="s">
        <v>2278</v>
      </c>
      <c r="H5" s="16" t="s">
        <v>2279</v>
      </c>
    </row>
    <row r="6" spans="1:17" ht="15" customHeight="1" x14ac:dyDescent="0.2">
      <c r="A6" t="s">
        <v>1088</v>
      </c>
      <c r="B6" t="b">
        <v>1</v>
      </c>
      <c r="E6" s="80"/>
      <c r="F6" s="85" t="s">
        <v>2269</v>
      </c>
      <c r="G6" s="64" t="s">
        <v>2280</v>
      </c>
      <c r="H6" s="68" t="s">
        <v>2281</v>
      </c>
      <c r="I6" s="63"/>
      <c r="J6" s="63"/>
      <c r="K6" s="63"/>
      <c r="L6" s="15"/>
      <c r="M6" s="15"/>
      <c r="N6" s="15"/>
      <c r="O6" s="15"/>
    </row>
    <row r="7" spans="1:17" ht="15.75" customHeight="1" x14ac:dyDescent="0.2">
      <c r="E7" s="80"/>
      <c r="F7" s="80"/>
      <c r="G7" s="64" t="s">
        <v>2282</v>
      </c>
      <c r="H7" s="68" t="s">
        <v>2283</v>
      </c>
      <c r="I7" s="63"/>
      <c r="J7" s="63"/>
      <c r="K7" s="63"/>
      <c r="L7" s="15"/>
      <c r="M7" s="15"/>
      <c r="N7" s="15"/>
      <c r="O7" s="15"/>
    </row>
    <row r="8" spans="1:17" x14ac:dyDescent="0.2">
      <c r="E8" s="80"/>
      <c r="F8" s="80"/>
      <c r="G8" s="64" t="s">
        <v>2284</v>
      </c>
      <c r="H8" s="68" t="s">
        <v>2285</v>
      </c>
      <c r="I8" s="63"/>
      <c r="J8" s="63"/>
      <c r="K8" s="63"/>
      <c r="L8" s="15"/>
      <c r="M8" s="15"/>
      <c r="N8" s="15"/>
      <c r="O8" s="15"/>
    </row>
    <row r="9" spans="1:17" x14ac:dyDescent="0.2">
      <c r="A9" s="84" t="s">
        <v>1098</v>
      </c>
      <c r="B9" s="80"/>
      <c r="E9" s="80"/>
      <c r="F9" s="80"/>
      <c r="G9" s="64" t="s">
        <v>2286</v>
      </c>
      <c r="H9" s="68" t="s">
        <v>2287</v>
      </c>
      <c r="I9" s="63"/>
      <c r="J9" s="63"/>
      <c r="K9" s="63"/>
      <c r="L9" s="15"/>
      <c r="M9" s="15"/>
      <c r="N9" s="15"/>
      <c r="O9" s="15"/>
    </row>
    <row r="10" spans="1:17" x14ac:dyDescent="0.2">
      <c r="A10" t="s">
        <v>1100</v>
      </c>
      <c r="E10" s="80"/>
      <c r="F10" s="80"/>
      <c r="G10" s="64" t="s">
        <v>2288</v>
      </c>
      <c r="H10" s="68" t="s">
        <v>2289</v>
      </c>
      <c r="I10" s="64"/>
      <c r="J10" s="64"/>
      <c r="K10" s="64"/>
    </row>
    <row r="11" spans="1:17" x14ac:dyDescent="0.2">
      <c r="A11" t="s">
        <v>1102</v>
      </c>
      <c r="E11" s="80"/>
      <c r="F11" s="80"/>
      <c r="G11" s="64" t="s">
        <v>2290</v>
      </c>
      <c r="H11" s="68" t="s">
        <v>2291</v>
      </c>
      <c r="I11" s="63"/>
      <c r="J11" s="65"/>
      <c r="K11" s="65"/>
      <c r="L11" s="17"/>
      <c r="M11" s="17"/>
      <c r="N11" s="17"/>
    </row>
    <row r="12" spans="1:17" x14ac:dyDescent="0.2">
      <c r="A12" t="s">
        <v>1104</v>
      </c>
      <c r="E12" s="80"/>
      <c r="F12" s="80"/>
      <c r="G12" s="70" t="s">
        <v>2292</v>
      </c>
      <c r="H12" s="69" t="s">
        <v>2293</v>
      </c>
      <c r="I12" s="63"/>
      <c r="J12" s="63"/>
      <c r="K12" s="63"/>
      <c r="L12" s="15"/>
    </row>
    <row r="13" spans="1:17" x14ac:dyDescent="0.2">
      <c r="A13" t="s">
        <v>1108</v>
      </c>
      <c r="E13" s="80"/>
      <c r="F13" s="80"/>
      <c r="G13" s="64" t="s">
        <v>2294</v>
      </c>
      <c r="H13" s="68" t="s">
        <v>2295</v>
      </c>
      <c r="I13" s="64"/>
      <c r="J13" s="64"/>
      <c r="K13" s="64"/>
    </row>
    <row r="14" spans="1:17" x14ac:dyDescent="0.2">
      <c r="A14" t="s">
        <v>1112</v>
      </c>
      <c r="E14" s="80"/>
      <c r="F14" s="80"/>
      <c r="G14" s="64" t="s">
        <v>2296</v>
      </c>
      <c r="H14" s="68" t="s">
        <v>2297</v>
      </c>
      <c r="I14" s="64"/>
      <c r="J14" s="64"/>
      <c r="K14" s="64"/>
    </row>
    <row r="15" spans="1:17" x14ac:dyDescent="0.2">
      <c r="A15" t="s">
        <v>1114</v>
      </c>
      <c r="E15" s="80"/>
      <c r="F15" s="80"/>
      <c r="G15" t="s">
        <v>2298</v>
      </c>
      <c r="H15" s="60" t="s">
        <v>2299</v>
      </c>
    </row>
    <row r="16" spans="1:17" x14ac:dyDescent="0.2">
      <c r="A16" t="s">
        <v>1116</v>
      </c>
      <c r="E16" s="80"/>
      <c r="F16" s="80"/>
      <c r="G16" t="s">
        <v>2300</v>
      </c>
      <c r="H16" s="60" t="s">
        <v>2301</v>
      </c>
    </row>
    <row r="17" spans="1:11" x14ac:dyDescent="0.2">
      <c r="E17" s="80"/>
      <c r="F17" s="90" t="s">
        <v>2272</v>
      </c>
      <c r="G17" t="s">
        <v>2302</v>
      </c>
      <c r="H17" s="60" t="s">
        <v>2303</v>
      </c>
    </row>
    <row r="18" spans="1:11" x14ac:dyDescent="0.2">
      <c r="A18" s="84" t="s">
        <v>1119</v>
      </c>
      <c r="B18" s="80"/>
      <c r="E18" s="80"/>
      <c r="F18" s="80"/>
      <c r="G18" t="s">
        <v>2304</v>
      </c>
      <c r="H18" s="60" t="s">
        <v>2303</v>
      </c>
    </row>
    <row r="19" spans="1:11" x14ac:dyDescent="0.2">
      <c r="A19" t="s">
        <v>1121</v>
      </c>
      <c r="E19" s="80"/>
      <c r="F19" s="80"/>
      <c r="G19" t="s">
        <v>2305</v>
      </c>
      <c r="H19" s="60" t="s">
        <v>2303</v>
      </c>
    </row>
    <row r="20" spans="1:11" x14ac:dyDescent="0.2">
      <c r="E20" s="80"/>
      <c r="F20" s="80"/>
      <c r="G20" t="s">
        <v>2306</v>
      </c>
      <c r="H20" s="60" t="s">
        <v>2307</v>
      </c>
    </row>
    <row r="21" spans="1:11" x14ac:dyDescent="0.2">
      <c r="A21" s="82" t="s">
        <v>1125</v>
      </c>
      <c r="B21" s="80"/>
      <c r="E21" s="80"/>
      <c r="F21" s="80"/>
      <c r="G21" t="s">
        <v>2308</v>
      </c>
      <c r="H21" s="60" t="s">
        <v>2309</v>
      </c>
    </row>
    <row r="22" spans="1:11" x14ac:dyDescent="0.2">
      <c r="A22" t="s">
        <v>1135</v>
      </c>
      <c r="E22" s="80"/>
      <c r="F22" s="90" t="s">
        <v>2310</v>
      </c>
      <c r="G22" t="s">
        <v>2311</v>
      </c>
      <c r="H22" s="60" t="s">
        <v>2283</v>
      </c>
    </row>
    <row r="23" spans="1:11" x14ac:dyDescent="0.2">
      <c r="E23" s="80"/>
      <c r="F23" s="80"/>
      <c r="G23" t="s">
        <v>2312</v>
      </c>
      <c r="H23" s="60" t="s">
        <v>2313</v>
      </c>
    </row>
    <row r="24" spans="1:11" x14ac:dyDescent="0.2">
      <c r="E24" s="80"/>
      <c r="F24" s="80"/>
      <c r="G24" t="s">
        <v>2314</v>
      </c>
      <c r="H24" s="60" t="s">
        <v>2281</v>
      </c>
    </row>
    <row r="25" spans="1:11" x14ac:dyDescent="0.2">
      <c r="E25" s="80"/>
      <c r="F25" s="80"/>
      <c r="G25" t="s">
        <v>2315</v>
      </c>
      <c r="H25" s="60" t="s">
        <v>2316</v>
      </c>
      <c r="K25" t="s">
        <v>1226</v>
      </c>
    </row>
    <row r="26" spans="1:11" x14ac:dyDescent="0.2">
      <c r="E26" s="80"/>
      <c r="F26" s="80"/>
      <c r="G26" t="s">
        <v>2317</v>
      </c>
      <c r="H26" s="60" t="s">
        <v>2318</v>
      </c>
    </row>
    <row r="27" spans="1:11" x14ac:dyDescent="0.2">
      <c r="A27" s="82"/>
      <c r="B27" s="80"/>
      <c r="E27" s="80"/>
      <c r="F27" s="80"/>
      <c r="G27" t="s">
        <v>2319</v>
      </c>
      <c r="H27" s="60" t="s">
        <v>2320</v>
      </c>
    </row>
    <row r="28" spans="1:11" x14ac:dyDescent="0.2">
      <c r="E28" s="80"/>
      <c r="F28" s="80"/>
      <c r="G28" t="s">
        <v>2321</v>
      </c>
      <c r="H28" s="60" t="s">
        <v>2322</v>
      </c>
    </row>
    <row r="29" spans="1:11" x14ac:dyDescent="0.2">
      <c r="E29" s="80"/>
      <c r="F29" s="80"/>
      <c r="G29" t="s">
        <v>2323</v>
      </c>
      <c r="H29" s="60" t="s">
        <v>2324</v>
      </c>
    </row>
    <row r="30" spans="1:11" x14ac:dyDescent="0.2">
      <c r="E30" s="80"/>
      <c r="F30" s="80"/>
      <c r="G30" t="s">
        <v>2325</v>
      </c>
      <c r="H30" s="60" t="s">
        <v>2322</v>
      </c>
    </row>
    <row r="31" spans="1:11" x14ac:dyDescent="0.2">
      <c r="E31" s="80"/>
      <c r="F31" s="15"/>
      <c r="H31" s="60"/>
    </row>
    <row r="32" spans="1:11" x14ac:dyDescent="0.2">
      <c r="E32" s="80"/>
      <c r="H32" s="60"/>
    </row>
    <row r="33" spans="5:9" x14ac:dyDescent="0.2">
      <c r="E33" s="80"/>
      <c r="F33" s="15"/>
      <c r="H33" s="60"/>
    </row>
    <row r="34" spans="5:9" x14ac:dyDescent="0.2">
      <c r="E34" s="80"/>
      <c r="F34" s="15"/>
      <c r="H34" s="60"/>
      <c r="I34" s="17"/>
    </row>
    <row r="35" spans="5:9" x14ac:dyDescent="0.2">
      <c r="E35" s="80"/>
      <c r="F35" s="15"/>
      <c r="H35" s="60"/>
      <c r="I35" s="17"/>
    </row>
    <row r="36" spans="5:9" x14ac:dyDescent="0.2">
      <c r="E36" s="80"/>
      <c r="F36" s="15"/>
      <c r="H36" s="60"/>
      <c r="I36" s="17"/>
    </row>
    <row r="37" spans="5:9" x14ac:dyDescent="0.2">
      <c r="E37" s="80"/>
      <c r="F37" s="15"/>
      <c r="H37" s="60"/>
      <c r="I37" s="17"/>
    </row>
    <row r="38" spans="5:9" x14ac:dyDescent="0.2">
      <c r="E38" s="80"/>
      <c r="H38" s="60"/>
    </row>
    <row r="39" spans="5:9" x14ac:dyDescent="0.2">
      <c r="E39" s="80"/>
      <c r="H39" s="60"/>
    </row>
    <row r="40" spans="5:9" x14ac:dyDescent="0.2">
      <c r="E40" s="80"/>
      <c r="H40" s="60"/>
    </row>
    <row r="41" spans="5:9" x14ac:dyDescent="0.2">
      <c r="E41" s="80"/>
      <c r="H41" s="60"/>
    </row>
    <row r="42" spans="5:9" x14ac:dyDescent="0.2">
      <c r="E42" s="80"/>
      <c r="H42" s="60"/>
    </row>
    <row r="43" spans="5:9" x14ac:dyDescent="0.2">
      <c r="E43" s="80"/>
      <c r="H43" s="60"/>
    </row>
    <row r="44" spans="5:9" x14ac:dyDescent="0.2">
      <c r="E44" s="80"/>
      <c r="H44" s="60"/>
    </row>
    <row r="45" spans="5:9" x14ac:dyDescent="0.2">
      <c r="E45" s="80"/>
      <c r="H45" s="60"/>
    </row>
    <row r="46" spans="5:9" x14ac:dyDescent="0.2">
      <c r="E46" s="80"/>
      <c r="H46" s="60"/>
    </row>
    <row r="47" spans="5:9" x14ac:dyDescent="0.2">
      <c r="E47" s="80"/>
      <c r="H47" s="60"/>
    </row>
    <row r="48" spans="5:9" x14ac:dyDescent="0.2">
      <c r="E48" s="80"/>
      <c r="H48" s="60"/>
    </row>
    <row r="49" spans="5:8" x14ac:dyDescent="0.2">
      <c r="E49" s="80"/>
      <c r="H49" s="60"/>
    </row>
    <row r="50" spans="5:8" x14ac:dyDescent="0.2">
      <c r="E50" s="80"/>
      <c r="H50" s="60"/>
    </row>
    <row r="51" spans="5:8" x14ac:dyDescent="0.2">
      <c r="E51" s="80"/>
    </row>
    <row r="52" spans="5:8" x14ac:dyDescent="0.2">
      <c r="E52" s="80"/>
    </row>
    <row r="53" spans="5:8" x14ac:dyDescent="0.2">
      <c r="E53" s="80"/>
    </row>
    <row r="54" spans="5:8" x14ac:dyDescent="0.2">
      <c r="E54" s="80"/>
    </row>
    <row r="55" spans="5:8" x14ac:dyDescent="0.2">
      <c r="E55" s="80"/>
    </row>
    <row r="56" spans="5:8" x14ac:dyDescent="0.2">
      <c r="E56" s="80"/>
    </row>
    <row r="57" spans="5:8" x14ac:dyDescent="0.2">
      <c r="E57" s="80"/>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tbl-top-areas-concern</v>
      </c>
    </row>
    <row r="4" spans="1:17" x14ac:dyDescent="0.2">
      <c r="A4" s="16" t="s">
        <v>7</v>
      </c>
      <c r="B4" t="str">
        <f>IF($B$1="","",_xlfn.XLOOKUP($B$1,Master!$F$2:$F$321,Master!$H$2:$H$321,""))</f>
        <v>fig-top-areas-concern</v>
      </c>
      <c r="E4" s="8"/>
      <c r="F4" s="10" t="s">
        <v>1009</v>
      </c>
      <c r="G4" s="10" t="s">
        <v>979</v>
      </c>
      <c r="H4" s="10" t="s">
        <v>979</v>
      </c>
      <c r="I4" s="10" t="s">
        <v>979</v>
      </c>
      <c r="J4" s="10" t="s">
        <v>979</v>
      </c>
      <c r="K4" s="10" t="s">
        <v>979</v>
      </c>
      <c r="L4" s="10" t="s">
        <v>979</v>
      </c>
      <c r="M4" s="10" t="s">
        <v>979</v>
      </c>
      <c r="N4" s="10" t="s">
        <v>979</v>
      </c>
      <c r="O4" s="10"/>
      <c r="P4" s="10"/>
      <c r="Q4" s="10"/>
    </row>
    <row r="5" spans="1:17" x14ac:dyDescent="0.2">
      <c r="A5" s="84" t="s">
        <v>1081</v>
      </c>
      <c r="B5" s="80"/>
      <c r="E5" s="83" t="s">
        <v>1082</v>
      </c>
      <c r="F5" s="16" t="s">
        <v>2326</v>
      </c>
      <c r="G5" s="16" t="s">
        <v>2023</v>
      </c>
      <c r="H5" s="16" t="s">
        <v>2034</v>
      </c>
      <c r="I5" s="16" t="s">
        <v>2327</v>
      </c>
      <c r="J5" s="16" t="s">
        <v>2030</v>
      </c>
      <c r="K5" s="16" t="s">
        <v>2328</v>
      </c>
      <c r="L5" s="16" t="s">
        <v>2329</v>
      </c>
      <c r="M5" s="16" t="s">
        <v>2027</v>
      </c>
      <c r="N5" s="16" t="s">
        <v>2038</v>
      </c>
    </row>
    <row r="6" spans="1:17" ht="15" customHeight="1" x14ac:dyDescent="0.2">
      <c r="A6" t="s">
        <v>1088</v>
      </c>
      <c r="B6" t="b">
        <v>0</v>
      </c>
      <c r="E6" s="80"/>
      <c r="F6" s="16" t="s">
        <v>2330</v>
      </c>
      <c r="G6" s="65" t="s">
        <v>2049</v>
      </c>
      <c r="H6" s="65"/>
      <c r="I6" s="65"/>
      <c r="J6" s="65" t="s">
        <v>2049</v>
      </c>
      <c r="K6" s="65"/>
      <c r="L6" s="17"/>
      <c r="M6" s="17"/>
      <c r="N6" s="17" t="s">
        <v>2049</v>
      </c>
      <c r="O6" s="15"/>
    </row>
    <row r="7" spans="1:17" ht="15.75" customHeight="1" x14ac:dyDescent="0.2">
      <c r="E7" s="80"/>
      <c r="F7" s="16" t="s">
        <v>2331</v>
      </c>
      <c r="G7" s="65" t="s">
        <v>2049</v>
      </c>
      <c r="H7" s="65"/>
      <c r="I7" s="65"/>
      <c r="J7" s="65"/>
      <c r="K7" s="65"/>
      <c r="L7" s="17"/>
      <c r="M7" s="17"/>
      <c r="N7" s="17"/>
      <c r="O7" s="15"/>
    </row>
    <row r="8" spans="1:17" x14ac:dyDescent="0.2">
      <c r="E8" s="80"/>
      <c r="F8" s="16" t="s">
        <v>1315</v>
      </c>
      <c r="G8" s="65"/>
      <c r="H8" s="65"/>
      <c r="I8" s="65" t="s">
        <v>2049</v>
      </c>
      <c r="J8" s="65" t="s">
        <v>2049</v>
      </c>
      <c r="K8" s="65"/>
      <c r="L8" s="17" t="s">
        <v>2049</v>
      </c>
      <c r="M8" s="17"/>
      <c r="N8" s="17" t="s">
        <v>2049</v>
      </c>
      <c r="O8" s="15"/>
    </row>
    <row r="9" spans="1:17" x14ac:dyDescent="0.2">
      <c r="A9" s="84" t="s">
        <v>1098</v>
      </c>
      <c r="B9" s="80"/>
      <c r="E9" s="80"/>
      <c r="F9" s="16" t="s">
        <v>2031</v>
      </c>
      <c r="G9" s="65" t="s">
        <v>2049</v>
      </c>
      <c r="H9" s="65"/>
      <c r="I9" s="65"/>
      <c r="J9" s="65"/>
      <c r="K9" s="65"/>
      <c r="L9" s="17"/>
      <c r="M9" s="17" t="s">
        <v>2049</v>
      </c>
      <c r="N9" s="17"/>
      <c r="O9" s="15"/>
    </row>
    <row r="10" spans="1:17" x14ac:dyDescent="0.2">
      <c r="A10" t="s">
        <v>1100</v>
      </c>
      <c r="E10" s="80"/>
      <c r="F10" s="16" t="s">
        <v>2332</v>
      </c>
      <c r="G10" s="65"/>
      <c r="H10" s="65"/>
      <c r="I10" s="65"/>
      <c r="J10" s="65" t="s">
        <v>2049</v>
      </c>
      <c r="K10" s="65"/>
      <c r="L10" s="17"/>
      <c r="M10" s="17" t="s">
        <v>2049</v>
      </c>
      <c r="N10" s="17"/>
    </row>
    <row r="11" spans="1:17" x14ac:dyDescent="0.2">
      <c r="A11" t="s">
        <v>1102</v>
      </c>
      <c r="E11" s="80"/>
      <c r="F11" s="16" t="s">
        <v>2333</v>
      </c>
      <c r="G11" s="65"/>
      <c r="H11" s="65"/>
      <c r="I11" s="65"/>
      <c r="J11" s="65"/>
      <c r="K11" s="65"/>
      <c r="L11" s="17" t="s">
        <v>2049</v>
      </c>
      <c r="M11" s="17"/>
      <c r="N11" s="17"/>
    </row>
    <row r="12" spans="1:17" x14ac:dyDescent="0.2">
      <c r="A12" t="s">
        <v>1104</v>
      </c>
      <c r="E12" s="80"/>
      <c r="F12" s="72" t="s">
        <v>2037</v>
      </c>
      <c r="G12" s="65" t="s">
        <v>2049</v>
      </c>
      <c r="H12" s="65"/>
      <c r="I12" s="65" t="s">
        <v>2049</v>
      </c>
      <c r="J12" s="65"/>
      <c r="K12" s="65"/>
      <c r="L12" s="17"/>
      <c r="M12" s="17"/>
      <c r="N12" s="17" t="s">
        <v>2049</v>
      </c>
    </row>
    <row r="13" spans="1:17" x14ac:dyDescent="0.2">
      <c r="A13" t="s">
        <v>1108</v>
      </c>
      <c r="E13" s="80"/>
      <c r="F13" s="16" t="s">
        <v>2334</v>
      </c>
      <c r="G13" s="65"/>
      <c r="H13" s="65"/>
      <c r="I13" s="65"/>
      <c r="J13" s="65"/>
      <c r="K13" s="65"/>
      <c r="L13" s="17" t="s">
        <v>2049</v>
      </c>
      <c r="M13" s="17"/>
      <c r="N13" s="17"/>
    </row>
    <row r="14" spans="1:17" x14ac:dyDescent="0.2">
      <c r="A14" t="s">
        <v>1112</v>
      </c>
      <c r="E14" s="80"/>
      <c r="F14" s="16" t="s">
        <v>2024</v>
      </c>
      <c r="G14" s="65" t="s">
        <v>2049</v>
      </c>
      <c r="H14" s="65" t="s">
        <v>2049</v>
      </c>
      <c r="I14" s="65" t="s">
        <v>2049</v>
      </c>
      <c r="J14" s="65" t="s">
        <v>2049</v>
      </c>
      <c r="K14" s="65"/>
      <c r="L14" s="17"/>
      <c r="M14" s="17"/>
      <c r="N14" s="17"/>
    </row>
    <row r="15" spans="1:17" x14ac:dyDescent="0.2">
      <c r="A15" t="s">
        <v>1114</v>
      </c>
      <c r="E15" s="80"/>
      <c r="F15" s="16" t="s">
        <v>2111</v>
      </c>
      <c r="G15" s="17"/>
      <c r="H15" s="17"/>
      <c r="I15" s="17"/>
      <c r="J15" s="17" t="s">
        <v>2049</v>
      </c>
      <c r="K15" s="17"/>
      <c r="L15" s="17"/>
      <c r="M15" s="17" t="s">
        <v>2049</v>
      </c>
      <c r="N15" s="17"/>
    </row>
    <row r="16" spans="1:17" x14ac:dyDescent="0.2">
      <c r="A16" t="s">
        <v>1116</v>
      </c>
      <c r="E16" s="80"/>
      <c r="F16" s="16" t="s">
        <v>2335</v>
      </c>
      <c r="G16" s="17"/>
      <c r="H16" s="17"/>
      <c r="I16" s="17"/>
      <c r="J16" s="17" t="s">
        <v>2049</v>
      </c>
      <c r="K16" s="17"/>
      <c r="L16" s="17"/>
      <c r="M16" s="17"/>
      <c r="N16" s="17"/>
    </row>
    <row r="17" spans="1:14" x14ac:dyDescent="0.2">
      <c r="E17" s="80"/>
      <c r="F17" s="16" t="s">
        <v>2336</v>
      </c>
      <c r="G17" s="17" t="s">
        <v>2049</v>
      </c>
      <c r="H17" s="17"/>
      <c r="I17" s="17" t="s">
        <v>2049</v>
      </c>
      <c r="J17" s="17"/>
      <c r="K17" s="17"/>
      <c r="L17" s="17"/>
      <c r="M17" s="17" t="s">
        <v>2049</v>
      </c>
      <c r="N17" s="17"/>
    </row>
    <row r="18" spans="1:14" x14ac:dyDescent="0.2">
      <c r="A18" s="84" t="s">
        <v>1119</v>
      </c>
      <c r="B18" s="80"/>
      <c r="E18" s="80"/>
      <c r="F18" s="16" t="s">
        <v>2035</v>
      </c>
      <c r="G18" s="17" t="s">
        <v>2049</v>
      </c>
      <c r="H18" s="17" t="s">
        <v>2049</v>
      </c>
      <c r="I18" s="17"/>
      <c r="J18" s="17"/>
      <c r="K18" s="17"/>
      <c r="L18" s="17"/>
      <c r="M18" s="17"/>
      <c r="N18" s="17"/>
    </row>
    <row r="19" spans="1:14" x14ac:dyDescent="0.2">
      <c r="A19" t="s">
        <v>1121</v>
      </c>
      <c r="E19" s="80"/>
    </row>
    <row r="20" spans="1:14" x14ac:dyDescent="0.2">
      <c r="E20" s="80"/>
      <c r="F20" s="15"/>
      <c r="G20" s="15"/>
      <c r="H20" s="15"/>
    </row>
    <row r="21" spans="1:14" x14ac:dyDescent="0.2">
      <c r="A21" s="82" t="s">
        <v>1125</v>
      </c>
      <c r="B21" s="80"/>
      <c r="E21" s="80"/>
      <c r="F21" s="15"/>
      <c r="G21" s="15"/>
      <c r="H21" s="15"/>
    </row>
    <row r="22" spans="1:14" x14ac:dyDescent="0.2">
      <c r="A22" t="s">
        <v>1135</v>
      </c>
      <c r="E22" s="80"/>
      <c r="F22" s="15"/>
      <c r="G22" s="15"/>
      <c r="H22" s="15"/>
    </row>
    <row r="23" spans="1:14" x14ac:dyDescent="0.2">
      <c r="E23" s="80"/>
      <c r="F23" s="15"/>
      <c r="G23" s="15"/>
      <c r="H23" s="15"/>
    </row>
    <row r="24" spans="1:14" x14ac:dyDescent="0.2">
      <c r="E24" s="80"/>
    </row>
    <row r="25" spans="1:14" x14ac:dyDescent="0.2">
      <c r="E25" s="80"/>
      <c r="F25" s="15"/>
      <c r="G25" s="15"/>
      <c r="H25" s="15"/>
      <c r="K25" t="s">
        <v>1226</v>
      </c>
    </row>
    <row r="26" spans="1:14" x14ac:dyDescent="0.2">
      <c r="E26" s="80"/>
      <c r="F26" s="15"/>
      <c r="G26" s="15"/>
      <c r="H26" s="15"/>
    </row>
    <row r="27" spans="1:14" x14ac:dyDescent="0.2">
      <c r="A27" s="82"/>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v>
      </c>
    </row>
    <row r="4" spans="1:17" x14ac:dyDescent="0.2">
      <c r="A4" s="16" t="s">
        <v>7</v>
      </c>
      <c r="B4" t="str">
        <f>IF($B$1="","",_xlfn.XLOOKUP($B$1,Master!$F$2:$F$321,Master!$H$2:$H$321,""))</f>
        <v>fig-siena-mental-health</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2181</v>
      </c>
      <c r="H5" t="s">
        <v>2182</v>
      </c>
      <c r="I5" t="s">
        <v>2183</v>
      </c>
      <c r="J5" t="s">
        <v>2184</v>
      </c>
      <c r="K5" t="s">
        <v>2337</v>
      </c>
    </row>
    <row r="6" spans="1:17" ht="15" customHeight="1" x14ac:dyDescent="0.2">
      <c r="A6" t="s">
        <v>1088</v>
      </c>
      <c r="B6" t="b">
        <v>0</v>
      </c>
      <c r="E6" s="80"/>
      <c r="F6">
        <v>2024</v>
      </c>
      <c r="G6" s="15">
        <v>37</v>
      </c>
      <c r="H6" s="15">
        <v>42</v>
      </c>
      <c r="I6" s="15">
        <v>16</v>
      </c>
      <c r="J6" s="15">
        <v>5</v>
      </c>
      <c r="K6" s="15"/>
      <c r="L6" s="63"/>
      <c r="M6" s="15"/>
      <c r="N6" s="15"/>
      <c r="O6" s="15"/>
    </row>
    <row r="7" spans="1:17" ht="15.75" customHeight="1" x14ac:dyDescent="0.2">
      <c r="E7" s="80"/>
      <c r="F7">
        <v>2023</v>
      </c>
      <c r="G7" s="15">
        <v>35</v>
      </c>
      <c r="H7" s="15">
        <v>42</v>
      </c>
      <c r="I7" s="15">
        <v>16</v>
      </c>
      <c r="J7" s="15">
        <v>7</v>
      </c>
      <c r="K7" s="15"/>
      <c r="L7" s="63"/>
      <c r="M7" s="15"/>
      <c r="N7" s="15"/>
      <c r="O7" s="15"/>
    </row>
    <row r="8" spans="1:17" x14ac:dyDescent="0.2">
      <c r="E8" s="80"/>
      <c r="F8">
        <v>2022</v>
      </c>
      <c r="G8" s="15">
        <v>30</v>
      </c>
      <c r="H8" s="15">
        <v>45</v>
      </c>
      <c r="I8" s="15">
        <v>18</v>
      </c>
      <c r="J8" s="15">
        <v>6</v>
      </c>
      <c r="K8" s="15">
        <v>1</v>
      </c>
      <c r="L8" s="63"/>
      <c r="M8" s="15"/>
      <c r="N8" s="15"/>
      <c r="O8" s="15"/>
    </row>
    <row r="9" spans="1:17" x14ac:dyDescent="0.2">
      <c r="A9" s="84" t="s">
        <v>1098</v>
      </c>
      <c r="B9" s="80"/>
      <c r="E9" s="80"/>
      <c r="F9">
        <v>2018</v>
      </c>
      <c r="G9" s="15">
        <v>52</v>
      </c>
      <c r="H9" s="15">
        <v>32</v>
      </c>
      <c r="I9" s="15">
        <v>12</v>
      </c>
      <c r="J9" s="15">
        <v>3</v>
      </c>
      <c r="K9" s="15">
        <v>1</v>
      </c>
      <c r="L9" s="63"/>
      <c r="M9" s="15"/>
      <c r="N9" s="15"/>
      <c r="O9" s="15"/>
    </row>
    <row r="10" spans="1:17" x14ac:dyDescent="0.2">
      <c r="A10" t="s">
        <v>1100</v>
      </c>
      <c r="B10" t="s">
        <v>2071</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v>
      </c>
    </row>
    <row r="4" spans="1:17" x14ac:dyDescent="0.2">
      <c r="A4" s="16" t="s">
        <v>7</v>
      </c>
      <c r="B4" t="str">
        <f>IF($B$1="","",_xlfn.XLOOKUP($B$1,Master!$F$2:$F$321,Master!$H$2:$H$321,""))</f>
        <v>fig-siena-healthy-diet</v>
      </c>
      <c r="E4" s="8"/>
      <c r="F4" s="10" t="s">
        <v>1009</v>
      </c>
      <c r="G4" s="10" t="s">
        <v>979</v>
      </c>
      <c r="H4" s="10" t="s">
        <v>979</v>
      </c>
      <c r="I4" s="10" t="s">
        <v>979</v>
      </c>
      <c r="J4" s="10" t="s">
        <v>979</v>
      </c>
      <c r="K4" s="10" t="s">
        <v>979</v>
      </c>
      <c r="L4" s="10"/>
      <c r="M4" s="10"/>
      <c r="N4" s="10"/>
      <c r="O4" s="10"/>
      <c r="P4" s="10"/>
      <c r="Q4" s="10"/>
    </row>
    <row r="5" spans="1:17" ht="15" customHeight="1" x14ac:dyDescent="0.2">
      <c r="A5" s="84" t="s">
        <v>1081</v>
      </c>
      <c r="B5" s="80"/>
      <c r="E5" s="83" t="s">
        <v>1082</v>
      </c>
      <c r="F5" t="s">
        <v>1303</v>
      </c>
      <c r="G5" t="s">
        <v>2190</v>
      </c>
      <c r="H5" t="s">
        <v>2338</v>
      </c>
      <c r="I5" t="s">
        <v>2192</v>
      </c>
      <c r="J5" t="s">
        <v>2193</v>
      </c>
      <c r="K5" t="s">
        <v>2178</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4" t="s">
        <v>1098</v>
      </c>
      <c r="B9" s="80"/>
      <c r="E9" s="80"/>
      <c r="F9">
        <v>2018</v>
      </c>
      <c r="G9" s="15">
        <v>5</v>
      </c>
      <c r="H9" s="15">
        <v>21</v>
      </c>
      <c r="I9" s="15">
        <v>40</v>
      </c>
      <c r="J9" s="15">
        <v>33</v>
      </c>
      <c r="K9" s="15">
        <v>1</v>
      </c>
      <c r="L9" s="15"/>
      <c r="M9" s="15"/>
      <c r="N9" s="15"/>
      <c r="O9" s="15"/>
    </row>
    <row r="10" spans="1:17" x14ac:dyDescent="0.2">
      <c r="A10" t="s">
        <v>1100</v>
      </c>
      <c r="B10" t="s">
        <v>2071</v>
      </c>
      <c r="E10" s="80"/>
      <c r="G10" s="15"/>
      <c r="K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v>
      </c>
    </row>
    <row r="4" spans="1:17" x14ac:dyDescent="0.2">
      <c r="A4" s="16" t="s">
        <v>7</v>
      </c>
      <c r="B4" t="str">
        <f>IF($B$1="","",_xlfn.XLOOKUP($B$1,Master!$F$2:$F$321,Master!$H$2:$H$321,""))</f>
        <v>fig-siena-exercise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2190</v>
      </c>
      <c r="H5" t="s">
        <v>2338</v>
      </c>
      <c r="I5" t="s">
        <v>2192</v>
      </c>
      <c r="J5" t="s">
        <v>2193</v>
      </c>
      <c r="K5" t="s">
        <v>2178</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c r="L8" s="15"/>
      <c r="M8" s="15"/>
      <c r="N8" s="15"/>
      <c r="O8" s="15"/>
    </row>
    <row r="9" spans="1:17" x14ac:dyDescent="0.2">
      <c r="A9" s="84" t="s">
        <v>1098</v>
      </c>
      <c r="B9" s="80"/>
      <c r="E9" s="80"/>
      <c r="F9">
        <v>2018</v>
      </c>
      <c r="G9" s="15">
        <v>20</v>
      </c>
      <c r="H9" s="15">
        <v>38</v>
      </c>
      <c r="I9" s="15">
        <v>25</v>
      </c>
      <c r="J9" s="15">
        <v>15</v>
      </c>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v>
      </c>
    </row>
    <row r="4" spans="1:17" x14ac:dyDescent="0.2">
      <c r="A4" s="16" t="s">
        <v>7</v>
      </c>
      <c r="B4" t="str">
        <f>IF($B$1="","",_xlfn.XLOOKUP($B$1,Master!$F$2:$F$321,Master!$H$2:$H$321,""))</f>
        <v>fig-siena-sleep</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4" t="s">
        <v>1081</v>
      </c>
      <c r="B5" s="80"/>
      <c r="E5" s="83" t="s">
        <v>1082</v>
      </c>
      <c r="F5" t="s">
        <v>1303</v>
      </c>
      <c r="G5" t="s">
        <v>2190</v>
      </c>
      <c r="H5" t="s">
        <v>2338</v>
      </c>
      <c r="I5" t="s">
        <v>2192</v>
      </c>
      <c r="J5" t="s">
        <v>2193</v>
      </c>
      <c r="K5" t="s">
        <v>2178</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c r="L7" s="15"/>
      <c r="M7" s="15"/>
      <c r="N7" s="15"/>
      <c r="O7" s="15"/>
    </row>
    <row r="8" spans="1:17" x14ac:dyDescent="0.2">
      <c r="E8" s="80"/>
      <c r="F8">
        <v>2022</v>
      </c>
      <c r="G8" s="15">
        <v>15</v>
      </c>
      <c r="H8" s="15">
        <v>28</v>
      </c>
      <c r="I8" s="15">
        <v>32</v>
      </c>
      <c r="J8" s="15">
        <v>24</v>
      </c>
      <c r="K8" s="15"/>
      <c r="L8" s="15"/>
      <c r="M8" s="15"/>
      <c r="N8" s="15"/>
      <c r="O8" s="15"/>
    </row>
    <row r="9" spans="1:17" x14ac:dyDescent="0.2">
      <c r="A9" s="84" t="s">
        <v>1098</v>
      </c>
      <c r="B9" s="80"/>
      <c r="E9" s="80"/>
      <c r="F9">
        <v>2018</v>
      </c>
      <c r="G9" s="15">
        <v>12</v>
      </c>
      <c r="H9" s="15">
        <v>25</v>
      </c>
      <c r="I9" s="15">
        <v>36</v>
      </c>
      <c r="J9" s="15">
        <v>26</v>
      </c>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v>
      </c>
    </row>
    <row r="4" spans="1:17" x14ac:dyDescent="0.2">
      <c r="A4" s="16" t="s">
        <v>7</v>
      </c>
      <c r="B4" t="str">
        <f>IF($B$1="","",_xlfn.XLOOKUP($B$1,Master!$F$2:$F$321,Master!$H$2:$H$321,""))</f>
        <v>fig-siena-stress</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2194</v>
      </c>
      <c r="H5" t="s">
        <v>2195</v>
      </c>
      <c r="I5" t="s">
        <v>2196</v>
      </c>
      <c r="J5" t="s">
        <v>2197</v>
      </c>
      <c r="K5" t="s">
        <v>2178</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4" t="s">
        <v>1098</v>
      </c>
      <c r="B9" s="80"/>
      <c r="E9" s="80"/>
      <c r="F9">
        <v>2018</v>
      </c>
      <c r="G9" s="15">
        <v>16</v>
      </c>
      <c r="H9" s="15">
        <v>24</v>
      </c>
      <c r="I9" s="15">
        <v>48</v>
      </c>
      <c r="J9" s="15">
        <v>12</v>
      </c>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tbl-siena-unable-utilities-income</v>
      </c>
    </row>
    <row r="4" spans="1:17" x14ac:dyDescent="0.2">
      <c r="A4" s="16" t="s">
        <v>7</v>
      </c>
      <c r="B4" t="str">
        <f>IF($B$1="","",_xlfn.XLOOKUP($B$1,Master!$F$2:$F$321,Master!$H$2:$H$321,""))</f>
        <v>fig-siena-unable-utilities-income</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t="s">
        <v>2339</v>
      </c>
      <c r="H5" t="s">
        <v>2211</v>
      </c>
    </row>
    <row r="6" spans="1:17" ht="15" customHeight="1" x14ac:dyDescent="0.2">
      <c r="A6" t="s">
        <v>1088</v>
      </c>
      <c r="B6" t="b">
        <v>0</v>
      </c>
      <c r="E6" s="80"/>
      <c r="F6" t="s">
        <v>2179</v>
      </c>
      <c r="G6" s="15">
        <v>23</v>
      </c>
      <c r="H6" s="15">
        <v>77</v>
      </c>
      <c r="I6" s="15"/>
      <c r="J6" s="15"/>
      <c r="K6" s="15"/>
      <c r="L6" s="15"/>
      <c r="M6" s="15"/>
      <c r="N6" s="15"/>
      <c r="O6" s="15"/>
    </row>
    <row r="7" spans="1:17" ht="15.75" customHeight="1" x14ac:dyDescent="0.2">
      <c r="E7" s="80"/>
      <c r="F7" t="s">
        <v>2165</v>
      </c>
      <c r="G7" s="15">
        <v>20</v>
      </c>
      <c r="H7" s="15">
        <v>80</v>
      </c>
      <c r="I7" s="15"/>
      <c r="J7" s="15"/>
      <c r="K7" s="15"/>
      <c r="L7" s="15"/>
      <c r="M7" s="15"/>
      <c r="N7" s="15"/>
      <c r="O7" s="15"/>
    </row>
    <row r="8" spans="1:17" x14ac:dyDescent="0.2">
      <c r="E8" s="80"/>
      <c r="F8" t="s">
        <v>2166</v>
      </c>
      <c r="G8" s="15">
        <v>18</v>
      </c>
      <c r="H8" s="15">
        <v>82</v>
      </c>
      <c r="I8" s="15"/>
      <c r="J8" s="15"/>
      <c r="K8" s="15"/>
      <c r="L8" s="15"/>
      <c r="M8" s="15"/>
      <c r="N8" s="15"/>
      <c r="O8" s="15"/>
    </row>
    <row r="9" spans="1:17" x14ac:dyDescent="0.2">
      <c r="A9" s="84" t="s">
        <v>1098</v>
      </c>
      <c r="B9" s="80"/>
      <c r="E9" s="80"/>
      <c r="F9" t="s">
        <v>2167</v>
      </c>
      <c r="G9" s="15">
        <v>8</v>
      </c>
      <c r="H9" s="15">
        <v>92</v>
      </c>
      <c r="I9" s="15"/>
      <c r="J9" s="15"/>
      <c r="K9" s="15"/>
      <c r="L9" s="15"/>
      <c r="M9" s="15"/>
      <c r="N9" s="15"/>
      <c r="O9" s="15"/>
    </row>
    <row r="10" spans="1:17" x14ac:dyDescent="0.2">
      <c r="A10" t="s">
        <v>1100</v>
      </c>
      <c r="B10" t="s">
        <v>1300</v>
      </c>
      <c r="E10" s="80"/>
      <c r="F10" t="s">
        <v>2168</v>
      </c>
      <c r="G10" s="15">
        <v>9</v>
      </c>
      <c r="H10" s="15">
        <v>91</v>
      </c>
    </row>
    <row r="11" spans="1:17" x14ac:dyDescent="0.2">
      <c r="A11" t="s">
        <v>1102</v>
      </c>
      <c r="B11" t="s">
        <v>2180</v>
      </c>
      <c r="E11" s="80"/>
      <c r="G11" s="15"/>
      <c r="H11" s="15"/>
      <c r="I11" s="15"/>
      <c r="J11" s="17"/>
      <c r="K11" s="17"/>
      <c r="L11" s="17"/>
      <c r="M11" s="17"/>
      <c r="N11" s="17"/>
    </row>
    <row r="12" spans="1:17" x14ac:dyDescent="0.2">
      <c r="A12" t="s">
        <v>1104</v>
      </c>
      <c r="B12" t="s">
        <v>2163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v>
      </c>
    </row>
    <row r="4" spans="1:17" x14ac:dyDescent="0.2">
      <c r="A4" s="16" t="s">
        <v>7</v>
      </c>
      <c r="B4" t="str">
        <f>IF($B$1="","",_xlfn.XLOOKUP($B$1,Master!$F$2:$F$321,Master!$H$2:$H$321,""))</f>
        <v>fig-siena-unable-internet</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2340</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B11" t="s">
        <v>2180</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v>
      </c>
    </row>
    <row r="4" spans="1:17" x14ac:dyDescent="0.2">
      <c r="A4" s="16" t="s">
        <v>7</v>
      </c>
      <c r="B4" t="str">
        <f>IF($B$1="","",_xlfn.XLOOKUP($B$1,Master!$F$2:$F$321,Master!$H$2:$H$321,""))</f>
        <v>fig-siena-unable-transportation</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4" t="s">
        <v>1098</v>
      </c>
      <c r="B9" s="80"/>
      <c r="E9" s="80"/>
      <c r="F9">
        <v>2018</v>
      </c>
      <c r="G9" s="15">
        <v>16</v>
      </c>
      <c r="H9" s="15">
        <v>83</v>
      </c>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tbl-siena-routine-physical-income</v>
      </c>
    </row>
    <row r="4" spans="1:17" x14ac:dyDescent="0.2">
      <c r="A4" s="16" t="s">
        <v>7</v>
      </c>
      <c r="B4" t="str">
        <f>IF($B$1="","",_xlfn.XLOOKUP($B$1,Master!$F$2:$F$321,Master!$H$2:$H$321,""))</f>
        <v>fig-siena-routine-physical-income</v>
      </c>
      <c r="E4" s="8"/>
      <c r="F4" s="10" t="s">
        <v>1009</v>
      </c>
      <c r="G4" s="10" t="s">
        <v>979</v>
      </c>
      <c r="H4" s="10" t="s">
        <v>979</v>
      </c>
      <c r="I4" s="10"/>
      <c r="J4" s="10"/>
      <c r="K4" s="10"/>
      <c r="L4" s="10"/>
      <c r="M4" s="10"/>
      <c r="N4" s="10"/>
      <c r="O4" s="10"/>
      <c r="P4" s="10"/>
      <c r="Q4" s="10"/>
    </row>
    <row r="5" spans="1:17" x14ac:dyDescent="0.2">
      <c r="A5" s="84" t="s">
        <v>1081</v>
      </c>
      <c r="B5" s="80"/>
      <c r="E5" s="83" t="s">
        <v>1082</v>
      </c>
      <c r="F5" t="s">
        <v>2163</v>
      </c>
      <c r="G5" t="s">
        <v>2210</v>
      </c>
      <c r="H5" t="s">
        <v>2211</v>
      </c>
    </row>
    <row r="6" spans="1:17" ht="15" customHeight="1" x14ac:dyDescent="0.2">
      <c r="A6" t="s">
        <v>1088</v>
      </c>
      <c r="B6" t="b">
        <v>0</v>
      </c>
      <c r="E6" s="80"/>
      <c r="F6" t="s">
        <v>2179</v>
      </c>
      <c r="G6" s="15">
        <v>73</v>
      </c>
      <c r="H6" s="15">
        <v>27</v>
      </c>
      <c r="I6" s="15"/>
      <c r="J6" s="15"/>
      <c r="K6" s="15"/>
      <c r="L6" s="15"/>
      <c r="M6" s="15"/>
      <c r="N6" s="15"/>
      <c r="O6" s="15"/>
    </row>
    <row r="7" spans="1:17" ht="15.75" customHeight="1" x14ac:dyDescent="0.2">
      <c r="E7" s="80"/>
      <c r="F7" t="s">
        <v>2165</v>
      </c>
      <c r="G7" s="15">
        <v>74</v>
      </c>
      <c r="H7" s="15">
        <v>26</v>
      </c>
      <c r="I7" s="15"/>
      <c r="J7" s="15"/>
      <c r="K7" s="15"/>
      <c r="L7" s="15"/>
      <c r="M7" s="15"/>
      <c r="N7" s="15"/>
      <c r="O7" s="15"/>
    </row>
    <row r="8" spans="1:17" x14ac:dyDescent="0.2">
      <c r="E8" s="80"/>
      <c r="F8" t="s">
        <v>2166</v>
      </c>
      <c r="G8" s="15">
        <v>75</v>
      </c>
      <c r="H8" s="15">
        <v>25</v>
      </c>
      <c r="I8" s="15"/>
      <c r="J8" s="15"/>
      <c r="K8" s="15"/>
      <c r="L8" s="15"/>
      <c r="M8" s="15"/>
      <c r="N8" s="15"/>
      <c r="O8" s="15"/>
    </row>
    <row r="9" spans="1:17" x14ac:dyDescent="0.2">
      <c r="A9" s="84" t="s">
        <v>1098</v>
      </c>
      <c r="B9" s="80"/>
      <c r="E9" s="80"/>
      <c r="F9" t="s">
        <v>2167</v>
      </c>
      <c r="G9" s="15">
        <v>81</v>
      </c>
      <c r="H9" s="15">
        <v>19</v>
      </c>
      <c r="I9" s="15"/>
      <c r="J9" s="15"/>
      <c r="K9" s="15"/>
      <c r="L9" s="15"/>
      <c r="M9" s="15"/>
      <c r="N9" s="15"/>
      <c r="O9" s="15"/>
    </row>
    <row r="10" spans="1:17" x14ac:dyDescent="0.2">
      <c r="A10" t="s">
        <v>1100</v>
      </c>
      <c r="B10" t="s">
        <v>1300</v>
      </c>
      <c r="E10" s="80"/>
      <c r="F10" t="s">
        <v>2168</v>
      </c>
      <c r="G10" s="15">
        <v>89</v>
      </c>
      <c r="H10" s="15">
        <v>11</v>
      </c>
    </row>
    <row r="11" spans="1:17" x14ac:dyDescent="0.2">
      <c r="A11" t="s">
        <v>1102</v>
      </c>
      <c r="B11" t="s">
        <v>2180</v>
      </c>
      <c r="E11" s="80"/>
      <c r="G11" s="15"/>
      <c r="H11" s="15"/>
      <c r="I11" s="15"/>
      <c r="J11" s="17"/>
      <c r="K11" s="17"/>
      <c r="L11" s="17"/>
      <c r="M11" s="17"/>
      <c r="N11" s="17"/>
    </row>
    <row r="12" spans="1:17" x14ac:dyDescent="0.2">
      <c r="A12" t="s">
        <v>1104</v>
      </c>
      <c r="B12" t="s">
        <v>2163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v>
      </c>
    </row>
    <row r="4" spans="1:17" x14ac:dyDescent="0.2">
      <c r="A4" s="16" t="s">
        <v>7</v>
      </c>
      <c r="B4" t="str">
        <f>IF($B$1="","",_xlfn.XLOOKUP($B$1,Master!$F$2:$F$321,Master!$H$2:$H$321,""))</f>
        <v>fig-siena-not-routine-dentist</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2214</v>
      </c>
      <c r="G5">
        <v>2022</v>
      </c>
      <c r="H5">
        <v>2023</v>
      </c>
      <c r="I5">
        <v>2024</v>
      </c>
    </row>
    <row r="6" spans="1:17" ht="15" customHeight="1" x14ac:dyDescent="0.2">
      <c r="A6" t="s">
        <v>1088</v>
      </c>
      <c r="B6" t="b">
        <v>0</v>
      </c>
      <c r="E6" s="80"/>
      <c r="F6" s="37" t="s">
        <v>2215</v>
      </c>
      <c r="G6" s="15">
        <v>29</v>
      </c>
      <c r="H6" s="15">
        <v>22</v>
      </c>
      <c r="I6" s="15">
        <v>24</v>
      </c>
      <c r="J6" s="15"/>
      <c r="K6" s="15"/>
      <c r="L6" s="15"/>
      <c r="M6" s="15"/>
      <c r="N6" s="15"/>
      <c r="O6" s="15"/>
    </row>
    <row r="7" spans="1:17" ht="15.75" customHeight="1" x14ac:dyDescent="0.2">
      <c r="E7" s="80"/>
      <c r="F7" s="37" t="s">
        <v>2216</v>
      </c>
      <c r="G7" s="15">
        <v>18</v>
      </c>
      <c r="H7" s="15">
        <v>20</v>
      </c>
      <c r="I7" s="15">
        <v>21</v>
      </c>
      <c r="J7" s="15"/>
      <c r="K7" s="15"/>
      <c r="L7" s="15"/>
      <c r="M7" s="15"/>
      <c r="N7" s="15"/>
      <c r="O7" s="15"/>
    </row>
    <row r="8" spans="1:17" x14ac:dyDescent="0.2">
      <c r="E8" s="80"/>
      <c r="F8" s="37" t="s">
        <v>2217</v>
      </c>
      <c r="G8" s="15">
        <v>4</v>
      </c>
      <c r="H8" s="15">
        <v>3</v>
      </c>
      <c r="I8" s="15">
        <v>8</v>
      </c>
      <c r="J8" s="15"/>
      <c r="K8" s="15"/>
      <c r="L8" s="15"/>
      <c r="M8" s="15"/>
      <c r="N8" s="15"/>
      <c r="O8" s="15"/>
    </row>
    <row r="9" spans="1:17" x14ac:dyDescent="0.2">
      <c r="A9" s="84" t="s">
        <v>1098</v>
      </c>
      <c r="B9" s="80"/>
      <c r="E9" s="80"/>
      <c r="F9" s="37" t="s">
        <v>2218</v>
      </c>
      <c r="G9" s="15">
        <v>19</v>
      </c>
      <c r="H9" s="15">
        <v>32</v>
      </c>
      <c r="I9" s="15">
        <v>31</v>
      </c>
      <c r="J9" s="15"/>
      <c r="K9" s="15"/>
      <c r="L9" s="15"/>
      <c r="M9" s="15"/>
      <c r="N9" s="15"/>
      <c r="O9" s="15"/>
    </row>
    <row r="10" spans="1:17" x14ac:dyDescent="0.2">
      <c r="A10" t="s">
        <v>1100</v>
      </c>
      <c r="B10" t="s">
        <v>1300</v>
      </c>
      <c r="E10" s="80"/>
      <c r="F10" s="37" t="s">
        <v>2219</v>
      </c>
      <c r="G10" s="15">
        <v>23</v>
      </c>
      <c r="H10" s="15">
        <v>9</v>
      </c>
      <c r="I10" s="15">
        <v>3</v>
      </c>
    </row>
    <row r="11" spans="1:17" x14ac:dyDescent="0.2">
      <c r="A11" t="s">
        <v>1102</v>
      </c>
      <c r="B11" t="s">
        <v>1303</v>
      </c>
      <c r="E11" s="80"/>
      <c r="F11" s="57" t="s">
        <v>2220</v>
      </c>
      <c r="G11" s="17">
        <v>22</v>
      </c>
      <c r="H11" s="17">
        <v>38</v>
      </c>
      <c r="I11" s="15">
        <v>37</v>
      </c>
      <c r="J11" s="17"/>
      <c r="K11" s="17"/>
      <c r="L11" s="17"/>
      <c r="M11" s="17"/>
      <c r="N11" s="17"/>
    </row>
    <row r="12" spans="1:17" x14ac:dyDescent="0.2">
      <c r="A12" t="s">
        <v>1104</v>
      </c>
      <c r="E12" s="80"/>
      <c r="F12" s="37" t="s">
        <v>2223</v>
      </c>
      <c r="G12" s="15">
        <v>8</v>
      </c>
      <c r="H12" s="15">
        <v>10</v>
      </c>
      <c r="I12" s="15">
        <v>14</v>
      </c>
      <c r="J12" s="15"/>
      <c r="K12" s="15"/>
      <c r="L12" s="15"/>
    </row>
    <row r="13" spans="1:17" x14ac:dyDescent="0.2">
      <c r="A13" t="s">
        <v>1108</v>
      </c>
      <c r="E13" s="80"/>
      <c r="F13" t="s">
        <v>1015</v>
      </c>
      <c r="G13">
        <v>11</v>
      </c>
      <c r="H13">
        <v>5</v>
      </c>
      <c r="I13">
        <v>4</v>
      </c>
    </row>
    <row r="14" spans="1:17" x14ac:dyDescent="0.2">
      <c r="A14" t="s">
        <v>1112</v>
      </c>
      <c r="E14" s="80"/>
      <c r="F14" t="s">
        <v>2178</v>
      </c>
      <c r="G14">
        <v>3</v>
      </c>
      <c r="H14">
        <v>5</v>
      </c>
      <c r="I14">
        <v>5</v>
      </c>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1227</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4" t="s">
        <v>1081</v>
      </c>
      <c r="B5" s="80"/>
      <c r="E5" s="83" t="s">
        <v>1082</v>
      </c>
    </row>
    <row r="6" spans="1:17" ht="15" customHeight="1" x14ac:dyDescent="0.2">
      <c r="A6" t="s">
        <v>1088</v>
      </c>
      <c r="B6" t="b">
        <v>0</v>
      </c>
      <c r="E6" s="80"/>
      <c r="G6" s="15"/>
      <c r="H6" s="15"/>
      <c r="I6" s="15"/>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tbl-siena-difficulty-help-for-child</v>
      </c>
    </row>
    <row r="4" spans="1:17" x14ac:dyDescent="0.2">
      <c r="A4" s="16" t="s">
        <v>7</v>
      </c>
      <c r="B4" t="str">
        <f>IF($B$1="","",_xlfn.XLOOKUP($B$1,Master!$F$2:$F$321,Master!$H$2:$H$321,""))</f>
        <v>fig-siena-difficulty-help-for-child</v>
      </c>
      <c r="E4" s="8"/>
      <c r="F4" s="10" t="s">
        <v>1009</v>
      </c>
      <c r="G4" s="10" t="s">
        <v>979</v>
      </c>
      <c r="H4" s="10"/>
      <c r="I4" s="10"/>
      <c r="J4" s="10"/>
      <c r="K4" s="10"/>
      <c r="L4" s="10"/>
      <c r="M4" s="10"/>
      <c r="N4" s="10"/>
      <c r="O4" s="10"/>
      <c r="P4" s="10"/>
      <c r="Q4" s="10"/>
    </row>
    <row r="5" spans="1:17" x14ac:dyDescent="0.2">
      <c r="A5" s="84" t="s">
        <v>1081</v>
      </c>
      <c r="B5" s="80"/>
      <c r="E5" s="83" t="s">
        <v>1082</v>
      </c>
      <c r="F5" t="s">
        <v>2231</v>
      </c>
      <c r="G5" t="s">
        <v>2150</v>
      </c>
    </row>
    <row r="6" spans="1:17" ht="15" customHeight="1" x14ac:dyDescent="0.2">
      <c r="A6" t="s">
        <v>1088</v>
      </c>
      <c r="B6" t="b">
        <v>0</v>
      </c>
      <c r="E6" s="80"/>
      <c r="F6" t="s">
        <v>2210</v>
      </c>
      <c r="G6" s="15">
        <v>12</v>
      </c>
      <c r="H6" s="63"/>
      <c r="I6" s="63"/>
      <c r="J6" s="63"/>
      <c r="K6" s="63"/>
      <c r="L6" s="15"/>
      <c r="M6" s="15"/>
      <c r="N6" s="15"/>
      <c r="O6" s="15"/>
    </row>
    <row r="7" spans="1:17" ht="15.75" customHeight="1" x14ac:dyDescent="0.2">
      <c r="E7" s="80"/>
      <c r="F7" t="s">
        <v>2211</v>
      </c>
      <c r="G7" s="15">
        <v>88</v>
      </c>
      <c r="H7" s="63"/>
      <c r="I7" s="63"/>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2341</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v>
      </c>
    </row>
    <row r="4" spans="1:17" x14ac:dyDescent="0.2">
      <c r="A4" s="16" t="s">
        <v>7</v>
      </c>
      <c r="B4" t="str">
        <f>IF($B$1="","",_xlfn.XLOOKUP($B$1,Master!$F$2:$F$321,Master!$H$2:$H$321,""))</f>
        <v>fig-siena-everything-effort</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2240</v>
      </c>
      <c r="H5" t="s">
        <v>2241</v>
      </c>
      <c r="I5" t="s">
        <v>2242</v>
      </c>
      <c r="J5" t="s">
        <v>2243</v>
      </c>
      <c r="K5" t="s">
        <v>2244</v>
      </c>
      <c r="L5" t="s">
        <v>2178</v>
      </c>
    </row>
    <row r="6" spans="1:17" ht="15" customHeight="1" x14ac:dyDescent="0.2">
      <c r="A6" t="s">
        <v>1088</v>
      </c>
      <c r="B6" t="b">
        <v>0</v>
      </c>
      <c r="E6" s="80"/>
      <c r="F6">
        <v>2024</v>
      </c>
      <c r="G6" s="15">
        <v>6</v>
      </c>
      <c r="H6" s="15">
        <v>9</v>
      </c>
      <c r="I6" s="15">
        <v>18</v>
      </c>
      <c r="J6" s="15">
        <v>18</v>
      </c>
      <c r="K6" s="15">
        <v>48</v>
      </c>
      <c r="L6" s="15">
        <v>1</v>
      </c>
      <c r="M6" s="15"/>
      <c r="N6" s="15"/>
      <c r="O6" s="15"/>
    </row>
    <row r="7" spans="1:17" ht="15.75" customHeight="1" x14ac:dyDescent="0.2">
      <c r="E7" s="80"/>
      <c r="F7">
        <v>2023</v>
      </c>
      <c r="G7" s="15">
        <v>7</v>
      </c>
      <c r="H7" s="15">
        <v>7</v>
      </c>
      <c r="I7" s="15">
        <v>20</v>
      </c>
      <c r="J7" s="15">
        <v>19</v>
      </c>
      <c r="K7" s="15">
        <v>46</v>
      </c>
      <c r="L7" s="15">
        <v>1</v>
      </c>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v>
      </c>
    </row>
    <row r="4" spans="1:17" x14ac:dyDescent="0.2">
      <c r="A4" s="16" t="s">
        <v>7</v>
      </c>
      <c r="B4" t="str">
        <f>IF($B$1="","",_xlfn.XLOOKUP($B$1,Master!$F$2:$F$321,Master!$H$2:$H$321,""))</f>
        <v>fig-siena-depressed</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2240</v>
      </c>
      <c r="H5" t="s">
        <v>2241</v>
      </c>
      <c r="I5" t="s">
        <v>2242</v>
      </c>
      <c r="J5" t="s">
        <v>2243</v>
      </c>
      <c r="K5" t="s">
        <v>2244</v>
      </c>
      <c r="L5" t="s">
        <v>2178</v>
      </c>
    </row>
    <row r="6" spans="1:17" ht="15" customHeight="1" x14ac:dyDescent="0.2">
      <c r="A6" t="s">
        <v>1088</v>
      </c>
      <c r="B6" t="b">
        <v>0</v>
      </c>
      <c r="E6" s="80"/>
      <c r="F6">
        <v>2024</v>
      </c>
      <c r="G6" s="15">
        <v>1</v>
      </c>
      <c r="H6" s="15">
        <v>2</v>
      </c>
      <c r="I6" s="15">
        <v>9</v>
      </c>
      <c r="J6" s="15">
        <v>10</v>
      </c>
      <c r="K6" s="15">
        <v>78</v>
      </c>
      <c r="L6" s="15"/>
      <c r="M6" s="15"/>
      <c r="N6" s="15"/>
      <c r="O6" s="15"/>
    </row>
    <row r="7" spans="1:17" ht="15.75" customHeight="1" x14ac:dyDescent="0.2">
      <c r="E7" s="80"/>
      <c r="F7">
        <v>2023</v>
      </c>
      <c r="G7" s="15">
        <v>2</v>
      </c>
      <c r="H7" s="15">
        <v>3</v>
      </c>
      <c r="I7" s="15">
        <v>8</v>
      </c>
      <c r="J7" s="15">
        <v>13</v>
      </c>
      <c r="K7" s="15">
        <v>73</v>
      </c>
      <c r="L7" s="15">
        <v>1</v>
      </c>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v>
      </c>
    </row>
    <row r="4" spans="1:17" x14ac:dyDescent="0.2">
      <c r="A4" s="16" t="s">
        <v>7</v>
      </c>
      <c r="B4" t="str">
        <f>IF($B$1="","",_xlfn.XLOOKUP($B$1,Master!$F$2:$F$321,Master!$H$2:$H$321,""))</f>
        <v>fig-siena-restless-fidgety</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2240</v>
      </c>
      <c r="H5" t="s">
        <v>2241</v>
      </c>
      <c r="I5" t="s">
        <v>2242</v>
      </c>
      <c r="J5" t="s">
        <v>2243</v>
      </c>
      <c r="K5" t="s">
        <v>2244</v>
      </c>
      <c r="L5" t="s">
        <v>2178</v>
      </c>
    </row>
    <row r="6" spans="1:17" ht="15" customHeight="1" x14ac:dyDescent="0.2">
      <c r="A6" t="s">
        <v>1088</v>
      </c>
      <c r="B6" t="b">
        <v>0</v>
      </c>
      <c r="E6" s="80"/>
      <c r="F6">
        <v>2024</v>
      </c>
      <c r="G6" s="15">
        <v>4</v>
      </c>
      <c r="H6" s="15">
        <v>7</v>
      </c>
      <c r="I6" s="15">
        <v>21</v>
      </c>
      <c r="J6" s="15">
        <v>19</v>
      </c>
      <c r="K6" s="15">
        <v>49</v>
      </c>
      <c r="L6" s="15"/>
      <c r="M6" s="15"/>
      <c r="N6" s="15"/>
      <c r="O6" s="15"/>
    </row>
    <row r="7" spans="1:17" ht="15.75" customHeight="1" x14ac:dyDescent="0.2">
      <c r="E7" s="80"/>
      <c r="F7">
        <v>2023</v>
      </c>
      <c r="G7" s="15">
        <v>7</v>
      </c>
      <c r="H7" s="15">
        <v>7</v>
      </c>
      <c r="I7" s="15">
        <v>21</v>
      </c>
      <c r="J7" s="15">
        <v>18</v>
      </c>
      <c r="K7" s="15">
        <v>46</v>
      </c>
      <c r="L7" s="15">
        <v>1</v>
      </c>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tbl-siena-feeling-hopeless</v>
      </c>
    </row>
    <row r="4" spans="1:17" x14ac:dyDescent="0.2">
      <c r="A4" s="16" t="s">
        <v>7</v>
      </c>
      <c r="B4" t="str">
        <f>IF($B$1="","",_xlfn.XLOOKUP($B$1,Master!$F$2:$F$321,Master!$H$2:$H$321,""))</f>
        <v>fig-siena-feeling-hopeless</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2240</v>
      </c>
      <c r="H5" t="s">
        <v>2241</v>
      </c>
      <c r="I5" t="s">
        <v>2242</v>
      </c>
      <c r="J5" t="s">
        <v>2243</v>
      </c>
      <c r="K5" t="s">
        <v>2244</v>
      </c>
      <c r="L5" t="s">
        <v>2178</v>
      </c>
    </row>
    <row r="6" spans="1:17" ht="15" customHeight="1" x14ac:dyDescent="0.2">
      <c r="A6" t="s">
        <v>1088</v>
      </c>
      <c r="B6" t="b">
        <v>0</v>
      </c>
      <c r="E6" s="80"/>
      <c r="F6">
        <v>2024</v>
      </c>
      <c r="G6" s="15">
        <v>1</v>
      </c>
      <c r="H6" s="15">
        <v>3</v>
      </c>
      <c r="I6" s="15">
        <v>11</v>
      </c>
      <c r="J6" s="15">
        <v>10</v>
      </c>
      <c r="K6" s="15">
        <v>74</v>
      </c>
      <c r="L6" s="15">
        <v>0</v>
      </c>
      <c r="M6" s="15"/>
      <c r="N6" s="15"/>
      <c r="O6" s="15"/>
    </row>
    <row r="7" spans="1:17" ht="15.75" customHeight="1" x14ac:dyDescent="0.2">
      <c r="E7" s="80"/>
      <c r="F7">
        <v>2023</v>
      </c>
      <c r="G7" s="15">
        <v>3</v>
      </c>
      <c r="H7" s="15">
        <v>3</v>
      </c>
      <c r="I7" s="15">
        <v>9</v>
      </c>
      <c r="J7" s="15">
        <v>15</v>
      </c>
      <c r="K7" s="15">
        <v>69</v>
      </c>
      <c r="L7" s="15">
        <v>0</v>
      </c>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v>
      </c>
    </row>
    <row r="4" spans="1:17" x14ac:dyDescent="0.2">
      <c r="A4" s="16" t="s">
        <v>7</v>
      </c>
      <c r="B4" t="str">
        <f>IF($B$1="","",_xlfn.XLOOKUP($B$1,Master!$F$2:$F$321,Master!$H$2:$H$321,""))</f>
        <v>fig-siena-feeling-nervous</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2240</v>
      </c>
      <c r="H5" t="s">
        <v>2241</v>
      </c>
      <c r="I5" t="s">
        <v>2242</v>
      </c>
      <c r="J5" t="s">
        <v>2243</v>
      </c>
      <c r="K5" t="s">
        <v>2244</v>
      </c>
      <c r="L5" t="s">
        <v>2178</v>
      </c>
    </row>
    <row r="6" spans="1:17" ht="15" customHeight="1" x14ac:dyDescent="0.2">
      <c r="A6" t="s">
        <v>1088</v>
      </c>
      <c r="B6" t="b">
        <v>0</v>
      </c>
      <c r="E6" s="80"/>
      <c r="F6">
        <v>2024</v>
      </c>
      <c r="G6" s="15">
        <v>4</v>
      </c>
      <c r="H6" s="15">
        <v>8</v>
      </c>
      <c r="I6" s="15">
        <v>24</v>
      </c>
      <c r="J6" s="15">
        <v>24</v>
      </c>
      <c r="K6" s="15">
        <v>40</v>
      </c>
      <c r="L6" s="15"/>
      <c r="M6" s="15"/>
      <c r="N6" s="15"/>
      <c r="O6" s="15"/>
    </row>
    <row r="7" spans="1:17" ht="15.75" customHeight="1" x14ac:dyDescent="0.2">
      <c r="E7" s="80"/>
      <c r="F7">
        <v>2023</v>
      </c>
      <c r="G7" s="15">
        <v>5</v>
      </c>
      <c r="H7" s="15">
        <v>8</v>
      </c>
      <c r="I7" s="15">
        <v>22</v>
      </c>
      <c r="J7" s="15">
        <v>25</v>
      </c>
      <c r="K7" s="15">
        <v>38</v>
      </c>
      <c r="L7" s="15">
        <v>2</v>
      </c>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tbl-siena-flu-vaccine-60yo</v>
      </c>
    </row>
    <row r="4" spans="1:17" x14ac:dyDescent="0.2">
      <c r="A4" s="16" t="s">
        <v>7</v>
      </c>
      <c r="B4" t="str">
        <f>IF($B$1="","",_xlfn.XLOOKUP($B$1,Master!$F$2:$F$321,Master!$H$2:$H$321,""))</f>
        <v>fig-siena-flu-vaccine-60yo</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2342</v>
      </c>
    </row>
    <row r="6" spans="1:17" ht="15" customHeight="1" x14ac:dyDescent="0.2">
      <c r="A6" t="s">
        <v>1088</v>
      </c>
      <c r="B6" t="b">
        <v>0</v>
      </c>
      <c r="E6" s="80"/>
      <c r="F6">
        <v>2024</v>
      </c>
      <c r="G6" s="15">
        <v>19</v>
      </c>
      <c r="H6" s="15">
        <v>72</v>
      </c>
      <c r="I6" s="15">
        <v>8</v>
      </c>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v>
      </c>
    </row>
    <row r="4" spans="1:17" x14ac:dyDescent="0.2">
      <c r="A4" s="16" t="s">
        <v>7</v>
      </c>
      <c r="B4" t="str">
        <f>IF($B$1="","",_xlfn.XLOOKUP($B$1,Master!$F$2:$F$321,Master!$H$2:$H$321,""))</f>
        <v>fig-siena-flu-vaccine</v>
      </c>
      <c r="E4" s="8"/>
      <c r="F4" s="10" t="s">
        <v>1009</v>
      </c>
      <c r="G4" s="10" t="s">
        <v>979</v>
      </c>
      <c r="H4" s="10" t="s">
        <v>979</v>
      </c>
      <c r="I4" s="10"/>
      <c r="J4" s="10"/>
      <c r="K4" s="10"/>
      <c r="L4" s="10"/>
      <c r="M4" s="10"/>
      <c r="N4" s="10"/>
      <c r="O4" s="10"/>
      <c r="P4" s="10"/>
      <c r="Q4" s="10"/>
    </row>
    <row r="5" spans="1:17" x14ac:dyDescent="0.2">
      <c r="A5" s="84" t="s">
        <v>1081</v>
      </c>
      <c r="B5" s="80"/>
      <c r="E5" s="83" t="s">
        <v>1082</v>
      </c>
      <c r="F5" t="s">
        <v>1303</v>
      </c>
      <c r="G5" t="s">
        <v>2210</v>
      </c>
      <c r="H5" t="s">
        <v>2211</v>
      </c>
    </row>
    <row r="6" spans="1:17" ht="15" customHeight="1" x14ac:dyDescent="0.2">
      <c r="A6" t="s">
        <v>1088</v>
      </c>
      <c r="B6" t="b">
        <v>0</v>
      </c>
      <c r="E6" s="80"/>
      <c r="F6">
        <v>2024</v>
      </c>
      <c r="G6" s="15">
        <v>46</v>
      </c>
      <c r="H6" s="15">
        <v>53</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v>
      </c>
    </row>
    <row r="4" spans="1:17" x14ac:dyDescent="0.2">
      <c r="A4" s="16" t="s">
        <v>7</v>
      </c>
      <c r="B4" t="str">
        <f>IF($B$1="","",_xlfn.XLOOKUP($B$1,Master!$F$2:$F$321,Master!$H$2:$H$321,""))</f>
        <v>fig-siena-updated-covid-vaccine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2236</v>
      </c>
      <c r="H5" t="s">
        <v>2237</v>
      </c>
      <c r="I5" t="s">
        <v>2238</v>
      </c>
      <c r="J5" t="s">
        <v>2239</v>
      </c>
      <c r="K5" t="s">
        <v>2189</v>
      </c>
    </row>
    <row r="6" spans="1:17" ht="15" customHeight="1" x14ac:dyDescent="0.2">
      <c r="A6" t="s">
        <v>1088</v>
      </c>
      <c r="B6" t="b">
        <v>0</v>
      </c>
      <c r="E6" s="80"/>
      <c r="F6">
        <v>2024</v>
      </c>
      <c r="G6" s="15">
        <v>22</v>
      </c>
      <c r="H6" s="15">
        <v>13</v>
      </c>
      <c r="I6" s="15">
        <v>14</v>
      </c>
      <c r="J6" s="15">
        <v>49</v>
      </c>
      <c r="K6" s="15">
        <v>1</v>
      </c>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v>
      </c>
    </row>
    <row r="4" spans="1:17" x14ac:dyDescent="0.2">
      <c r="A4" s="16" t="s">
        <v>7</v>
      </c>
      <c r="B4" t="str">
        <f>IF($B$1="","",_xlfn.XLOOKUP($B$1,Master!$F$2:$F$321,Master!$H$2:$H$321,""))</f>
        <v>fig-siena-covid-vaccine</v>
      </c>
      <c r="E4" s="8"/>
      <c r="F4" s="10" t="s">
        <v>1009</v>
      </c>
      <c r="G4" s="10" t="s">
        <v>979</v>
      </c>
      <c r="H4" s="10" t="s">
        <v>979</v>
      </c>
      <c r="I4" s="10"/>
      <c r="J4" s="10"/>
      <c r="K4" s="10"/>
      <c r="L4" s="10"/>
      <c r="M4" s="10"/>
      <c r="N4" s="10"/>
      <c r="O4" s="10"/>
      <c r="P4" s="10"/>
      <c r="Q4" s="10"/>
    </row>
    <row r="5" spans="1:17" x14ac:dyDescent="0.2">
      <c r="A5" s="84" t="s">
        <v>1081</v>
      </c>
      <c r="B5" s="80"/>
      <c r="E5" s="83" t="s">
        <v>1082</v>
      </c>
      <c r="F5" t="s">
        <v>1303</v>
      </c>
      <c r="G5" t="s">
        <v>2210</v>
      </c>
      <c r="H5" t="s">
        <v>2211</v>
      </c>
    </row>
    <row r="6" spans="1:17" ht="15" customHeight="1" x14ac:dyDescent="0.2">
      <c r="A6" t="s">
        <v>1088</v>
      </c>
      <c r="B6" t="b">
        <v>0</v>
      </c>
      <c r="E6" s="80"/>
      <c r="F6">
        <v>2024</v>
      </c>
      <c r="G6" s="15">
        <v>74</v>
      </c>
      <c r="H6" s="15">
        <v>25</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v>
      </c>
    </row>
    <row r="4" spans="1:17" x14ac:dyDescent="0.2">
      <c r="A4" s="16" t="s">
        <v>7</v>
      </c>
      <c r="B4" t="str">
        <f>IF($B$1="","",_xlfn.XLOOKUP($B$1,Master!$F$2:$F$321,Master!$H$2:$H$321,""))</f>
        <v>fig-siena-had-long-covid</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17</v>
      </c>
      <c r="H6" s="15">
        <v>81</v>
      </c>
      <c r="I6" s="15">
        <v>1</v>
      </c>
      <c r="J6" s="63"/>
      <c r="K6" s="63"/>
      <c r="L6" s="15"/>
      <c r="M6" s="15"/>
      <c r="N6" s="15"/>
      <c r="O6" s="15"/>
    </row>
    <row r="7" spans="1:17" ht="15.75" customHeight="1" x14ac:dyDescent="0.2">
      <c r="E7" s="80"/>
      <c r="F7">
        <v>2023</v>
      </c>
      <c r="G7" s="15">
        <v>22</v>
      </c>
      <c r="H7" s="15">
        <v>75</v>
      </c>
      <c r="I7" s="15">
        <v>3</v>
      </c>
      <c r="J7" s="63"/>
      <c r="K7" s="63"/>
      <c r="L7" s="15"/>
      <c r="M7" s="15"/>
      <c r="N7" s="15"/>
      <c r="O7" s="15"/>
    </row>
    <row r="8" spans="1:17" x14ac:dyDescent="0.2">
      <c r="E8" s="80"/>
      <c r="F8">
        <v>2022</v>
      </c>
      <c r="G8" s="15">
        <v>23</v>
      </c>
      <c r="H8" s="15">
        <v>74</v>
      </c>
      <c r="I8" s="15">
        <v>4</v>
      </c>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v>
      </c>
    </row>
    <row r="4" spans="1:17" x14ac:dyDescent="0.2">
      <c r="A4" s="16" t="s">
        <v>7</v>
      </c>
      <c r="B4" t="str">
        <f>IF($B$1="","",_xlfn.XLOOKUP($B$1,Master!$F$2:$F$321,Master!$H$2:$H$321,""))</f>
        <v>fig-siena-had-covid</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63</v>
      </c>
      <c r="H6" s="15">
        <v>33</v>
      </c>
      <c r="I6" s="15">
        <v>2</v>
      </c>
      <c r="J6" s="63"/>
      <c r="K6" s="63"/>
      <c r="L6" s="15"/>
      <c r="M6" s="15"/>
      <c r="N6" s="15"/>
      <c r="O6" s="15"/>
    </row>
    <row r="7" spans="1:17" ht="15.75" customHeight="1" x14ac:dyDescent="0.2">
      <c r="E7" s="80"/>
      <c r="F7">
        <v>2023</v>
      </c>
      <c r="G7" s="15">
        <v>62</v>
      </c>
      <c r="H7" s="15">
        <v>35</v>
      </c>
      <c r="I7" s="15">
        <v>3</v>
      </c>
      <c r="J7" s="63"/>
      <c r="K7" s="63"/>
      <c r="L7" s="15"/>
      <c r="M7" s="15"/>
      <c r="N7" s="15"/>
      <c r="O7" s="15"/>
    </row>
    <row r="8" spans="1:17" x14ac:dyDescent="0.2">
      <c r="E8" s="80"/>
      <c r="F8">
        <v>2022</v>
      </c>
      <c r="G8" s="15">
        <v>37</v>
      </c>
      <c r="H8" s="15">
        <v>58</v>
      </c>
      <c r="I8" s="15">
        <v>5</v>
      </c>
      <c r="J8" s="63"/>
      <c r="K8" s="63"/>
      <c r="L8" s="15"/>
      <c r="M8" s="15"/>
      <c r="N8" s="15"/>
      <c r="O8" s="15"/>
    </row>
    <row r="9" spans="1:17" x14ac:dyDescent="0.2">
      <c r="A9" s="84" t="s">
        <v>1098</v>
      </c>
      <c r="B9" s="80"/>
      <c r="E9" s="80"/>
      <c r="G9" s="15"/>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v>
      </c>
    </row>
    <row r="4" spans="1:17" x14ac:dyDescent="0.2">
      <c r="A4" s="16" t="s">
        <v>7</v>
      </c>
      <c r="B4" t="str">
        <f>IF($B$1="","",_xlfn.XLOOKUP($B$1,Master!$F$2:$F$321,Master!$H$2:$H$321,""))</f>
        <v>fig-siena-routine-mh-visit</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22</v>
      </c>
      <c r="H6" s="15">
        <v>78</v>
      </c>
      <c r="I6" s="15"/>
      <c r="J6" s="63"/>
      <c r="K6" s="63"/>
      <c r="L6" s="15"/>
      <c r="M6" s="15"/>
      <c r="N6" s="15"/>
      <c r="O6" s="15"/>
    </row>
    <row r="7" spans="1:17" ht="15.75" customHeight="1" x14ac:dyDescent="0.2">
      <c r="E7" s="80"/>
      <c r="F7">
        <v>2023</v>
      </c>
      <c r="G7" s="15">
        <v>22</v>
      </c>
      <c r="H7" s="15">
        <v>78</v>
      </c>
      <c r="I7" s="15"/>
      <c r="J7" s="63"/>
      <c r="K7" s="63"/>
      <c r="L7" s="15"/>
      <c r="M7" s="15"/>
      <c r="N7" s="15"/>
      <c r="O7" s="15"/>
    </row>
    <row r="8" spans="1:17" x14ac:dyDescent="0.2">
      <c r="E8" s="80"/>
      <c r="F8">
        <v>2022</v>
      </c>
      <c r="G8" s="15">
        <v>17</v>
      </c>
      <c r="H8" s="15">
        <v>83</v>
      </c>
      <c r="I8" s="15"/>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v>
      </c>
    </row>
    <row r="4" spans="1:17" x14ac:dyDescent="0.2">
      <c r="A4" s="16" t="s">
        <v>7</v>
      </c>
      <c r="B4" t="str">
        <f>IF($B$1="","",_xlfn.XLOOKUP($B$1,Master!$F$2:$F$321,Master!$H$2:$H$321,""))</f>
        <v>fig-siena-ed-not-for-emergency</v>
      </c>
      <c r="E4" s="8"/>
      <c r="F4" s="10" t="s">
        <v>1009</v>
      </c>
      <c r="G4" s="10" t="s">
        <v>979</v>
      </c>
      <c r="H4" s="10" t="s">
        <v>979</v>
      </c>
      <c r="I4" s="10" t="s">
        <v>979</v>
      </c>
      <c r="J4" s="10"/>
      <c r="K4" s="10"/>
      <c r="L4" s="10"/>
      <c r="M4" s="10"/>
      <c r="N4" s="10"/>
      <c r="O4" s="10"/>
      <c r="P4" s="10"/>
      <c r="Q4" s="10"/>
    </row>
    <row r="5" spans="1:17" x14ac:dyDescent="0.2">
      <c r="A5" s="84" t="s">
        <v>1081</v>
      </c>
      <c r="B5" s="80"/>
      <c r="E5" s="83" t="s">
        <v>1082</v>
      </c>
      <c r="G5" t="s">
        <v>2210</v>
      </c>
      <c r="H5" t="s">
        <v>2211</v>
      </c>
      <c r="I5" t="s">
        <v>2178</v>
      </c>
    </row>
    <row r="6" spans="1:17" ht="15" customHeight="1" x14ac:dyDescent="0.2">
      <c r="A6" t="s">
        <v>1088</v>
      </c>
      <c r="B6" t="b">
        <v>0</v>
      </c>
      <c r="E6" s="80"/>
      <c r="F6">
        <v>2024</v>
      </c>
      <c r="G6" s="15">
        <v>8</v>
      </c>
      <c r="H6" s="15">
        <v>92</v>
      </c>
      <c r="I6" s="15"/>
      <c r="J6" s="15"/>
      <c r="K6" s="15"/>
      <c r="L6" s="15"/>
      <c r="M6" s="15"/>
      <c r="N6" s="15"/>
      <c r="O6" s="15"/>
    </row>
    <row r="7" spans="1:17" ht="15.75" customHeight="1" x14ac:dyDescent="0.2">
      <c r="E7" s="80"/>
      <c r="F7">
        <v>2023</v>
      </c>
      <c r="G7" s="15">
        <v>10</v>
      </c>
      <c r="H7" s="15">
        <v>90</v>
      </c>
      <c r="I7" s="15"/>
      <c r="J7" s="15"/>
      <c r="K7" s="15"/>
      <c r="L7" s="15"/>
      <c r="M7" s="15"/>
      <c r="N7" s="15"/>
      <c r="O7" s="15"/>
    </row>
    <row r="8" spans="1:17" x14ac:dyDescent="0.2">
      <c r="E8" s="80"/>
      <c r="F8">
        <v>2022</v>
      </c>
      <c r="G8" s="15">
        <v>9</v>
      </c>
      <c r="H8" s="15">
        <v>90</v>
      </c>
      <c r="I8" s="15"/>
      <c r="J8" s="15"/>
      <c r="K8" s="15"/>
      <c r="L8" s="15"/>
      <c r="M8" s="15"/>
      <c r="N8" s="15"/>
      <c r="O8" s="15"/>
    </row>
    <row r="9" spans="1:17" x14ac:dyDescent="0.2">
      <c r="A9" s="84" t="s">
        <v>1098</v>
      </c>
      <c r="B9" s="80"/>
      <c r="E9" s="80"/>
      <c r="F9">
        <v>2018</v>
      </c>
      <c r="G9" s="15">
        <v>9</v>
      </c>
      <c r="H9" s="15">
        <v>90</v>
      </c>
      <c r="I9" s="15">
        <v>1</v>
      </c>
      <c r="J9" s="15"/>
      <c r="K9" s="15"/>
      <c r="L9" s="15"/>
      <c r="M9" s="15"/>
      <c r="N9" s="15"/>
      <c r="O9" s="15"/>
    </row>
    <row r="10" spans="1:17" x14ac:dyDescent="0.2">
      <c r="A10" t="s">
        <v>1100</v>
      </c>
      <c r="B10" t="s">
        <v>2071</v>
      </c>
      <c r="E10" s="80"/>
      <c r="G10" s="15"/>
    </row>
    <row r="11" spans="1:17" x14ac:dyDescent="0.2">
      <c r="A11" t="s">
        <v>1102</v>
      </c>
      <c r="B11" t="s">
        <v>2180</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v>
      </c>
    </row>
    <row r="4" spans="1:17" x14ac:dyDescent="0.2">
      <c r="A4" s="16" t="s">
        <v>7</v>
      </c>
      <c r="B4" t="str">
        <f>IF($B$1="","",_xlfn.XLOOKUP($B$1,Master!$F$2:$F$321,Master!$H$2:$H$321,""))</f>
        <v>fig-siena-routine-dentist</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68</v>
      </c>
      <c r="H6" s="15">
        <v>32</v>
      </c>
      <c r="I6" s="15"/>
      <c r="J6" s="63"/>
      <c r="K6" s="63"/>
      <c r="L6" s="15"/>
      <c r="M6" s="15"/>
      <c r="N6" s="15"/>
      <c r="O6" s="15"/>
    </row>
    <row r="7" spans="1:17" ht="15.75" customHeight="1" x14ac:dyDescent="0.2">
      <c r="E7" s="80"/>
      <c r="F7">
        <v>2023</v>
      </c>
      <c r="G7" s="15">
        <v>63</v>
      </c>
      <c r="H7" s="15">
        <v>37</v>
      </c>
      <c r="I7" s="15"/>
      <c r="J7" s="63"/>
      <c r="K7" s="63"/>
      <c r="L7" s="15"/>
      <c r="M7" s="15"/>
      <c r="N7" s="15"/>
      <c r="O7" s="15"/>
    </row>
    <row r="8" spans="1:17" x14ac:dyDescent="0.2">
      <c r="E8" s="80"/>
      <c r="F8">
        <v>2022</v>
      </c>
      <c r="G8" s="15">
        <v>63</v>
      </c>
      <c r="H8" s="15">
        <v>36</v>
      </c>
      <c r="I8" s="15">
        <v>1</v>
      </c>
      <c r="J8" s="63"/>
      <c r="K8" s="63"/>
      <c r="L8" s="15"/>
      <c r="M8" s="15"/>
      <c r="N8" s="15"/>
      <c r="O8" s="15"/>
    </row>
    <row r="9" spans="1:17" x14ac:dyDescent="0.2">
      <c r="A9" s="84" t="s">
        <v>1098</v>
      </c>
      <c r="B9" s="80"/>
      <c r="E9" s="80"/>
      <c r="F9">
        <v>2018</v>
      </c>
      <c r="G9" s="15">
        <v>70</v>
      </c>
      <c r="H9" s="15">
        <v>30</v>
      </c>
      <c r="I9" s="15"/>
      <c r="J9" s="63"/>
      <c r="K9" s="63"/>
      <c r="L9" s="15"/>
      <c r="M9" s="15"/>
      <c r="N9" s="15"/>
      <c r="O9" s="15"/>
    </row>
    <row r="10" spans="1:17" x14ac:dyDescent="0.2">
      <c r="A10" t="s">
        <v>1100</v>
      </c>
      <c r="B10" t="s">
        <v>2071</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v>
      </c>
    </row>
    <row r="4" spans="1:17" x14ac:dyDescent="0.2">
      <c r="A4" s="16" t="s">
        <v>7</v>
      </c>
      <c r="B4" t="str">
        <f>IF($B$1="","",_xlfn.XLOOKUP($B$1,Master!$F$2:$F$321,Master!$H$2:$H$321,""))</f>
        <v>fig-siena-routine-physical</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79</v>
      </c>
      <c r="H6" s="15">
        <v>21</v>
      </c>
      <c r="I6" s="15"/>
      <c r="J6" s="15"/>
      <c r="K6" s="15"/>
      <c r="L6" s="15"/>
      <c r="M6" s="15"/>
      <c r="N6" s="15"/>
      <c r="O6" s="15"/>
    </row>
    <row r="7" spans="1:17" ht="15.75" customHeight="1" x14ac:dyDescent="0.2">
      <c r="E7" s="80"/>
      <c r="F7">
        <v>2023</v>
      </c>
      <c r="G7" s="15">
        <v>78</v>
      </c>
      <c r="H7" s="15">
        <v>22</v>
      </c>
      <c r="I7" s="15"/>
      <c r="J7" s="15"/>
      <c r="K7" s="15"/>
      <c r="L7" s="15"/>
      <c r="M7" s="15"/>
      <c r="N7" s="15"/>
      <c r="O7" s="15"/>
    </row>
    <row r="8" spans="1:17" x14ac:dyDescent="0.2">
      <c r="E8" s="80"/>
      <c r="F8">
        <v>2022</v>
      </c>
      <c r="G8" s="15">
        <v>75</v>
      </c>
      <c r="H8" s="15">
        <v>24</v>
      </c>
      <c r="I8" s="15">
        <v>1</v>
      </c>
      <c r="J8" s="15"/>
      <c r="K8" s="15"/>
      <c r="L8" s="15"/>
      <c r="M8" s="15"/>
      <c r="N8" s="15"/>
      <c r="O8" s="15"/>
    </row>
    <row r="9" spans="1:17" x14ac:dyDescent="0.2">
      <c r="A9" s="84" t="s">
        <v>1098</v>
      </c>
      <c r="B9" s="80"/>
      <c r="E9" s="80"/>
      <c r="F9">
        <v>2018</v>
      </c>
      <c r="G9" s="15">
        <v>82</v>
      </c>
      <c r="H9" s="15">
        <v>17</v>
      </c>
      <c r="I9" s="15">
        <v>1</v>
      </c>
      <c r="J9" s="15"/>
      <c r="K9" s="15"/>
      <c r="L9" s="15"/>
      <c r="M9" s="15"/>
      <c r="N9" s="15"/>
      <c r="O9" s="15"/>
    </row>
    <row r="10" spans="1:17" x14ac:dyDescent="0.2">
      <c r="A10" t="s">
        <v>1100</v>
      </c>
      <c r="B10" t="s">
        <v>2071</v>
      </c>
      <c r="E10" s="80"/>
      <c r="G10" s="15"/>
    </row>
    <row r="11" spans="1:17" x14ac:dyDescent="0.2">
      <c r="A11" t="s">
        <v>1102</v>
      </c>
      <c r="B11" t="s">
        <v>2180</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v>
      </c>
    </row>
    <row r="4" spans="1:17" x14ac:dyDescent="0.2">
      <c r="A4" s="16" t="s">
        <v>7</v>
      </c>
      <c r="B4" t="str">
        <f>IF($B$1="","",_xlfn.XLOOKUP($B$1,Master!$F$2:$F$321,Master!$H$2:$H$321,""))</f>
        <v>fig-siena-unable-childcare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9</v>
      </c>
      <c r="H6" s="15">
        <v>82</v>
      </c>
      <c r="I6" s="15">
        <v>5</v>
      </c>
      <c r="J6" s="15"/>
      <c r="K6" s="15"/>
      <c r="L6" s="15"/>
      <c r="M6" s="15"/>
      <c r="N6" s="15"/>
      <c r="O6" s="15"/>
    </row>
    <row r="7" spans="1:17" ht="15.75" customHeight="1" x14ac:dyDescent="0.2">
      <c r="E7" s="80"/>
      <c r="F7">
        <v>2023</v>
      </c>
      <c r="G7" s="15">
        <v>9</v>
      </c>
      <c r="H7" s="15">
        <v>82</v>
      </c>
      <c r="I7" s="15">
        <v>10</v>
      </c>
      <c r="J7" s="15"/>
      <c r="K7" s="15"/>
      <c r="L7" s="15"/>
      <c r="M7" s="15"/>
      <c r="N7" s="15"/>
      <c r="O7" s="15"/>
    </row>
    <row r="8" spans="1:17" x14ac:dyDescent="0.2">
      <c r="E8" s="80"/>
      <c r="F8">
        <v>2022</v>
      </c>
      <c r="G8" s="15">
        <v>11</v>
      </c>
      <c r="H8" s="15">
        <v>80</v>
      </c>
      <c r="I8" s="15">
        <v>10</v>
      </c>
      <c r="J8" s="15"/>
      <c r="K8" s="15"/>
      <c r="L8" s="15"/>
      <c r="M8" s="15"/>
      <c r="N8" s="15"/>
      <c r="O8" s="15"/>
    </row>
    <row r="9" spans="1:17" x14ac:dyDescent="0.2">
      <c r="A9" s="84" t="s">
        <v>1098</v>
      </c>
      <c r="B9" s="80"/>
      <c r="E9" s="80"/>
      <c r="F9">
        <v>2018</v>
      </c>
      <c r="G9" s="15">
        <v>6</v>
      </c>
      <c r="H9" s="15">
        <v>85</v>
      </c>
      <c r="I9" s="15">
        <v>9</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v>
      </c>
    </row>
    <row r="4" spans="1:17" x14ac:dyDescent="0.2">
      <c r="A4" s="16" t="s">
        <v>7</v>
      </c>
      <c r="B4" t="str">
        <f>IF($B$1="","",_xlfn.XLOOKUP($B$1,Master!$F$2:$F$321,Master!$H$2:$H$321,""))</f>
        <v>fig-siena-unable-housing</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14</v>
      </c>
      <c r="H6" s="15">
        <v>86</v>
      </c>
      <c r="I6" s="15"/>
      <c r="J6" s="15"/>
      <c r="K6" s="15"/>
      <c r="L6" s="15"/>
      <c r="M6" s="15"/>
      <c r="N6" s="15"/>
      <c r="O6" s="15"/>
    </row>
    <row r="7" spans="1:17" ht="15.75" customHeight="1" x14ac:dyDescent="0.2">
      <c r="E7" s="80"/>
      <c r="F7">
        <v>2023</v>
      </c>
      <c r="G7" s="15">
        <v>12</v>
      </c>
      <c r="H7" s="15">
        <v>87</v>
      </c>
      <c r="I7" s="15">
        <v>1</v>
      </c>
      <c r="J7" s="15"/>
      <c r="K7" s="15"/>
      <c r="L7" s="15"/>
      <c r="M7" s="15"/>
      <c r="N7" s="15"/>
      <c r="O7" s="15"/>
    </row>
    <row r="8" spans="1:17" x14ac:dyDescent="0.2">
      <c r="E8" s="80"/>
      <c r="F8">
        <v>2022</v>
      </c>
      <c r="G8" s="15">
        <v>13</v>
      </c>
      <c r="H8" s="15">
        <v>87</v>
      </c>
      <c r="I8" s="15"/>
      <c r="J8" s="15"/>
      <c r="K8" s="15"/>
      <c r="L8" s="15"/>
      <c r="M8" s="15"/>
      <c r="N8" s="15"/>
      <c r="O8" s="15"/>
    </row>
    <row r="9" spans="1:17" x14ac:dyDescent="0.2">
      <c r="A9" s="84" t="s">
        <v>1098</v>
      </c>
      <c r="B9" s="80"/>
      <c r="E9" s="80"/>
      <c r="F9">
        <v>2018</v>
      </c>
      <c r="G9" s="15">
        <v>14</v>
      </c>
      <c r="H9" s="15">
        <v>85</v>
      </c>
      <c r="I9" s="15">
        <v>1</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4" t="s">
        <v>1098</v>
      </c>
      <c r="B9" s="80"/>
      <c r="E9" s="80"/>
      <c r="F9">
        <v>2018</v>
      </c>
      <c r="G9" s="15">
        <v>16</v>
      </c>
      <c r="H9" s="15">
        <v>83</v>
      </c>
      <c r="I9" s="15">
        <v>1</v>
      </c>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v>
      </c>
    </row>
    <row r="4" spans="1:17" x14ac:dyDescent="0.2">
      <c r="A4" s="16" t="s">
        <v>7</v>
      </c>
      <c r="B4" t="str">
        <f>IF($B$1="","",_xlfn.XLOOKUP($B$1,Master!$F$2:$F$321,Master!$H$2:$H$321,""))</f>
        <v>fig-siena-unable-phone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16</v>
      </c>
      <c r="H7" s="15">
        <v>84</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4" t="s">
        <v>1098</v>
      </c>
      <c r="B9" s="80"/>
      <c r="E9" s="80"/>
      <c r="F9">
        <v>2018</v>
      </c>
      <c r="G9" s="15">
        <v>12</v>
      </c>
      <c r="H9" s="15">
        <v>87</v>
      </c>
      <c r="I9" s="15">
        <v>1</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v>
      </c>
    </row>
    <row r="4" spans="1:17" x14ac:dyDescent="0.2">
      <c r="A4" s="16" t="s">
        <v>7</v>
      </c>
      <c r="B4" t="str">
        <f>IF($B$1="","",_xlfn.XLOOKUP($B$1,Master!$F$2:$F$321,Master!$H$2:$H$321,""))</f>
        <v>fig-siena-unable-dental-vision</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21</v>
      </c>
      <c r="H6" s="15">
        <v>78</v>
      </c>
      <c r="I6" s="15">
        <v>1</v>
      </c>
      <c r="J6" s="15"/>
      <c r="K6" s="15"/>
      <c r="L6" s="15"/>
      <c r="M6" s="15"/>
      <c r="N6" s="15"/>
      <c r="O6" s="15"/>
    </row>
    <row r="7" spans="1:17" ht="15.75" customHeight="1" x14ac:dyDescent="0.2">
      <c r="E7" s="80"/>
      <c r="F7">
        <v>2023</v>
      </c>
      <c r="G7" s="15">
        <v>21</v>
      </c>
      <c r="H7" s="15">
        <v>79</v>
      </c>
      <c r="I7" s="15"/>
      <c r="J7" s="15"/>
      <c r="K7" s="15"/>
      <c r="L7" s="15"/>
      <c r="M7" s="15"/>
      <c r="N7" s="15"/>
      <c r="O7" s="15"/>
    </row>
    <row r="8" spans="1:17" x14ac:dyDescent="0.2">
      <c r="E8" s="80"/>
      <c r="F8">
        <v>2022</v>
      </c>
      <c r="G8" s="15">
        <v>21</v>
      </c>
      <c r="H8" s="15">
        <v>78</v>
      </c>
      <c r="I8" s="15">
        <v>1</v>
      </c>
      <c r="J8" s="15"/>
      <c r="K8" s="15"/>
      <c r="L8" s="15"/>
      <c r="M8" s="15"/>
      <c r="N8" s="15"/>
      <c r="O8" s="15"/>
    </row>
    <row r="9" spans="1:17" x14ac:dyDescent="0.2">
      <c r="A9" s="84" t="s">
        <v>1098</v>
      </c>
      <c r="B9" s="80"/>
      <c r="E9" s="80"/>
      <c r="F9">
        <v>2018</v>
      </c>
      <c r="G9" s="15">
        <v>16</v>
      </c>
      <c r="H9" s="15">
        <v>83</v>
      </c>
      <c r="I9" s="15">
        <v>1</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v>
      </c>
    </row>
    <row r="4" spans="1:17" x14ac:dyDescent="0.2">
      <c r="A4" s="16" t="s">
        <v>7</v>
      </c>
      <c r="B4" t="str">
        <f>IF($B$1="","",_xlfn.XLOOKUP($B$1,Master!$F$2:$F$321,Master!$H$2:$H$321,""))</f>
        <v>fig-siena-unable-utilities</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15</v>
      </c>
      <c r="H6" s="15">
        <v>85</v>
      </c>
      <c r="I6" s="15"/>
      <c r="J6" s="15"/>
      <c r="K6" s="15"/>
      <c r="L6" s="15"/>
      <c r="M6" s="15"/>
      <c r="N6" s="15"/>
      <c r="O6" s="15"/>
    </row>
    <row r="7" spans="1:17" ht="15.75" customHeight="1" x14ac:dyDescent="0.2">
      <c r="E7" s="80"/>
      <c r="F7">
        <v>2023</v>
      </c>
      <c r="G7" s="15">
        <v>14</v>
      </c>
      <c r="H7" s="15">
        <v>86</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4" t="s">
        <v>1098</v>
      </c>
      <c r="B9" s="80"/>
      <c r="E9" s="80"/>
      <c r="F9">
        <v>2018</v>
      </c>
      <c r="G9" s="15">
        <v>16</v>
      </c>
      <c r="H9" s="15">
        <v>83</v>
      </c>
      <c r="I9" s="15">
        <v>1</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v>
      </c>
    </row>
    <row r="4" spans="1:17" x14ac:dyDescent="0.2">
      <c r="A4" s="16" t="s">
        <v>7</v>
      </c>
      <c r="B4" t="str">
        <f>IF($B$1="","",_xlfn.XLOOKUP($B$1,Master!$F$2:$F$321,Master!$H$2:$H$321,""))</f>
        <v>fig-siena-unable-food</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2210</v>
      </c>
      <c r="H5" t="s">
        <v>2211</v>
      </c>
      <c r="I5" t="s">
        <v>2178</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15</v>
      </c>
      <c r="H7" s="15">
        <v>84</v>
      </c>
      <c r="I7" s="15">
        <v>1</v>
      </c>
      <c r="J7" s="15"/>
      <c r="K7" s="15"/>
      <c r="L7" s="15"/>
      <c r="M7" s="15"/>
      <c r="N7" s="15"/>
      <c r="O7" s="15"/>
    </row>
    <row r="8" spans="1:17" x14ac:dyDescent="0.2">
      <c r="E8" s="80"/>
      <c r="F8">
        <v>2022</v>
      </c>
      <c r="G8" s="15">
        <v>12</v>
      </c>
      <c r="H8" s="15">
        <v>88</v>
      </c>
      <c r="I8" s="15"/>
      <c r="J8" s="15"/>
      <c r="K8" s="15"/>
      <c r="L8" s="15"/>
      <c r="M8" s="15"/>
      <c r="N8" s="15"/>
      <c r="O8" s="15"/>
    </row>
    <row r="9" spans="1:17" x14ac:dyDescent="0.2">
      <c r="A9" s="84" t="s">
        <v>1098</v>
      </c>
      <c r="B9" s="80"/>
      <c r="E9" s="80"/>
      <c r="F9">
        <v>2018</v>
      </c>
      <c r="G9" s="15">
        <v>11</v>
      </c>
      <c r="H9" s="15">
        <v>89</v>
      </c>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v>
      </c>
    </row>
    <row r="4" spans="1:17" x14ac:dyDescent="0.2">
      <c r="A4" s="16" t="s">
        <v>7</v>
      </c>
      <c r="B4" t="str">
        <f>IF($B$1="","",_xlfn.XLOOKUP($B$1,Master!$F$2:$F$321,Master!$H$2:$H$321,""))</f>
        <v>fig-siena-cannabis</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t="s">
        <v>2207</v>
      </c>
      <c r="H5" t="s">
        <v>2208</v>
      </c>
      <c r="I5" t="s">
        <v>2209</v>
      </c>
      <c r="J5" t="s">
        <v>2250</v>
      </c>
    </row>
    <row r="6" spans="1:17" ht="15" customHeight="1" x14ac:dyDescent="0.2">
      <c r="A6" t="s">
        <v>1088</v>
      </c>
      <c r="B6" t="b">
        <v>0</v>
      </c>
      <c r="E6" s="80"/>
      <c r="F6">
        <v>2024</v>
      </c>
      <c r="G6" s="15">
        <v>6</v>
      </c>
      <c r="H6" s="15">
        <v>12</v>
      </c>
      <c r="I6" s="15">
        <v>80</v>
      </c>
      <c r="J6" s="15">
        <v>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v>
      </c>
    </row>
    <row r="4" spans="1:17" x14ac:dyDescent="0.2">
      <c r="A4" s="16" t="s">
        <v>7</v>
      </c>
      <c r="B4" t="str">
        <f>IF($B$1="","",_xlfn.XLOOKUP($B$1,Master!$F$2:$F$321,Master!$H$2:$H$321,""))</f>
        <v>fig-siena-non-medical-drug-use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2202</v>
      </c>
      <c r="H5" t="s">
        <v>2203</v>
      </c>
      <c r="I5" t="s">
        <v>2204</v>
      </c>
      <c r="J5" t="s">
        <v>2205</v>
      </c>
      <c r="K5" t="s">
        <v>2206</v>
      </c>
      <c r="L5" t="s">
        <v>2178</v>
      </c>
    </row>
    <row r="6" spans="1:17" ht="15" customHeight="1" x14ac:dyDescent="0.2">
      <c r="A6" t="s">
        <v>1088</v>
      </c>
      <c r="B6" t="b">
        <v>0</v>
      </c>
      <c r="E6" s="80"/>
      <c r="F6">
        <v>2024</v>
      </c>
      <c r="G6" s="15">
        <v>78</v>
      </c>
      <c r="H6" s="15">
        <v>7</v>
      </c>
      <c r="I6" s="15">
        <v>4</v>
      </c>
      <c r="J6" s="15">
        <v>2</v>
      </c>
      <c r="K6" s="15">
        <v>8</v>
      </c>
      <c r="L6" s="15"/>
      <c r="M6" s="15"/>
      <c r="N6" s="15"/>
      <c r="O6" s="15"/>
    </row>
    <row r="7" spans="1:17" ht="15.75" customHeight="1" x14ac:dyDescent="0.2">
      <c r="E7" s="80"/>
      <c r="F7">
        <v>2023</v>
      </c>
      <c r="G7" s="15">
        <v>73</v>
      </c>
      <c r="H7" s="15">
        <v>9</v>
      </c>
      <c r="I7" s="15">
        <v>4</v>
      </c>
      <c r="J7" s="15">
        <v>3</v>
      </c>
      <c r="K7" s="15">
        <v>9</v>
      </c>
      <c r="L7" s="15">
        <v>2</v>
      </c>
      <c r="M7" s="15"/>
      <c r="N7" s="15"/>
      <c r="O7" s="15"/>
    </row>
    <row r="8" spans="1:17" x14ac:dyDescent="0.2">
      <c r="E8" s="80"/>
      <c r="F8">
        <v>2022</v>
      </c>
      <c r="G8" s="15">
        <v>76</v>
      </c>
      <c r="H8" s="15">
        <v>6</v>
      </c>
      <c r="I8" s="15">
        <v>4</v>
      </c>
      <c r="J8" s="15">
        <v>3</v>
      </c>
      <c r="K8" s="15">
        <v>10</v>
      </c>
      <c r="L8" s="15">
        <v>1</v>
      </c>
      <c r="M8" s="15"/>
      <c r="N8" s="15"/>
      <c r="O8" s="15"/>
    </row>
    <row r="9" spans="1:17" x14ac:dyDescent="0.2">
      <c r="A9" s="84" t="s">
        <v>1098</v>
      </c>
      <c r="B9" s="80"/>
      <c r="E9" s="80"/>
      <c r="F9">
        <v>2018</v>
      </c>
      <c r="G9" s="15">
        <v>91</v>
      </c>
      <c r="H9" s="15">
        <v>2</v>
      </c>
      <c r="I9" s="15">
        <v>1</v>
      </c>
      <c r="J9" s="15">
        <v>1</v>
      </c>
      <c r="K9" s="15">
        <v>1</v>
      </c>
      <c r="L9" s="15">
        <v>4</v>
      </c>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v>
      </c>
    </row>
    <row r="4" spans="1:17" x14ac:dyDescent="0.2">
      <c r="A4" s="16" t="s">
        <v>7</v>
      </c>
      <c r="B4" t="str">
        <f>IF($B$1="","",_xlfn.XLOOKUP($B$1,Master!$F$2:$F$321,Master!$H$2:$H$321,""))</f>
        <v>fig-siena-alcohol</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2202</v>
      </c>
      <c r="H5" t="s">
        <v>2203</v>
      </c>
      <c r="I5" t="s">
        <v>2204</v>
      </c>
      <c r="J5" t="s">
        <v>2205</v>
      </c>
      <c r="K5" t="s">
        <v>2206</v>
      </c>
      <c r="L5" t="s">
        <v>2178</v>
      </c>
    </row>
    <row r="6" spans="1:17" ht="15" customHeight="1" x14ac:dyDescent="0.2">
      <c r="A6" t="s">
        <v>1088</v>
      </c>
      <c r="B6" t="b">
        <v>0</v>
      </c>
      <c r="E6" s="80"/>
      <c r="F6">
        <v>2024</v>
      </c>
      <c r="G6" s="15">
        <v>34</v>
      </c>
      <c r="H6" s="15">
        <v>23</v>
      </c>
      <c r="I6" s="15">
        <v>21</v>
      </c>
      <c r="J6" s="15">
        <v>17</v>
      </c>
      <c r="K6" s="15">
        <v>4</v>
      </c>
      <c r="L6" s="15"/>
      <c r="M6" s="15"/>
      <c r="N6" s="15"/>
      <c r="O6" s="15"/>
    </row>
    <row r="7" spans="1:17" ht="15.75" customHeight="1" x14ac:dyDescent="0.2">
      <c r="E7" s="80"/>
      <c r="F7">
        <v>2023</v>
      </c>
      <c r="G7" s="15">
        <v>29</v>
      </c>
      <c r="H7" s="15">
        <v>23</v>
      </c>
      <c r="I7" s="15">
        <v>21</v>
      </c>
      <c r="J7" s="15">
        <v>21</v>
      </c>
      <c r="K7" s="15">
        <v>5</v>
      </c>
      <c r="L7" s="15">
        <v>1</v>
      </c>
      <c r="M7" s="15"/>
      <c r="N7" s="15"/>
      <c r="O7" s="15"/>
    </row>
    <row r="8" spans="1:17" x14ac:dyDescent="0.2">
      <c r="E8" s="80"/>
      <c r="F8">
        <v>2022</v>
      </c>
      <c r="G8" s="15">
        <v>33</v>
      </c>
      <c r="H8" s="15">
        <v>22</v>
      </c>
      <c r="I8" s="15">
        <v>18</v>
      </c>
      <c r="J8" s="15">
        <v>19</v>
      </c>
      <c r="K8" s="15">
        <v>7</v>
      </c>
      <c r="L8" s="15">
        <v>1</v>
      </c>
      <c r="M8" s="15"/>
      <c r="N8" s="15"/>
      <c r="O8" s="15"/>
    </row>
    <row r="9" spans="1:17" x14ac:dyDescent="0.2">
      <c r="A9" s="84"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v>
      </c>
    </row>
    <row r="4" spans="1:17" x14ac:dyDescent="0.2">
      <c r="A4" s="16" t="s">
        <v>7</v>
      </c>
      <c r="B4" t="str">
        <f>IF($B$1="","",_xlfn.XLOOKUP($B$1,Master!$F$2:$F$321,Master!$H$2:$H$321,""))</f>
        <v>fig-siena-quality-encounter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2198</v>
      </c>
      <c r="H5" t="s">
        <v>2199</v>
      </c>
      <c r="I5" t="s">
        <v>2200</v>
      </c>
      <c r="J5" t="s">
        <v>2201</v>
      </c>
      <c r="K5" t="s">
        <v>2178</v>
      </c>
    </row>
    <row r="6" spans="1:17" ht="15" customHeight="1" x14ac:dyDescent="0.2">
      <c r="A6" t="s">
        <v>1088</v>
      </c>
      <c r="B6" t="b">
        <v>0</v>
      </c>
      <c r="E6" s="80"/>
      <c r="F6">
        <v>2024</v>
      </c>
      <c r="G6" s="15">
        <v>8</v>
      </c>
      <c r="H6" s="15">
        <v>22</v>
      </c>
      <c r="I6" s="15">
        <v>31</v>
      </c>
      <c r="J6" s="15">
        <v>38</v>
      </c>
      <c r="K6" s="15">
        <v>1</v>
      </c>
      <c r="L6" s="15"/>
      <c r="M6" s="15"/>
      <c r="N6" s="15"/>
      <c r="O6" s="15"/>
    </row>
    <row r="7" spans="1:17" ht="15.75" customHeight="1" x14ac:dyDescent="0.2">
      <c r="E7" s="80"/>
      <c r="F7">
        <v>2023</v>
      </c>
      <c r="G7" s="15">
        <v>9</v>
      </c>
      <c r="H7" s="15">
        <v>18</v>
      </c>
      <c r="I7" s="15">
        <v>27</v>
      </c>
      <c r="J7" s="15">
        <v>44</v>
      </c>
      <c r="K7" s="15">
        <v>2</v>
      </c>
      <c r="L7" s="15"/>
      <c r="M7" s="15"/>
      <c r="N7" s="15"/>
      <c r="O7" s="15"/>
    </row>
    <row r="8" spans="1:17" x14ac:dyDescent="0.2">
      <c r="E8" s="80"/>
      <c r="F8">
        <v>2022</v>
      </c>
      <c r="G8" s="15">
        <v>12</v>
      </c>
      <c r="H8" s="15">
        <v>22</v>
      </c>
      <c r="I8" s="15">
        <v>26</v>
      </c>
      <c r="J8" s="15">
        <v>38</v>
      </c>
      <c r="K8" s="15">
        <v>2</v>
      </c>
      <c r="L8" s="15"/>
      <c r="M8" s="15"/>
      <c r="N8" s="15"/>
      <c r="O8" s="15"/>
    </row>
    <row r="9" spans="1:17" x14ac:dyDescent="0.2">
      <c r="A9" s="84" t="s">
        <v>1098</v>
      </c>
      <c r="B9" s="80"/>
      <c r="E9" s="80"/>
      <c r="F9">
        <v>2018</v>
      </c>
      <c r="G9" s="15">
        <v>8</v>
      </c>
      <c r="H9" s="15">
        <v>13</v>
      </c>
      <c r="I9" s="15">
        <v>25</v>
      </c>
      <c r="J9" s="15">
        <v>53</v>
      </c>
      <c r="K9" s="15">
        <v>1</v>
      </c>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2194</v>
      </c>
      <c r="H5" t="s">
        <v>2195</v>
      </c>
      <c r="I5" t="s">
        <v>2196</v>
      </c>
      <c r="J5" t="s">
        <v>2197</v>
      </c>
      <c r="K5" t="s">
        <v>2178</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4" t="s">
        <v>1098</v>
      </c>
      <c r="B9" s="80"/>
      <c r="E9" s="80"/>
      <c r="F9">
        <v>2018</v>
      </c>
      <c r="G9" s="15">
        <v>16</v>
      </c>
      <c r="H9" s="15">
        <v>24</v>
      </c>
      <c r="I9" s="15">
        <v>48</v>
      </c>
      <c r="J9" s="15">
        <v>12</v>
      </c>
      <c r="K9" s="15"/>
      <c r="L9" s="15"/>
      <c r="M9" s="15"/>
      <c r="N9" s="15"/>
      <c r="O9" s="15"/>
    </row>
    <row r="10" spans="1:17" x14ac:dyDescent="0.2">
      <c r="A10" t="s">
        <v>1100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2190</v>
      </c>
      <c r="H5" t="s">
        <v>2191</v>
      </c>
      <c r="I5" t="s">
        <v>2192</v>
      </c>
      <c r="J5" t="s">
        <v>2193</v>
      </c>
      <c r="K5" t="s">
        <v>2178</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v>1</v>
      </c>
      <c r="L7" s="15"/>
      <c r="M7" s="15"/>
      <c r="N7" s="15"/>
      <c r="O7" s="15"/>
    </row>
    <row r="8" spans="1:17" x14ac:dyDescent="0.2">
      <c r="E8" s="80"/>
      <c r="F8">
        <v>2022</v>
      </c>
      <c r="G8" s="15">
        <v>15</v>
      </c>
      <c r="H8" s="15">
        <v>28</v>
      </c>
      <c r="I8" s="15">
        <v>32</v>
      </c>
      <c r="J8" s="15">
        <v>24</v>
      </c>
      <c r="K8" s="15">
        <v>1</v>
      </c>
      <c r="L8" s="15"/>
      <c r="M8" s="15"/>
      <c r="N8" s="15"/>
      <c r="O8" s="15"/>
    </row>
    <row r="9" spans="1:17" x14ac:dyDescent="0.2">
      <c r="A9" s="84" t="s">
        <v>1098</v>
      </c>
      <c r="B9" s="80"/>
      <c r="E9" s="80"/>
      <c r="F9">
        <v>2018</v>
      </c>
      <c r="G9" s="15">
        <v>12</v>
      </c>
      <c r="H9" s="15">
        <v>25</v>
      </c>
      <c r="I9" s="15">
        <v>36</v>
      </c>
      <c r="J9" s="15">
        <v>26</v>
      </c>
      <c r="K9" s="15">
        <v>1</v>
      </c>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2190</v>
      </c>
      <c r="H5" t="s">
        <v>2191</v>
      </c>
      <c r="I5" t="s">
        <v>2192</v>
      </c>
      <c r="J5" t="s">
        <v>2193</v>
      </c>
      <c r="K5" t="s">
        <v>2178</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v>2</v>
      </c>
      <c r="L8" s="15"/>
      <c r="M8" s="15"/>
      <c r="N8" s="15"/>
      <c r="O8" s="15"/>
    </row>
    <row r="9" spans="1:17" x14ac:dyDescent="0.2">
      <c r="A9" s="84" t="s">
        <v>1098</v>
      </c>
      <c r="B9" s="80"/>
      <c r="E9" s="80"/>
      <c r="F9">
        <v>2018</v>
      </c>
      <c r="G9" s="15">
        <v>20</v>
      </c>
      <c r="H9" s="15">
        <v>38</v>
      </c>
      <c r="I9" s="15">
        <v>25</v>
      </c>
      <c r="J9" s="15">
        <v>15</v>
      </c>
      <c r="K9" s="15">
        <v>2</v>
      </c>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2190</v>
      </c>
      <c r="H5" t="s">
        <v>2191</v>
      </c>
      <c r="I5" t="s">
        <v>2192</v>
      </c>
      <c r="J5" t="s">
        <v>2193</v>
      </c>
      <c r="K5" t="s">
        <v>2178</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4" t="s">
        <v>1098</v>
      </c>
      <c r="B9" s="80"/>
      <c r="E9" s="80"/>
      <c r="F9">
        <v>2018</v>
      </c>
      <c r="G9" s="15">
        <v>5</v>
      </c>
      <c r="H9" s="15">
        <v>21</v>
      </c>
      <c r="I9" s="15">
        <v>40</v>
      </c>
      <c r="J9" s="15">
        <v>33</v>
      </c>
      <c r="K9" s="15">
        <v>1</v>
      </c>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2181</v>
      </c>
      <c r="H5" t="s">
        <v>2182</v>
      </c>
      <c r="I5" t="s">
        <v>2183</v>
      </c>
      <c r="J5" t="s">
        <v>2184</v>
      </c>
      <c r="K5" t="s">
        <v>2178</v>
      </c>
    </row>
    <row r="6" spans="1:17" ht="15" customHeight="1" x14ac:dyDescent="0.2">
      <c r="A6" t="s">
        <v>1088</v>
      </c>
      <c r="B6" t="b">
        <v>0</v>
      </c>
      <c r="E6" s="80"/>
      <c r="F6">
        <v>2024</v>
      </c>
      <c r="G6" s="15">
        <v>37</v>
      </c>
      <c r="H6" s="15">
        <v>42</v>
      </c>
      <c r="I6" s="15">
        <v>16</v>
      </c>
      <c r="J6" s="15">
        <v>5</v>
      </c>
      <c r="K6" s="15"/>
      <c r="L6" s="15"/>
      <c r="M6" s="15"/>
      <c r="N6" s="15"/>
      <c r="O6" s="15"/>
    </row>
    <row r="7" spans="1:17" ht="15.75" customHeight="1" x14ac:dyDescent="0.2">
      <c r="E7" s="80"/>
      <c r="F7">
        <v>2023</v>
      </c>
      <c r="G7" s="15">
        <v>35</v>
      </c>
      <c r="H7" s="15">
        <v>42</v>
      </c>
      <c r="I7" s="15">
        <v>16</v>
      </c>
      <c r="J7" s="15">
        <v>7</v>
      </c>
      <c r="K7" s="15"/>
      <c r="L7" s="15"/>
      <c r="M7" s="15"/>
      <c r="N7" s="15"/>
      <c r="O7" s="15"/>
    </row>
    <row r="8" spans="1:17" x14ac:dyDescent="0.2">
      <c r="E8" s="80"/>
      <c r="F8">
        <v>2022</v>
      </c>
      <c r="G8" s="15">
        <v>30</v>
      </c>
      <c r="H8" s="15">
        <v>45</v>
      </c>
      <c r="I8" s="15">
        <v>18</v>
      </c>
      <c r="J8" s="15">
        <v>6</v>
      </c>
      <c r="K8" s="15">
        <v>1</v>
      </c>
      <c r="L8" s="15"/>
      <c r="M8" s="15"/>
      <c r="N8" s="15"/>
      <c r="O8" s="15"/>
    </row>
    <row r="9" spans="1:17" x14ac:dyDescent="0.2">
      <c r="A9" s="84" t="s">
        <v>1098</v>
      </c>
      <c r="B9" s="80"/>
      <c r="E9" s="80"/>
      <c r="F9">
        <v>2018</v>
      </c>
      <c r="G9" s="15">
        <v>52</v>
      </c>
      <c r="H9" s="15">
        <v>32</v>
      </c>
      <c r="I9" s="15">
        <v>12</v>
      </c>
      <c r="J9" s="15">
        <v>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1009</v>
      </c>
      <c r="G4" s="51" t="s">
        <v>979</v>
      </c>
      <c r="H4" s="51" t="s">
        <v>979</v>
      </c>
      <c r="I4" s="51" t="s">
        <v>979</v>
      </c>
      <c r="J4" s="51" t="s">
        <v>979</v>
      </c>
      <c r="K4" s="10"/>
      <c r="L4" s="10"/>
      <c r="M4" s="10"/>
      <c r="N4" s="10"/>
      <c r="O4" s="10"/>
      <c r="P4" s="10"/>
      <c r="Q4" s="10"/>
    </row>
    <row r="5" spans="1:17" x14ac:dyDescent="0.2">
      <c r="A5" s="84" t="s">
        <v>1081</v>
      </c>
      <c r="B5" s="80"/>
      <c r="E5" s="83" t="s">
        <v>1082</v>
      </c>
      <c r="F5" t="s">
        <v>2163</v>
      </c>
      <c r="G5" s="15" t="s">
        <v>2181</v>
      </c>
      <c r="H5" s="15" t="s">
        <v>2182</v>
      </c>
      <c r="I5" s="15" t="s">
        <v>2183</v>
      </c>
      <c r="J5" s="15" t="s">
        <v>2184</v>
      </c>
    </row>
    <row r="6" spans="1:17" ht="15" customHeight="1" x14ac:dyDescent="0.2">
      <c r="A6" t="s">
        <v>1088</v>
      </c>
      <c r="B6" t="b">
        <v>0</v>
      </c>
      <c r="E6" s="80"/>
      <c r="F6" t="s">
        <v>2179</v>
      </c>
      <c r="G6" s="15">
        <v>27</v>
      </c>
      <c r="H6" s="15">
        <v>27</v>
      </c>
      <c r="I6" s="15">
        <v>27</v>
      </c>
      <c r="J6" s="15">
        <v>19</v>
      </c>
      <c r="K6" s="15"/>
      <c r="L6" s="15"/>
      <c r="M6" s="15"/>
      <c r="N6" s="15"/>
      <c r="O6" s="15"/>
    </row>
    <row r="7" spans="1:17" ht="15.75" customHeight="1" x14ac:dyDescent="0.2">
      <c r="E7" s="80"/>
      <c r="F7" t="s">
        <v>2165</v>
      </c>
      <c r="G7" s="15">
        <v>31</v>
      </c>
      <c r="H7" s="15">
        <v>30</v>
      </c>
      <c r="I7" s="15">
        <v>28</v>
      </c>
      <c r="J7" s="15">
        <v>10</v>
      </c>
      <c r="K7" s="15"/>
      <c r="L7" s="15"/>
      <c r="M7" s="15"/>
      <c r="N7" s="15"/>
      <c r="O7" s="15"/>
    </row>
    <row r="8" spans="1:17" x14ac:dyDescent="0.2">
      <c r="E8" s="80"/>
      <c r="F8" t="s">
        <v>2166</v>
      </c>
      <c r="G8" s="15">
        <v>20</v>
      </c>
      <c r="H8" s="15">
        <v>39</v>
      </c>
      <c r="I8" s="15">
        <v>31</v>
      </c>
      <c r="J8" s="15">
        <v>10</v>
      </c>
      <c r="K8" s="15"/>
      <c r="L8" s="15"/>
      <c r="M8" s="15"/>
      <c r="N8" s="15"/>
      <c r="O8" s="15"/>
    </row>
    <row r="9" spans="1:17" x14ac:dyDescent="0.2">
      <c r="A9" s="84" t="s">
        <v>1098</v>
      </c>
      <c r="B9" s="80"/>
      <c r="E9" s="80"/>
      <c r="F9" t="s">
        <v>2167</v>
      </c>
      <c r="G9" s="15">
        <v>16</v>
      </c>
      <c r="H9" s="15">
        <v>40</v>
      </c>
      <c r="I9" s="15">
        <v>30</v>
      </c>
      <c r="J9" s="15">
        <v>13</v>
      </c>
      <c r="K9" s="15"/>
      <c r="L9" s="15"/>
      <c r="M9" s="15"/>
      <c r="N9" s="15"/>
      <c r="O9" s="15"/>
    </row>
    <row r="10" spans="1:17" x14ac:dyDescent="0.2">
      <c r="A10" t="s">
        <v>1100</v>
      </c>
      <c r="B10" t="s">
        <v>1300</v>
      </c>
      <c r="E10" s="80"/>
      <c r="F10" t="s">
        <v>2168</v>
      </c>
      <c r="G10" s="15">
        <v>26</v>
      </c>
      <c r="H10" s="15">
        <v>38</v>
      </c>
      <c r="I10" s="15">
        <v>23</v>
      </c>
      <c r="J10" s="15">
        <v>13</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_dup_Unable Utilities Income</vt:lpstr>
      <vt:lpstr>Unable Dental Vision Income</vt:lpstr>
      <vt:lpstr>Unable to Get Phone Serv Inc</vt:lpstr>
      <vt:lpstr>Unable Transport Income</vt:lpstr>
      <vt:lpstr>Unable Housing Income</vt:lpstr>
      <vt:lpstr>Unable Children Income</vt:lpstr>
      <vt:lpstr>Unable Access Internet Income</vt:lpstr>
      <vt:lpstr>_dup_Visit PCP RP Income</vt:lpstr>
      <vt:lpstr>Reasons not Visit PCP</vt:lpstr>
      <vt:lpstr>Reasons not Visit PCP Income</vt:lpstr>
      <vt:lpstr>Dentist Visitation 12M Income</vt:lpstr>
      <vt:lpstr>_dup_Reasons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2026-08-31T18:37:09Z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