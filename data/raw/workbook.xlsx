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272" activeTab="272"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CSDM Sex" sheetId="61" state="visible" r:id="rId61"/>
    <sheet xmlns:r="http://schemas.openxmlformats.org/officeDocument/2006/relationships" name="CLRDH RE" sheetId="62" state="visible" r:id="rId62"/>
    <sheet xmlns:r="http://schemas.openxmlformats.org/officeDocument/2006/relationships" name="CLRDH RE ZIP" sheetId="63" state="visible" r:id="rId63"/>
    <sheet xmlns:r="http://schemas.openxmlformats.org/officeDocument/2006/relationships" name="CLRD MORT" sheetId="64" state="visible" r:id="rId64"/>
    <sheet xmlns:r="http://schemas.openxmlformats.org/officeDocument/2006/relationships" name="CLRD Mort Sex" sheetId="65" state="visible" r:id="rId65"/>
    <sheet xmlns:r="http://schemas.openxmlformats.org/officeDocument/2006/relationships" name="Asthma HOSP RE" sheetId="66" state="visible" r:id="rId66"/>
    <sheet xmlns:r="http://schemas.openxmlformats.org/officeDocument/2006/relationships" name="Asthma 0-17 RE" sheetId="67" state="visible" r:id="rId67"/>
    <sheet xmlns:r="http://schemas.openxmlformats.org/officeDocument/2006/relationships" name="PPAA CR 2-17" sheetId="68" state="visible" r:id="rId68"/>
    <sheet xmlns:r="http://schemas.openxmlformats.org/officeDocument/2006/relationships" name="PPCAPA Adults" sheetId="69" state="visible" r:id="rId69"/>
    <sheet xmlns:r="http://schemas.openxmlformats.org/officeDocument/2006/relationships" name="PIMort Age RE" sheetId="70" state="visible" r:id="rId70"/>
    <sheet xmlns:r="http://schemas.openxmlformats.org/officeDocument/2006/relationships" name="PIM Rate" sheetId="71" state="visible" r:id="rId71"/>
    <sheet xmlns:r="http://schemas.openxmlformats.org/officeDocument/2006/relationships" name="PIM Sex" sheetId="72" state="visible" r:id="rId72"/>
    <sheet xmlns:r="http://schemas.openxmlformats.org/officeDocument/2006/relationships" name="Diabetes Hosp RE" sheetId="73" state="visible" r:id="rId73"/>
    <sheet xmlns:r="http://schemas.openxmlformats.org/officeDocument/2006/relationships" name="Diabetes Hosp Prim Diag" sheetId="74" state="visible" r:id="rId74"/>
    <sheet xmlns:r="http://schemas.openxmlformats.org/officeDocument/2006/relationships" name="Diabetes Mort Age RE Zip" sheetId="75" state="visible" r:id="rId75"/>
    <sheet xmlns:r="http://schemas.openxmlformats.org/officeDocument/2006/relationships" name="Diabetes Mort AAR" sheetId="76" state="visible" r:id="rId76"/>
    <sheet xmlns:r="http://schemas.openxmlformats.org/officeDocument/2006/relationships" name="Diabetes Mort Sex" sheetId="77" state="visible" r:id="rId77"/>
    <sheet xmlns:r="http://schemas.openxmlformats.org/officeDocument/2006/relationships" name="% Overweight-Obese" sheetId="78" state="visible" r:id="rId78"/>
    <sheet xmlns:r="http://schemas.openxmlformats.org/officeDocument/2006/relationships" name="% Obese" sheetId="79" state="visible" r:id="rId79"/>
    <sheet xmlns:r="http://schemas.openxmlformats.org/officeDocument/2006/relationships" name="Liver Cirr Mort Age RE ZIP" sheetId="80" state="visible" r:id="rId80"/>
    <sheet xmlns:r="http://schemas.openxmlformats.org/officeDocument/2006/relationships" name="Liver Cirr AAR" sheetId="81" state="visible" r:id="rId81"/>
    <sheet xmlns:r="http://schemas.openxmlformats.org/officeDocument/2006/relationships" name="Liver Cirr Sex" sheetId="82" state="visible" r:id="rId82"/>
    <sheet xmlns:r="http://schemas.openxmlformats.org/officeDocument/2006/relationships" name="Kidney ED AAR" sheetId="83" state="visible" r:id="rId83"/>
    <sheet xmlns:r="http://schemas.openxmlformats.org/officeDocument/2006/relationships" name="Chronic Kidney Hosp" sheetId="84" state="visible" r:id="rId84"/>
    <sheet xmlns:r="http://schemas.openxmlformats.org/officeDocument/2006/relationships" name="All Sites Cancer AAR" sheetId="85" state="visible" r:id="rId85"/>
    <sheet xmlns:r="http://schemas.openxmlformats.org/officeDocument/2006/relationships" name="All Sites Cancer RE" sheetId="86" state="visible" r:id="rId86"/>
    <sheet xmlns:r="http://schemas.openxmlformats.org/officeDocument/2006/relationships" name="Malignant Age RE ZIP" sheetId="87" state="visible" r:id="rId87"/>
    <sheet xmlns:r="http://schemas.openxmlformats.org/officeDocument/2006/relationships" name="Malignant Mort AAR" sheetId="88" state="visible" r:id="rId88"/>
    <sheet xmlns:r="http://schemas.openxmlformats.org/officeDocument/2006/relationships" name="Malignant Mort RE" sheetId="89" state="visible" r:id="rId89"/>
    <sheet xmlns:r="http://schemas.openxmlformats.org/officeDocument/2006/relationships" name="Malignant Mort Zip" sheetId="90" state="visible" r:id="rId90"/>
    <sheet xmlns:r="http://schemas.openxmlformats.org/officeDocument/2006/relationships" name="Malignant Mort Sex" sheetId="91" state="visible" r:id="rId91"/>
    <sheet xmlns:r="http://schemas.openxmlformats.org/officeDocument/2006/relationships" name="All Cancer Mort AAR" sheetId="92" state="visible" r:id="rId92"/>
    <sheet xmlns:r="http://schemas.openxmlformats.org/officeDocument/2006/relationships" name="All Cancer Mort AAR 2018-2022" sheetId="93" state="visible" r:id="rId93"/>
    <sheet xmlns:r="http://schemas.openxmlformats.org/officeDocument/2006/relationships" name="All Cancer AAR RE" sheetId="94" state="visible" r:id="rId94"/>
    <sheet xmlns:r="http://schemas.openxmlformats.org/officeDocument/2006/relationships" name="Lung Bronchus Cr AAR 17-20" sheetId="95" state="visible" r:id="rId95"/>
    <sheet xmlns:r="http://schemas.openxmlformats.org/officeDocument/2006/relationships" name="Lung Bronchus Cr AAR 18-22" sheetId="96" state="visible" r:id="rId96"/>
    <sheet xmlns:r="http://schemas.openxmlformats.org/officeDocument/2006/relationships" name="Lung Bronchus Cr AAR 18-22 RE" sheetId="97" state="visible" r:id="rId97"/>
    <sheet xmlns:r="http://schemas.openxmlformats.org/officeDocument/2006/relationships" name="Lung Bronchus Cr AAR Mort 17-20" sheetId="98" state="visible" r:id="rId98"/>
    <sheet xmlns:r="http://schemas.openxmlformats.org/officeDocument/2006/relationships" name="Lung Bronchus Cr AAR Mort 18-22" sheetId="99" state="visible" r:id="rId99"/>
    <sheet xmlns:r="http://schemas.openxmlformats.org/officeDocument/2006/relationships" name="Lung Bronchus Cr AAR M 18-22 RE" sheetId="100" state="visible" r:id="rId100"/>
    <sheet xmlns:r="http://schemas.openxmlformats.org/officeDocument/2006/relationships" name="Col Rec Cr 18-22" sheetId="101" state="visible" r:id="rId101"/>
    <sheet xmlns:r="http://schemas.openxmlformats.org/officeDocument/2006/relationships" name="Col Rec Cr 18-22 RE" sheetId="102" state="visible" r:id="rId102"/>
    <sheet xmlns:r="http://schemas.openxmlformats.org/officeDocument/2006/relationships" name="Col Rec Cr Mort 18-22" sheetId="103" state="visible" r:id="rId103"/>
    <sheet xmlns:r="http://schemas.openxmlformats.org/officeDocument/2006/relationships" name="Col Rec Cr Mort 18-22 RE" sheetId="104" state="visible" r:id="rId104"/>
    <sheet xmlns:r="http://schemas.openxmlformats.org/officeDocument/2006/relationships" name="F Breast Cr 16-21" sheetId="105" state="visible" r:id="rId105"/>
    <sheet xmlns:r="http://schemas.openxmlformats.org/officeDocument/2006/relationships" name="F Breast Cr 18-22" sheetId="106" state="visible" r:id="rId106"/>
    <sheet xmlns:r="http://schemas.openxmlformats.org/officeDocument/2006/relationships" name="F Breast Cr 18-22 RE" sheetId="107" state="visible" r:id="rId107"/>
    <sheet xmlns:r="http://schemas.openxmlformats.org/officeDocument/2006/relationships" name="F Breast Cr Mort 16-21" sheetId="108" state="visible" r:id="rId108"/>
    <sheet xmlns:r="http://schemas.openxmlformats.org/officeDocument/2006/relationships" name="F Breast Cr Mort 18-22" sheetId="109" state="visible" r:id="rId109"/>
    <sheet xmlns:r="http://schemas.openxmlformats.org/officeDocument/2006/relationships" name="F Breast Cr Mort 18-22 RE" sheetId="110" state="visible" r:id="rId110"/>
    <sheet xmlns:r="http://schemas.openxmlformats.org/officeDocument/2006/relationships" name="Cerv Cr 17-21" sheetId="111" state="visible" r:id="rId111"/>
    <sheet xmlns:r="http://schemas.openxmlformats.org/officeDocument/2006/relationships" name="Cerv Cr 18-22" sheetId="112" state="visible" r:id="rId112"/>
    <sheet xmlns:r="http://schemas.openxmlformats.org/officeDocument/2006/relationships" name="Cerv Cr Mort 17-21" sheetId="113" state="visible" r:id="rId113"/>
    <sheet xmlns:r="http://schemas.openxmlformats.org/officeDocument/2006/relationships" name="Cerv Cr Mort 18-22" sheetId="114" state="visible" r:id="rId114"/>
    <sheet xmlns:r="http://schemas.openxmlformats.org/officeDocument/2006/relationships" name="Prostate Cr 17-21" sheetId="115" state="visible" r:id="rId115"/>
    <sheet xmlns:r="http://schemas.openxmlformats.org/officeDocument/2006/relationships" name="Prostate Cr 18-22" sheetId="116" state="visible" r:id="rId116"/>
    <sheet xmlns:r="http://schemas.openxmlformats.org/officeDocument/2006/relationships" name="Prostate Cr 18-22 RE" sheetId="117" state="visible" r:id="rId117"/>
    <sheet xmlns:r="http://schemas.openxmlformats.org/officeDocument/2006/relationships" name="Prostate Cr Mort 17-21" sheetId="118" state="visible" r:id="rId118"/>
    <sheet xmlns:r="http://schemas.openxmlformats.org/officeDocument/2006/relationships" name="Prostate Cr Mort 18-22" sheetId="119" state="visible" r:id="rId119"/>
    <sheet xmlns:r="http://schemas.openxmlformats.org/officeDocument/2006/relationships" name="Prostate Cr Mort 18-22 RE" sheetId="120" state="visible" r:id="rId120"/>
    <sheet xmlns:r="http://schemas.openxmlformats.org/officeDocument/2006/relationships" name="Gen Comm Case Rate" sheetId="121" state="visible" r:id="rId121"/>
    <sheet xmlns:r="http://schemas.openxmlformats.org/officeDocument/2006/relationships" name="Hep A 20-23" sheetId="122" state="visible" r:id="rId122"/>
    <sheet xmlns:r="http://schemas.openxmlformats.org/officeDocument/2006/relationships" name="Hep B 20-23" sheetId="123" state="visible" r:id="rId123"/>
    <sheet xmlns:r="http://schemas.openxmlformats.org/officeDocument/2006/relationships" name="Hep C 20-23" sheetId="124" state="visible" r:id="rId124"/>
    <sheet xmlns:r="http://schemas.openxmlformats.org/officeDocument/2006/relationships" name="Chronic Hep C 20-23" sheetId="125" state="visible" r:id="rId125"/>
    <sheet xmlns:r="http://schemas.openxmlformats.org/officeDocument/2006/relationships" name="Chlamydia Sx RE Age Zip" sheetId="126" state="visible" r:id="rId126"/>
    <sheet xmlns:r="http://schemas.openxmlformats.org/officeDocument/2006/relationships" name="Chlamydia AAR" sheetId="127" state="visible" r:id="rId127"/>
    <sheet xmlns:r="http://schemas.openxmlformats.org/officeDocument/2006/relationships" name="Chlamydia RE" sheetId="128" state="visible" r:id="rId128"/>
    <sheet xmlns:r="http://schemas.openxmlformats.org/officeDocument/2006/relationships" name="Gonorrhea CC Sex RE Age Zip" sheetId="129" state="visible" r:id="rId129"/>
    <sheet xmlns:r="http://schemas.openxmlformats.org/officeDocument/2006/relationships" name="Gonorrhea AA CR" sheetId="130" state="visible" r:id="rId130"/>
    <sheet xmlns:r="http://schemas.openxmlformats.org/officeDocument/2006/relationships" name="Gonnorhea CR RE" sheetId="131" state="visible" r:id="rId131"/>
    <sheet xmlns:r="http://schemas.openxmlformats.org/officeDocument/2006/relationships" name="HIV Prevalnce RE Age Sex" sheetId="132" state="visible" r:id="rId132"/>
    <sheet xmlns:r="http://schemas.openxmlformats.org/officeDocument/2006/relationships" name="HIV AIDS AAR" sheetId="133" state="visible" r:id="rId133"/>
    <sheet xmlns:r="http://schemas.openxmlformats.org/officeDocument/2006/relationships" name="HIV Transmission" sheetId="134" state="visible" r:id="rId134"/>
    <sheet xmlns:r="http://schemas.openxmlformats.org/officeDocument/2006/relationships" name="% HIV Care RE" sheetId="135" state="visible" r:id="rId135"/>
    <sheet xmlns:r="http://schemas.openxmlformats.org/officeDocument/2006/relationships" name="PrEP Coverage" sheetId="136" state="visible" r:id="rId136"/>
    <sheet xmlns:r="http://schemas.openxmlformats.org/officeDocument/2006/relationships" name="Syphillis Sex RE Age Zip" sheetId="137" state="visible" r:id="rId137"/>
    <sheet xmlns:r="http://schemas.openxmlformats.org/officeDocument/2006/relationships" name="Early Syphilis" sheetId="138" state="visible" r:id="rId138"/>
    <sheet xmlns:r="http://schemas.openxmlformats.org/officeDocument/2006/relationships" name="Syphilis RE 21-24" sheetId="139" state="visible" r:id="rId139"/>
    <sheet xmlns:r="http://schemas.openxmlformats.org/officeDocument/2006/relationships" name="Fertility 15-44 Age RE Zip" sheetId="140" state="visible" r:id="rId140"/>
    <sheet xmlns:r="http://schemas.openxmlformats.org/officeDocument/2006/relationships" name="Fertility 15-44 20-23" sheetId="141" state="visible" r:id="rId141"/>
    <sheet xmlns:r="http://schemas.openxmlformats.org/officeDocument/2006/relationships" name="Fertility 15-44 RE 20-23" sheetId="142" state="visible" r:id="rId142"/>
    <sheet xmlns:r="http://schemas.openxmlformats.org/officeDocument/2006/relationships" name="Fertility Zip" sheetId="143" state="visible" r:id="rId143"/>
    <sheet xmlns:r="http://schemas.openxmlformats.org/officeDocument/2006/relationships" name="All Births 17- Age RE ZIP" sheetId="144" state="visible" r:id="rId144"/>
    <sheet xmlns:r="http://schemas.openxmlformats.org/officeDocument/2006/relationships" name="All Births SP Age RE ZIP" sheetId="145" state="visible" r:id="rId145"/>
    <sheet xmlns:r="http://schemas.openxmlformats.org/officeDocument/2006/relationships" name="Maternal Mort LB" sheetId="146" state="visible" r:id="rId146"/>
    <sheet xmlns:r="http://schemas.openxmlformats.org/officeDocument/2006/relationships" name="Child Adol Mort 10-19" sheetId="147" state="visible" r:id="rId147"/>
    <sheet xmlns:r="http://schemas.openxmlformats.org/officeDocument/2006/relationships" name="Infrant Mort RE 20-22" sheetId="148" state="visible" r:id="rId148"/>
    <sheet xmlns:r="http://schemas.openxmlformats.org/officeDocument/2006/relationships" name="All Births EPC RE Zip" sheetId="149" state="visible" r:id="rId149"/>
    <sheet xmlns:r="http://schemas.openxmlformats.org/officeDocument/2006/relationships" name="% All Births EPC" sheetId="150" state="visible" r:id="rId150"/>
    <sheet xmlns:r="http://schemas.openxmlformats.org/officeDocument/2006/relationships" name="% All Births EPC RE" sheetId="151" state="visible" r:id="rId151"/>
    <sheet xmlns:r="http://schemas.openxmlformats.org/officeDocument/2006/relationships" name="All Births EPC Zip" sheetId="152" state="visible" r:id="rId152"/>
    <sheet xmlns:r="http://schemas.openxmlformats.org/officeDocument/2006/relationships" name="All Births EPC Age RE ZIP" sheetId="153" state="visible" r:id="rId153"/>
    <sheet xmlns:r="http://schemas.openxmlformats.org/officeDocument/2006/relationships" name="% All Births Late No PC" sheetId="154" state="visible" r:id="rId154"/>
    <sheet xmlns:r="http://schemas.openxmlformats.org/officeDocument/2006/relationships" name="% All Births LPC RE" sheetId="155" state="visible" r:id="rId155"/>
    <sheet xmlns:r="http://schemas.openxmlformats.org/officeDocument/2006/relationships" name="% All Births LPC Zip" sheetId="156" state="visible" r:id="rId156"/>
    <sheet xmlns:r="http://schemas.openxmlformats.org/officeDocument/2006/relationships" name="% Births Adequate PC" sheetId="157" state="visible" r:id="rId157"/>
    <sheet xmlns:r="http://schemas.openxmlformats.org/officeDocument/2006/relationships" name="Premature Births LB Age RE ZIP" sheetId="158" state="visible" r:id="rId158"/>
    <sheet xmlns:r="http://schemas.openxmlformats.org/officeDocument/2006/relationships" name="% PB 100 LB" sheetId="159" state="visible" r:id="rId159"/>
    <sheet xmlns:r="http://schemas.openxmlformats.org/officeDocument/2006/relationships" name="% PB RE 20-22" sheetId="160" state="visible" r:id="rId160"/>
    <sheet xmlns:r="http://schemas.openxmlformats.org/officeDocument/2006/relationships" name="All infants LB Age RE Zip" sheetId="161" state="visible" r:id="rId161"/>
    <sheet xmlns:r="http://schemas.openxmlformats.org/officeDocument/2006/relationships" name="% Infants LB 20-22" sheetId="162" state="visible" r:id="rId162"/>
    <sheet xmlns:r="http://schemas.openxmlformats.org/officeDocument/2006/relationships" name="% Infants LB RE" sheetId="163" state="visible" r:id="rId163"/>
    <sheet xmlns:r="http://schemas.openxmlformats.org/officeDocument/2006/relationships" name="ED Visits AAR 19-22" sheetId="164" state="visible" r:id="rId164"/>
    <sheet xmlns:r="http://schemas.openxmlformats.org/officeDocument/2006/relationships" name="ED Visits HD OA " sheetId="165" state="visible" r:id="rId165"/>
    <sheet xmlns:r="http://schemas.openxmlformats.org/officeDocument/2006/relationships" name="Newborns Neontal WDS Mat Use" sheetId="166" state="visible" r:id="rId166"/>
    <sheet xmlns:r="http://schemas.openxmlformats.org/officeDocument/2006/relationships" name="Opioid A Presc 1000 21-24" sheetId="167" state="visible" r:id="rId167"/>
    <sheet xmlns:r="http://schemas.openxmlformats.org/officeDocument/2006/relationships" name="% Opioid Naive Pt 7Day" sheetId="168" state="visible" r:id="rId168"/>
    <sheet xmlns:r="http://schemas.openxmlformats.org/officeDocument/2006/relationships" name="Benzodiazepine Pres AAR 1000" sheetId="169" state="visible" r:id="rId169"/>
    <sheet xmlns:r="http://schemas.openxmlformats.org/officeDocument/2006/relationships" name="% Pts Overlapping Benzodiazepin" sheetId="170" state="visible" r:id="rId170"/>
    <sheet xmlns:r="http://schemas.openxmlformats.org/officeDocument/2006/relationships" name="Pts 1 Buprenorphine" sheetId="171" state="visible" r:id="rId171"/>
    <sheet xmlns:r="http://schemas.openxmlformats.org/officeDocument/2006/relationships" name="% Pts Buprenorphine Opioid Use " sheetId="172" state="visible" r:id="rId172"/>
    <sheet xmlns:r="http://schemas.openxmlformats.org/officeDocument/2006/relationships" name="% Perc Harm SU" sheetId="173" state="visible" r:id="rId173"/>
    <sheet xmlns:r="http://schemas.openxmlformats.org/officeDocument/2006/relationships" name="Lifetime Use of Substance" sheetId="174" state="visible" r:id="rId174"/>
    <sheet xmlns:r="http://schemas.openxmlformats.org/officeDocument/2006/relationships" name="Past 30 Day Use Grade" sheetId="175" state="visible" r:id="rId175"/>
    <sheet xmlns:r="http://schemas.openxmlformats.org/officeDocument/2006/relationships" name="% Marijuana Reported Use" sheetId="176" state="visible" r:id="rId176"/>
    <sheet xmlns:r="http://schemas.openxmlformats.org/officeDocument/2006/relationships" name="Opioid Overdose Fat Age Sex" sheetId="177" state="visible" r:id="rId177"/>
    <sheet xmlns:r="http://schemas.openxmlformats.org/officeDocument/2006/relationships" name="Opioid Overdose Fatalites Pop" sheetId="178" state="visible" r:id="rId178"/>
    <sheet xmlns:r="http://schemas.openxmlformats.org/officeDocument/2006/relationships" name="Opioid Overdose Fatalites Age" sheetId="179" state="visible" r:id="rId179"/>
    <sheet xmlns:r="http://schemas.openxmlformats.org/officeDocument/2006/relationships" name="Opioid Overdose Fatalites Sex" sheetId="180" state="visible" r:id="rId180"/>
    <sheet xmlns:r="http://schemas.openxmlformats.org/officeDocument/2006/relationships" name="Adults Binge Drinking " sheetId="181" state="visible" r:id="rId181"/>
    <sheet xmlns:r="http://schemas.openxmlformats.org/officeDocument/2006/relationships" name="Alcohol MVA Deaths 18-21" sheetId="182" state="visible" r:id="rId182"/>
    <sheet xmlns:r="http://schemas.openxmlformats.org/officeDocument/2006/relationships" name="Access to Alcohol" sheetId="183" state="visible" r:id="rId183"/>
    <sheet xmlns:r="http://schemas.openxmlformats.org/officeDocument/2006/relationships" name="% Adults Smokers 2016,2018,2021" sheetId="184" state="visible" r:id="rId184"/>
    <sheet xmlns:r="http://schemas.openxmlformats.org/officeDocument/2006/relationships" name="Uninten Injury Hosp RE" sheetId="185" state="visible" r:id="rId185"/>
    <sheet xmlns:r="http://schemas.openxmlformats.org/officeDocument/2006/relationships" name="Uninten Injury Mort Age RE Zip " sheetId="186" state="visible" r:id="rId186"/>
    <sheet xmlns:r="http://schemas.openxmlformats.org/officeDocument/2006/relationships" name="Uninten Injury Mort AAR" sheetId="187" state="visible" r:id="rId187"/>
    <sheet xmlns:r="http://schemas.openxmlformats.org/officeDocument/2006/relationships" name="Uninten Injury Mort Age" sheetId="188" state="visible" r:id="rId188"/>
    <sheet xmlns:r="http://schemas.openxmlformats.org/officeDocument/2006/relationships" name="Uninten Injury Mort Zip" sheetId="189" state="visible" r:id="rId189"/>
    <sheet xmlns:r="http://schemas.openxmlformats.org/officeDocument/2006/relationships" name="Uninten Injury Mort Sex" sheetId="190" state="visible" r:id="rId190"/>
    <sheet xmlns:r="http://schemas.openxmlformats.org/officeDocument/2006/relationships" name="Falls Hosp 65 RE" sheetId="191" state="visible" r:id="rId191"/>
    <sheet xmlns:r="http://schemas.openxmlformats.org/officeDocument/2006/relationships" name="Self Inflicted AAR 18-21" sheetId="192" state="visible" r:id="rId192"/>
    <sheet xmlns:r="http://schemas.openxmlformats.org/officeDocument/2006/relationships" name="Self Inflicted Hosp 15-19YO" sheetId="193" state="visible" r:id="rId193"/>
    <sheet xmlns:r="http://schemas.openxmlformats.org/officeDocument/2006/relationships" name="Suicide Mort 18-21" sheetId="194" state="visible" r:id="rId194"/>
    <sheet xmlns:r="http://schemas.openxmlformats.org/officeDocument/2006/relationships" name="% 50-64 No Col Can Scren" sheetId="195" state="visible" r:id="rId195"/>
    <sheet xmlns:r="http://schemas.openxmlformats.org/officeDocument/2006/relationships" name="% Woman 21-65 Cerv Can Scren" sheetId="196" state="visible" r:id="rId196"/>
    <sheet xmlns:r="http://schemas.openxmlformats.org/officeDocument/2006/relationships" name="% Woman 50-74 Breast Can Scren" sheetId="197" state="visible" r:id="rId197"/>
    <sheet xmlns:r="http://schemas.openxmlformats.org/officeDocument/2006/relationships" name="% Adults Asthma" sheetId="198" state="visible" r:id="rId198"/>
    <sheet xmlns:r="http://schemas.openxmlformats.org/officeDocument/2006/relationships" name="Prediabetes and Diabetes %" sheetId="199" state="visible" r:id="rId199"/>
    <sheet xmlns:r="http://schemas.openxmlformats.org/officeDocument/2006/relationships" name="% High Blood Sugar Diabetes" sheetId="200" state="visible" r:id="rId200"/>
    <sheet xmlns:r="http://schemas.openxmlformats.org/officeDocument/2006/relationships" name="Excerpt Data Update" sheetId="201" state="visible" r:id="rId201"/>
    <sheet xmlns:r="http://schemas.openxmlformats.org/officeDocument/2006/relationships" name="Themes Focus Groups" sheetId="202" state="visible" r:id="rId202"/>
    <sheet xmlns:r="http://schemas.openxmlformats.org/officeDocument/2006/relationships" name="Zip Code" sheetId="203" state="visible" r:id="rId203"/>
    <sheet xmlns:r="http://schemas.openxmlformats.org/officeDocument/2006/relationships" name="Greatest Strengths" sheetId="204" state="visible" r:id="rId204"/>
    <sheet xmlns:r="http://schemas.openxmlformats.org/officeDocument/2006/relationships" name="Community Focus" sheetId="205" state="visible" r:id="rId205"/>
    <sheet xmlns:r="http://schemas.openxmlformats.org/officeDocument/2006/relationships" name="Health Issues" sheetId="206" state="visible" r:id="rId206"/>
    <sheet xmlns:r="http://schemas.openxmlformats.org/officeDocument/2006/relationships" name="Health Issues Prevention Agenda" sheetId="207" state="visible" r:id="rId207"/>
    <sheet xmlns:r="http://schemas.openxmlformats.org/officeDocument/2006/relationships" name="Health Problems Fix" sheetId="208" state="visible" r:id="rId208"/>
    <sheet xmlns:r="http://schemas.openxmlformats.org/officeDocument/2006/relationships" name="Respondent Demographic Breakdow" sheetId="209" state="visible" r:id="rId209"/>
    <sheet xmlns:r="http://schemas.openxmlformats.org/officeDocument/2006/relationships" name="Lived in Orange County" sheetId="210" state="visible" r:id="rId210"/>
    <sheet xmlns:r="http://schemas.openxmlformats.org/officeDocument/2006/relationships" name="Perception Overall Quality Life" sheetId="211" state="visible" r:id="rId211"/>
    <sheet xmlns:r="http://schemas.openxmlformats.org/officeDocument/2006/relationships" name="Perception Overall Quality Inco" sheetId="212" state="visible" r:id="rId212"/>
    <sheet xmlns:r="http://schemas.openxmlformats.org/officeDocument/2006/relationships" name="Information Weather Emergencies" sheetId="213" state="visible" r:id="rId213"/>
    <sheet xmlns:r="http://schemas.openxmlformats.org/officeDocument/2006/relationships" name="Information Weather Eme Income" sheetId="214" state="visible" r:id="rId214"/>
    <sheet xmlns:r="http://schemas.openxmlformats.org/officeDocument/2006/relationships" name="Public Health Emergencies" sheetId="215" state="visible" r:id="rId215"/>
    <sheet xmlns:r="http://schemas.openxmlformats.org/officeDocument/2006/relationships" name="Public Health Emer Income" sheetId="216" state="visible" r:id="rId216"/>
    <sheet xmlns:r="http://schemas.openxmlformats.org/officeDocument/2006/relationships" name="Walk Bike Safe Traffic" sheetId="217" state="visible" r:id="rId217"/>
    <sheet xmlns:r="http://schemas.openxmlformats.org/officeDocument/2006/relationships" name="Walk Bike Safe Traffic Income" sheetId="218" state="visible" r:id="rId218"/>
    <sheet xmlns:r="http://schemas.openxmlformats.org/officeDocument/2006/relationships" name="Safety Walking Biking" sheetId="219" state="visible" r:id="rId219"/>
    <sheet xmlns:r="http://schemas.openxmlformats.org/officeDocument/2006/relationships" name="Safety Walking Biking Income" sheetId="220" state="visible" r:id="rId220"/>
    <sheet xmlns:r="http://schemas.openxmlformats.org/officeDocument/2006/relationships" name="Rating Com Age" sheetId="221" state="visible" r:id="rId221"/>
    <sheet xmlns:r="http://schemas.openxmlformats.org/officeDocument/2006/relationships" name="Perception Physical Health" sheetId="222" state="visible" r:id="rId222"/>
    <sheet xmlns:r="http://schemas.openxmlformats.org/officeDocument/2006/relationships" name="Perception Physical Health Inco" sheetId="223" state="visible" r:id="rId223"/>
    <sheet xmlns:r="http://schemas.openxmlformats.org/officeDocument/2006/relationships" name="Perception of MH Income" sheetId="224" state="visible" r:id="rId224"/>
    <sheet xmlns:r="http://schemas.openxmlformats.org/officeDocument/2006/relationships" name="Average Days Healthy Diet Incom" sheetId="225" state="visible" r:id="rId225"/>
    <sheet xmlns:r="http://schemas.openxmlformats.org/officeDocument/2006/relationships" name="Avg Days Excercise Income" sheetId="226" state="visible" r:id="rId226"/>
    <sheet xmlns:r="http://schemas.openxmlformats.org/officeDocument/2006/relationships" name="Avg Days 7-9H Income" sheetId="227" state="visible" r:id="rId227"/>
    <sheet xmlns:r="http://schemas.openxmlformats.org/officeDocument/2006/relationships" name="Lvl Stress Avg Day Income" sheetId="228" state="visible" r:id="rId228"/>
    <sheet xmlns:r="http://schemas.openxmlformats.org/officeDocument/2006/relationships" name="Feelings Qual Income" sheetId="229" state="visible" r:id="rId229"/>
    <sheet xmlns:r="http://schemas.openxmlformats.org/officeDocument/2006/relationships" name="Alcohol Consumption Past Yr Inc" sheetId="230" state="visible" r:id="rId230"/>
    <sheet xmlns:r="http://schemas.openxmlformats.org/officeDocument/2006/relationships" name="Freq Drug Use Non Med Income" sheetId="231" state="visible" r:id="rId231"/>
    <sheet xmlns:r="http://schemas.openxmlformats.org/officeDocument/2006/relationships" name="Consume Cannabis Income" sheetId="232" state="visible" r:id="rId232"/>
    <sheet xmlns:r="http://schemas.openxmlformats.org/officeDocument/2006/relationships" name="Unable to Get Food Income" sheetId="233" state="visible" r:id="rId233"/>
    <sheet xmlns:r="http://schemas.openxmlformats.org/officeDocument/2006/relationships" name="Unable Utilities Income" sheetId="234" state="visible" r:id="rId234"/>
    <sheet xmlns:r="http://schemas.openxmlformats.org/officeDocument/2006/relationships" name="Unable Dental Vision Income" sheetId="235" state="visible" r:id="rId235"/>
    <sheet xmlns:r="http://schemas.openxmlformats.org/officeDocument/2006/relationships" name="Unable to Get Phone Serv Inc" sheetId="236" state="visible" r:id="rId236"/>
    <sheet xmlns:r="http://schemas.openxmlformats.org/officeDocument/2006/relationships" name="Unable Transport Income" sheetId="237" state="visible" r:id="rId237"/>
    <sheet xmlns:r="http://schemas.openxmlformats.org/officeDocument/2006/relationships" name="Unable Housing Income" sheetId="238" state="visible" r:id="rId238"/>
    <sheet xmlns:r="http://schemas.openxmlformats.org/officeDocument/2006/relationships" name="Unable Children Income" sheetId="239" state="visible" r:id="rId239"/>
    <sheet xmlns:r="http://schemas.openxmlformats.org/officeDocument/2006/relationships" name="Unable Access Internet Income" sheetId="240" state="visible" r:id="rId240"/>
    <sheet xmlns:r="http://schemas.openxmlformats.org/officeDocument/2006/relationships" name="Visit PCP RP Income" sheetId="241" state="visible" r:id="rId241"/>
    <sheet xmlns:r="http://schemas.openxmlformats.org/officeDocument/2006/relationships" name="Reasons not Visit PCP" sheetId="242" state="visible" r:id="rId242"/>
    <sheet xmlns:r="http://schemas.openxmlformats.org/officeDocument/2006/relationships" name="Reasons not Visit PCP Income" sheetId="243" state="visible" r:id="rId243"/>
    <sheet xmlns:r="http://schemas.openxmlformats.org/officeDocument/2006/relationships" name="Dentist Visitation 12M Income" sheetId="244" state="visible" r:id="rId244"/>
    <sheet xmlns:r="http://schemas.openxmlformats.org/officeDocument/2006/relationships" name="Reasons Not Dentist" sheetId="245" state="visible" r:id="rId245"/>
    <sheet xmlns:r="http://schemas.openxmlformats.org/officeDocument/2006/relationships" name="Reasons Not Dentist Income" sheetId="246" state="visible" r:id="rId246"/>
    <sheet xmlns:r="http://schemas.openxmlformats.org/officeDocument/2006/relationships" name="Emerg Room Visit Non Med Iss In" sheetId="247" state="visible" r:id="rId247"/>
    <sheet xmlns:r="http://schemas.openxmlformats.org/officeDocument/2006/relationships" name="Reasons Visit ED Non ED" sheetId="248" state="visible" r:id="rId248"/>
    <sheet xmlns:r="http://schemas.openxmlformats.org/officeDocument/2006/relationships" name="Reasons Visit ED Non ED Income" sheetId="249" state="visible" r:id="rId249"/>
    <sheet xmlns:r="http://schemas.openxmlformats.org/officeDocument/2006/relationships" name="MH Visit 12M Income" sheetId="250" state="visible" r:id="rId250"/>
    <sheet xmlns:r="http://schemas.openxmlformats.org/officeDocument/2006/relationships" name="Reasons Not Visit MH Provider" sheetId="251" state="visible" r:id="rId251"/>
    <sheet xmlns:r="http://schemas.openxmlformats.org/officeDocument/2006/relationships" name="Reasons Not Visit MH Provider I" sheetId="252" state="visible" r:id="rId252"/>
    <sheet xmlns:r="http://schemas.openxmlformats.org/officeDocument/2006/relationships" name="Had COVID Income" sheetId="253" state="visible" r:id="rId253"/>
    <sheet xmlns:r="http://schemas.openxmlformats.org/officeDocument/2006/relationships" name="Long COVID in Household Income" sheetId="254" state="visible" r:id="rId254"/>
    <sheet xmlns:r="http://schemas.openxmlformats.org/officeDocument/2006/relationships" name="Vaccinated COVID Income" sheetId="255" state="visible" r:id="rId255"/>
    <sheet xmlns:r="http://schemas.openxmlformats.org/officeDocument/2006/relationships" name="Updated COVID Vaccine Income" sheetId="256" state="visible" r:id="rId256"/>
    <sheet xmlns:r="http://schemas.openxmlformats.org/officeDocument/2006/relationships" name="Vaccinated Flu Income" sheetId="257" state="visible" r:id="rId257"/>
    <sheet xmlns:r="http://schemas.openxmlformats.org/officeDocument/2006/relationships" name="Feelings Nervous Income" sheetId="258" state="visible" r:id="rId258"/>
    <sheet xmlns:r="http://schemas.openxmlformats.org/officeDocument/2006/relationships" name="Feeling Hopeless Income" sheetId="259" state="visible" r:id="rId259"/>
    <sheet xmlns:r="http://schemas.openxmlformats.org/officeDocument/2006/relationships" name="Feeling Restless or Fidgety Inc" sheetId="260" state="visible" r:id="rId260"/>
    <sheet xmlns:r="http://schemas.openxmlformats.org/officeDocument/2006/relationships" name="Feeling Depressed Income" sheetId="261" state="visible" r:id="rId261"/>
    <sheet xmlns:r="http://schemas.openxmlformats.org/officeDocument/2006/relationships" name="Feeling Everything Effort Incom" sheetId="262" state="visible" r:id="rId262"/>
    <sheet xmlns:r="http://schemas.openxmlformats.org/officeDocument/2006/relationships" name="Feeling Worthless" sheetId="263" state="visible" r:id="rId263"/>
    <sheet xmlns:r="http://schemas.openxmlformats.org/officeDocument/2006/relationships" name="Feeling Worthless Income" sheetId="264" state="visible" r:id="rId264"/>
    <sheet xmlns:r="http://schemas.openxmlformats.org/officeDocument/2006/relationships" name="Kessler Score" sheetId="265" state="visible" r:id="rId265"/>
    <sheet xmlns:r="http://schemas.openxmlformats.org/officeDocument/2006/relationships" name="Kessler Score Income" sheetId="266" state="visible" r:id="rId266"/>
    <sheet xmlns:r="http://schemas.openxmlformats.org/officeDocument/2006/relationships" name="Had Child Last 10 Y" sheetId="267" state="visible" r:id="rId267"/>
    <sheet xmlns:r="http://schemas.openxmlformats.org/officeDocument/2006/relationships" name="Breastfed Any Child" sheetId="268" state="visible" r:id="rId268"/>
    <sheet xmlns:r="http://schemas.openxmlformats.org/officeDocument/2006/relationships" name="Breastfed Duration" sheetId="269" state="visible" r:id="rId269"/>
    <sheet xmlns:r="http://schemas.openxmlformats.org/officeDocument/2006/relationships" name="Contact Basic Needs" sheetId="270" state="visible" r:id="rId270"/>
    <sheet xmlns:r="http://schemas.openxmlformats.org/officeDocument/2006/relationships" name="Contat Childs Behavior" sheetId="271" state="visible" r:id="rId271"/>
    <sheet xmlns:r="http://schemas.openxmlformats.org/officeDocument/2006/relationships" name="Evidence Based Strats" sheetId="272" state="visible" r:id="rId272"/>
    <sheet xmlns:r="http://schemas.openxmlformats.org/officeDocument/2006/relationships" name="Short Term Progress" sheetId="273" state="visible" r:id="rId273"/>
    <sheet xmlns:r="http://schemas.openxmlformats.org/officeDocument/2006/relationships" name="BLANK" sheetId="274" state="visible" r:id="rId274"/>
    <sheet xmlns:r="http://schemas.openxmlformats.org/officeDocument/2006/relationships" name="Template2" sheetId="275" state="visible" r:id="rId275"/>
    <sheet xmlns:r="http://schemas.openxmlformats.org/officeDocument/2006/relationships" name="Information or Help" sheetId="276" state="visible" r:id="rId276"/>
    <sheet xmlns:r="http://schemas.openxmlformats.org/officeDocument/2006/relationships" name="Feeling Everything Effort" sheetId="277" state="visible" r:id="rId277"/>
    <sheet xmlns:r="http://schemas.openxmlformats.org/officeDocument/2006/relationships" name="Feeling Depressed" sheetId="278" state="visible" r:id="rId278"/>
    <sheet xmlns:r="http://schemas.openxmlformats.org/officeDocument/2006/relationships" name="Feeling Restless or Fidgety" sheetId="279" state="visible" r:id="rId279"/>
    <sheet xmlns:r="http://schemas.openxmlformats.org/officeDocument/2006/relationships" name="Feeling Hopeless" sheetId="280" state="visible" r:id="rId280"/>
    <sheet xmlns:r="http://schemas.openxmlformats.org/officeDocument/2006/relationships" name="Feelings Nervous" sheetId="281" state="visible" r:id="rId281"/>
    <sheet xmlns:r="http://schemas.openxmlformats.org/officeDocument/2006/relationships" name="Vaccunated Flu 60+" sheetId="282" state="visible" r:id="rId282"/>
    <sheet xmlns:r="http://schemas.openxmlformats.org/officeDocument/2006/relationships" name="Vaccinated Flu" sheetId="283" state="visible" r:id="rId283"/>
    <sheet xmlns:r="http://schemas.openxmlformats.org/officeDocument/2006/relationships" name="Updated COVID Vaccine" sheetId="284" state="visible" r:id="rId284"/>
    <sheet xmlns:r="http://schemas.openxmlformats.org/officeDocument/2006/relationships" name="Vaccinated COVID" sheetId="285" state="visible" r:id="rId285"/>
    <sheet xmlns:r="http://schemas.openxmlformats.org/officeDocument/2006/relationships" name="Had Long COVID" sheetId="286" state="visible" r:id="rId286"/>
    <sheet xmlns:r="http://schemas.openxmlformats.org/officeDocument/2006/relationships" name="Had COVID" sheetId="287" state="visible" r:id="rId287"/>
    <sheet xmlns:r="http://schemas.openxmlformats.org/officeDocument/2006/relationships" name="MH Visit 12M" sheetId="288" state="visible" r:id="rId288"/>
    <sheet xmlns:r="http://schemas.openxmlformats.org/officeDocument/2006/relationships" name="Emerg Room Visit Non Med Issues" sheetId="289" state="visible" r:id="rId289"/>
    <sheet xmlns:r="http://schemas.openxmlformats.org/officeDocument/2006/relationships" name="Dentist Visitation 12m" sheetId="290" state="visible" r:id="rId290"/>
    <sheet xmlns:r="http://schemas.openxmlformats.org/officeDocument/2006/relationships" name="Visit PCP RP" sheetId="291" state="visible" r:id="rId291"/>
    <sheet xmlns:r="http://schemas.openxmlformats.org/officeDocument/2006/relationships" name="Unable Access Internet" sheetId="292" state="visible" r:id="rId292"/>
    <sheet xmlns:r="http://schemas.openxmlformats.org/officeDocument/2006/relationships" name="Unable Childcare" sheetId="293" state="visible" r:id="rId293"/>
    <sheet xmlns:r="http://schemas.openxmlformats.org/officeDocument/2006/relationships" name="Unable Housing" sheetId="294" state="visible" r:id="rId294"/>
    <sheet xmlns:r="http://schemas.openxmlformats.org/officeDocument/2006/relationships" name="Unable Transport" sheetId="295" state="visible" r:id="rId295"/>
    <sheet xmlns:r="http://schemas.openxmlformats.org/officeDocument/2006/relationships" name="Unable to Get Phone Services" sheetId="296" state="visible" r:id="rId296"/>
    <sheet xmlns:r="http://schemas.openxmlformats.org/officeDocument/2006/relationships" name="Unable Dental Vision" sheetId="297" state="visible" r:id="rId297"/>
    <sheet xmlns:r="http://schemas.openxmlformats.org/officeDocument/2006/relationships" name="Unable Utilities" sheetId="298" state="visible" r:id="rId298"/>
    <sheet xmlns:r="http://schemas.openxmlformats.org/officeDocument/2006/relationships" name="Unable to Get Food" sheetId="299" state="visible" r:id="rId299"/>
    <sheet xmlns:r="http://schemas.openxmlformats.org/officeDocument/2006/relationships" name="Consume Cannabis" sheetId="300" state="visible" r:id="rId300"/>
    <sheet xmlns:r="http://schemas.openxmlformats.org/officeDocument/2006/relationships" name="Freq Drug Use Non Med" sheetId="301" state="visible" r:id="rId301"/>
    <sheet xmlns:r="http://schemas.openxmlformats.org/officeDocument/2006/relationships" name="Alcohol Consumption Past Year" sheetId="302" state="visible" r:id="rId302"/>
    <sheet xmlns:r="http://schemas.openxmlformats.org/officeDocument/2006/relationships" name="Feelings Quality Encounters" sheetId="303" state="visible" r:id="rId303"/>
    <sheet xmlns:r="http://schemas.openxmlformats.org/officeDocument/2006/relationships" name="Lvl Stress Avg Day" sheetId="304" state="visible" r:id="rId304"/>
    <sheet xmlns:r="http://schemas.openxmlformats.org/officeDocument/2006/relationships" name="Avg Days 7-9H Sleep" sheetId="305" state="visible" r:id="rId305"/>
    <sheet xmlns:r="http://schemas.openxmlformats.org/officeDocument/2006/relationships" name="Avg Days Excercise" sheetId="306" state="visible" r:id="rId306"/>
    <sheet xmlns:r="http://schemas.openxmlformats.org/officeDocument/2006/relationships" name="Average Days Healthy Diet" sheetId="307" state="visible" r:id="rId307"/>
    <sheet xmlns:r="http://schemas.openxmlformats.org/officeDocument/2006/relationships" name="Perception of MH" sheetId="308" state="visible" r:id="rId308"/>
    <sheet xmlns:r="http://schemas.openxmlformats.org/officeDocument/2006/relationships" name="Rating Com Income" sheetId="309" state="visible" r:id="rId309"/>
    <sheet xmlns:r="http://schemas.openxmlformats.org/officeDocument/2006/relationships" name="156-158" sheetId="310" state="visible" r:id="rId310"/>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9">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7" fillId="0" borderId="0"/>
    <xf numFmtId="0" fontId="2" fillId="0" borderId="0"/>
    <xf numFmtId="0" fontId="8" fillId="0" borderId="0"/>
    <xf numFmtId="0" fontId="7" fillId="0" borderId="0"/>
  </cellStyleXfs>
  <cellXfs count="98">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0" fillId="0" borderId="0" applyAlignment="1" pivotButton="0" quotePrefix="0" xfId="0">
      <alignment horizontal="left" indent="1"/>
    </xf>
    <xf numFmtId="0" fontId="0" fillId="0" borderId="0" applyAlignment="1" pivotButton="0" quotePrefix="0" xfId="0">
      <alignment horizontal="left" vertical="center" indent="1"/>
    </xf>
    <xf numFmtId="49" fontId="0" fillId="0" borderId="0" applyAlignment="1" pivotButton="0" quotePrefix="0" xfId="0">
      <alignment horizontal="left" indent="1"/>
    </xf>
    <xf numFmtId="3" fontId="0" fillId="0" borderId="0" applyAlignment="1" pivotButton="0" quotePrefix="0" xfId="0">
      <alignment vertical="center"/>
    </xf>
    <xf numFmtId="0" fontId="6" fillId="4" borderId="0" applyAlignment="1" pivotButton="0" quotePrefix="0" xfId="0">
      <alignment horizontal="center"/>
    </xf>
    <xf numFmtId="0" fontId="0" fillId="0" borderId="1" applyAlignment="1" pivotButton="0" quotePrefix="0" xfId="0">
      <alignment horizontal="left" vertical="top" wrapText="1"/>
    </xf>
    <xf numFmtId="0" fontId="1" fillId="0" borderId="1" applyAlignment="1" pivotButton="0" quotePrefix="0" xfId="0">
      <alignment horizontal="left" vertical="top" wrapText="1"/>
    </xf>
    <xf numFmtId="0" fontId="2" fillId="0" borderId="0" pivotButton="0" quotePrefix="0" xfId="1"/>
    <xf numFmtId="49" fontId="0" fillId="0" borderId="0" applyAlignment="1" pivotButton="0" quotePrefix="0" xfId="0">
      <alignment horizontal="left" vertical="center" indent="1"/>
    </xf>
    <xf numFmtId="0" fontId="1" fillId="0" borderId="0" applyAlignment="1" pivotButton="0" quotePrefix="0" xfId="0">
      <alignment horizontal="left" indent="1"/>
    </xf>
    <xf numFmtId="0" fontId="0" fillId="0" borderId="0" applyAlignment="1" pivotButton="0" quotePrefix="0" xfId="0">
      <alignment horizontal="left" vertical="center"/>
    </xf>
    <xf numFmtId="0" fontId="0" fillId="0" borderId="0" applyAlignment="1" pivotButton="0" quotePrefix="0" xfId="0">
      <alignment horizontal="left" indent="2"/>
    </xf>
    <xf numFmtId="0" fontId="0" fillId="0" borderId="0" applyAlignment="1" pivotButton="0" quotePrefix="0" xfId="0">
      <alignment horizontal="left" vertical="center" indent="2"/>
    </xf>
    <xf numFmtId="0" fontId="1" fillId="0" borderId="0" applyAlignment="1" pivotButton="0" quotePrefix="0" xfId="0">
      <alignment horizontal="center"/>
    </xf>
    <xf numFmtId="0" fontId="0" fillId="8" borderId="0" pivotButton="0" quotePrefix="0" xfId="0"/>
    <xf numFmtId="0" fontId="4" fillId="8" borderId="0" pivotButton="0" quotePrefix="0" xfId="0"/>
    <xf numFmtId="9" fontId="0" fillId="0" borderId="0" applyAlignment="1" pivotButton="0" quotePrefix="0" xfId="0">
      <alignment horizontal="center"/>
    </xf>
    <xf numFmtId="9" fontId="0" fillId="0" borderId="0" pivotButton="0" quotePrefix="0" xfId="0"/>
    <xf numFmtId="9" fontId="0" fillId="0" borderId="0" applyAlignment="1" pivotButton="0" quotePrefix="0" xfId="0">
      <alignment horizontal="center" vertical="center"/>
    </xf>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3" fontId="0" fillId="0" borderId="0" applyAlignment="1" pivotButton="0" quotePrefix="0" xfId="0">
      <alignment horizontal="center"/>
    </xf>
    <xf numFmtId="0" fontId="0" fillId="0" borderId="0" applyAlignment="1" pivotButton="0" quotePrefix="0" xfId="0">
      <alignment horizontal="center" wrapText="1"/>
    </xf>
    <xf numFmtId="0" fontId="6" fillId="4" borderId="0" applyAlignment="1" pivotButton="0" quotePrefix="0" xfId="0">
      <alignment horizontal="center"/>
    </xf>
    <xf numFmtId="0" fontId="0" fillId="0" borderId="0" applyAlignment="1" pivotButton="0" quotePrefix="0" xfId="0">
      <alignment horizontal="left"/>
    </xf>
    <xf numFmtId="0" fontId="1"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vertical="center"/>
    </xf>
    <xf numFmtId="0" fontId="1" fillId="0" borderId="0" applyAlignment="1" pivotButton="0" quotePrefix="0" xfId="0">
      <alignment vertical="center" wrapText="1"/>
    </xf>
    <xf numFmtId="9" fontId="0" fillId="0" borderId="0" applyAlignment="1" pivotButton="0" quotePrefix="0" xfId="0">
      <alignment horizontal="left" wrapText="1"/>
    </xf>
    <xf numFmtId="0" fontId="1" fillId="0" borderId="0" applyAlignment="1" pivotButton="0" quotePrefix="0" xfId="0">
      <alignment horizontal="center" vertical="center"/>
    </xf>
    <xf numFmtId="9" fontId="0" fillId="0" borderId="0" applyAlignment="1" pivotButton="0" quotePrefix="0" xfId="0">
      <alignment horizontal="left" vertical="center" wrapText="1"/>
    </xf>
    <xf numFmtId="9" fontId="0" fillId="0" borderId="0" applyAlignment="1" pivotButton="0" quotePrefix="0" xfId="0">
      <alignment horizontal="left" vertical="center" wrapText="1"/>
    </xf>
    <xf numFmtId="0" fontId="1" fillId="0" borderId="0" applyAlignment="1" pivotButton="0" quotePrefix="0" xfId="0">
      <alignment horizontal="center" vertical="center"/>
    </xf>
    <xf numFmtId="9" fontId="1" fillId="0" borderId="0" applyAlignment="1" pivotButton="0" quotePrefix="0" xfId="0">
      <alignment horizontal="center"/>
    </xf>
    <xf numFmtId="9" fontId="1" fillId="0" borderId="0" applyAlignment="1" pivotButton="0" quotePrefix="0" xfId="0">
      <alignment horizontal="center" vertical="center"/>
    </xf>
    <xf numFmtId="9" fontId="0" fillId="0" borderId="0" pivotButton="0" quotePrefix="0" xfId="0"/>
    <xf numFmtId="9" fontId="0" fillId="0" borderId="0" applyAlignment="1" pivotButton="0" quotePrefix="0" xfId="0">
      <alignment vertical="center"/>
    </xf>
    <xf numFmtId="0" fontId="0" fillId="0" borderId="0" pivotButton="0" quotePrefix="0" xfId="0"/>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worksheet" Target="/xl/worksheets/sheet301.xml" Id="rId301"/><Relationship Type="http://schemas.openxmlformats.org/officeDocument/2006/relationships/worksheet" Target="/xl/worksheets/sheet302.xml" Id="rId302"/><Relationship Type="http://schemas.openxmlformats.org/officeDocument/2006/relationships/worksheet" Target="/xl/worksheets/sheet303.xml" Id="rId303"/><Relationship Type="http://schemas.openxmlformats.org/officeDocument/2006/relationships/worksheet" Target="/xl/worksheets/sheet304.xml" Id="rId304"/><Relationship Type="http://schemas.openxmlformats.org/officeDocument/2006/relationships/worksheet" Target="/xl/worksheets/sheet305.xml" Id="rId305"/><Relationship Type="http://schemas.openxmlformats.org/officeDocument/2006/relationships/worksheet" Target="/xl/worksheets/sheet306.xml" Id="rId306"/><Relationship Type="http://schemas.openxmlformats.org/officeDocument/2006/relationships/worksheet" Target="/xl/worksheets/sheet307.xml" Id="rId307"/><Relationship Type="http://schemas.openxmlformats.org/officeDocument/2006/relationships/worksheet" Target="/xl/worksheets/sheet308.xml" Id="rId308"/><Relationship Type="http://schemas.openxmlformats.org/officeDocument/2006/relationships/worksheet" Target="/xl/worksheets/sheet309.xml" Id="rId309"/><Relationship Type="http://schemas.openxmlformats.org/officeDocument/2006/relationships/worksheet" Target="/xl/worksheets/sheet310.xml" Id="rId310"/><Relationship Type="http://schemas.openxmlformats.org/officeDocument/2006/relationships/styles" Target="styles.xml" Id="rId311"/><Relationship Type="http://schemas.openxmlformats.org/officeDocument/2006/relationships/theme" Target="theme/theme1.xml" Id="rId312"/></Relationships>
</file>

<file path=xl/tables/table1.xml><?xml version="1.0" encoding="utf-8"?>
<table xmlns="http://schemas.openxmlformats.org/spreadsheetml/2006/main" id="1" name="Table3" displayName="Table3" ref="A1:H321" headerRowCount="1" totalsRowShown="0" headerRowDxfId="10" dataDxfId="9">
  <autoFilter ref="A1:H321"/>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1"/>
  <sheetViews>
    <sheetView topLeftCell="F307" workbookViewId="0">
      <selection activeCell="G332" sqref="G332"/>
    </sheetView>
  </sheetViews>
  <sheetFormatPr baseColWidth="8" defaultColWidth="8.7109375" defaultRowHeight="15"/>
  <cols>
    <col width="19" customWidth="1" style="91" min="1" max="2"/>
    <col width="14.28515625" customWidth="1" style="91" min="3" max="4"/>
    <col width="16.28515625" customWidth="1" style="91" min="5" max="5"/>
    <col width="144.140625" bestFit="1" customWidth="1" style="91" min="6" max="6"/>
    <col width="136.85546875" bestFit="1" customWidth="1" style="91" min="7" max="7"/>
    <col width="38.7109375" bestFit="1" customWidth="1" style="91" min="8" max="8"/>
    <col width="96.42578125" bestFit="1" customWidth="1" style="91"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8">
      <c r="A2" t="inlineStr">
        <is>
          <t>Activate</t>
        </is>
      </c>
      <c r="B2" t="n">
        <v>1</v>
      </c>
      <c r="C2" t="inlineStr">
        <is>
          <t>Table</t>
        </is>
      </c>
      <c r="E2" t="inlineStr">
        <is>
          <t>T1</t>
        </is>
      </c>
      <c r="F2" s="46" t="inlineStr">
        <is>
          <t>Demographic Summary by Municipality, 2023</t>
        </is>
      </c>
      <c r="G2" s="7" t="inlineStr">
        <is>
          <t>tbl-demographics-sum</t>
        </is>
      </c>
      <c r="H2" s="7">
        <f>IF(LEFT(Table3[[#This Row],[Object ID]],4)="tbl-","fig-" &amp; MID(Table3[[#This Row],[Object ID]],5,LEN(Table3[[#This Row],[Object ID]])-4),"")</f>
        <v/>
      </c>
    </row>
    <row r="3" customFormat="1" s="18">
      <c r="A3" t="inlineStr">
        <is>
          <t>Activate</t>
        </is>
      </c>
      <c r="B3" t="n">
        <v>2</v>
      </c>
      <c r="C3" t="inlineStr">
        <is>
          <t>Table</t>
        </is>
      </c>
      <c r="E3" t="inlineStr">
        <is>
          <t>T2</t>
        </is>
      </c>
      <c r="F3" s="46" t="inlineStr">
        <is>
          <t>Population by Municipality, 1970–2020</t>
        </is>
      </c>
      <c r="G3" s="7" t="inlineStr">
        <is>
          <t>tbl-pop</t>
        </is>
      </c>
      <c r="H3" s="7">
        <f>IF(LEFT(Table3[[#This Row],[Object ID]],4)="tbl-","fig-" &amp; MID(Table3[[#This Row],[Object ID]],5,LEN(Table3[[#This Row],[Object ID]])-4),"")</f>
        <v/>
      </c>
    </row>
    <row r="4" customFormat="1" s="18">
      <c r="A4" t="inlineStr">
        <is>
          <t>Activate</t>
        </is>
      </c>
      <c r="B4" t="n">
        <v>3</v>
      </c>
      <c r="C4" t="inlineStr">
        <is>
          <t>Figure</t>
        </is>
      </c>
      <c r="E4" t="inlineStr">
        <is>
          <t>F1</t>
        </is>
      </c>
      <c r="F4" s="46" t="inlineStr">
        <is>
          <t>Total Population by Municipality, 2023</t>
        </is>
      </c>
      <c r="G4" t="inlineStr">
        <is>
          <t>tbl-total-pop</t>
        </is>
      </c>
      <c r="H4" s="7">
        <f>IF(LEFT(Table3[[#This Row],[Object ID]],4)="tbl-","fig-" &amp; MID(Table3[[#This Row],[Object ID]],5,LEN(Table3[[#This Row],[Object ID]])-4),"")</f>
        <v/>
      </c>
    </row>
    <row r="5" customFormat="1" s="18">
      <c r="A5" t="inlineStr">
        <is>
          <t>Activate</t>
        </is>
      </c>
      <c r="B5" t="n">
        <v>4</v>
      </c>
      <c r="C5" t="inlineStr">
        <is>
          <t>Table</t>
        </is>
      </c>
      <c r="E5" t="inlineStr">
        <is>
          <t>T3</t>
        </is>
      </c>
      <c r="F5" s="46" t="inlineStr">
        <is>
          <t>Population Growth by Municipality, 2000–2020</t>
        </is>
      </c>
      <c r="G5" t="inlineStr">
        <is>
          <t>tbl-pop-growth</t>
        </is>
      </c>
      <c r="H5" s="7">
        <f>IF(LEFT(Table3[[#This Row],[Object ID]],4)="tbl-","fig-" &amp; MID(Table3[[#This Row],[Object ID]],5,LEN(Table3[[#This Row],[Object ID]])-4),"")</f>
        <v/>
      </c>
    </row>
    <row r="6" customFormat="1" s="18">
      <c r="A6" t="inlineStr">
        <is>
          <t>Activate</t>
        </is>
      </c>
      <c r="B6" t="n">
        <v>5</v>
      </c>
      <c r="C6" t="inlineStr">
        <is>
          <t>Table</t>
        </is>
      </c>
      <c r="E6" t="inlineStr">
        <is>
          <t>T4</t>
        </is>
      </c>
      <c r="F6" s="46" t="inlineStr">
        <is>
          <t>Population and Housing Unit Density by Municipality, 2023</t>
        </is>
      </c>
      <c r="G6" t="inlineStr">
        <is>
          <t>tbl-pop-housing-density</t>
        </is>
      </c>
      <c r="H6" s="7">
        <f>IF(LEFT(Table3[[#This Row],[Object ID]],4)="tbl-","fig-" &amp; MID(Table3[[#This Row],[Object ID]],5,LEN(Table3[[#This Row],[Object ID]])-4),"")</f>
        <v/>
      </c>
    </row>
    <row r="7" customFormat="1" s="18">
      <c r="A7" t="inlineStr">
        <is>
          <t>Activate</t>
        </is>
      </c>
      <c r="B7" t="n">
        <v>6</v>
      </c>
      <c r="C7" t="inlineStr">
        <is>
          <t>Table</t>
        </is>
      </c>
      <c r="E7" t="inlineStr">
        <is>
          <t>T5</t>
        </is>
      </c>
      <c r="F7" s="46" t="inlineStr">
        <is>
          <t>Population of Municipalities by Sex and Age, 2023</t>
        </is>
      </c>
      <c r="G7" t="inlineStr">
        <is>
          <t>tbl-pop-sex-age</t>
        </is>
      </c>
      <c r="H7" s="7">
        <f>IF(LEFT(Table3[[#This Row],[Object ID]],4)="tbl-","fig-" &amp; MID(Table3[[#This Row],[Object ID]],5,LEN(Table3[[#This Row],[Object ID]])-4),"")</f>
        <v/>
      </c>
    </row>
    <row r="8" customFormat="1" s="18">
      <c r="A8" t="inlineStr">
        <is>
          <t>Activate</t>
        </is>
      </c>
      <c r="B8" t="n">
        <v>7</v>
      </c>
      <c r="C8" t="inlineStr">
        <is>
          <t>Figure</t>
        </is>
      </c>
      <c r="E8" t="inlineStr">
        <is>
          <t>F2</t>
        </is>
      </c>
      <c r="F8" s="46" t="inlineStr">
        <is>
          <t>Median Age by Municipality, 2023</t>
        </is>
      </c>
      <c r="G8" t="inlineStr">
        <is>
          <t>tbl-median-age</t>
        </is>
      </c>
      <c r="H8" s="7">
        <f>IF(LEFT(Table3[[#This Row],[Object ID]],4)="tbl-","fig-" &amp; MID(Table3[[#This Row],[Object ID]],5,LEN(Table3[[#This Row],[Object ID]])-4),"")</f>
        <v/>
      </c>
    </row>
    <row r="9" customFormat="1" s="18">
      <c r="A9" t="inlineStr">
        <is>
          <t>Activate</t>
        </is>
      </c>
      <c r="B9" t="n">
        <v>8</v>
      </c>
      <c r="C9" t="inlineStr">
        <is>
          <t>Table</t>
        </is>
      </c>
      <c r="E9" t="inlineStr">
        <is>
          <t>T6</t>
        </is>
      </c>
      <c r="F9" s="46" t="inlineStr">
        <is>
          <t>Population of Municipalities by Race and Ethnicity, 2020</t>
        </is>
      </c>
      <c r="G9" t="inlineStr">
        <is>
          <t>tbl-pop-race-ethnicity</t>
        </is>
      </c>
      <c r="H9" s="7">
        <f>IF(LEFT(Table3[[#This Row],[Object ID]],4)="tbl-","fig-" &amp; MID(Table3[[#This Row],[Object ID]],5,LEN(Table3[[#This Row],[Object ID]])-4),"")</f>
        <v/>
      </c>
    </row>
    <row r="10" customFormat="1" s="18">
      <c r="A10" t="inlineStr">
        <is>
          <t>Activate</t>
        </is>
      </c>
      <c r="B10" t="n">
        <v>9</v>
      </c>
      <c r="C10" t="inlineStr">
        <is>
          <t>Table</t>
        </is>
      </c>
      <c r="E10" t="inlineStr">
        <is>
          <t>T7</t>
        </is>
      </c>
      <c r="F10" s="46" t="inlineStr">
        <is>
          <t>Employed Civilians by Industry and Municipality, 2023</t>
        </is>
      </c>
      <c r="G10" t="inlineStr">
        <is>
          <t>tbl-employed-civilians-industry</t>
        </is>
      </c>
      <c r="H10" s="7">
        <f>IF(LEFT(Table3[[#This Row],[Object ID]],4)="tbl-","fig-" &amp; MID(Table3[[#This Row],[Object ID]],5,LEN(Table3[[#This Row],[Object ID]])-4),"")</f>
        <v/>
      </c>
    </row>
    <row r="11" customFormat="1" s="18">
      <c r="A11" t="inlineStr">
        <is>
          <t>Activate</t>
        </is>
      </c>
      <c r="B11" t="n">
        <v>10</v>
      </c>
      <c r="C11" t="inlineStr">
        <is>
          <t>Table</t>
        </is>
      </c>
      <c r="E11" t="inlineStr">
        <is>
          <t>T8</t>
        </is>
      </c>
      <c r="F11" s="46" t="inlineStr">
        <is>
          <t>Employed Civilian Occupations by Municipality, 2023</t>
        </is>
      </c>
      <c r="G11" t="inlineStr">
        <is>
          <t>tbl-employed-civilian-occupations</t>
        </is>
      </c>
      <c r="H11" s="7">
        <f>IF(LEFT(Table3[[#This Row],[Object ID]],4)="tbl-","fig-" &amp; MID(Table3[[#This Row],[Object ID]],5,LEN(Table3[[#This Row],[Object ID]])-4),"")</f>
        <v/>
      </c>
    </row>
    <row r="12" customFormat="1" s="18">
      <c r="A12" t="inlineStr">
        <is>
          <t>Activate</t>
        </is>
      </c>
      <c r="B12" t="n">
        <v>11</v>
      </c>
      <c r="C12" t="inlineStr">
        <is>
          <t>Table</t>
        </is>
      </c>
      <c r="E12" t="inlineStr">
        <is>
          <t>T9</t>
        </is>
      </c>
      <c r="F12" s="46"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8">
      <c r="A13" t="inlineStr">
        <is>
          <t>Activate</t>
        </is>
      </c>
      <c r="B13" t="n">
        <v>12</v>
      </c>
      <c r="C13" t="inlineStr">
        <is>
          <t>Figure</t>
        </is>
      </c>
      <c r="E13" t="inlineStr">
        <is>
          <t>F3</t>
        </is>
      </c>
      <c r="F13" s="46"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8">
      <c r="A14" t="inlineStr">
        <is>
          <t>Activate</t>
        </is>
      </c>
      <c r="B14" t="n">
        <v>13</v>
      </c>
      <c r="C14" t="inlineStr">
        <is>
          <t>Figure</t>
        </is>
      </c>
      <c r="E14" t="inlineStr">
        <is>
          <t>F4</t>
        </is>
      </c>
      <c r="F14" s="46"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8">
      <c r="A15" t="inlineStr">
        <is>
          <t>Activate</t>
        </is>
      </c>
      <c r="B15" t="n">
        <v>14</v>
      </c>
      <c r="C15" t="inlineStr">
        <is>
          <t>Figure</t>
        </is>
      </c>
      <c r="E15" t="inlineStr">
        <is>
          <t>F5</t>
        </is>
      </c>
      <c r="F15" s="46"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8">
      <c r="A16" t="inlineStr">
        <is>
          <t>Activate</t>
        </is>
      </c>
      <c r="B16" t="n">
        <v>15</v>
      </c>
      <c r="C16" t="inlineStr">
        <is>
          <t>Table</t>
        </is>
      </c>
      <c r="E16" t="inlineStr">
        <is>
          <t>T10</t>
        </is>
      </c>
      <c r="F16" s="46"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8">
      <c r="A17" t="inlineStr">
        <is>
          <t>Activate</t>
        </is>
      </c>
      <c r="B17" t="n">
        <v>16</v>
      </c>
      <c r="C17" t="inlineStr">
        <is>
          <t>Table</t>
        </is>
      </c>
      <c r="E17" t="inlineStr">
        <is>
          <t>T11</t>
        </is>
      </c>
      <c r="F17" s="46" t="inlineStr">
        <is>
          <t>Number of Deaths from Leading Causes by Sex, 2020–2022</t>
        </is>
      </c>
      <c r="G17" t="inlineStr">
        <is>
          <t>tbl-number-deaths-leading-sex</t>
        </is>
      </c>
      <c r="H17" s="7">
        <f>IF(LEFT(Table3[[#This Row],[Object ID]],4)="tbl-","fig-" &amp; MID(Table3[[#This Row],[Object ID]],5,LEN(Table3[[#This Row],[Object ID]])-4),"")</f>
        <v/>
      </c>
    </row>
    <row r="18" customFormat="1" s="18">
      <c r="A18" t="inlineStr">
        <is>
          <t>Activate</t>
        </is>
      </c>
      <c r="B18" t="n">
        <v>17</v>
      </c>
      <c r="C18" t="inlineStr">
        <is>
          <t>Figure</t>
        </is>
      </c>
      <c r="E18" t="inlineStr">
        <is>
          <t>F6</t>
        </is>
      </c>
      <c r="F18" s="46"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8">
      <c r="A19" t="inlineStr">
        <is>
          <t>Activate</t>
        </is>
      </c>
      <c r="B19" t="n">
        <v>18</v>
      </c>
      <c r="C19" t="inlineStr">
        <is>
          <t>Figure</t>
        </is>
      </c>
      <c r="E19" t="inlineStr">
        <is>
          <t>F7</t>
        </is>
      </c>
      <c r="F19" s="46"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8">
      <c r="A20" t="inlineStr">
        <is>
          <t>Activate</t>
        </is>
      </c>
      <c r="B20" t="n">
        <v>19</v>
      </c>
      <c r="C20" t="inlineStr">
        <is>
          <t>Table</t>
        </is>
      </c>
      <c r="E20" t="inlineStr">
        <is>
          <t>T12</t>
        </is>
      </c>
      <c r="F20" s="46"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8">
      <c r="A21" t="inlineStr">
        <is>
          <t>Activate</t>
        </is>
      </c>
      <c r="B21" t="n">
        <v>20</v>
      </c>
      <c r="C21" t="inlineStr">
        <is>
          <t>Table</t>
        </is>
      </c>
      <c r="E21" t="inlineStr">
        <is>
          <t>T13</t>
        </is>
      </c>
      <c r="F21" s="46"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8">
      <c r="A22" t="inlineStr">
        <is>
          <t>Activate</t>
        </is>
      </c>
      <c r="B22" t="n">
        <v>21</v>
      </c>
      <c r="C22" t="inlineStr">
        <is>
          <t>Table</t>
        </is>
      </c>
      <c r="E22" t="inlineStr">
        <is>
          <t>T14</t>
        </is>
      </c>
      <c r="F22" s="46" t="inlineStr">
        <is>
          <t>Population Living in Poverty by Age Group, Race and Ethnicity, 2023</t>
        </is>
      </c>
      <c r="G22" s="7" t="inlineStr">
        <is>
          <t>tbl-poverty-age-rande</t>
        </is>
      </c>
      <c r="H22" s="7">
        <f>IF(LEFT(Table3[[#This Row],[Object ID]],4)="tbl-","fig-" &amp; MID(Table3[[#This Row],[Object ID]],5,LEN(Table3[[#This Row],[Object ID]])-4),"")</f>
        <v/>
      </c>
    </row>
    <row r="23" customFormat="1" s="18">
      <c r="A23" t="inlineStr">
        <is>
          <t>Activate</t>
        </is>
      </c>
      <c r="B23" t="n">
        <v>22</v>
      </c>
      <c r="C23" t="inlineStr">
        <is>
          <t>Figure</t>
        </is>
      </c>
      <c r="E23" t="inlineStr">
        <is>
          <t>F8</t>
        </is>
      </c>
      <c r="F23" s="46" t="inlineStr">
        <is>
          <t>Population in Poverty, 2019–2022</t>
        </is>
      </c>
      <c r="G23" s="7" t="inlineStr">
        <is>
          <t>tbl-poverty-pop</t>
        </is>
      </c>
      <c r="H23" s="7">
        <f>IF(LEFT(Table3[[#This Row],[Object ID]],4)="tbl-","fig-" &amp; MID(Table3[[#This Row],[Object ID]],5,LEN(Table3[[#This Row],[Object ID]])-4),"")</f>
        <v/>
      </c>
    </row>
    <row r="24" customFormat="1" s="18">
      <c r="A24" t="inlineStr">
        <is>
          <t>Activate</t>
        </is>
      </c>
      <c r="B24" t="n">
        <v>23</v>
      </c>
      <c r="C24" t="inlineStr">
        <is>
          <t>Figure</t>
        </is>
      </c>
      <c r="E24" t="inlineStr">
        <is>
          <t>F9</t>
        </is>
      </c>
      <c r="F24" s="46"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8">
      <c r="A25" t="inlineStr">
        <is>
          <t>Activate</t>
        </is>
      </c>
      <c r="B25" t="n">
        <v>24</v>
      </c>
      <c r="C25" t="inlineStr">
        <is>
          <t>Figure</t>
        </is>
      </c>
      <c r="E25" t="inlineStr">
        <is>
          <t>F10</t>
        </is>
      </c>
      <c r="F25" s="46"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8">
      <c r="A26" t="inlineStr">
        <is>
          <t>Activate</t>
        </is>
      </c>
      <c r="B26" t="n">
        <v>25</v>
      </c>
      <c r="C26" t="inlineStr">
        <is>
          <t>Figure</t>
        </is>
      </c>
      <c r="E26" t="inlineStr">
        <is>
          <t>F11</t>
        </is>
      </c>
      <c r="F26" s="46" t="inlineStr">
        <is>
          <t>Children Living Below the Poverty Threshold, 2019–2022</t>
        </is>
      </c>
      <c r="G26" s="7" t="inlineStr">
        <is>
          <t>tbl-children-poverty-threshold</t>
        </is>
      </c>
      <c r="H26" s="7">
        <f>IF(LEFT(Table3[[#This Row],[Object ID]],4)="tbl-","fig-" &amp; MID(Table3[[#This Row],[Object ID]],5,LEN(Table3[[#This Row],[Object ID]])-4),"")</f>
        <v/>
      </c>
    </row>
    <row r="27" customFormat="1" s="18">
      <c r="A27" t="inlineStr">
        <is>
          <t>Activate</t>
        </is>
      </c>
      <c r="B27" t="n">
        <v>26</v>
      </c>
      <c r="C27" t="inlineStr">
        <is>
          <t>Table</t>
        </is>
      </c>
      <c r="E27" t="inlineStr">
        <is>
          <t>T15</t>
        </is>
      </c>
      <c r="F27" s="46" t="inlineStr">
        <is>
          <t>Employment Status by Municipality, 2023</t>
        </is>
      </c>
      <c r="G27" s="7" t="inlineStr">
        <is>
          <t>tbl-employment</t>
        </is>
      </c>
      <c r="H27" s="7">
        <f>IF(LEFT(Table3[[#This Row],[Object ID]],4)="tbl-","fig-" &amp; MID(Table3[[#This Row],[Object ID]],5,LEN(Table3[[#This Row],[Object ID]])-4),"")</f>
        <v/>
      </c>
    </row>
    <row r="28" customFormat="1" s="18">
      <c r="A28" t="inlineStr">
        <is>
          <t>Activate</t>
        </is>
      </c>
      <c r="B28" t="n">
        <v>27</v>
      </c>
      <c r="C28" t="inlineStr">
        <is>
          <t>Figure</t>
        </is>
      </c>
      <c r="E28" t="inlineStr">
        <is>
          <t>F12</t>
        </is>
      </c>
      <c r="F28" s="46" t="inlineStr">
        <is>
          <t>Percentage of Labor Force Unemployed, 2020–2023</t>
        </is>
      </c>
      <c r="G28" s="7" t="inlineStr">
        <is>
          <t>tbl-labor-force-unemployed</t>
        </is>
      </c>
      <c r="H28" s="7">
        <f>IF(LEFT(Table3[[#This Row],[Object ID]],4)="tbl-","fig-" &amp; MID(Table3[[#This Row],[Object ID]],5,LEN(Table3[[#This Row],[Object ID]])-4),"")</f>
        <v/>
      </c>
    </row>
    <row r="29" customFormat="1" s="18">
      <c r="A29" t="inlineStr">
        <is>
          <t>Activate</t>
        </is>
      </c>
      <c r="B29" t="n">
        <v>28</v>
      </c>
      <c r="C29" t="inlineStr">
        <is>
          <t>Table</t>
        </is>
      </c>
      <c r="E29" t="inlineStr">
        <is>
          <t>T16</t>
        </is>
      </c>
      <c r="F29" s="46"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8">
      <c r="A30" t="inlineStr">
        <is>
          <t>Activate</t>
        </is>
      </c>
      <c r="B30" t="n">
        <v>29</v>
      </c>
      <c r="C30" t="inlineStr">
        <is>
          <t>Table</t>
        </is>
      </c>
      <c r="E30" t="inlineStr">
        <is>
          <t>T17</t>
        </is>
      </c>
      <c r="F30" s="46" t="inlineStr">
        <is>
          <t>Educational Attainment of Persons 25 years and Over, 2023</t>
        </is>
      </c>
      <c r="G30" s="7" t="inlineStr">
        <is>
          <t>tbl-educational-attain</t>
        </is>
      </c>
      <c r="H30" s="7">
        <f>IF(LEFT(Table3[[#This Row],[Object ID]],4)="tbl-","fig-" &amp; MID(Table3[[#This Row],[Object ID]],5,LEN(Table3[[#This Row],[Object ID]])-4),"")</f>
        <v/>
      </c>
    </row>
    <row r="31" customFormat="1" s="18">
      <c r="A31" t="inlineStr">
        <is>
          <t>Activate</t>
        </is>
      </c>
      <c r="B31" t="n">
        <v>30</v>
      </c>
      <c r="C31" t="inlineStr">
        <is>
          <t>Figure</t>
        </is>
      </c>
      <c r="E31" t="inlineStr">
        <is>
          <t>F13</t>
        </is>
      </c>
      <c r="F31" s="46" t="inlineStr">
        <is>
          <t>High School Graduation Rate, by Race and Ethnicity, 2023</t>
        </is>
      </c>
      <c r="G31" s="7" t="inlineStr">
        <is>
          <t>tbl-hs-graduation-rande</t>
        </is>
      </c>
      <c r="H31" s="7">
        <f>IF(LEFT(Table3[[#This Row],[Object ID]],4)="tbl-","fig-" &amp; MID(Table3[[#This Row],[Object ID]],5,LEN(Table3[[#This Row],[Object ID]])-4),"")</f>
        <v/>
      </c>
    </row>
    <row r="32" customFormat="1" s="18">
      <c r="A32" t="inlineStr">
        <is>
          <t>Activate</t>
        </is>
      </c>
      <c r="B32" t="n">
        <v>31</v>
      </c>
      <c r="C32" t="inlineStr">
        <is>
          <t>Table</t>
        </is>
      </c>
      <c r="E32" t="inlineStr">
        <is>
          <t>T18</t>
        </is>
      </c>
      <c r="F32" s="46" t="inlineStr">
        <is>
          <t>Language Spoken at Home by Municipality, 2023</t>
        </is>
      </c>
      <c r="G32" s="7" t="inlineStr">
        <is>
          <t>tbl-language-spoken-home</t>
        </is>
      </c>
      <c r="H32" s="7">
        <f>IF(LEFT(Table3[[#This Row],[Object ID]],4)="tbl-","fig-" &amp; MID(Table3[[#This Row],[Object ID]],5,LEN(Table3[[#This Row],[Object ID]])-4),"")</f>
        <v/>
      </c>
    </row>
    <row r="33" customFormat="1" s="18">
      <c r="A33" t="inlineStr">
        <is>
          <t>Activate</t>
        </is>
      </c>
      <c r="B33" t="n">
        <v>32</v>
      </c>
      <c r="C33" t="inlineStr">
        <is>
          <t>Table</t>
        </is>
      </c>
      <c r="E33" t="inlineStr">
        <is>
          <t>T19</t>
        </is>
      </c>
      <c r="F33" s="46" t="inlineStr">
        <is>
          <t>English Language Learners, Economically Disadvantaged, and Students with Disabilities by Public School District, 2023–2024</t>
        </is>
      </c>
      <c r="G33" s="34" t="inlineStr">
        <is>
          <t>tbl-english-language-eco-disad-disability</t>
        </is>
      </c>
      <c r="H33" s="7">
        <f>IF(LEFT(Table3[[#This Row],[Object ID]],4)="tbl-","fig-" &amp; MID(Table3[[#This Row],[Object ID]],5,LEN(Table3[[#This Row],[Object ID]])-4),"")</f>
        <v/>
      </c>
    </row>
    <row r="34" customFormat="1" s="18">
      <c r="A34" t="inlineStr">
        <is>
          <t>Activate</t>
        </is>
      </c>
      <c r="B34" t="n">
        <v>33</v>
      </c>
      <c r="C34" t="inlineStr">
        <is>
          <t>Figure</t>
        </is>
      </c>
      <c r="E34" t="inlineStr">
        <is>
          <t>F14</t>
        </is>
      </c>
      <c r="F34" s="46" t="inlineStr">
        <is>
          <t>Potentially Preventable Hospitalizations, Age-Adjusted Rate per 10,000 Adults by ZIP Code, 2021–2024</t>
        </is>
      </c>
      <c r="G34" s="34" t="inlineStr">
        <is>
          <t>tbl-pphospital-aar-zip</t>
        </is>
      </c>
      <c r="H34" s="7">
        <f>IF(LEFT(Table3[[#This Row],[Object ID]],4)="tbl-","fig-" &amp; MID(Table3[[#This Row],[Object ID]],5,LEN(Table3[[#This Row],[Object ID]])-4),"")</f>
        <v/>
      </c>
    </row>
    <row r="35" customFormat="1" s="18">
      <c r="A35" t="inlineStr">
        <is>
          <t>Activate</t>
        </is>
      </c>
      <c r="B35" t="n">
        <v>34</v>
      </c>
      <c r="C35" t="inlineStr">
        <is>
          <t>Figure</t>
        </is>
      </c>
      <c r="E35" t="inlineStr">
        <is>
          <t>F15</t>
        </is>
      </c>
      <c r="F35" s="46"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8">
      <c r="A36" t="inlineStr">
        <is>
          <t>Activate</t>
        </is>
      </c>
      <c r="B36" t="n">
        <v>35</v>
      </c>
      <c r="C36" t="inlineStr">
        <is>
          <t>Table</t>
        </is>
      </c>
      <c r="E36" t="inlineStr">
        <is>
          <t>T20</t>
        </is>
      </c>
      <c r="F36" s="46" t="inlineStr">
        <is>
          <t>Cars Available per Household by Municipality, 2023</t>
        </is>
      </c>
      <c r="G36" s="7" t="inlineStr">
        <is>
          <t>tbl-cars-household</t>
        </is>
      </c>
      <c r="H36" s="7">
        <f>IF(LEFT(Table3[[#This Row],[Object ID]],4)="tbl-","fig-" &amp; MID(Table3[[#This Row],[Object ID]],5,LEN(Table3[[#This Row],[Object ID]])-4),"")</f>
        <v/>
      </c>
    </row>
    <row r="37" customFormat="1" s="18">
      <c r="A37" t="inlineStr">
        <is>
          <t>Activate</t>
        </is>
      </c>
      <c r="B37" t="n">
        <v>36</v>
      </c>
      <c r="C37" t="inlineStr">
        <is>
          <t>Table</t>
        </is>
      </c>
      <c r="E37" t="inlineStr">
        <is>
          <t>T21</t>
        </is>
      </c>
      <c r="F37" s="46" t="inlineStr">
        <is>
          <t>Commuting to Work by Municipality, 2023</t>
        </is>
      </c>
      <c r="G37" s="7" t="inlineStr">
        <is>
          <t>tbl-commute-work</t>
        </is>
      </c>
      <c r="H37" s="7">
        <f>IF(LEFT(Table3[[#This Row],[Object ID]],4)="tbl-","fig-" &amp; MID(Table3[[#This Row],[Object ID]],5,LEN(Table3[[#This Row],[Object ID]])-4),"")</f>
        <v/>
      </c>
    </row>
    <row r="38" customFormat="1" s="18">
      <c r="A38" t="inlineStr">
        <is>
          <t>Activate</t>
        </is>
      </c>
      <c r="B38" t="n">
        <v>37</v>
      </c>
      <c r="C38" t="inlineStr">
        <is>
          <t>Table</t>
        </is>
      </c>
      <c r="E38" t="inlineStr">
        <is>
          <t>T22</t>
        </is>
      </c>
      <c r="F38" s="46" t="inlineStr">
        <is>
          <t>Housing Tenure and Vacancy Status by Municipality, 2023</t>
        </is>
      </c>
      <c r="G38" s="7" t="inlineStr">
        <is>
          <t>tbl-house-tenure-vacancy</t>
        </is>
      </c>
      <c r="H38" s="7">
        <f>IF(LEFT(Table3[[#This Row],[Object ID]],4)="tbl-","fig-" &amp; MID(Table3[[#This Row],[Object ID]],5,LEN(Table3[[#This Row],[Object ID]])-4),"")</f>
        <v/>
      </c>
    </row>
    <row r="39" customFormat="1" s="18">
      <c r="A39" t="inlineStr">
        <is>
          <t>Activate</t>
        </is>
      </c>
      <c r="B39" t="n">
        <v>38</v>
      </c>
      <c r="C39" t="inlineStr">
        <is>
          <t>Table</t>
        </is>
      </c>
      <c r="E39" t="inlineStr">
        <is>
          <t>T23</t>
        </is>
      </c>
      <c r="F39" s="46" t="inlineStr">
        <is>
          <t>Housing Unit Ages by Municipality, 202</t>
        </is>
      </c>
      <c r="G39" s="7" t="inlineStr">
        <is>
          <t>tbl-house-unit-age</t>
        </is>
      </c>
      <c r="H39" s="7">
        <f>IF(LEFT(Table3[[#This Row],[Object ID]],4)="tbl-","fig-" &amp; MID(Table3[[#This Row],[Object ID]],5,LEN(Table3[[#This Row],[Object ID]])-4),"")</f>
        <v/>
      </c>
    </row>
    <row r="40" ht="19.5" customFormat="1" customHeight="1" s="18">
      <c r="A40" t="inlineStr">
        <is>
          <t>Activate</t>
        </is>
      </c>
      <c r="B40" t="n">
        <v>39</v>
      </c>
      <c r="C40" t="inlineStr">
        <is>
          <t>Table</t>
        </is>
      </c>
      <c r="E40" t="inlineStr">
        <is>
          <t>T24</t>
        </is>
      </c>
      <c r="F40" s="46"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8">
      <c r="A41" t="inlineStr">
        <is>
          <t>Activate</t>
        </is>
      </c>
      <c r="B41" t="n">
        <v>40</v>
      </c>
      <c r="C41" t="inlineStr">
        <is>
          <t>Figure</t>
        </is>
      </c>
      <c r="E41" t="inlineStr">
        <is>
          <t>F16</t>
        </is>
      </c>
      <c r="F41" s="46"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8">
      <c r="A42" t="inlineStr">
        <is>
          <t>Activate</t>
        </is>
      </c>
      <c r="B42" t="n">
        <v>41</v>
      </c>
      <c r="C42" t="inlineStr">
        <is>
          <t>Table</t>
        </is>
      </c>
      <c r="E42" t="inlineStr">
        <is>
          <t>T25</t>
        </is>
      </c>
      <c r="F42" s="46"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8">
      <c r="A43" t="inlineStr">
        <is>
          <t>Activate</t>
        </is>
      </c>
      <c r="B43" t="n">
        <v>42</v>
      </c>
      <c r="C43" t="inlineStr">
        <is>
          <t>Figure</t>
        </is>
      </c>
      <c r="E43" t="inlineStr">
        <is>
          <t>F17</t>
        </is>
      </c>
      <c r="F43" s="46"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8">
      <c r="A44" t="inlineStr">
        <is>
          <t>Activate</t>
        </is>
      </c>
      <c r="B44" t="n">
        <v>43</v>
      </c>
      <c r="C44" t="inlineStr">
        <is>
          <t>Table</t>
        </is>
      </c>
      <c r="E44" t="inlineStr">
        <is>
          <t>T26</t>
        </is>
      </c>
      <c r="F44" s="46" t="inlineStr">
        <is>
          <t>Owner versus Renter Occupancy Per Room by Municipality, 2023</t>
        </is>
      </c>
      <c r="G44" s="34" t="inlineStr">
        <is>
          <t>tbl-own-vs-rent-per-room</t>
        </is>
      </c>
      <c r="H44" s="7">
        <f>IF(LEFT(Table3[[#This Row],[Object ID]],4)="tbl-","fig-" &amp; MID(Table3[[#This Row],[Object ID]],5,LEN(Table3[[#This Row],[Object ID]])-4),"")</f>
        <v/>
      </c>
    </row>
    <row r="45" customFormat="1" s="18">
      <c r="A45" t="inlineStr">
        <is>
          <t>Activate</t>
        </is>
      </c>
      <c r="B45" t="n">
        <v>44</v>
      </c>
      <c r="C45" t="inlineStr">
        <is>
          <t>Figure</t>
        </is>
      </c>
      <c r="E45" t="inlineStr">
        <is>
          <t>F18</t>
        </is>
      </c>
      <c r="F45" s="46"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8">
      <c r="A46" t="inlineStr">
        <is>
          <t>Activate</t>
        </is>
      </c>
      <c r="B46" t="n">
        <v>45</v>
      </c>
      <c r="C46" t="inlineStr">
        <is>
          <t>Figure</t>
        </is>
      </c>
      <c r="E46" t="inlineStr">
        <is>
          <t>F19</t>
        </is>
      </c>
      <c r="F46" s="46"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8">
      <c r="A47" t="inlineStr">
        <is>
          <t>Activate</t>
        </is>
      </c>
      <c r="B47" t="n">
        <v>46</v>
      </c>
      <c r="C47" t="inlineStr">
        <is>
          <t>Table</t>
        </is>
      </c>
      <c r="E47" t="inlineStr">
        <is>
          <t>T27</t>
        </is>
      </c>
      <c r="F47" s="46" t="inlineStr">
        <is>
          <t>Type of Internet Access per Household by Municipality, 2023</t>
        </is>
      </c>
      <c r="G47" s="7" t="inlineStr">
        <is>
          <t>tbl-internet-access</t>
        </is>
      </c>
      <c r="H47" s="7">
        <f>IF(LEFT(Table3[[#This Row],[Object ID]],4)="tbl-","fig-" &amp; MID(Table3[[#This Row],[Object ID]],5,LEN(Table3[[#This Row],[Object ID]])-4),"")</f>
        <v/>
      </c>
    </row>
    <row r="48" customFormat="1" s="18">
      <c r="A48" t="inlineStr">
        <is>
          <t>Activate</t>
        </is>
      </c>
      <c r="B48" t="n">
        <v>47</v>
      </c>
      <c r="C48" t="inlineStr">
        <is>
          <t>Table</t>
        </is>
      </c>
      <c r="E48" t="inlineStr">
        <is>
          <t>T28</t>
        </is>
      </c>
      <c r="F48" s="46"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8">
      <c r="A49" t="inlineStr">
        <is>
          <t>Activate</t>
        </is>
      </c>
      <c r="B49" t="n">
        <v>48</v>
      </c>
      <c r="C49" t="inlineStr">
        <is>
          <t>Table</t>
        </is>
      </c>
      <c r="E49" t="inlineStr">
        <is>
          <t>T29</t>
        </is>
      </c>
      <c r="F49" s="46"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8">
      <c r="A50" t="inlineStr">
        <is>
          <t>Activate</t>
        </is>
      </c>
      <c r="B50" t="n">
        <v>49</v>
      </c>
      <c r="C50" t="inlineStr">
        <is>
          <t>Figure</t>
        </is>
      </c>
      <c r="E50" t="inlineStr">
        <is>
          <t>F20</t>
        </is>
      </c>
      <c r="F50" s="46"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8">
      <c r="A51" t="inlineStr">
        <is>
          <t>Activate</t>
        </is>
      </c>
      <c r="B51" t="n">
        <v>50</v>
      </c>
      <c r="C51" t="inlineStr">
        <is>
          <t>Figure</t>
        </is>
      </c>
      <c r="E51" t="inlineStr">
        <is>
          <t>F21</t>
        </is>
      </c>
      <c r="F51" s="46"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8">
      <c r="A52" t="inlineStr">
        <is>
          <t>Activate</t>
        </is>
      </c>
      <c r="B52" t="n">
        <v>51</v>
      </c>
      <c r="C52" t="inlineStr">
        <is>
          <t>Figure</t>
        </is>
      </c>
      <c r="E52" t="inlineStr">
        <is>
          <t>F22</t>
        </is>
      </c>
      <c r="F52" s="46"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8">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8">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8">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8">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8">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8">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19"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19"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19"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19"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19"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19"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19"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2"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1"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1"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2"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1"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2"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1"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1"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2"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1"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1"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1"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1"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1"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1"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1"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2"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1"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2"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2020–2023</t>
        </is>
      </c>
      <c r="G160" s="22"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Late or No Prenatal Care, 2020–2023</t>
        </is>
      </c>
      <c r="G161" s="22"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Late or No Prenatal Care, by Race and Ethnicity, 2020–2023</t>
        </is>
      </c>
      <c r="G162" s="21"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Late or No Prenatal Care, by ZIP Code, 2020–2023</t>
        </is>
      </c>
      <c r="G163" s="22"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2"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2"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2"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1"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2"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2"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1"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2"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1"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1"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1"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Use</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1"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19"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19"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19"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19"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19"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19"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19"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19"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19"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19"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19"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19"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tbl-siena-routine-phsyical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Physical by Income, 2024</t>
        </is>
      </c>
      <c r="G270" s="7" t="inlineStr">
        <is>
          <t>tbl-siena-routine-phsyical-income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19" t="inlineStr">
        <is>
          <t>T65</t>
        </is>
      </c>
      <c r="F313" s="33"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19" t="inlineStr">
        <is>
          <t>T66</t>
        </is>
      </c>
      <c r="F314" s="33"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2"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Top Areas of Concern Across All Assessments</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row r="321">
      <c r="A321" s="61" t="n"/>
      <c r="B321" s="61" t="n"/>
      <c r="C321" s="61" t="n"/>
      <c r="E321" s="61" t="n"/>
      <c r="F321" s="61" t="inlineStr">
        <is>
          <t>Primary Focus Groups Themes</t>
        </is>
      </c>
      <c r="G321" s="7" t="inlineStr">
        <is>
          <t>tbl-primary-focus-groups</t>
        </is>
      </c>
      <c r="H321" s="62">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1"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A1" sqref="A1"/>
    </sheetView>
  </sheetViews>
  <sheetFormatPr baseColWidth="8" defaultColWidth="8.7109375" defaultRowHeight="15"/>
  <cols>
    <col width="16.140625" customWidth="1" style="91" min="2" max="2"/>
    <col width="6.28515625" customWidth="1" style="91" min="3" max="3"/>
    <col width="255.7109375" bestFit="1" customWidth="1" style="91" min="4" max="4"/>
    <col width="16.140625" customWidth="1" style="91" min="5" max="5"/>
    <col width="134.7109375" bestFit="1" customWidth="1" style="91" min="6" max="6"/>
  </cols>
  <sheetData>
    <row r="1">
      <c r="A1" t="inlineStr">
        <is>
          <t>integer</t>
        </is>
      </c>
      <c r="B1" s="69"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A9" t="inlineStr">
        <is>
          <t>text</t>
        </is>
      </c>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85546875" bestFit="1" customWidth="1" style="68" min="7" max="7"/>
    <col width="12.28515625" bestFit="1" customWidth="1" style="68" min="8" max="8"/>
    <col width="11" bestFit="1" customWidth="1" style="68" min="9" max="10"/>
    <col width="9.28515625" bestFit="1" customWidth="1" style="68" min="11" max="11"/>
    <col width="9.42578125" bestFit="1" customWidth="1" style="68" min="12" max="12"/>
    <col width="12.28515625" bestFit="1" customWidth="1" style="68" min="13" max="14"/>
    <col width="12.42578125" bestFit="1" customWidth="1" style="91" min="15" max="16"/>
  </cols>
  <sheetData>
    <row r="1">
      <c r="A1" s="16" t="inlineStr">
        <is>
          <t>Name</t>
        </is>
      </c>
      <c r="B1" s="66" t="inlineStr">
        <is>
          <t>Demographic Summary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71" t="inlineStr">
        <is>
          <t>Table Rules</t>
        </is>
      </c>
      <c r="E5" s="70" t="inlineStr">
        <is>
          <t xml:space="preserve">Enter Data </t>
        </is>
      </c>
      <c r="F5" s="68" t="inlineStr">
        <is>
          <t>Geographic Area</t>
        </is>
      </c>
      <c r="G5" s="68" t="inlineStr">
        <is>
          <t xml:space="preserve">Population </t>
        </is>
      </c>
      <c r="H5" s="68" t="inlineStr">
        <is>
          <t>Age</t>
        </is>
      </c>
      <c r="L5" s="68" t="inlineStr">
        <is>
          <t>Sex</t>
        </is>
      </c>
      <c r="N5" s="68" t="inlineStr">
        <is>
          <t>Median Age</t>
        </is>
      </c>
    </row>
    <row r="6" ht="15" customHeight="1" s="91">
      <c r="A6" t="inlineStr">
        <is>
          <t>Multilevel Headers</t>
        </is>
      </c>
      <c r="B6" t="b">
        <v>1</v>
      </c>
      <c r="G6" s="68" t="inlineStr">
        <is>
          <t>Total</t>
        </is>
      </c>
      <c r="H6" s="68" t="inlineStr">
        <is>
          <t xml:space="preserve"> 0-17 year</t>
        </is>
      </c>
      <c r="I6" s="68" t="inlineStr">
        <is>
          <t>18-24 years</t>
        </is>
      </c>
      <c r="J6" s="68" t="inlineStr">
        <is>
          <t>25-64 years</t>
        </is>
      </c>
      <c r="K6" s="68" t="inlineStr">
        <is>
          <t>65+ years</t>
        </is>
      </c>
      <c r="L6" s="68" t="inlineStr">
        <is>
          <t>Male</t>
        </is>
      </c>
      <c r="M6" s="68" t="inlineStr">
        <is>
          <t>Female</t>
        </is>
      </c>
      <c r="O6" s="69" t="n"/>
    </row>
    <row r="7" ht="15.75" customHeight="1" s="91">
      <c r="F7" s="16" t="inlineStr">
        <is>
          <t>Orange County</t>
        </is>
      </c>
      <c r="G7" s="29" t="n">
        <v>403840</v>
      </c>
      <c r="H7" s="29" t="n">
        <v>103740</v>
      </c>
      <c r="I7" s="29" t="n">
        <v>41468</v>
      </c>
      <c r="J7" s="29" t="n">
        <v>200687</v>
      </c>
      <c r="K7" s="29" t="n">
        <v>57945</v>
      </c>
      <c r="L7" s="29" t="n">
        <v>201512</v>
      </c>
      <c r="M7" s="29" t="n">
        <v>202328</v>
      </c>
      <c r="N7" s="68" t="n">
        <v>36.9</v>
      </c>
      <c r="O7" s="69" t="n"/>
    </row>
    <row r="8">
      <c r="F8" s="16" t="inlineStr">
        <is>
          <t>Blooming Grove Town</t>
        </is>
      </c>
      <c r="G8" s="29" t="n">
        <v>18672</v>
      </c>
      <c r="H8" s="29" t="n">
        <v>5333</v>
      </c>
      <c r="I8" s="29" t="n">
        <v>1742</v>
      </c>
      <c r="J8" s="29" t="n">
        <v>9322</v>
      </c>
      <c r="K8" s="29" t="n">
        <v>2275</v>
      </c>
      <c r="L8" s="29" t="n">
        <v>9133</v>
      </c>
      <c r="M8" s="29" t="n">
        <v>9539</v>
      </c>
      <c r="N8" s="68" t="n">
        <v>34.4</v>
      </c>
      <c r="O8" s="69" t="n"/>
      <c r="P8" s="9" t="n"/>
    </row>
    <row r="9">
      <c r="A9" s="71" t="inlineStr">
        <is>
          <t>Figure Rules</t>
        </is>
      </c>
      <c r="F9" s="47" t="inlineStr">
        <is>
          <t>South Blooming Grove Village</t>
        </is>
      </c>
      <c r="G9" s="29" t="n">
        <v>3880</v>
      </c>
      <c r="H9" s="29" t="n">
        <v>1658</v>
      </c>
      <c r="I9" s="29" t="n">
        <v>263</v>
      </c>
      <c r="J9" s="29" t="n">
        <v>1622</v>
      </c>
      <c r="K9" s="29" t="n">
        <v>337</v>
      </c>
      <c r="L9" s="29" t="n">
        <v>1933</v>
      </c>
      <c r="M9" s="29" t="n">
        <v>1947</v>
      </c>
      <c r="N9" s="68" t="n">
        <v>25.2</v>
      </c>
      <c r="O9" s="69" t="n"/>
    </row>
    <row r="10">
      <c r="A10" t="inlineStr">
        <is>
          <t>Figure Type</t>
        </is>
      </c>
      <c r="F10" s="47" t="inlineStr">
        <is>
          <t>Washingtonville Village</t>
        </is>
      </c>
      <c r="G10" s="29" t="n">
        <v>5723</v>
      </c>
      <c r="H10" s="29" t="n">
        <v>1287</v>
      </c>
      <c r="I10" s="29" t="n">
        <v>430</v>
      </c>
      <c r="J10" s="29" t="n">
        <v>3121</v>
      </c>
      <c r="K10" s="29" t="n">
        <v>885</v>
      </c>
      <c r="L10" s="29" t="n">
        <v>2883</v>
      </c>
      <c r="M10" s="29" t="n">
        <v>2840</v>
      </c>
      <c r="N10" s="68" t="n">
        <v>39.1</v>
      </c>
    </row>
    <row r="11">
      <c r="A11" t="inlineStr">
        <is>
          <t>X Column</t>
        </is>
      </c>
      <c r="F11" s="16" t="inlineStr">
        <is>
          <t>Chester Town</t>
        </is>
      </c>
      <c r="G11" s="29" t="n">
        <v>12621</v>
      </c>
      <c r="H11" s="29" t="n">
        <v>2702</v>
      </c>
      <c r="I11" s="29" t="n">
        <v>1198</v>
      </c>
      <c r="J11" s="29" t="n">
        <v>6927</v>
      </c>
      <c r="K11" s="29" t="n">
        <v>1794</v>
      </c>
      <c r="L11" s="29" t="n">
        <v>5839</v>
      </c>
      <c r="M11" s="29" t="n">
        <v>6782</v>
      </c>
      <c r="N11" s="68" t="n">
        <v>39.1</v>
      </c>
      <c r="O11" s="12" t="n"/>
    </row>
    <row r="12">
      <c r="A12" t="inlineStr">
        <is>
          <t>Y Column</t>
        </is>
      </c>
      <c r="F12" s="49" t="inlineStr">
        <is>
          <t>Chester Village</t>
        </is>
      </c>
      <c r="G12" s="29" t="n">
        <v>4052</v>
      </c>
      <c r="H12" s="29" t="n">
        <v>738</v>
      </c>
      <c r="I12" s="29" t="n">
        <v>313</v>
      </c>
      <c r="J12" s="29" t="n">
        <v>2451</v>
      </c>
      <c r="K12" s="29" t="n">
        <v>550</v>
      </c>
      <c r="L12" s="29" t="n">
        <v>1961</v>
      </c>
      <c r="M12" s="29" t="inlineStr">
        <is>
          <t>2,091</t>
        </is>
      </c>
      <c r="N12" s="13" t="inlineStr">
        <is>
          <t>36.5</t>
        </is>
      </c>
      <c r="O12" s="12" t="n"/>
    </row>
    <row r="13">
      <c r="A13" t="inlineStr">
        <is>
          <t>X Axis Title</t>
        </is>
      </c>
      <c r="F13" s="24" t="inlineStr">
        <is>
          <t>Cornwall Town</t>
        </is>
      </c>
      <c r="G13" s="29" t="n">
        <v>12801</v>
      </c>
      <c r="H13" s="29" t="n">
        <v>2714</v>
      </c>
      <c r="I13" s="29" t="n">
        <v>1148</v>
      </c>
      <c r="J13" s="29" t="n">
        <v>6435</v>
      </c>
      <c r="K13" s="29" t="n">
        <v>2504</v>
      </c>
      <c r="L13" s="29" t="n">
        <v>6218</v>
      </c>
      <c r="M13" s="29" t="inlineStr">
        <is>
          <t>6,583</t>
        </is>
      </c>
      <c r="N13" s="13" t="inlineStr">
        <is>
          <t>42.4</t>
        </is>
      </c>
    </row>
    <row r="14">
      <c r="A14" t="inlineStr">
        <is>
          <t>Y Axis Title</t>
        </is>
      </c>
      <c r="F14" s="47" t="inlineStr">
        <is>
          <t>Cornwall-on-Hudson Village</t>
        </is>
      </c>
      <c r="G14" s="29" t="n">
        <v>3046</v>
      </c>
      <c r="H14" s="29" t="n">
        <v>593</v>
      </c>
      <c r="I14" s="29" t="n">
        <v>321</v>
      </c>
      <c r="J14" s="29" t="n">
        <v>1580</v>
      </c>
      <c r="K14" s="29" t="n">
        <v>552</v>
      </c>
      <c r="L14" s="29" t="n">
        <v>1460</v>
      </c>
      <c r="M14" s="29" t="n">
        <v>1586</v>
      </c>
      <c r="N14" s="68" t="n">
        <v>44.7</v>
      </c>
    </row>
    <row r="15">
      <c r="A15" t="inlineStr">
        <is>
          <t>Start at Zero</t>
        </is>
      </c>
      <c r="F15" s="16" t="inlineStr">
        <is>
          <t>Crawford Town</t>
        </is>
      </c>
      <c r="G15" s="29" t="n">
        <v>9097</v>
      </c>
      <c r="H15" s="29" t="n">
        <v>2086</v>
      </c>
      <c r="I15" s="29" t="n">
        <v>814</v>
      </c>
      <c r="J15" s="29" t="n">
        <v>5014</v>
      </c>
      <c r="K15" s="29" t="n">
        <v>1183</v>
      </c>
      <c r="L15" s="29" t="n">
        <v>4732</v>
      </c>
      <c r="M15" s="29" t="n">
        <v>4365</v>
      </c>
      <c r="N15" s="68" t="n">
        <v>40.8</v>
      </c>
    </row>
    <row r="16">
      <c r="A16" t="inlineStr">
        <is>
          <t>Pivot For Chart</t>
        </is>
      </c>
      <c r="F16" s="16" t="inlineStr">
        <is>
          <t>Deerpark Town</t>
        </is>
      </c>
      <c r="G16" s="29" t="n">
        <v>7471</v>
      </c>
      <c r="H16" s="29" t="n">
        <v>1512</v>
      </c>
      <c r="I16" s="29" t="n">
        <v>508</v>
      </c>
      <c r="J16" s="29" t="n">
        <v>3786</v>
      </c>
      <c r="K16" s="29" t="n">
        <v>1665</v>
      </c>
      <c r="L16" s="29" t="n">
        <v>3753</v>
      </c>
      <c r="M16" s="29" t="n">
        <v>3718</v>
      </c>
      <c r="N16" s="68" t="n">
        <v>45.4</v>
      </c>
    </row>
    <row r="17">
      <c r="F17" s="16" t="inlineStr">
        <is>
          <t>Goshen Town</t>
        </is>
      </c>
      <c r="G17" s="29" t="n">
        <v>14463</v>
      </c>
      <c r="H17" s="29" t="n">
        <v>2871</v>
      </c>
      <c r="I17" s="29" t="n">
        <v>1226</v>
      </c>
      <c r="J17" s="29" t="n">
        <v>7303</v>
      </c>
      <c r="K17" s="29" t="n">
        <v>3063</v>
      </c>
      <c r="L17" s="29" t="n">
        <v>7390</v>
      </c>
      <c r="M17" s="29" t="n">
        <v>7073</v>
      </c>
      <c r="N17" s="68" t="n">
        <v>44.7</v>
      </c>
    </row>
    <row r="18">
      <c r="A18" s="71" t="inlineStr">
        <is>
          <t>Source Specifications</t>
        </is>
      </c>
      <c r="F18" s="47" t="inlineStr">
        <is>
          <t>Goshen Village</t>
        </is>
      </c>
      <c r="G18" s="29" t="n">
        <v>5751</v>
      </c>
      <c r="H18" s="29" t="n">
        <v>1108</v>
      </c>
      <c r="I18" s="29" t="n">
        <v>367</v>
      </c>
      <c r="J18" s="29" t="n">
        <v>2744</v>
      </c>
      <c r="K18" s="29" t="n">
        <v>1532</v>
      </c>
      <c r="L18" s="29" t="n">
        <v>2745</v>
      </c>
      <c r="M18" s="29" t="n">
        <v>3006</v>
      </c>
      <c r="N18" s="68"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16" t="inlineStr">
        <is>
          <t>Greenville Town</t>
        </is>
      </c>
      <c r="G19" s="29" t="n">
        <v>4680</v>
      </c>
      <c r="H19" s="29" t="n">
        <v>1167</v>
      </c>
      <c r="I19" s="29" t="n">
        <v>266</v>
      </c>
      <c r="J19" s="29" t="n">
        <v>2637</v>
      </c>
      <c r="K19" s="29" t="n">
        <v>610</v>
      </c>
      <c r="L19" s="29" t="n">
        <v>2458</v>
      </c>
      <c r="M19" s="29" t="n">
        <v>2222</v>
      </c>
      <c r="N19" s="68" t="n">
        <v>37.8</v>
      </c>
    </row>
    <row r="20">
      <c r="F20" s="16" t="inlineStr">
        <is>
          <t>Hamptonburgh Town</t>
        </is>
      </c>
      <c r="G20" s="29" t="n">
        <v>5507</v>
      </c>
      <c r="H20" s="29" t="n">
        <v>1280</v>
      </c>
      <c r="I20" s="29" t="n">
        <v>499</v>
      </c>
      <c r="J20" s="29" t="n">
        <v>2943</v>
      </c>
      <c r="K20" s="29" t="n">
        <v>785</v>
      </c>
      <c r="L20" s="29" t="n">
        <v>2924</v>
      </c>
      <c r="M20" s="29" t="n">
        <v>2583</v>
      </c>
      <c r="N20" s="68" t="n">
        <v>44.3</v>
      </c>
      <c r="O20" s="12" t="n"/>
    </row>
    <row r="21">
      <c r="A21" s="69" t="inlineStr">
        <is>
          <t>Note Specfications</t>
        </is>
      </c>
      <c r="F21" s="78" t="inlineStr">
        <is>
          <t>Highlands Town</t>
        </is>
      </c>
      <c r="G21" s="29" t="inlineStr">
        <is>
          <t>12,894</t>
        </is>
      </c>
      <c r="H21" s="29" t="inlineStr">
        <is>
          <t>3,027</t>
        </is>
      </c>
      <c r="I21" s="29" t="inlineStr">
        <is>
          <t>3,203</t>
        </is>
      </c>
      <c r="J21" s="29" t="inlineStr">
        <is>
          <t>5,600</t>
        </is>
      </c>
      <c r="K21" s="29" t="inlineStr">
        <is>
          <t>1,064</t>
        </is>
      </c>
      <c r="L21" s="29" t="inlineStr">
        <is>
          <t>7,397</t>
        </is>
      </c>
      <c r="M21" s="29" t="inlineStr">
        <is>
          <t>5,497</t>
        </is>
      </c>
      <c r="N21" s="13" t="inlineStr">
        <is>
          <t>27.2</t>
        </is>
      </c>
      <c r="O21" s="12" t="n"/>
    </row>
    <row r="22">
      <c r="A22" t="inlineStr">
        <is>
          <t xml:space="preserve">Note </t>
        </is>
      </c>
      <c r="B22" t="inlineStr">
        <is>
          <t>Note: Town totals include Village totals. The Village of Harriman is split between the Towns of Monroe and Woodbury.</t>
        </is>
      </c>
      <c r="F22" s="47" t="inlineStr">
        <is>
          <t>Highland Falls Village</t>
        </is>
      </c>
      <c r="G22" s="29" t="inlineStr">
        <is>
          <t>3,696</t>
        </is>
      </c>
      <c r="H22" s="29" t="inlineStr">
        <is>
          <t>773</t>
        </is>
      </c>
      <c r="I22" s="29" t="inlineStr">
        <is>
          <t>278</t>
        </is>
      </c>
      <c r="J22" s="29" t="inlineStr">
        <is>
          <t>2,198</t>
        </is>
      </c>
      <c r="K22" s="29" t="inlineStr">
        <is>
          <t>447</t>
        </is>
      </c>
      <c r="L22" s="29" t="inlineStr">
        <is>
          <t>2,000</t>
        </is>
      </c>
      <c r="M22" s="29" t="inlineStr">
        <is>
          <t>1,696</t>
        </is>
      </c>
      <c r="N22" s="13" t="inlineStr">
        <is>
          <t>40.7</t>
        </is>
      </c>
    </row>
    <row r="23">
      <c r="F23" s="78" t="inlineStr">
        <is>
          <t>Middletown City</t>
        </is>
      </c>
      <c r="G23" s="29" t="inlineStr">
        <is>
          <t>30,227</t>
        </is>
      </c>
      <c r="H23" s="29" t="inlineStr">
        <is>
          <t>7,796</t>
        </is>
      </c>
      <c r="I23" s="29" t="inlineStr">
        <is>
          <t>2,553</t>
        </is>
      </c>
      <c r="J23" s="29" t="n">
        <v>15768</v>
      </c>
      <c r="K23" s="29" t="n">
        <v>4110</v>
      </c>
      <c r="L23" s="29" t="n">
        <v>15640</v>
      </c>
      <c r="M23" s="29" t="n">
        <v>14587</v>
      </c>
      <c r="N23" s="68" t="n">
        <v>35.7</v>
      </c>
    </row>
    <row r="24">
      <c r="F24" s="78" t="inlineStr">
        <is>
          <t>Minisink Town</t>
        </is>
      </c>
      <c r="G24" s="29" t="inlineStr">
        <is>
          <t>4,648</t>
        </is>
      </c>
      <c r="H24" s="29" t="inlineStr">
        <is>
          <t>1,277</t>
        </is>
      </c>
      <c r="I24" s="29" t="inlineStr">
        <is>
          <t>476</t>
        </is>
      </c>
      <c r="J24" s="29" t="n">
        <v>2371</v>
      </c>
      <c r="K24" s="29" t="n">
        <v>524</v>
      </c>
      <c r="L24" s="29" t="n">
        <v>2246</v>
      </c>
      <c r="M24" s="29" t="n">
        <v>2402</v>
      </c>
      <c r="N24" s="68" t="n">
        <v>36.5</v>
      </c>
    </row>
    <row r="25">
      <c r="F25" s="49" t="inlineStr">
        <is>
          <t>Unionville Village</t>
        </is>
      </c>
      <c r="G25" s="29" t="inlineStr">
        <is>
          <t>684</t>
        </is>
      </c>
      <c r="H25" s="29" t="inlineStr">
        <is>
          <t>222</t>
        </is>
      </c>
      <c r="I25" s="29" t="inlineStr">
        <is>
          <t>79</t>
        </is>
      </c>
      <c r="J25" s="29" t="n">
        <v>304</v>
      </c>
      <c r="K25" s="29" t="n">
        <v>79</v>
      </c>
      <c r="L25" s="29" t="n">
        <v>282</v>
      </c>
      <c r="M25" s="29" t="n">
        <v>402</v>
      </c>
      <c r="N25" s="68" t="n">
        <v>30.5</v>
      </c>
    </row>
    <row r="26">
      <c r="F26" s="79" t="inlineStr">
        <is>
          <t>Monroe Town</t>
        </is>
      </c>
      <c r="G26" s="29" t="inlineStr">
        <is>
          <t>21,299</t>
        </is>
      </c>
      <c r="H26" s="29" t="inlineStr">
        <is>
          <t>5,787</t>
        </is>
      </c>
      <c r="I26" s="29" t="inlineStr">
        <is>
          <t>2,035</t>
        </is>
      </c>
      <c r="J26" s="29" t="n">
        <v>10438</v>
      </c>
      <c r="K26" s="29" t="n">
        <v>3039</v>
      </c>
      <c r="L26" s="29" t="n">
        <v>9782</v>
      </c>
      <c r="M26" s="29" t="n">
        <v>11517</v>
      </c>
      <c r="N26" s="68" t="n">
        <v>36.8</v>
      </c>
    </row>
    <row r="27">
      <c r="A27" s="69" t="n"/>
      <c r="F27" s="47" t="inlineStr">
        <is>
          <t>Harriman Village (portion)</t>
        </is>
      </c>
      <c r="G27" s="29" t="n">
        <v>2089</v>
      </c>
      <c r="H27" s="29" t="n">
        <v>598</v>
      </c>
      <c r="I27" s="29" t="inlineStr">
        <is>
          <t>95</t>
        </is>
      </c>
      <c r="J27" s="29" t="n">
        <v>1033</v>
      </c>
      <c r="K27" s="29" t="n">
        <v>363</v>
      </c>
      <c r="L27" s="29" t="n">
        <v>877</v>
      </c>
      <c r="M27" s="29" t="n">
        <v>1212</v>
      </c>
      <c r="N27" s="68" t="n">
        <v>37</v>
      </c>
    </row>
    <row r="28">
      <c r="F28" s="47" t="inlineStr">
        <is>
          <t>Monroe Village</t>
        </is>
      </c>
      <c r="G28" s="29" t="n">
        <v>9466</v>
      </c>
      <c r="H28" s="29" t="n">
        <v>2552</v>
      </c>
      <c r="I28" s="29" t="inlineStr">
        <is>
          <t>1,118</t>
        </is>
      </c>
      <c r="J28" s="29" t="n">
        <v>4846</v>
      </c>
      <c r="K28" s="29" t="n">
        <v>950</v>
      </c>
      <c r="L28" s="29" t="n">
        <v>4473</v>
      </c>
      <c r="M28" s="29" t="n">
        <v>4993</v>
      </c>
      <c r="N28" s="68" t="n">
        <v>32.8</v>
      </c>
    </row>
    <row r="29">
      <c r="F29" s="78" t="inlineStr">
        <is>
          <t>Montgomery Town</t>
        </is>
      </c>
      <c r="G29" s="29" t="n">
        <v>23235</v>
      </c>
      <c r="H29" s="29" t="n">
        <v>5597</v>
      </c>
      <c r="I29" s="29" t="inlineStr">
        <is>
          <t>2,052</t>
        </is>
      </c>
      <c r="J29" s="29" t="n">
        <v>12228</v>
      </c>
      <c r="K29" s="29" t="n">
        <v>3358</v>
      </c>
      <c r="L29" s="29" t="n">
        <v>11058</v>
      </c>
      <c r="M29" s="29" t="n">
        <v>12177</v>
      </c>
      <c r="N29" s="68" t="n">
        <v>39.4</v>
      </c>
    </row>
    <row r="30">
      <c r="F30" s="47" t="inlineStr">
        <is>
          <t>Maybrook Village</t>
        </is>
      </c>
      <c r="G30" s="29" t="n">
        <v>3147</v>
      </c>
      <c r="H30" s="29" t="n">
        <v>507</v>
      </c>
      <c r="I30" s="29" t="inlineStr">
        <is>
          <t>208</t>
        </is>
      </c>
      <c r="J30" s="29" t="n">
        <v>1772</v>
      </c>
      <c r="K30" s="29" t="n">
        <v>660</v>
      </c>
      <c r="L30" s="29" t="n">
        <v>1451</v>
      </c>
      <c r="M30" s="29" t="n">
        <v>1696</v>
      </c>
      <c r="N30" s="68" t="n">
        <v>46.5</v>
      </c>
    </row>
    <row r="31">
      <c r="F31" s="47" t="inlineStr">
        <is>
          <t>Montgomery Village</t>
        </is>
      </c>
      <c r="G31" s="29" t="n">
        <v>3800</v>
      </c>
      <c r="H31" s="29" t="n">
        <v>962</v>
      </c>
      <c r="I31" s="29" t="inlineStr">
        <is>
          <t>325</t>
        </is>
      </c>
      <c r="J31" s="29" t="n">
        <v>1960</v>
      </c>
      <c r="K31" s="29" t="n">
        <v>553</v>
      </c>
      <c r="L31" s="29" t="n">
        <v>1722</v>
      </c>
      <c r="M31" s="29" t="n">
        <v>2078</v>
      </c>
      <c r="N31" s="68" t="n">
        <v>39.8</v>
      </c>
    </row>
    <row r="32">
      <c r="F32" s="47" t="inlineStr">
        <is>
          <t>Walden Village</t>
        </is>
      </c>
      <c r="G32" s="29" t="n">
        <v>6871</v>
      </c>
      <c r="H32" s="29" t="n">
        <v>1664</v>
      </c>
      <c r="I32" s="29" t="inlineStr">
        <is>
          <t>659</t>
        </is>
      </c>
      <c r="J32" s="29" t="n">
        <v>3732</v>
      </c>
      <c r="K32" s="29" t="n">
        <v>816</v>
      </c>
      <c r="L32" s="29" t="n">
        <v>3498</v>
      </c>
      <c r="M32" s="29" t="n">
        <v>3373</v>
      </c>
      <c r="N32" s="68" t="n">
        <v>38.1</v>
      </c>
    </row>
    <row r="33">
      <c r="F33" s="16" t="inlineStr">
        <is>
          <t>Mount Hope Town</t>
        </is>
      </c>
      <c r="G33" s="29" t="inlineStr">
        <is>
          <t>6,500</t>
        </is>
      </c>
      <c r="H33" s="29" t="inlineStr">
        <is>
          <t>1,080</t>
        </is>
      </c>
      <c r="I33" s="29" t="inlineStr">
        <is>
          <t>485</t>
        </is>
      </c>
      <c r="J33" s="29" t="n">
        <v>3856</v>
      </c>
      <c r="K33" s="29" t="n">
        <v>1079</v>
      </c>
      <c r="L33" s="29" t="n">
        <v>3897</v>
      </c>
      <c r="M33" s="29" t="n">
        <v>2603</v>
      </c>
      <c r="N33" s="68" t="n">
        <v>44.3</v>
      </c>
    </row>
    <row r="34">
      <c r="F34" s="47" t="inlineStr">
        <is>
          <t>Otisville Village</t>
        </is>
      </c>
      <c r="G34" s="29" t="n">
        <v>1210</v>
      </c>
      <c r="H34" s="29" t="n">
        <v>353</v>
      </c>
      <c r="I34" s="29" t="inlineStr">
        <is>
          <t>56</t>
        </is>
      </c>
      <c r="J34" s="29" t="n">
        <v>564</v>
      </c>
      <c r="K34" s="29" t="n">
        <v>237</v>
      </c>
      <c r="L34" s="29" t="n">
        <v>623</v>
      </c>
      <c r="M34" s="29" t="n">
        <v>587</v>
      </c>
      <c r="N34" s="68" t="n">
        <v>35.6</v>
      </c>
    </row>
    <row r="35">
      <c r="F35" s="78" t="inlineStr">
        <is>
          <t>Newburgh City</t>
        </is>
      </c>
      <c r="G35" s="29" t="n">
        <v>28649</v>
      </c>
      <c r="H35" s="29" t="n">
        <v>7379</v>
      </c>
      <c r="I35" s="29" t="inlineStr">
        <is>
          <t>3,337</t>
        </is>
      </c>
      <c r="J35" s="29" t="n">
        <v>14393</v>
      </c>
      <c r="K35" s="29" t="n">
        <v>3540</v>
      </c>
      <c r="L35" s="29" t="n">
        <v>13424</v>
      </c>
      <c r="M35" s="29" t="n">
        <v>15225</v>
      </c>
      <c r="N35" s="68" t="n">
        <v>31.7</v>
      </c>
    </row>
    <row r="36">
      <c r="F36" s="78" t="inlineStr">
        <is>
          <t>Newburgh Town</t>
        </is>
      </c>
      <c r="G36" s="29" t="n">
        <v>31866</v>
      </c>
      <c r="H36" s="29" t="n">
        <v>6121</v>
      </c>
      <c r="I36" s="29" t="inlineStr">
        <is>
          <t>2,988</t>
        </is>
      </c>
      <c r="J36" s="29" t="n">
        <v>17297</v>
      </c>
      <c r="K36" s="29" t="n">
        <v>5460</v>
      </c>
      <c r="L36" s="29" t="n">
        <v>16112</v>
      </c>
      <c r="M36" s="29" t="n">
        <v>15754</v>
      </c>
      <c r="N36" s="68" t="n">
        <v>41.8</v>
      </c>
    </row>
    <row r="37">
      <c r="F37" s="78" t="inlineStr">
        <is>
          <t>New Windsor Town</t>
        </is>
      </c>
      <c r="G37" s="29" t="n">
        <v>27781</v>
      </c>
      <c r="H37" s="29" t="n">
        <v>5691</v>
      </c>
      <c r="I37" s="29" t="inlineStr">
        <is>
          <t>2,448</t>
        </is>
      </c>
      <c r="J37" s="29" t="n">
        <v>15049</v>
      </c>
      <c r="K37" s="29" t="n">
        <v>4593</v>
      </c>
      <c r="L37" s="29" t="n">
        <v>13475</v>
      </c>
      <c r="M37" s="29" t="n">
        <v>14306</v>
      </c>
      <c r="N37" s="68" t="n">
        <v>41.4</v>
      </c>
    </row>
    <row r="38">
      <c r="F38" s="78" t="inlineStr">
        <is>
          <t>Palm Tree Town</t>
        </is>
      </c>
      <c r="G38" s="29" t="n">
        <v>36572</v>
      </c>
      <c r="H38" s="29" t="n">
        <v>20811</v>
      </c>
      <c r="I38" s="29" t="inlineStr">
        <is>
          <t>5,257</t>
        </is>
      </c>
      <c r="J38" s="29" t="n">
        <v>9535</v>
      </c>
      <c r="K38" s="29" t="n">
        <v>969</v>
      </c>
      <c r="L38" s="29" t="n">
        <v>18558</v>
      </c>
      <c r="M38" s="29" t="n">
        <v>18014</v>
      </c>
      <c r="N38" s="68" t="n">
        <v>15.1</v>
      </c>
    </row>
    <row r="39">
      <c r="F39" s="49" t="inlineStr">
        <is>
          <t>Kiryas Joel Village</t>
        </is>
      </c>
      <c r="G39" s="29" t="inlineStr">
        <is>
          <t>36,572</t>
        </is>
      </c>
      <c r="H39" s="29" t="inlineStr">
        <is>
          <t>20,811</t>
        </is>
      </c>
      <c r="I39" s="29" t="inlineStr">
        <is>
          <t>5,257</t>
        </is>
      </c>
      <c r="J39" s="29" t="n">
        <v>9535</v>
      </c>
      <c r="K39" s="29" t="n">
        <v>969</v>
      </c>
      <c r="L39" s="29" t="n">
        <v>18558</v>
      </c>
      <c r="M39" s="29" t="n">
        <v>18014</v>
      </c>
      <c r="N39" s="68" t="n">
        <v>15.1</v>
      </c>
    </row>
    <row r="40">
      <c r="F40" s="26" t="inlineStr">
        <is>
          <t>Port Jervis City</t>
        </is>
      </c>
      <c r="G40" s="29" t="inlineStr">
        <is>
          <t>8,709</t>
        </is>
      </c>
      <c r="H40" s="29" t="inlineStr">
        <is>
          <t>1,809</t>
        </is>
      </c>
      <c r="I40" s="29" t="inlineStr">
        <is>
          <t>1,076</t>
        </is>
      </c>
      <c r="J40" s="29" t="n">
        <v>4209</v>
      </c>
      <c r="K40" s="29" t="n">
        <v>1615</v>
      </c>
      <c r="L40" s="29" t="n">
        <v>4267</v>
      </c>
      <c r="M40" s="29" t="n">
        <v>4442</v>
      </c>
      <c r="N40" s="68" t="n">
        <v>39.6</v>
      </c>
    </row>
    <row r="41">
      <c r="F41" s="16" t="inlineStr">
        <is>
          <t>Tuxedo Town</t>
        </is>
      </c>
      <c r="G41" s="29" t="inlineStr">
        <is>
          <t>3,765</t>
        </is>
      </c>
      <c r="H41" s="29" t="inlineStr">
        <is>
          <t>702</t>
        </is>
      </c>
      <c r="I41" s="29" t="inlineStr">
        <is>
          <t>240</t>
        </is>
      </c>
      <c r="J41" s="29" t="n">
        <v>1954</v>
      </c>
      <c r="K41" s="29" t="n">
        <v>869</v>
      </c>
      <c r="L41" s="29" t="n">
        <v>1975</v>
      </c>
      <c r="M41" s="29" t="n">
        <v>1790</v>
      </c>
      <c r="N41" s="68" t="n">
        <v>48.4</v>
      </c>
    </row>
    <row r="42">
      <c r="F42" s="47" t="inlineStr">
        <is>
          <t>Tuxedo Village</t>
        </is>
      </c>
      <c r="G42" s="29" t="n">
        <v>3083</v>
      </c>
      <c r="H42" s="29" t="n">
        <v>620</v>
      </c>
      <c r="I42" s="29" t="n">
        <v>228</v>
      </c>
      <c r="J42" s="29" t="n">
        <v>1543</v>
      </c>
      <c r="K42" s="29" t="n">
        <v>692</v>
      </c>
      <c r="L42" s="29" t="n">
        <v>1546</v>
      </c>
      <c r="M42" s="29" t="n">
        <v>1537</v>
      </c>
      <c r="N42" s="68" t="n">
        <v>45.1</v>
      </c>
    </row>
    <row r="43">
      <c r="F43" s="47" t="inlineStr">
        <is>
          <t>Tuxedo Park Village</t>
        </is>
      </c>
      <c r="G43" s="29" t="n">
        <v>682</v>
      </c>
      <c r="H43" s="29" t="n">
        <v>82</v>
      </c>
      <c r="I43" s="29" t="n">
        <v>12</v>
      </c>
      <c r="J43" s="29" t="n">
        <v>411</v>
      </c>
      <c r="K43" s="29" t="n">
        <v>177</v>
      </c>
      <c r="L43" s="29" t="n">
        <v>429</v>
      </c>
      <c r="M43" s="29" t="n">
        <v>253</v>
      </c>
      <c r="N43" s="68" t="n">
        <v>51.9</v>
      </c>
    </row>
    <row r="44">
      <c r="F44" s="16" t="inlineStr">
        <is>
          <t>Wallkill Town</t>
        </is>
      </c>
      <c r="G44" s="29" t="n">
        <v>30790</v>
      </c>
      <c r="H44" s="29" t="n">
        <v>5920</v>
      </c>
      <c r="I44" s="29" t="n">
        <v>3341</v>
      </c>
      <c r="J44" s="29" t="n">
        <v>16353</v>
      </c>
      <c r="K44" s="29" t="n">
        <v>5176</v>
      </c>
      <c r="L44" s="29" t="n">
        <v>15650</v>
      </c>
      <c r="M44" s="29" t="n">
        <v>15140</v>
      </c>
      <c r="N44" s="68" t="n">
        <v>41.3</v>
      </c>
    </row>
    <row r="45">
      <c r="F45" s="16" t="inlineStr">
        <is>
          <t>Warwick Town</t>
        </is>
      </c>
      <c r="G45" s="29" t="n">
        <v>31909</v>
      </c>
      <c r="H45" s="29" t="n">
        <v>6273</v>
      </c>
      <c r="I45" s="29" t="n">
        <v>2216</v>
      </c>
      <c r="J45" s="29" t="n">
        <v>17141</v>
      </c>
      <c r="K45" s="29" t="n">
        <v>6279</v>
      </c>
      <c r="L45" s="29" t="n">
        <v>15794</v>
      </c>
      <c r="M45" s="29" t="n">
        <v>16115</v>
      </c>
      <c r="N45" s="68" t="n">
        <v>44.1</v>
      </c>
    </row>
    <row r="46">
      <c r="F46" s="47" t="inlineStr">
        <is>
          <t>Florida Village</t>
        </is>
      </c>
      <c r="G46" s="29" t="n">
        <v>2915</v>
      </c>
      <c r="H46" s="29" t="n">
        <v>620</v>
      </c>
      <c r="I46" s="29" t="n">
        <v>278</v>
      </c>
      <c r="J46" s="29" t="n">
        <v>1575</v>
      </c>
      <c r="K46" s="29" t="n">
        <v>442</v>
      </c>
      <c r="L46" s="29" t="n">
        <v>1566</v>
      </c>
      <c r="M46" s="29" t="n">
        <v>1349</v>
      </c>
      <c r="N46" s="68" t="n">
        <v>36</v>
      </c>
    </row>
    <row r="47">
      <c r="F47" s="47" t="inlineStr">
        <is>
          <t>Greenwood Lake Village</t>
        </is>
      </c>
      <c r="G47" s="29" t="n">
        <v>3022</v>
      </c>
      <c r="H47" s="29" t="n">
        <v>529</v>
      </c>
      <c r="I47" s="29" t="n">
        <v>101</v>
      </c>
      <c r="J47" s="29" t="n">
        <v>1760</v>
      </c>
      <c r="K47" s="29" t="n">
        <v>632</v>
      </c>
      <c r="L47" s="29" t="n">
        <v>1471</v>
      </c>
      <c r="M47" s="29" t="n">
        <v>1551</v>
      </c>
      <c r="N47" s="68" t="n">
        <v>42.2</v>
      </c>
    </row>
    <row r="48">
      <c r="F48" s="47" t="inlineStr">
        <is>
          <t>Warwick Village</t>
        </is>
      </c>
      <c r="G48" s="29" t="n">
        <v>6625</v>
      </c>
      <c r="H48" s="29" t="n">
        <v>1274</v>
      </c>
      <c r="I48" s="29" t="n">
        <v>418</v>
      </c>
      <c r="J48" s="29" t="n">
        <v>3125</v>
      </c>
      <c r="K48" s="29" t="n">
        <v>1808</v>
      </c>
      <c r="L48" s="29" t="n">
        <v>2921</v>
      </c>
      <c r="M48" s="29" t="n">
        <v>3704</v>
      </c>
      <c r="N48" s="68" t="n">
        <v>48.4</v>
      </c>
    </row>
    <row r="49">
      <c r="F49" s="16" t="inlineStr">
        <is>
          <t>Wawayanda Town</t>
        </is>
      </c>
      <c r="G49" s="29" t="n">
        <v>7493</v>
      </c>
      <c r="H49" s="29" t="n">
        <v>1726</v>
      </c>
      <c r="I49" s="29" t="n">
        <v>882</v>
      </c>
      <c r="J49" s="29" t="n">
        <v>3842</v>
      </c>
      <c r="K49" s="29" t="n">
        <v>1043</v>
      </c>
      <c r="L49" s="29" t="n">
        <v>3585</v>
      </c>
      <c r="M49" s="29" t="n">
        <v>3908</v>
      </c>
      <c r="N49" s="68" t="n">
        <v>39.2</v>
      </c>
    </row>
    <row r="50">
      <c r="F50" s="16" t="inlineStr">
        <is>
          <t>Woodbury Town</t>
        </is>
      </c>
      <c r="G50" s="29" t="n">
        <v>12191</v>
      </c>
      <c r="H50" s="29" t="n">
        <v>3079</v>
      </c>
      <c r="I50" s="29" t="n">
        <v>1478</v>
      </c>
      <c r="J50" s="29" t="n">
        <v>6286</v>
      </c>
      <c r="K50" s="29" t="n">
        <v>1348</v>
      </c>
      <c r="L50" s="29" t="n">
        <v>6205</v>
      </c>
      <c r="M50" s="29" t="n">
        <v>5986</v>
      </c>
      <c r="N50" s="68" t="n">
        <v>40</v>
      </c>
    </row>
    <row r="51">
      <c r="F51" s="47" t="inlineStr">
        <is>
          <t>Harriman Village (portion)</t>
        </is>
      </c>
      <c r="G51" s="29" t="n">
        <v>754</v>
      </c>
      <c r="H51" s="29" t="n">
        <v>149</v>
      </c>
      <c r="I51" s="29" t="n">
        <v>39</v>
      </c>
      <c r="J51" s="29" t="n">
        <v>505</v>
      </c>
      <c r="K51" s="29" t="n">
        <v>61</v>
      </c>
      <c r="L51" s="29" t="n">
        <v>337</v>
      </c>
      <c r="M51" s="29" t="n">
        <v>417</v>
      </c>
      <c r="N51" s="68" t="n">
        <v>37</v>
      </c>
    </row>
    <row r="52">
      <c r="F52" s="47" t="inlineStr">
        <is>
          <t>Woodbury Village</t>
        </is>
      </c>
      <c r="G52" s="29" t="n">
        <v>11437</v>
      </c>
      <c r="H52" s="29" t="n">
        <v>2930</v>
      </c>
      <c r="I52" s="29" t="n">
        <v>1439</v>
      </c>
      <c r="J52" s="29" t="n">
        <v>5781</v>
      </c>
      <c r="K52" s="29" t="n">
        <v>1287</v>
      </c>
      <c r="L52" s="29" t="n">
        <v>5868</v>
      </c>
      <c r="M52" s="29" t="n">
        <v>5569</v>
      </c>
      <c r="N52" s="68"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7109375" bestFit="1" customWidth="1" style="91" min="7" max="7"/>
    <col width="12.140625" bestFit="1" customWidth="1" style="91" min="8" max="8"/>
    <col width="8.85546875" bestFit="1" customWidth="1" style="91" min="9" max="9"/>
    <col width="10.855468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by Municipality, 1970–2020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Population</t>
        </is>
      </c>
      <c r="M5" s="21" t="n"/>
      <c r="N5" s="21" t="n"/>
    </row>
    <row r="6" ht="15" customHeight="1" s="91">
      <c r="A6" t="inlineStr">
        <is>
          <t>Multilevel Headers</t>
        </is>
      </c>
      <c r="G6" s="68" t="n">
        <v>1970</v>
      </c>
      <c r="H6" s="69" t="n">
        <v>1980</v>
      </c>
      <c r="I6" s="69" t="n">
        <v>1990</v>
      </c>
      <c r="J6" s="69" t="n">
        <v>2000</v>
      </c>
      <c r="K6" s="69" t="n">
        <v>2010</v>
      </c>
      <c r="L6" s="69" t="n">
        <v>2020</v>
      </c>
      <c r="M6" s="69" t="n"/>
      <c r="N6" s="21" t="n"/>
      <c r="O6" s="69" t="n"/>
    </row>
    <row r="7" ht="15.75" customHeight="1" s="91">
      <c r="F7" s="16" t="inlineStr">
        <is>
          <t>Orange County</t>
        </is>
      </c>
      <c r="G7" s="74" t="n">
        <v>221657</v>
      </c>
      <c r="H7" s="74" t="n">
        <v>259603</v>
      </c>
      <c r="I7" s="74" t="n">
        <v>307647</v>
      </c>
      <c r="J7" s="74" t="n">
        <v>341367</v>
      </c>
      <c r="K7" s="74" t="n">
        <v>372813</v>
      </c>
      <c r="L7" s="74" t="n">
        <v>401310</v>
      </c>
      <c r="M7" s="69" t="n"/>
      <c r="N7" s="69" t="n"/>
      <c r="O7" s="69" t="n"/>
    </row>
    <row r="8">
      <c r="F8" s="16" t="inlineStr">
        <is>
          <t>Blooming Grove Town</t>
        </is>
      </c>
      <c r="G8" s="74" t="n">
        <v>8813</v>
      </c>
      <c r="H8" s="74" t="n">
        <v>12339</v>
      </c>
      <c r="I8" s="74" t="n">
        <v>16673</v>
      </c>
      <c r="J8" s="74" t="n">
        <v>17351</v>
      </c>
      <c r="K8" s="74" t="n">
        <v>18028</v>
      </c>
      <c r="L8" s="74" t="n">
        <v>18811</v>
      </c>
      <c r="M8" s="69" t="n"/>
      <c r="N8" s="69" t="n"/>
      <c r="O8" s="69" t="n"/>
      <c r="P8" s="9" t="n"/>
    </row>
    <row r="9">
      <c r="A9" s="71" t="inlineStr">
        <is>
          <t>Figure Rules</t>
        </is>
      </c>
      <c r="F9" s="47" t="inlineStr">
        <is>
          <t>South Blooming Grove Village</t>
        </is>
      </c>
      <c r="G9" s="69" t="inlineStr">
        <is>
          <t>N/A</t>
        </is>
      </c>
      <c r="H9" s="69" t="inlineStr">
        <is>
          <t>N/A</t>
        </is>
      </c>
      <c r="I9" s="69" t="inlineStr">
        <is>
          <t>N/A</t>
        </is>
      </c>
      <c r="J9" s="69" t="inlineStr">
        <is>
          <t>N/A</t>
        </is>
      </c>
      <c r="K9" s="74" t="n">
        <v>3234</v>
      </c>
      <c r="L9" s="74" t="n">
        <v>3973</v>
      </c>
      <c r="M9" s="69" t="n"/>
      <c r="N9" s="69" t="n"/>
      <c r="O9" s="69" t="n"/>
    </row>
    <row r="10">
      <c r="A10" t="inlineStr">
        <is>
          <t>Figure Type</t>
        </is>
      </c>
      <c r="F10" s="47" t="inlineStr">
        <is>
          <t>Washingtonville Village</t>
        </is>
      </c>
      <c r="G10" s="74" t="n">
        <v>1887</v>
      </c>
      <c r="H10" s="74" t="n">
        <v>2380</v>
      </c>
      <c r="I10" s="74" t="n">
        <v>4906</v>
      </c>
      <c r="J10" s="74" t="n">
        <v>5851</v>
      </c>
      <c r="K10" s="74" t="n">
        <v>5899</v>
      </c>
      <c r="L10" s="74" t="n">
        <v>5657</v>
      </c>
      <c r="M10" s="69" t="n"/>
      <c r="N10" s="69" t="n"/>
    </row>
    <row r="11">
      <c r="A11" t="inlineStr">
        <is>
          <t>X Column</t>
        </is>
      </c>
      <c r="F11" s="16" t="inlineStr">
        <is>
          <t>Chester Town</t>
        </is>
      </c>
      <c r="G11" s="74" t="n">
        <v>4767</v>
      </c>
      <c r="H11" s="74" t="n">
        <v>6850</v>
      </c>
      <c r="I11" s="74" t="n">
        <v>9138</v>
      </c>
      <c r="J11" s="28" t="n">
        <v>12140</v>
      </c>
      <c r="K11" s="28" t="n">
        <v>11981</v>
      </c>
      <c r="L11" s="28" t="n">
        <v>12646</v>
      </c>
      <c r="M11" s="69" t="n"/>
      <c r="N11" s="69" t="n"/>
      <c r="O11" s="12" t="n"/>
    </row>
    <row r="12">
      <c r="A12" t="inlineStr">
        <is>
          <t>Y Column</t>
        </is>
      </c>
      <c r="F12" s="49" t="inlineStr">
        <is>
          <t>Chester Village</t>
        </is>
      </c>
      <c r="G12" s="28" t="n">
        <v>1627</v>
      </c>
      <c r="H12" s="28" t="n">
        <v>1910</v>
      </c>
      <c r="I12" s="74" t="n">
        <v>3270</v>
      </c>
      <c r="J12" s="74" t="n">
        <v>3445</v>
      </c>
      <c r="K12" s="74" t="n">
        <v>3969</v>
      </c>
      <c r="L12" s="74" t="n">
        <v>3993</v>
      </c>
      <c r="M12" s="68" t="n"/>
      <c r="N12" s="68" t="n"/>
      <c r="O12" s="12" t="n"/>
    </row>
    <row r="13">
      <c r="A13" t="inlineStr">
        <is>
          <t>X Axis Title</t>
        </is>
      </c>
      <c r="F13" s="24" t="inlineStr">
        <is>
          <t>Cornwall Town</t>
        </is>
      </c>
      <c r="G13" s="74" t="n">
        <v>9672</v>
      </c>
      <c r="H13" s="74" t="n">
        <v>10774</v>
      </c>
      <c r="I13" s="74" t="n">
        <v>11270</v>
      </c>
      <c r="J13" s="74" t="n">
        <v>12307</v>
      </c>
      <c r="K13" s="74" t="n">
        <v>12646</v>
      </c>
      <c r="L13" s="74" t="n">
        <v>12884</v>
      </c>
      <c r="M13" s="69" t="n"/>
      <c r="N13" s="69" t="n"/>
    </row>
    <row r="14">
      <c r="A14" t="inlineStr">
        <is>
          <t>Y Axis Title</t>
        </is>
      </c>
      <c r="F14" s="47" t="inlineStr">
        <is>
          <t>Cornwall-on-Hudson Village</t>
        </is>
      </c>
      <c r="G14" s="74" t="n">
        <v>3131</v>
      </c>
      <c r="H14" s="74" t="n">
        <v>3164</v>
      </c>
      <c r="I14" s="74" t="n">
        <v>3093</v>
      </c>
      <c r="J14" s="74" t="n">
        <v>3058</v>
      </c>
      <c r="K14" s="74" t="n">
        <v>3018</v>
      </c>
      <c r="L14" s="74" t="n">
        <v>3075</v>
      </c>
      <c r="M14" s="69" t="n"/>
      <c r="N14" s="69" t="n"/>
    </row>
    <row r="15">
      <c r="A15" t="inlineStr">
        <is>
          <t>Start at Zero</t>
        </is>
      </c>
      <c r="F15" s="16" t="inlineStr">
        <is>
          <t>Crawford Town</t>
        </is>
      </c>
      <c r="G15" s="74" t="n">
        <v>3896</v>
      </c>
      <c r="H15" s="74" t="n">
        <v>4910</v>
      </c>
      <c r="I15" s="74" t="n">
        <v>6394</v>
      </c>
      <c r="J15" s="74" t="n">
        <v>7875</v>
      </c>
      <c r="K15" s="74" t="n">
        <v>9316</v>
      </c>
      <c r="L15" s="74" t="n">
        <v>9130</v>
      </c>
      <c r="M15" s="69" t="n"/>
      <c r="N15" s="69" t="n"/>
    </row>
    <row r="16">
      <c r="A16" t="inlineStr">
        <is>
          <t>Pivot For Chart</t>
        </is>
      </c>
      <c r="F16" s="16" t="inlineStr">
        <is>
          <t>Deerpark Town</t>
        </is>
      </c>
      <c r="G16" s="74" t="n">
        <v>4370</v>
      </c>
      <c r="H16" s="74" t="n">
        <v>5633</v>
      </c>
      <c r="I16" s="74" t="n">
        <v>7832</v>
      </c>
      <c r="J16" s="74" t="n">
        <v>7858</v>
      </c>
      <c r="K16" s="74" t="n">
        <v>7901</v>
      </c>
      <c r="L16" s="74" t="n">
        <v>7509</v>
      </c>
      <c r="M16" s="69" t="n"/>
      <c r="N16" s="69" t="n"/>
    </row>
    <row r="17">
      <c r="F17" s="16" t="inlineStr">
        <is>
          <t>Goshen Town</t>
        </is>
      </c>
      <c r="G17" s="74" t="n">
        <v>8393</v>
      </c>
      <c r="H17" s="74" t="n">
        <v>10463</v>
      </c>
      <c r="I17" s="74" t="n">
        <v>11500</v>
      </c>
      <c r="J17" s="74" t="n">
        <v>12913</v>
      </c>
      <c r="K17" s="74" t="n">
        <v>13687</v>
      </c>
      <c r="L17" s="74" t="n">
        <v>14571</v>
      </c>
      <c r="M17" s="69" t="n"/>
      <c r="N17" s="69" t="n"/>
    </row>
    <row r="18">
      <c r="A18" s="71" t="inlineStr">
        <is>
          <t>Source Specifications</t>
        </is>
      </c>
      <c r="F18" s="47" t="inlineStr">
        <is>
          <t>Goshen Village</t>
        </is>
      </c>
      <c r="G18" s="74" t="n">
        <v>4342</v>
      </c>
      <c r="H18" s="74" t="n">
        <v>4874</v>
      </c>
      <c r="I18" s="74" t="n">
        <v>5255</v>
      </c>
      <c r="J18" s="74" t="n">
        <v>5676</v>
      </c>
      <c r="K18" s="74" t="n">
        <v>5454</v>
      </c>
      <c r="L18" s="74" t="n">
        <v>5777</v>
      </c>
      <c r="M18" s="69" t="n"/>
      <c r="N18" s="69" t="n"/>
    </row>
    <row r="19">
      <c r="A19" t="inlineStr">
        <is>
          <t>Source</t>
        </is>
      </c>
      <c r="B19" t="inlineStr">
        <is>
          <t>Source: US Census Bureau, 2020 Decennial Redistricting Data (PL 94-171), Table P1-Total Population, November 2025 https://data.census.gov/table/DECENNIALPL2020.P1?q=PL+94-171&amp;g=050XX00US36071</t>
        </is>
      </c>
      <c r="F19" s="16" t="inlineStr">
        <is>
          <t>Greenville Town</t>
        </is>
      </c>
      <c r="G19" s="74" t="n">
        <v>1379</v>
      </c>
      <c r="H19" s="74" t="n">
        <v>2085</v>
      </c>
      <c r="I19" s="74" t="n">
        <v>3120</v>
      </c>
      <c r="J19" s="74" t="n">
        <v>3800</v>
      </c>
      <c r="K19" s="74" t="n">
        <v>4616</v>
      </c>
      <c r="L19" s="74" t="n">
        <v>4689</v>
      </c>
      <c r="M19" s="69" t="n"/>
      <c r="N19" s="69" t="n"/>
    </row>
    <row r="20">
      <c r="F20" s="16" t="inlineStr">
        <is>
          <t>Hamptonburgh Town</t>
        </is>
      </c>
      <c r="G20" s="74" t="n">
        <v>2204</v>
      </c>
      <c r="H20" s="74" t="n">
        <v>2945</v>
      </c>
      <c r="I20" s="74" t="n">
        <v>3910</v>
      </c>
      <c r="J20" s="74" t="n">
        <v>4686</v>
      </c>
      <c r="K20" s="74" t="n">
        <v>5561</v>
      </c>
      <c r="L20" s="74" t="n">
        <v>5489</v>
      </c>
      <c r="M20" s="69" t="n"/>
      <c r="N20" s="69" t="n"/>
      <c r="O20" s="12" t="n"/>
    </row>
    <row r="21">
      <c r="A21" s="69" t="inlineStr">
        <is>
          <t>Note Specfications</t>
        </is>
      </c>
      <c r="F21" s="78" t="inlineStr">
        <is>
          <t>Highlands Town</t>
        </is>
      </c>
      <c r="G21" s="74" t="n">
        <v>14661</v>
      </c>
      <c r="H21" s="74" t="n">
        <v>14004</v>
      </c>
      <c r="I21" s="74" t="n">
        <v>13667</v>
      </c>
      <c r="J21" s="74" t="n">
        <v>12484</v>
      </c>
      <c r="K21" s="74" t="n">
        <v>12492</v>
      </c>
      <c r="L21" s="74" t="n">
        <v>12939</v>
      </c>
      <c r="M21" s="69" t="n"/>
      <c r="N21" s="69" t="n"/>
      <c r="O21" s="12"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74" t="n">
        <v>4638</v>
      </c>
      <c r="H22" s="74" t="n">
        <v>4187</v>
      </c>
      <c r="I22" s="74" t="n">
        <v>3937</v>
      </c>
      <c r="J22" s="74" t="n">
        <v>3678</v>
      </c>
      <c r="K22" s="74" t="n">
        <v>3900</v>
      </c>
      <c r="L22" s="74" t="n">
        <v>3684</v>
      </c>
      <c r="M22" s="69" t="n"/>
      <c r="N22" s="69" t="n"/>
    </row>
    <row r="23">
      <c r="F23" s="78" t="inlineStr">
        <is>
          <t>Middletown City</t>
        </is>
      </c>
      <c r="G23" s="74" t="n">
        <v>22607</v>
      </c>
      <c r="H23" s="74" t="n">
        <v>21454</v>
      </c>
      <c r="I23" s="74" t="n">
        <v>24160</v>
      </c>
      <c r="J23" s="74" t="n">
        <v>25388</v>
      </c>
      <c r="K23" s="74" t="n">
        <v>28086</v>
      </c>
      <c r="L23" s="74" t="n">
        <v>30345</v>
      </c>
      <c r="M23" s="69" t="n"/>
      <c r="N23" s="69" t="n"/>
    </row>
    <row r="24">
      <c r="F24" s="78" t="inlineStr">
        <is>
          <t>Minisink Town</t>
        </is>
      </c>
      <c r="G24" s="74" t="n">
        <v>1942</v>
      </c>
      <c r="H24" s="74" t="n">
        <v>2488</v>
      </c>
      <c r="I24" s="74" t="n">
        <v>2981</v>
      </c>
      <c r="J24" s="74" t="n">
        <v>3585</v>
      </c>
      <c r="K24" s="74" t="n">
        <v>4490</v>
      </c>
      <c r="L24" s="74" t="n">
        <v>4621</v>
      </c>
      <c r="M24" s="69" t="n"/>
      <c r="N24" s="69" t="n"/>
    </row>
    <row r="25">
      <c r="F25" s="49" t="inlineStr">
        <is>
          <t>Unionville Village</t>
        </is>
      </c>
      <c r="G25" s="69" t="n">
        <v>576</v>
      </c>
      <c r="H25" s="69" t="n">
        <v>574</v>
      </c>
      <c r="I25" s="69" t="n">
        <v>548</v>
      </c>
      <c r="J25" s="69" t="n">
        <v>536</v>
      </c>
      <c r="K25" s="69" t="n">
        <v>612</v>
      </c>
      <c r="L25" s="69" t="n">
        <v>592</v>
      </c>
      <c r="M25" s="69" t="n"/>
      <c r="N25" s="69" t="n"/>
    </row>
    <row r="26">
      <c r="F26" s="79" t="inlineStr">
        <is>
          <t>Monroe Town</t>
        </is>
      </c>
      <c r="G26" s="74" t="n">
        <v>9190</v>
      </c>
      <c r="H26" s="74" t="n">
        <v>14948</v>
      </c>
      <c r="I26" s="74" t="n">
        <v>23035</v>
      </c>
      <c r="J26" s="74" t="n">
        <v>31407</v>
      </c>
      <c r="K26" s="74" t="n">
        <v>39912</v>
      </c>
      <c r="L26" s="74" t="n">
        <v>21387</v>
      </c>
      <c r="M26" s="69" t="n"/>
      <c r="N26" s="69" t="n"/>
    </row>
    <row r="27">
      <c r="A27" s="69" t="n"/>
      <c r="F27" s="47" t="inlineStr">
        <is>
          <t>Harriman Village (portion)</t>
        </is>
      </c>
      <c r="G27" s="69" t="n">
        <v>955</v>
      </c>
      <c r="H27" s="69" t="n">
        <v>796</v>
      </c>
      <c r="I27" s="74" t="n">
        <v>2288</v>
      </c>
      <c r="J27" s="74" t="n">
        <v>2252</v>
      </c>
      <c r="K27" s="74" t="n">
        <v>2424</v>
      </c>
      <c r="L27" s="74" t="n">
        <v>2714</v>
      </c>
      <c r="M27" s="69" t="n"/>
      <c r="N27" s="69" t="n"/>
    </row>
    <row r="28">
      <c r="F28" s="47" t="inlineStr">
        <is>
          <t>Monroe Village</t>
        </is>
      </c>
      <c r="G28" s="74" t="n">
        <v>4439</v>
      </c>
      <c r="H28" s="74" t="n">
        <v>5996</v>
      </c>
      <c r="I28" s="74" t="n">
        <v>6672</v>
      </c>
      <c r="J28" s="74" t="n">
        <v>7780</v>
      </c>
      <c r="K28" s="74" t="n">
        <v>8364</v>
      </c>
      <c r="L28" s="74" t="n">
        <v>9343</v>
      </c>
      <c r="M28" s="69" t="n"/>
      <c r="N28" s="69" t="n"/>
    </row>
    <row r="29">
      <c r="F29" s="78" t="inlineStr">
        <is>
          <t>Montgomery Town</t>
        </is>
      </c>
      <c r="G29" s="74" t="n">
        <v>13995</v>
      </c>
      <c r="H29" s="74" t="n">
        <v>16576</v>
      </c>
      <c r="I29" s="74" t="n">
        <v>18501</v>
      </c>
      <c r="J29" s="74" t="n">
        <v>20891</v>
      </c>
      <c r="K29" s="74" t="n">
        <v>22606</v>
      </c>
      <c r="L29" s="74" t="n">
        <v>23322</v>
      </c>
      <c r="M29" s="69" t="n"/>
      <c r="N29" s="69" t="n"/>
    </row>
    <row r="30">
      <c r="F30" s="47" t="inlineStr">
        <is>
          <t>Maybrook Village</t>
        </is>
      </c>
      <c r="G30" s="74" t="n">
        <v>1536</v>
      </c>
      <c r="H30" s="74" t="n">
        <v>2007</v>
      </c>
      <c r="I30" s="74" t="n">
        <v>2802</v>
      </c>
      <c r="J30" s="74" t="n">
        <v>3084</v>
      </c>
      <c r="K30" s="74" t="n">
        <v>2958</v>
      </c>
      <c r="L30" s="74" t="n">
        <v>3150</v>
      </c>
      <c r="M30" s="69" t="n"/>
      <c r="N30" s="69" t="n"/>
    </row>
    <row r="31">
      <c r="F31" s="47" t="inlineStr">
        <is>
          <t>Montgomery Village</t>
        </is>
      </c>
      <c r="G31" s="74" t="n">
        <v>1533</v>
      </c>
      <c r="H31" s="74" t="n">
        <v>2316</v>
      </c>
      <c r="I31" s="74" t="n">
        <v>2696</v>
      </c>
      <c r="J31" s="74" t="n">
        <v>3636</v>
      </c>
      <c r="K31" s="74" t="n">
        <v>3814</v>
      </c>
      <c r="L31" s="74" t="n">
        <v>3834</v>
      </c>
      <c r="M31" s="69" t="n"/>
      <c r="N31" s="69" t="n"/>
    </row>
    <row r="32">
      <c r="F32" s="47" t="inlineStr">
        <is>
          <t>Walden Village</t>
        </is>
      </c>
      <c r="G32" s="74" t="n">
        <v>5277</v>
      </c>
      <c r="H32" s="74" t="n">
        <v>5659</v>
      </c>
      <c r="I32" s="74" t="n">
        <v>5836</v>
      </c>
      <c r="J32" s="74" t="n">
        <v>6164</v>
      </c>
      <c r="K32" s="74" t="n">
        <v>6978</v>
      </c>
      <c r="L32" s="74" t="n">
        <v>6818</v>
      </c>
      <c r="M32" s="69" t="n"/>
      <c r="N32" s="69" t="n"/>
    </row>
    <row r="33">
      <c r="F33" s="16" t="inlineStr">
        <is>
          <t>Mount Hope Town</t>
        </is>
      </c>
      <c r="G33" s="74" t="n">
        <v>2966</v>
      </c>
      <c r="H33" s="74" t="n">
        <v>4398</v>
      </c>
      <c r="I33" s="74" t="n">
        <v>5971</v>
      </c>
      <c r="J33" s="74" t="n">
        <v>6639</v>
      </c>
      <c r="K33" s="74" t="n">
        <v>7018</v>
      </c>
      <c r="L33" s="74" t="n">
        <v>6537</v>
      </c>
      <c r="M33" s="69" t="n"/>
      <c r="N33" s="69" t="n"/>
    </row>
    <row r="34">
      <c r="F34" s="47" t="inlineStr">
        <is>
          <t>Otisville Village</t>
        </is>
      </c>
      <c r="G34" s="69" t="n">
        <v>933</v>
      </c>
      <c r="H34" s="69" t="n">
        <v>953</v>
      </c>
      <c r="I34" s="28" t="n">
        <v>1078</v>
      </c>
      <c r="J34" s="69" t="n">
        <v>989</v>
      </c>
      <c r="K34" s="74" t="n">
        <v>1068</v>
      </c>
      <c r="L34" s="69" t="n">
        <v>989</v>
      </c>
      <c r="M34" s="69" t="n"/>
      <c r="N34" s="69" t="n"/>
    </row>
    <row r="35">
      <c r="F35" s="78" t="inlineStr">
        <is>
          <t>Newburgh City</t>
        </is>
      </c>
      <c r="G35" s="74" t="n">
        <v>26219</v>
      </c>
      <c r="H35" s="74" t="n">
        <v>23438</v>
      </c>
      <c r="I35" s="28" t="n">
        <v>26454</v>
      </c>
      <c r="J35" s="74" t="n">
        <v>28259</v>
      </c>
      <c r="K35" s="74" t="n">
        <v>28866</v>
      </c>
      <c r="L35" s="74" t="n">
        <v>28856</v>
      </c>
      <c r="M35" s="69" t="n"/>
      <c r="N35" s="69" t="n"/>
    </row>
    <row r="36">
      <c r="F36" s="78" t="inlineStr">
        <is>
          <t>Newburgh Town</t>
        </is>
      </c>
      <c r="G36" s="74" t="n">
        <v>21593</v>
      </c>
      <c r="H36" s="74" t="n">
        <v>22747</v>
      </c>
      <c r="I36" s="28" t="n">
        <v>24058</v>
      </c>
      <c r="J36" s="74" t="n">
        <v>27568</v>
      </c>
      <c r="K36" s="74" t="n">
        <v>29801</v>
      </c>
      <c r="L36" s="74" t="n">
        <v>31985</v>
      </c>
      <c r="M36" s="69" t="n"/>
      <c r="N36" s="69" t="n"/>
    </row>
    <row r="37">
      <c r="F37" s="78" t="inlineStr">
        <is>
          <t>New Windsor Town</t>
        </is>
      </c>
      <c r="G37" s="74" t="n">
        <v>16650</v>
      </c>
      <c r="H37" s="74" t="n">
        <v>19534</v>
      </c>
      <c r="I37" s="28" t="n">
        <v>22937</v>
      </c>
      <c r="J37" s="74" t="n">
        <v>22866</v>
      </c>
      <c r="K37" s="74" t="n">
        <v>25244</v>
      </c>
      <c r="L37" s="74" t="n">
        <v>27805</v>
      </c>
      <c r="M37" s="69" t="n"/>
      <c r="N37" s="69" t="n"/>
    </row>
    <row r="38">
      <c r="F38" s="78" t="inlineStr">
        <is>
          <t>Palm Tree Town</t>
        </is>
      </c>
      <c r="G38" s="69" t="inlineStr">
        <is>
          <t>N/A</t>
        </is>
      </c>
      <c r="H38" s="69" t="inlineStr">
        <is>
          <t>N/A</t>
        </is>
      </c>
      <c r="I38" s="69" t="inlineStr">
        <is>
          <t>N/A</t>
        </is>
      </c>
      <c r="J38" s="69" t="inlineStr">
        <is>
          <t>N/A</t>
        </is>
      </c>
      <c r="K38" s="69" t="inlineStr">
        <is>
          <t>N/A</t>
        </is>
      </c>
      <c r="L38" s="74" t="n">
        <v>32954</v>
      </c>
      <c r="M38" s="69" t="n"/>
      <c r="N38" s="69" t="n"/>
    </row>
    <row r="39">
      <c r="F39" s="49" t="inlineStr">
        <is>
          <t>Kiryas Joel Village</t>
        </is>
      </c>
      <c r="G39" s="69" t="n">
        <v>0</v>
      </c>
      <c r="H39" s="74" t="n">
        <v>2088</v>
      </c>
      <c r="I39" s="74" t="n">
        <v>7437</v>
      </c>
      <c r="J39" s="74" t="n">
        <v>13138</v>
      </c>
      <c r="K39" s="74" t="n">
        <v>20175</v>
      </c>
      <c r="L39" s="74" t="n">
        <v>32954</v>
      </c>
      <c r="M39" s="69" t="n"/>
      <c r="N39" s="69" t="n"/>
    </row>
    <row r="40">
      <c r="F40" s="26" t="inlineStr">
        <is>
          <t>Port Jervis City</t>
        </is>
      </c>
      <c r="G40" s="74" t="n">
        <v>8852</v>
      </c>
      <c r="H40" s="74" t="n">
        <v>8699</v>
      </c>
      <c r="I40" s="74" t="n">
        <v>9060</v>
      </c>
      <c r="J40" s="74" t="n">
        <v>8860</v>
      </c>
      <c r="K40" s="74" t="n">
        <v>8828</v>
      </c>
      <c r="L40" s="74" t="n">
        <v>8775</v>
      </c>
      <c r="M40" s="69" t="n"/>
      <c r="N40" s="69" t="n"/>
    </row>
    <row r="41">
      <c r="F41" s="16" t="inlineStr">
        <is>
          <t>Tuxedo Town</t>
        </is>
      </c>
      <c r="G41" s="14" t="n">
        <v>2967</v>
      </c>
      <c r="H41" s="14" t="n">
        <v>3069</v>
      </c>
      <c r="I41" s="14" t="n">
        <v>3023</v>
      </c>
      <c r="J41" s="14" t="n">
        <v>3334</v>
      </c>
      <c r="K41" s="14" t="n">
        <v>3624</v>
      </c>
      <c r="L41" s="14" t="n">
        <v>3811</v>
      </c>
      <c r="M41" s="69" t="n"/>
      <c r="N41" s="69" t="n"/>
    </row>
    <row r="42">
      <c r="F42" s="47" t="inlineStr">
        <is>
          <t>Tuxedo Village</t>
        </is>
      </c>
      <c r="G42" s="69" t="n">
        <v>861</v>
      </c>
      <c r="H42" s="69" t="n">
        <v>809</v>
      </c>
      <c r="I42" s="69" t="n">
        <v>706</v>
      </c>
      <c r="J42" s="69" t="n">
        <v>731</v>
      </c>
      <c r="K42" s="69" t="n">
        <v>623</v>
      </c>
      <c r="L42" s="69" t="n">
        <v>645</v>
      </c>
      <c r="M42" s="69" t="n"/>
      <c r="N42" s="69" t="n"/>
    </row>
    <row r="43">
      <c r="F43" s="47" t="inlineStr">
        <is>
          <t>Tuxedo Park Village</t>
        </is>
      </c>
      <c r="G43" s="74" t="n">
        <v>11518</v>
      </c>
      <c r="H43" s="74" t="n">
        <v>20481</v>
      </c>
      <c r="I43" s="74" t="n">
        <v>23016</v>
      </c>
      <c r="J43" s="74" t="n">
        <v>24659</v>
      </c>
      <c r="K43" s="74" t="n">
        <v>27426</v>
      </c>
      <c r="L43" s="74" t="n">
        <v>30486</v>
      </c>
      <c r="M43" s="69" t="n"/>
      <c r="N43" s="69" t="n"/>
    </row>
    <row r="44">
      <c r="F44" s="16" t="inlineStr">
        <is>
          <t>Wallkill Town</t>
        </is>
      </c>
      <c r="G44" s="74" t="n">
        <v>16956</v>
      </c>
      <c r="H44" s="74" t="n">
        <v>20976</v>
      </c>
      <c r="I44" s="74" t="n">
        <v>27193</v>
      </c>
      <c r="J44" s="74" t="n">
        <v>30764</v>
      </c>
      <c r="K44" s="74" t="n">
        <v>32065</v>
      </c>
      <c r="L44" s="74" t="n">
        <v>32027</v>
      </c>
      <c r="M44" s="69" t="n"/>
      <c r="N44" s="69" t="n"/>
    </row>
    <row r="45">
      <c r="F45" s="16" t="inlineStr">
        <is>
          <t>Warwick Town</t>
        </is>
      </c>
      <c r="G45" s="74" t="n">
        <v>1674</v>
      </c>
      <c r="H45" s="74" t="n">
        <v>1947</v>
      </c>
      <c r="I45" s="74" t="n">
        <v>2497</v>
      </c>
      <c r="J45" s="74" t="n">
        <v>2571</v>
      </c>
      <c r="K45" s="74" t="n">
        <v>2833</v>
      </c>
      <c r="L45" s="74" t="n">
        <v>2888</v>
      </c>
      <c r="M45" s="69" t="n"/>
      <c r="N45" s="69" t="n"/>
    </row>
    <row r="46">
      <c r="F46" s="47" t="inlineStr">
        <is>
          <t>Florida Village</t>
        </is>
      </c>
      <c r="G46" s="74" t="n">
        <v>2262</v>
      </c>
      <c r="H46" s="74" t="n">
        <v>2809</v>
      </c>
      <c r="I46" s="74" t="n">
        <v>3208</v>
      </c>
      <c r="J46" s="74" t="n">
        <v>3411</v>
      </c>
      <c r="K46" s="74" t="n">
        <v>3154</v>
      </c>
      <c r="L46" s="74" t="n">
        <v>2994</v>
      </c>
      <c r="M46" s="69" t="n"/>
      <c r="N46" s="69" t="n"/>
    </row>
    <row r="47">
      <c r="F47" s="47" t="inlineStr">
        <is>
          <t>Greenwood Lake Village</t>
        </is>
      </c>
      <c r="G47" s="74" t="n">
        <v>3604</v>
      </c>
      <c r="H47" s="74" t="n">
        <v>4320</v>
      </c>
      <c r="I47" s="74" t="n">
        <v>5984</v>
      </c>
      <c r="J47" s="74" t="n">
        <v>6412</v>
      </c>
      <c r="K47" s="74" t="n">
        <v>6731</v>
      </c>
      <c r="L47" s="74" t="n">
        <v>6652</v>
      </c>
      <c r="M47" s="69" t="n"/>
      <c r="N47" s="69" t="n"/>
    </row>
    <row r="48">
      <c r="F48" s="47" t="inlineStr">
        <is>
          <t>Warwick Village</t>
        </is>
      </c>
      <c r="G48" s="74" t="n">
        <v>3408</v>
      </c>
      <c r="H48" s="74" t="n">
        <v>4298</v>
      </c>
      <c r="I48" s="74" t="n">
        <v>5518</v>
      </c>
      <c r="J48" s="74" t="n">
        <v>6273</v>
      </c>
      <c r="K48" s="74" t="n">
        <v>7266</v>
      </c>
      <c r="L48" s="74" t="n">
        <v>7534</v>
      </c>
      <c r="M48" s="69" t="n"/>
      <c r="N48" s="69" t="n"/>
    </row>
    <row r="49">
      <c r="F49" s="16" t="inlineStr">
        <is>
          <t>Wawayanda Town</t>
        </is>
      </c>
      <c r="G49" s="74" t="n">
        <v>4639</v>
      </c>
      <c r="H49" s="74" t="n">
        <v>6494</v>
      </c>
      <c r="I49" s="74" t="n">
        <v>8236</v>
      </c>
      <c r="J49" s="74" t="n">
        <v>9460</v>
      </c>
      <c r="K49" s="74" t="n">
        <v>11353</v>
      </c>
      <c r="L49" s="74" t="n">
        <v>12197</v>
      </c>
      <c r="M49" s="69" t="n"/>
      <c r="N49" s="69" t="n"/>
    </row>
    <row r="50">
      <c r="F50" s="16" t="inlineStr">
        <is>
          <t>Woodbury Town</t>
        </is>
      </c>
      <c r="G50" s="69" t="inlineStr">
        <is>
          <t>N/A</t>
        </is>
      </c>
      <c r="H50" s="69" t="inlineStr">
        <is>
          <t>N/A</t>
        </is>
      </c>
      <c r="I50" s="69" t="inlineStr">
        <is>
          <t>N/A</t>
        </is>
      </c>
      <c r="J50" s="69" t="inlineStr">
        <is>
          <t>N/A</t>
        </is>
      </c>
      <c r="K50" s="74" t="n">
        <v>10686</v>
      </c>
      <c r="L50" s="74" t="n">
        <v>11526</v>
      </c>
      <c r="M50" s="69" t="n"/>
      <c r="N50" s="69" t="n"/>
    </row>
    <row r="51">
      <c r="F51" s="47" t="inlineStr">
        <is>
          <t>Harriman Village (portion)</t>
        </is>
      </c>
      <c r="G51" s="69" t="inlineStr">
        <is>
          <t>N/A</t>
        </is>
      </c>
      <c r="H51" s="69" t="inlineStr">
        <is>
          <t>N/A</t>
        </is>
      </c>
      <c r="I51" s="69" t="inlineStr">
        <is>
          <t>N/A</t>
        </is>
      </c>
      <c r="J51" s="69" t="inlineStr">
        <is>
          <t>N/A</t>
        </is>
      </c>
      <c r="K51" s="69" t="inlineStr">
        <is>
          <t>N/A</t>
        </is>
      </c>
      <c r="L51" s="69" t="inlineStr">
        <is>
          <t>N/A</t>
        </is>
      </c>
      <c r="M51" s="69" t="n"/>
      <c r="N51" s="69" t="n"/>
    </row>
    <row r="52">
      <c r="F52" s="47" t="inlineStr">
        <is>
          <t>Woodbury Village</t>
        </is>
      </c>
      <c r="G52" s="69" t="inlineStr">
        <is>
          <t>N/A</t>
        </is>
      </c>
      <c r="H52" s="69" t="inlineStr">
        <is>
          <t>N/A</t>
        </is>
      </c>
      <c r="I52" s="69" t="inlineStr">
        <is>
          <t>N/A</t>
        </is>
      </c>
      <c r="J52" s="69" t="inlineStr">
        <is>
          <t>N/A</t>
        </is>
      </c>
      <c r="K52" s="69" t="inlineStr">
        <is>
          <t>N/A</t>
        </is>
      </c>
      <c r="L52" s="69" t="inlineStr">
        <is>
          <t>N/A</t>
        </is>
      </c>
      <c r="M52" s="69" t="n"/>
      <c r="N52" s="69"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8"/>
    <col width="9.140625" customWidth="1" style="91" min="9" max="9"/>
    <col width="9.7109375" bestFit="1" customWidth="1" style="91" min="10" max="11"/>
    <col width="8.8554687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Growth by Municipality, 2000–2020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s="68" t="inlineStr">
        <is>
          <t>Geographic Area</t>
        </is>
      </c>
      <c r="G5" s="68" t="inlineStr">
        <is>
          <t>Total Population</t>
        </is>
      </c>
      <c r="J5" s="68" t="inlineStr">
        <is>
          <t>Percent Change</t>
        </is>
      </c>
    </row>
    <row r="6" ht="15" customHeight="1" s="91">
      <c r="A6" t="inlineStr">
        <is>
          <t>Multilevel Headers</t>
        </is>
      </c>
      <c r="B6" t="b">
        <v>0</v>
      </c>
      <c r="G6" s="68" t="n">
        <v>2000</v>
      </c>
      <c r="H6" s="68" t="n">
        <v>2010</v>
      </c>
      <c r="I6" s="68" t="n">
        <v>2020</v>
      </c>
      <c r="J6" s="68" t="inlineStr">
        <is>
          <t>2000-2010</t>
        </is>
      </c>
      <c r="K6" s="68" t="inlineStr">
        <is>
          <t>2010-2020</t>
        </is>
      </c>
      <c r="L6" s="68" t="inlineStr">
        <is>
          <t>2000-20</t>
        </is>
      </c>
      <c r="M6" s="69" t="n"/>
      <c r="N6" s="69" t="n"/>
      <c r="O6" s="69" t="n"/>
    </row>
    <row r="7" ht="15.75" customHeight="1" s="91">
      <c r="F7" s="16" t="inlineStr">
        <is>
          <t>Orange County</t>
        </is>
      </c>
      <c r="G7" s="28" t="n">
        <v>341367</v>
      </c>
      <c r="H7" s="28" t="n">
        <v>372813</v>
      </c>
      <c r="I7" s="28" t="n">
        <v>401310</v>
      </c>
      <c r="J7" s="68" t="n">
        <v>9.199999999999999</v>
      </c>
      <c r="K7" s="68" t="n">
        <v>7.6</v>
      </c>
      <c r="L7" s="68" t="n">
        <v>17.6</v>
      </c>
      <c r="M7" s="69" t="n"/>
      <c r="N7" s="69" t="n"/>
      <c r="O7" s="69" t="n"/>
    </row>
    <row r="8">
      <c r="F8" s="16" t="inlineStr">
        <is>
          <t>Blooming Grove Town</t>
        </is>
      </c>
      <c r="G8" s="28" t="n">
        <v>17351</v>
      </c>
      <c r="H8" s="28" t="n">
        <v>18028</v>
      </c>
      <c r="I8" s="28" t="n">
        <v>18811</v>
      </c>
      <c r="J8" s="68" t="n">
        <v>3.9</v>
      </c>
      <c r="K8" s="68" t="n">
        <v>4.3</v>
      </c>
      <c r="L8" s="68" t="n">
        <v>8.4</v>
      </c>
      <c r="M8" s="69" t="n"/>
      <c r="N8" s="69" t="n"/>
      <c r="O8" s="69" t="n"/>
    </row>
    <row r="9">
      <c r="A9" s="71" t="inlineStr">
        <is>
          <t>Figure Rules</t>
        </is>
      </c>
      <c r="F9" s="47" t="inlineStr">
        <is>
          <t>South Blooming Grove Village</t>
        </is>
      </c>
      <c r="G9" s="68" t="inlineStr">
        <is>
          <t>n/a</t>
        </is>
      </c>
      <c r="H9" s="28" t="n">
        <v>3234</v>
      </c>
      <c r="I9" s="28" t="n">
        <v>3973</v>
      </c>
      <c r="J9" s="68" t="inlineStr">
        <is>
          <t>N/A</t>
        </is>
      </c>
      <c r="K9" s="68" t="n">
        <v>22.9</v>
      </c>
      <c r="L9" s="68" t="inlineStr">
        <is>
          <t>N/A</t>
        </is>
      </c>
      <c r="M9" s="69" t="n"/>
      <c r="N9" s="69" t="n"/>
      <c r="O9" s="69" t="n"/>
    </row>
    <row r="10">
      <c r="A10" t="inlineStr">
        <is>
          <t>Figure Type</t>
        </is>
      </c>
      <c r="F10" s="47" t="inlineStr">
        <is>
          <t>Washingtonville Village</t>
        </is>
      </c>
      <c r="G10" s="28" t="n">
        <v>5851</v>
      </c>
      <c r="H10" s="28" t="n">
        <v>5899</v>
      </c>
      <c r="I10" s="28" t="n">
        <v>5657</v>
      </c>
      <c r="J10" s="68" t="n">
        <v>0.8</v>
      </c>
      <c r="K10" s="68" t="n">
        <v>-4.1</v>
      </c>
      <c r="L10" s="68" t="n">
        <v>-3.3</v>
      </c>
    </row>
    <row r="11">
      <c r="A11" t="inlineStr">
        <is>
          <t>X Column</t>
        </is>
      </c>
      <c r="F11" s="16" t="inlineStr">
        <is>
          <t>Chester Town</t>
        </is>
      </c>
      <c r="G11" s="28" t="n">
        <v>12140</v>
      </c>
      <c r="H11" s="28" t="n">
        <v>11981</v>
      </c>
      <c r="I11" s="28" t="n">
        <v>12646</v>
      </c>
      <c r="J11" s="68" t="n">
        <v>-1.3</v>
      </c>
      <c r="K11" s="68" t="n">
        <v>5.6</v>
      </c>
      <c r="L11" s="68" t="n">
        <v>4.2</v>
      </c>
      <c r="M11" s="68" t="n"/>
      <c r="N11" s="68" t="n"/>
    </row>
    <row r="12">
      <c r="A12" t="inlineStr">
        <is>
          <t>Y Column</t>
        </is>
      </c>
      <c r="F12" s="49" t="inlineStr">
        <is>
          <t>Chester Village</t>
        </is>
      </c>
      <c r="G12" s="28" t="n">
        <v>3445</v>
      </c>
      <c r="H12" s="28" t="n">
        <v>3969</v>
      </c>
      <c r="I12" s="28" t="n">
        <v>3993</v>
      </c>
      <c r="J12" s="68" t="n">
        <v>15.2</v>
      </c>
      <c r="K12" s="68" t="n">
        <v>0.6</v>
      </c>
      <c r="L12" s="68" t="n">
        <v>15.9</v>
      </c>
    </row>
    <row r="13">
      <c r="A13" t="inlineStr">
        <is>
          <t>X Axis Title</t>
        </is>
      </c>
      <c r="F13" s="24" t="inlineStr">
        <is>
          <t>Cornwall Town</t>
        </is>
      </c>
      <c r="G13" s="28" t="n">
        <v>12307</v>
      </c>
      <c r="H13" s="28" t="n">
        <v>12646</v>
      </c>
      <c r="I13" s="28" t="n">
        <v>12884</v>
      </c>
      <c r="J13" s="68" t="n">
        <v>2.8</v>
      </c>
      <c r="K13" s="68" t="n">
        <v>1.9</v>
      </c>
      <c r="L13" s="68" t="n">
        <v>4.7</v>
      </c>
    </row>
    <row r="14">
      <c r="A14" t="inlineStr">
        <is>
          <t>Y Axis Title</t>
        </is>
      </c>
      <c r="F14" s="47" t="inlineStr">
        <is>
          <t>Cornwall-on-Hudson Village</t>
        </is>
      </c>
      <c r="G14" s="28" t="n">
        <v>3058</v>
      </c>
      <c r="H14" s="28" t="n">
        <v>3018</v>
      </c>
      <c r="I14" s="28" t="n">
        <v>3075</v>
      </c>
      <c r="J14" s="68" t="n">
        <v>-1.3</v>
      </c>
      <c r="K14" s="68" t="n">
        <v>1.9</v>
      </c>
      <c r="L14" s="68" t="n">
        <v>0.6</v>
      </c>
    </row>
    <row r="15">
      <c r="A15" t="inlineStr">
        <is>
          <t>Start at Zero</t>
        </is>
      </c>
      <c r="F15" s="16" t="inlineStr">
        <is>
          <t>Crawford Town</t>
        </is>
      </c>
      <c r="G15" s="28" t="n">
        <v>7875</v>
      </c>
      <c r="H15" s="28" t="n">
        <v>9316</v>
      </c>
      <c r="I15" s="28" t="n">
        <v>9130</v>
      </c>
      <c r="J15" s="68" t="n">
        <v>18.3</v>
      </c>
      <c r="K15" s="68" t="n">
        <v>-2</v>
      </c>
      <c r="L15" s="68" t="n">
        <v>15.9</v>
      </c>
    </row>
    <row r="16">
      <c r="A16" t="inlineStr">
        <is>
          <t>Pivot For Chart</t>
        </is>
      </c>
      <c r="F16" s="16" t="inlineStr">
        <is>
          <t>Deerpark Town</t>
        </is>
      </c>
      <c r="G16" s="28" t="n">
        <v>7858</v>
      </c>
      <c r="H16" s="28" t="n">
        <v>7901</v>
      </c>
      <c r="I16" s="28" t="n">
        <v>7509</v>
      </c>
      <c r="J16" s="68" t="n">
        <v>0.5</v>
      </c>
      <c r="K16" s="68" t="n">
        <v>-5</v>
      </c>
      <c r="L16" s="68" t="n">
        <v>-4.4</v>
      </c>
    </row>
    <row r="17">
      <c r="F17" s="16" t="inlineStr">
        <is>
          <t>Goshen Town</t>
        </is>
      </c>
      <c r="G17" s="28" t="n">
        <v>12913</v>
      </c>
      <c r="H17" s="28" t="n">
        <v>13687</v>
      </c>
      <c r="I17" s="28" t="n">
        <v>14571</v>
      </c>
      <c r="J17" s="68" t="n">
        <v>6</v>
      </c>
      <c r="K17" s="68" t="n">
        <v>6.5</v>
      </c>
      <c r="L17" s="68" t="n">
        <v>12.8</v>
      </c>
    </row>
    <row r="18">
      <c r="A18" s="71" t="inlineStr">
        <is>
          <t>Source Specifications</t>
        </is>
      </c>
      <c r="F18" s="47" t="inlineStr">
        <is>
          <t>Goshen Village</t>
        </is>
      </c>
      <c r="G18" s="28" t="n">
        <v>5676</v>
      </c>
      <c r="H18" s="28" t="n">
        <v>5454</v>
      </c>
      <c r="I18" s="28" t="n">
        <v>5777</v>
      </c>
      <c r="J18" s="68" t="n">
        <v>-3.9</v>
      </c>
      <c r="K18" s="68" t="n">
        <v>5.9</v>
      </c>
      <c r="L18" s="68" t="n">
        <v>1.8</v>
      </c>
    </row>
    <row r="19">
      <c r="A19" t="inlineStr">
        <is>
          <t>Source</t>
        </is>
      </c>
      <c r="B19" t="inlineStr">
        <is>
          <t>Source: US Census Bureau, 2020 Decennial Redistricting Data (PL 94-171), Table P, November 2025 https://data.census.gov/table/DECENNIALPL2020.P1?q=PL+94-171&amp;g=050XX00US36071</t>
        </is>
      </c>
      <c r="F19" s="16" t="inlineStr">
        <is>
          <t>Greenville Town</t>
        </is>
      </c>
      <c r="G19" s="28" t="n">
        <v>3800</v>
      </c>
      <c r="H19" s="28" t="n">
        <v>4616</v>
      </c>
      <c r="I19" s="28" t="n">
        <v>4689</v>
      </c>
      <c r="J19" s="68" t="n">
        <v>21.5</v>
      </c>
      <c r="K19" s="68" t="n">
        <v>1.6</v>
      </c>
      <c r="L19" s="68" t="n">
        <v>23.4</v>
      </c>
    </row>
    <row r="20">
      <c r="F20" s="16" t="inlineStr">
        <is>
          <t>Hamptonburgh Town</t>
        </is>
      </c>
      <c r="G20" s="28" t="n">
        <v>4686</v>
      </c>
      <c r="H20" s="28" t="n">
        <v>5561</v>
      </c>
      <c r="I20" s="28" t="n">
        <v>5489</v>
      </c>
      <c r="J20" s="68" t="n">
        <v>18.7</v>
      </c>
      <c r="K20" s="68" t="n">
        <v>-1.3</v>
      </c>
      <c r="L20" s="68" t="n">
        <v>17.1</v>
      </c>
    </row>
    <row r="21">
      <c r="A21" s="71" t="inlineStr">
        <is>
          <t>Note Specfications</t>
        </is>
      </c>
      <c r="F21" s="78" t="inlineStr">
        <is>
          <t>Highlands Town</t>
        </is>
      </c>
      <c r="G21" s="28" t="n">
        <v>12484</v>
      </c>
      <c r="H21" s="28" t="n">
        <v>12492</v>
      </c>
      <c r="I21" s="28" t="n">
        <v>12939</v>
      </c>
      <c r="J21" s="68" t="n">
        <v>0.1</v>
      </c>
      <c r="K21" s="68" t="n">
        <v>3.6</v>
      </c>
      <c r="L21" s="68"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28" t="n">
        <v>3678</v>
      </c>
      <c r="H22" s="28" t="n">
        <v>3900</v>
      </c>
      <c r="I22" s="28" t="n">
        <v>3684</v>
      </c>
      <c r="J22" s="68" t="n">
        <v>6</v>
      </c>
      <c r="K22" s="68" t="n">
        <v>-5.5</v>
      </c>
      <c r="L22" s="68" t="n">
        <v>0.2</v>
      </c>
    </row>
    <row r="23">
      <c r="A23" s="72" t="n"/>
      <c r="F23" s="78" t="inlineStr">
        <is>
          <t>Middletown City</t>
        </is>
      </c>
      <c r="G23" s="28" t="n">
        <v>25388</v>
      </c>
      <c r="H23" s="28" t="n">
        <v>28086</v>
      </c>
      <c r="I23" s="28" t="n">
        <v>30345</v>
      </c>
      <c r="J23" s="68" t="n">
        <v>10.6</v>
      </c>
      <c r="K23" s="68" t="n">
        <v>8</v>
      </c>
      <c r="L23" s="68" t="n">
        <v>19.5</v>
      </c>
    </row>
    <row r="24">
      <c r="F24" s="78" t="inlineStr">
        <is>
          <t>Minisink Town</t>
        </is>
      </c>
      <c r="G24" s="28" t="n">
        <v>3585</v>
      </c>
      <c r="H24" s="28" t="n">
        <v>4490</v>
      </c>
      <c r="I24" s="28" t="n">
        <v>4621</v>
      </c>
      <c r="J24" s="68" t="n">
        <v>25.2</v>
      </c>
      <c r="K24" s="68" t="n">
        <v>2.9</v>
      </c>
      <c r="L24" s="68" t="n">
        <v>28.9</v>
      </c>
    </row>
    <row r="25">
      <c r="F25" s="49" t="inlineStr">
        <is>
          <t>Unionville Village</t>
        </is>
      </c>
      <c r="G25" s="68" t="n">
        <v>536</v>
      </c>
      <c r="H25" s="68" t="n">
        <v>612</v>
      </c>
      <c r="I25" s="68" t="n">
        <v>592</v>
      </c>
      <c r="J25" s="68" t="n">
        <v>14.2</v>
      </c>
      <c r="K25" s="68" t="n">
        <v>-3.3</v>
      </c>
      <c r="L25" s="68" t="n">
        <v>10.4</v>
      </c>
    </row>
    <row r="26">
      <c r="A26" s="69" t="n"/>
      <c r="F26" s="79" t="inlineStr">
        <is>
          <t>Monroe Town</t>
        </is>
      </c>
      <c r="G26" s="28" t="n">
        <v>31407</v>
      </c>
      <c r="H26" s="28" t="n">
        <v>39912</v>
      </c>
      <c r="I26" s="28" t="n">
        <v>21387</v>
      </c>
      <c r="J26" s="68" t="n">
        <v>27.1</v>
      </c>
      <c r="K26" s="68" t="n">
        <v>-46.4</v>
      </c>
      <c r="L26" s="68" t="n">
        <v>-31.9</v>
      </c>
    </row>
    <row r="27">
      <c r="F27" s="47" t="inlineStr">
        <is>
          <t>Harriman Village (portion)</t>
        </is>
      </c>
      <c r="G27" s="28" t="n">
        <v>2252</v>
      </c>
      <c r="H27" s="28" t="n">
        <v>2424</v>
      </c>
      <c r="I27" s="28" t="n">
        <v>2714</v>
      </c>
      <c r="J27" s="68" t="n">
        <v>7.6</v>
      </c>
      <c r="K27" s="68" t="n">
        <v>12</v>
      </c>
      <c r="L27" s="68" t="n">
        <v>20.5</v>
      </c>
    </row>
    <row r="28">
      <c r="F28" s="47" t="inlineStr">
        <is>
          <t>Monroe Village</t>
        </is>
      </c>
      <c r="G28" s="28" t="n">
        <v>7780</v>
      </c>
      <c r="H28" s="28" t="n">
        <v>8364</v>
      </c>
      <c r="I28" s="28" t="n">
        <v>9343</v>
      </c>
      <c r="J28" s="68" t="n">
        <v>7.5</v>
      </c>
      <c r="K28" s="68" t="n">
        <v>11.7</v>
      </c>
      <c r="L28" s="68" t="n">
        <v>20.1</v>
      </c>
    </row>
    <row r="29">
      <c r="F29" s="78" t="inlineStr">
        <is>
          <t>Montgomery Town</t>
        </is>
      </c>
      <c r="G29" s="28" t="n">
        <v>20891</v>
      </c>
      <c r="H29" s="28" t="n">
        <v>22606</v>
      </c>
      <c r="I29" s="28" t="n">
        <v>23322</v>
      </c>
      <c r="J29" s="68" t="n">
        <v>8.199999999999999</v>
      </c>
      <c r="K29" s="68" t="n">
        <v>3.2</v>
      </c>
      <c r="L29" s="68" t="n">
        <v>11.6</v>
      </c>
    </row>
    <row r="30">
      <c r="F30" s="47" t="inlineStr">
        <is>
          <t>Maybrook Village</t>
        </is>
      </c>
      <c r="G30" s="28" t="n">
        <v>3084</v>
      </c>
      <c r="H30" s="28" t="n">
        <v>2958</v>
      </c>
      <c r="I30" s="28" t="n">
        <v>3150</v>
      </c>
      <c r="J30" s="68" t="n">
        <v>-4.1</v>
      </c>
      <c r="K30" s="68" t="n">
        <v>6.5</v>
      </c>
      <c r="L30" s="68" t="n">
        <v>2.1</v>
      </c>
    </row>
    <row r="31">
      <c r="F31" s="47" t="inlineStr">
        <is>
          <t>Montgomery Village</t>
        </is>
      </c>
      <c r="G31" s="28" t="n">
        <v>3636</v>
      </c>
      <c r="H31" s="28" t="n">
        <v>3814</v>
      </c>
      <c r="I31" s="28" t="n">
        <v>3834</v>
      </c>
      <c r="J31" s="68" t="n">
        <v>4.9</v>
      </c>
      <c r="K31" s="68" t="n">
        <v>0.5</v>
      </c>
      <c r="L31" s="68" t="n">
        <v>5.4</v>
      </c>
    </row>
    <row r="32">
      <c r="F32" s="47" t="inlineStr">
        <is>
          <t>Walden Village</t>
        </is>
      </c>
      <c r="G32" s="28" t="n">
        <v>6164</v>
      </c>
      <c r="H32" s="28" t="n">
        <v>6978</v>
      </c>
      <c r="I32" s="28" t="n">
        <v>6818</v>
      </c>
      <c r="J32" s="68" t="n">
        <v>13.2</v>
      </c>
      <c r="K32" s="68" t="n">
        <v>-2.3</v>
      </c>
      <c r="L32" s="68" t="n">
        <v>10.6</v>
      </c>
    </row>
    <row r="33">
      <c r="F33" s="16" t="inlineStr">
        <is>
          <t>Mount Hope Town</t>
        </is>
      </c>
      <c r="G33" s="28" t="n">
        <v>6639</v>
      </c>
      <c r="H33" s="28" t="n">
        <v>7018</v>
      </c>
      <c r="I33" s="28" t="n">
        <v>6537</v>
      </c>
      <c r="J33" s="68" t="n">
        <v>5.7</v>
      </c>
      <c r="K33" s="68" t="n">
        <v>-6.9</v>
      </c>
      <c r="L33" s="68" t="n">
        <v>-1.5</v>
      </c>
    </row>
    <row r="34">
      <c r="F34" s="47" t="inlineStr">
        <is>
          <t>Otisville Village</t>
        </is>
      </c>
      <c r="G34" s="68" t="n">
        <v>989</v>
      </c>
      <c r="H34" s="28" t="n">
        <v>1068</v>
      </c>
      <c r="I34" s="68" t="n">
        <v>989</v>
      </c>
      <c r="J34" s="68" t="n">
        <v>8</v>
      </c>
      <c r="K34" s="68" t="n">
        <v>-7.4</v>
      </c>
      <c r="L34" s="68" t="n">
        <v>0</v>
      </c>
    </row>
    <row r="35">
      <c r="F35" s="78" t="inlineStr">
        <is>
          <t>Newburgh City</t>
        </is>
      </c>
      <c r="G35" s="28" t="n">
        <v>28259</v>
      </c>
      <c r="H35" s="28" t="n">
        <v>28866</v>
      </c>
      <c r="I35" s="28" t="n">
        <v>28856</v>
      </c>
      <c r="J35" s="68" t="n">
        <v>2.1</v>
      </c>
      <c r="K35" s="68" t="n">
        <v>0</v>
      </c>
      <c r="L35" s="68" t="n">
        <v>2.1</v>
      </c>
    </row>
    <row r="36">
      <c r="F36" s="78" t="inlineStr">
        <is>
          <t>Newburgh Town</t>
        </is>
      </c>
      <c r="G36" s="28" t="n">
        <v>27568</v>
      </c>
      <c r="H36" s="28" t="n">
        <v>29801</v>
      </c>
      <c r="I36" s="28" t="n">
        <v>31985</v>
      </c>
      <c r="J36" s="68" t="n">
        <v>8.1</v>
      </c>
      <c r="K36" s="68" t="n">
        <v>7.3</v>
      </c>
      <c r="L36" s="68" t="n">
        <v>16</v>
      </c>
    </row>
    <row r="37">
      <c r="F37" s="78" t="inlineStr">
        <is>
          <t>New Windsor Town</t>
        </is>
      </c>
      <c r="G37" s="28" t="n">
        <v>22866</v>
      </c>
      <c r="H37" s="28" t="n">
        <v>25244</v>
      </c>
      <c r="I37" s="28" t="n">
        <v>27805</v>
      </c>
      <c r="J37" s="68" t="n">
        <v>10.4</v>
      </c>
      <c r="K37" s="68" t="n">
        <v>10.1</v>
      </c>
      <c r="L37" s="68" t="n">
        <v>21.6</v>
      </c>
    </row>
    <row r="38">
      <c r="F38" s="78" t="inlineStr">
        <is>
          <t>Palm Tree Town</t>
        </is>
      </c>
      <c r="G38" s="68" t="inlineStr">
        <is>
          <t>N/A</t>
        </is>
      </c>
      <c r="H38" s="68" t="inlineStr">
        <is>
          <t>N/A</t>
        </is>
      </c>
      <c r="I38" s="28" t="n">
        <v>32954</v>
      </c>
      <c r="J38" s="68" t="inlineStr">
        <is>
          <t>N/A</t>
        </is>
      </c>
      <c r="K38" s="68" t="inlineStr">
        <is>
          <t>N/A</t>
        </is>
      </c>
      <c r="L38" s="68" t="inlineStr">
        <is>
          <t>N/A</t>
        </is>
      </c>
    </row>
    <row r="39">
      <c r="F39" s="49" t="inlineStr">
        <is>
          <t>Kiryas Joel Village</t>
        </is>
      </c>
      <c r="G39" s="28" t="n">
        <v>13138</v>
      </c>
      <c r="H39" s="28" t="n">
        <v>20175</v>
      </c>
      <c r="I39" s="28" t="n">
        <v>32954</v>
      </c>
      <c r="J39" s="68" t="n">
        <v>53.6</v>
      </c>
      <c r="K39" s="68" t="n">
        <v>63.3</v>
      </c>
      <c r="L39" s="68" t="n">
        <v>150.8</v>
      </c>
    </row>
    <row r="40">
      <c r="F40" s="26" t="inlineStr">
        <is>
          <t>Port Jervis City</t>
        </is>
      </c>
      <c r="G40" s="28" t="n">
        <v>8860</v>
      </c>
      <c r="H40" s="28" t="n">
        <v>8828</v>
      </c>
      <c r="I40" s="28" t="n">
        <v>8775</v>
      </c>
      <c r="J40" s="68" t="n">
        <v>-0.4</v>
      </c>
      <c r="K40" s="68" t="n">
        <v>-0.6</v>
      </c>
      <c r="L40" s="68" t="n">
        <v>-1</v>
      </c>
    </row>
    <row r="41">
      <c r="F41" s="16" t="inlineStr">
        <is>
          <t>Tuxedo Town</t>
        </is>
      </c>
      <c r="G41" s="28" t="n">
        <v>3334</v>
      </c>
      <c r="H41" s="28" t="n">
        <v>3624</v>
      </c>
      <c r="I41" s="28" t="n">
        <v>3811</v>
      </c>
      <c r="J41" s="68" t="n">
        <v>8.699999999999999</v>
      </c>
      <c r="K41" s="68" t="n">
        <v>5.2</v>
      </c>
      <c r="L41" s="68" t="n">
        <v>14.3</v>
      </c>
    </row>
    <row r="42">
      <c r="F42" s="47" t="inlineStr">
        <is>
          <t>Tuxedo Village</t>
        </is>
      </c>
      <c r="G42" s="68" t="n">
        <v>731</v>
      </c>
      <c r="H42" s="68" t="n">
        <v>623</v>
      </c>
      <c r="I42" s="68" t="n">
        <v>645</v>
      </c>
      <c r="J42" s="68" t="n">
        <v>-14.8</v>
      </c>
      <c r="K42" s="68" t="n">
        <v>3.5</v>
      </c>
      <c r="L42" s="68" t="n">
        <v>-11.8</v>
      </c>
    </row>
    <row r="43">
      <c r="F43" s="47" t="inlineStr">
        <is>
          <t>Tuxedo Park Village</t>
        </is>
      </c>
      <c r="G43" s="28" t="n">
        <v>24659</v>
      </c>
      <c r="H43" s="28" t="n">
        <v>27426</v>
      </c>
      <c r="I43" s="28" t="n">
        <v>30486</v>
      </c>
      <c r="J43" s="68" t="n">
        <v>11.2</v>
      </c>
      <c r="K43" s="68" t="n">
        <v>11.2</v>
      </c>
      <c r="L43" s="68" t="n">
        <v>23.6</v>
      </c>
    </row>
    <row r="44">
      <c r="F44" s="16" t="inlineStr">
        <is>
          <t>Wallkill Town</t>
        </is>
      </c>
      <c r="G44" s="28" t="n">
        <v>30764</v>
      </c>
      <c r="H44" s="28" t="n">
        <v>32065</v>
      </c>
      <c r="I44" s="28" t="n">
        <v>32027</v>
      </c>
      <c r="J44" s="68" t="n">
        <v>4.2</v>
      </c>
      <c r="K44" s="68" t="n">
        <v>-0.1</v>
      </c>
      <c r="L44" s="68" t="n">
        <v>4.1</v>
      </c>
    </row>
    <row r="45">
      <c r="F45" s="16" t="inlineStr">
        <is>
          <t>Warwick Town</t>
        </is>
      </c>
      <c r="G45" s="28" t="n">
        <v>2571</v>
      </c>
      <c r="H45" s="28" t="n">
        <v>2833</v>
      </c>
      <c r="I45" s="28" t="n">
        <v>2888</v>
      </c>
      <c r="J45" s="68" t="n">
        <v>10.2</v>
      </c>
      <c r="K45" s="68" t="n">
        <v>1.9</v>
      </c>
      <c r="L45" s="68" t="n">
        <v>12.3</v>
      </c>
    </row>
    <row r="46">
      <c r="F46" s="47" t="inlineStr">
        <is>
          <t>Florida Village</t>
        </is>
      </c>
      <c r="G46" s="28" t="n">
        <v>3411</v>
      </c>
      <c r="H46" s="28" t="n">
        <v>3154</v>
      </c>
      <c r="I46" s="28" t="n">
        <v>2994</v>
      </c>
      <c r="J46" s="68" t="n">
        <v>-7.5</v>
      </c>
      <c r="K46" s="68" t="n">
        <v>-5.1</v>
      </c>
      <c r="L46" s="68" t="n">
        <v>-12.2</v>
      </c>
    </row>
    <row r="47">
      <c r="F47" s="47" t="inlineStr">
        <is>
          <t>Greenwood Lake Village</t>
        </is>
      </c>
      <c r="G47" s="28" t="n">
        <v>6412</v>
      </c>
      <c r="H47" s="28" t="n">
        <v>6731</v>
      </c>
      <c r="I47" s="28" t="n">
        <v>6652</v>
      </c>
      <c r="J47" s="68" t="n">
        <v>5</v>
      </c>
      <c r="K47" s="68" t="n">
        <v>-1.2</v>
      </c>
      <c r="L47" s="68" t="n">
        <v>3.7</v>
      </c>
    </row>
    <row r="48">
      <c r="F48" s="47" t="inlineStr">
        <is>
          <t>Warwick Village</t>
        </is>
      </c>
      <c r="G48" s="28" t="n">
        <v>6273</v>
      </c>
      <c r="H48" s="28" t="n">
        <v>7266</v>
      </c>
      <c r="I48" s="28" t="n">
        <v>7534</v>
      </c>
      <c r="J48" s="68" t="n">
        <v>15.8</v>
      </c>
      <c r="K48" s="68" t="n">
        <v>3.7</v>
      </c>
      <c r="L48" s="68" t="n">
        <v>20.1</v>
      </c>
    </row>
    <row r="49">
      <c r="F49" s="16" t="inlineStr">
        <is>
          <t>Wawayanda Town</t>
        </is>
      </c>
      <c r="G49" s="28" t="n">
        <v>9460</v>
      </c>
      <c r="H49" s="28" t="n">
        <v>11353</v>
      </c>
      <c r="I49" s="28" t="n">
        <v>12197</v>
      </c>
      <c r="J49" s="68" t="n">
        <v>20</v>
      </c>
      <c r="K49" s="68" t="n">
        <v>7.4</v>
      </c>
      <c r="L49" s="68" t="n">
        <v>28.9</v>
      </c>
    </row>
    <row r="50">
      <c r="F50" s="16" t="inlineStr">
        <is>
          <t>Woodbury Town</t>
        </is>
      </c>
      <c r="G50" s="68" t="inlineStr">
        <is>
          <t>N/A</t>
        </is>
      </c>
      <c r="H50" s="28" t="n">
        <v>10686</v>
      </c>
      <c r="I50" s="28" t="n">
        <v>11526</v>
      </c>
      <c r="J50" s="68" t="inlineStr">
        <is>
          <t>N/A</t>
        </is>
      </c>
      <c r="K50" s="68" t="n">
        <v>7.9</v>
      </c>
      <c r="L50" s="68" t="inlineStr">
        <is>
          <t>N/A</t>
        </is>
      </c>
    </row>
    <row r="51">
      <c r="F51" s="47" t="inlineStr">
        <is>
          <t>Harriman Village (portion)</t>
        </is>
      </c>
      <c r="G51" s="68" t="inlineStr">
        <is>
          <t>N/A</t>
        </is>
      </c>
      <c r="H51" s="68" t="inlineStr">
        <is>
          <t>N/A</t>
        </is>
      </c>
      <c r="I51" s="68" t="inlineStr">
        <is>
          <t>N/A</t>
        </is>
      </c>
      <c r="J51" s="68" t="inlineStr">
        <is>
          <t>N/A</t>
        </is>
      </c>
      <c r="K51" s="68" t="inlineStr">
        <is>
          <t>N/A</t>
        </is>
      </c>
      <c r="L51" s="68" t="inlineStr">
        <is>
          <t>N/A</t>
        </is>
      </c>
    </row>
    <row r="52">
      <c r="F52" s="47" t="inlineStr">
        <is>
          <t>Woodbury Village</t>
        </is>
      </c>
      <c r="G52" s="68" t="inlineStr">
        <is>
          <t>N/A</t>
        </is>
      </c>
      <c r="H52" s="68" t="inlineStr">
        <is>
          <t>N/A</t>
        </is>
      </c>
      <c r="I52" s="68" t="inlineStr">
        <is>
          <t>N/A</t>
        </is>
      </c>
      <c r="J52" s="68" t="inlineStr">
        <is>
          <t>N/A</t>
        </is>
      </c>
      <c r="K52" s="68" t="inlineStr">
        <is>
          <t>N/A</t>
        </is>
      </c>
      <c r="L52" s="68"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4.42578125" bestFit="1" customWidth="1" style="91" min="7" max="7"/>
    <col width="22.140625" bestFit="1" customWidth="1" style="91" min="8" max="8"/>
    <col width="28.1406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and Housing Unit Density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91">
      <c r="A6" t="inlineStr">
        <is>
          <t>Multilevel Headers</t>
        </is>
      </c>
      <c r="B6" t="b">
        <v>0</v>
      </c>
      <c r="F6" s="16" t="inlineStr">
        <is>
          <t>Orange County</t>
        </is>
      </c>
      <c r="G6" s="69" t="n">
        <v>812.3</v>
      </c>
      <c r="H6" s="69" t="n">
        <v>497.1</v>
      </c>
      <c r="I6" s="69" t="n">
        <v>182.8</v>
      </c>
      <c r="J6" s="69" t="n"/>
      <c r="K6" s="69" t="n"/>
      <c r="L6" s="69" t="n"/>
      <c r="M6" s="69" t="n"/>
      <c r="N6" s="69" t="n"/>
      <c r="O6" s="69" t="n"/>
    </row>
    <row r="7" ht="15.75" customHeight="1" s="91">
      <c r="F7" s="16" t="inlineStr">
        <is>
          <t>Blooming Grove Town</t>
        </is>
      </c>
      <c r="G7" s="69" t="n">
        <v>34.7</v>
      </c>
      <c r="H7" s="69" t="n">
        <v>537.6</v>
      </c>
      <c r="I7" s="69" t="n">
        <v>198.2</v>
      </c>
      <c r="J7" s="69" t="n"/>
      <c r="K7" s="69" t="n"/>
      <c r="L7" s="69" t="n"/>
      <c r="M7" s="69" t="n"/>
      <c r="N7" s="69" t="n"/>
      <c r="O7" s="69" t="n"/>
    </row>
    <row r="8">
      <c r="F8" s="47" t="inlineStr">
        <is>
          <t>South Blooming Grove Village</t>
        </is>
      </c>
      <c r="G8" s="69" t="n">
        <v>4.7</v>
      </c>
      <c r="H8" s="69" t="n">
        <v>829.1</v>
      </c>
      <c r="I8" s="69" t="n">
        <v>297</v>
      </c>
      <c r="J8" s="69" t="n"/>
      <c r="K8" s="69" t="n"/>
      <c r="L8" s="69" t="n"/>
      <c r="M8" s="69" t="n"/>
      <c r="N8" s="69" t="n"/>
      <c r="O8" s="69" t="n"/>
    </row>
    <row r="9">
      <c r="A9" s="71" t="inlineStr">
        <is>
          <t>Figure Rules</t>
        </is>
      </c>
      <c r="F9" s="47" t="inlineStr">
        <is>
          <t>Washingtonville Village</t>
        </is>
      </c>
      <c r="G9" s="69" t="n">
        <v>2.5</v>
      </c>
      <c r="H9" s="30" t="n">
        <v>2253.2</v>
      </c>
      <c r="I9" s="69" t="n">
        <v>860.6</v>
      </c>
      <c r="J9" s="69" t="n"/>
      <c r="K9" s="69" t="n"/>
      <c r="L9" s="69" t="n"/>
      <c r="M9" s="69" t="n"/>
      <c r="N9" s="69" t="n"/>
      <c r="O9" s="69" t="n"/>
    </row>
    <row r="10">
      <c r="A10" t="inlineStr">
        <is>
          <t>Figure Type</t>
        </is>
      </c>
      <c r="F10" s="16" t="inlineStr">
        <is>
          <t>Chester Town</t>
        </is>
      </c>
      <c r="G10" s="69" t="n">
        <v>25.1</v>
      </c>
      <c r="H10" s="69" t="n">
        <v>503.8</v>
      </c>
      <c r="I10" s="69" t="n">
        <v>190.1</v>
      </c>
    </row>
    <row r="11">
      <c r="A11" t="inlineStr">
        <is>
          <t>X Column</t>
        </is>
      </c>
      <c r="F11" s="49" t="inlineStr">
        <is>
          <t>Chester Village</t>
        </is>
      </c>
      <c r="G11" s="69" t="n">
        <v>2.2</v>
      </c>
      <c r="H11" s="30" t="n">
        <v>1884.7</v>
      </c>
      <c r="I11" s="69" t="n">
        <v>784.7</v>
      </c>
      <c r="J11" s="68" t="n"/>
      <c r="K11" s="68" t="n"/>
      <c r="L11" s="68" t="n"/>
      <c r="M11" s="68" t="n"/>
      <c r="N11" s="68" t="n"/>
    </row>
    <row r="12">
      <c r="A12" t="inlineStr">
        <is>
          <t>Y Column</t>
        </is>
      </c>
      <c r="F12" s="24" t="inlineStr">
        <is>
          <t>Cornwall Town</t>
        </is>
      </c>
      <c r="G12" s="68" t="n">
        <v>26.7</v>
      </c>
      <c r="H12" s="68" t="n">
        <v>480.2</v>
      </c>
      <c r="I12" s="69" t="n">
        <v>201.3</v>
      </c>
      <c r="J12" s="69" t="n"/>
      <c r="K12" s="69" t="n"/>
      <c r="L12" s="69" t="n"/>
    </row>
    <row r="13">
      <c r="A13" t="inlineStr">
        <is>
          <t>X Axis Title</t>
        </is>
      </c>
      <c r="F13" s="47" t="inlineStr">
        <is>
          <t>Cornwall-on-Hudson Village</t>
        </is>
      </c>
      <c r="G13" s="69" t="n">
        <v>2</v>
      </c>
      <c r="H13" s="30" t="n">
        <v>1530.7</v>
      </c>
      <c r="I13" s="69" t="n">
        <v>671.9</v>
      </c>
    </row>
    <row r="14">
      <c r="A14" t="inlineStr">
        <is>
          <t>Y Axis Title</t>
        </is>
      </c>
      <c r="F14" s="16" t="inlineStr">
        <is>
          <t>Crawford Town</t>
        </is>
      </c>
      <c r="G14" s="69" t="n">
        <v>40</v>
      </c>
      <c r="H14" s="69" t="n">
        <v>227.3</v>
      </c>
      <c r="I14" s="69" t="n">
        <v>77.3</v>
      </c>
    </row>
    <row r="15">
      <c r="A15" t="inlineStr">
        <is>
          <t>Start at Zero</t>
        </is>
      </c>
      <c r="F15" s="16" t="inlineStr">
        <is>
          <t>Deerpark Town</t>
        </is>
      </c>
      <c r="G15" s="69" t="n">
        <v>66.5</v>
      </c>
      <c r="H15" s="69" t="n">
        <v>112.4</v>
      </c>
      <c r="I15" s="69" t="n">
        <v>50.3</v>
      </c>
    </row>
    <row r="16">
      <c r="A16" t="inlineStr">
        <is>
          <t>Pivot For Chart</t>
        </is>
      </c>
      <c r="F16" s="16" t="inlineStr">
        <is>
          <t>Goshen Town</t>
        </is>
      </c>
      <c r="G16" s="69" t="n">
        <v>43.6</v>
      </c>
      <c r="H16" s="69" t="n">
        <v>331.4</v>
      </c>
      <c r="I16" s="69" t="n">
        <v>123.1</v>
      </c>
    </row>
    <row r="17">
      <c r="F17" s="47" t="inlineStr">
        <is>
          <t>Goshen Village</t>
        </is>
      </c>
      <c r="G17" s="69" t="n">
        <v>3.3</v>
      </c>
      <c r="H17" s="30" t="n">
        <v>1732.2</v>
      </c>
      <c r="I17" s="69" t="n">
        <v>778</v>
      </c>
    </row>
    <row r="18">
      <c r="A18" s="71" t="inlineStr">
        <is>
          <t>Source Specifications</t>
        </is>
      </c>
      <c r="F18" s="16" t="inlineStr">
        <is>
          <t>Greenville Town</t>
        </is>
      </c>
      <c r="G18" s="69" t="n">
        <v>38.9</v>
      </c>
      <c r="H18" s="69" t="n">
        <v>120.3</v>
      </c>
      <c r="I18" s="69" t="n">
        <v>45.6</v>
      </c>
    </row>
    <row r="19">
      <c r="A19" t="inlineStr">
        <is>
          <t>Source</t>
        </is>
      </c>
      <c r="B19" t="inlineStr">
        <is>
          <t>Source: US Census Bureau, Quick Facts, November 2025 https://www.census.gov/quickfacts/orangecountynewyork</t>
        </is>
      </c>
      <c r="F19" s="16" t="inlineStr">
        <is>
          <t>Hamptonburgh Town</t>
        </is>
      </c>
      <c r="G19" s="69" t="n">
        <v>26.8</v>
      </c>
      <c r="H19" s="69" t="n">
        <v>205.8</v>
      </c>
      <c r="I19" s="69" t="n">
        <v>68.8</v>
      </c>
    </row>
    <row r="20">
      <c r="F20" s="78" t="inlineStr">
        <is>
          <t>Highlands Town</t>
        </is>
      </c>
      <c r="G20" s="69" t="n">
        <v>30.4</v>
      </c>
      <c r="H20" s="69" t="n">
        <v>424.1</v>
      </c>
      <c r="I20" s="69" t="n">
        <v>139.5</v>
      </c>
    </row>
    <row r="21">
      <c r="A21" s="71" t="inlineStr">
        <is>
          <t>Note Specfications</t>
        </is>
      </c>
      <c r="F21" s="47" t="inlineStr">
        <is>
          <t>Highland Falls Village</t>
        </is>
      </c>
      <c r="G21" s="69" t="n">
        <v>1.1</v>
      </c>
      <c r="H21" s="30" t="n">
        <v>3390.8</v>
      </c>
      <c r="I21" s="30"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78" t="inlineStr">
        <is>
          <t>Middletown City</t>
        </is>
      </c>
      <c r="G22" s="69" t="n">
        <v>5.3</v>
      </c>
      <c r="H22" s="30" t="n">
        <v>5692.5</v>
      </c>
      <c r="I22" s="30" t="n">
        <v>2075</v>
      </c>
    </row>
    <row r="23">
      <c r="A23" s="72" t="n"/>
      <c r="F23" s="78" t="inlineStr">
        <is>
          <t>Minisink Town</t>
        </is>
      </c>
      <c r="G23" s="69" t="n">
        <v>23</v>
      </c>
      <c r="H23" s="69" t="n">
        <v>202.1</v>
      </c>
      <c r="I23" s="69" t="n">
        <v>70.8</v>
      </c>
    </row>
    <row r="24">
      <c r="F24" s="49" t="inlineStr">
        <is>
          <t>Unionville Village</t>
        </is>
      </c>
      <c r="G24" s="69" t="n">
        <v>0.3</v>
      </c>
      <c r="H24" s="30" t="n">
        <v>2206.5</v>
      </c>
      <c r="I24" s="69" t="n">
        <v>758.1</v>
      </c>
    </row>
    <row r="25">
      <c r="F25" s="79" t="inlineStr">
        <is>
          <t>Monroe Town</t>
        </is>
      </c>
      <c r="G25" s="69" t="n">
        <v>18.6</v>
      </c>
      <c r="H25" s="30" t="n">
        <v>1148.2</v>
      </c>
      <c r="I25" s="69" t="n">
        <v>398.7</v>
      </c>
      <c r="K25" t="inlineStr">
        <is>
          <t xml:space="preserve"> </t>
        </is>
      </c>
    </row>
    <row r="26">
      <c r="F26" s="47" t="inlineStr">
        <is>
          <t>Harriman Village (portion)</t>
        </is>
      </c>
      <c r="G26" s="69" t="n">
        <v>0.5</v>
      </c>
      <c r="H26" s="30" t="n">
        <v>4352.1</v>
      </c>
      <c r="I26" s="30" t="n">
        <v>1829.2</v>
      </c>
    </row>
    <row r="27">
      <c r="A27" s="69" t="n"/>
      <c r="F27" s="47" t="inlineStr">
        <is>
          <t>Monroe Village</t>
        </is>
      </c>
      <c r="G27" s="69" t="n">
        <v>3.5</v>
      </c>
      <c r="H27" s="30" t="n">
        <v>2712.3</v>
      </c>
      <c r="I27" s="69" t="n">
        <v>850.7</v>
      </c>
    </row>
    <row r="28">
      <c r="F28" s="78" t="inlineStr">
        <is>
          <t>Montgomery Town</t>
        </is>
      </c>
      <c r="G28" s="69" t="n">
        <v>50.3</v>
      </c>
      <c r="H28" s="69" t="n">
        <v>462.3</v>
      </c>
      <c r="I28" s="69" t="n">
        <v>178.5</v>
      </c>
    </row>
    <row r="29">
      <c r="F29" s="47" t="inlineStr">
        <is>
          <t>Maybrook Village</t>
        </is>
      </c>
      <c r="G29" s="69" t="n">
        <v>1.4</v>
      </c>
      <c r="H29" s="30" t="n">
        <v>2331.1</v>
      </c>
      <c r="I29" s="30" t="n">
        <v>1125.2</v>
      </c>
    </row>
    <row r="30">
      <c r="F30" s="47" t="inlineStr">
        <is>
          <t>Montgomery Village</t>
        </is>
      </c>
      <c r="G30" s="69" t="n">
        <v>1.4</v>
      </c>
      <c r="H30" s="30" t="n">
        <v>2695</v>
      </c>
      <c r="I30" s="30" t="n">
        <v>1134.8</v>
      </c>
    </row>
    <row r="31">
      <c r="F31" s="47" t="inlineStr">
        <is>
          <t>Walden Village</t>
        </is>
      </c>
      <c r="G31" s="69" t="n">
        <v>2</v>
      </c>
      <c r="H31" s="30" t="n">
        <v>3487.8</v>
      </c>
      <c r="I31" s="30" t="n">
        <v>1462.9</v>
      </c>
      <c r="K31" t="inlineStr">
        <is>
          <t>`</t>
        </is>
      </c>
    </row>
    <row r="32">
      <c r="F32" s="16" t="inlineStr">
        <is>
          <t>Mount Hope Town</t>
        </is>
      </c>
      <c r="G32" s="69" t="n">
        <v>25.1</v>
      </c>
      <c r="H32" s="69" t="n">
        <v>258.7</v>
      </c>
      <c r="I32" s="69" t="n">
        <v>91.09999999999999</v>
      </c>
    </row>
    <row r="33">
      <c r="F33" s="47" t="inlineStr">
        <is>
          <t>Otisville Village</t>
        </is>
      </c>
      <c r="G33" s="69" t="n">
        <v>0.8</v>
      </c>
      <c r="H33" s="30" t="n">
        <v>1592.1</v>
      </c>
      <c r="I33" s="69" t="n">
        <v>615.8</v>
      </c>
    </row>
    <row r="34">
      <c r="F34" s="78" t="inlineStr">
        <is>
          <t>Newburgh City</t>
        </is>
      </c>
      <c r="G34" s="69" t="n">
        <v>3.8</v>
      </c>
      <c r="H34" s="30" t="n">
        <v>7519.4</v>
      </c>
      <c r="I34" s="31" t="n">
        <v>3050.9</v>
      </c>
    </row>
    <row r="35">
      <c r="F35" s="78" t="inlineStr">
        <is>
          <t>Newburgh Town</t>
        </is>
      </c>
      <c r="G35" s="69" t="n">
        <v>43.4</v>
      </c>
      <c r="H35" s="69" t="n">
        <v>734.9</v>
      </c>
      <c r="I35" s="68" t="n">
        <v>284.9</v>
      </c>
    </row>
    <row r="36">
      <c r="F36" s="78" t="inlineStr">
        <is>
          <t>New Windsor Town</t>
        </is>
      </c>
      <c r="G36" s="69" t="n">
        <v>34.1</v>
      </c>
      <c r="H36" s="69" t="n">
        <v>815.2</v>
      </c>
      <c r="I36" s="68" t="n">
        <v>332.6</v>
      </c>
    </row>
    <row r="37">
      <c r="F37" s="78" t="inlineStr">
        <is>
          <t>Palm Tree Town</t>
        </is>
      </c>
      <c r="G37" s="69" t="n">
        <v>1.5</v>
      </c>
      <c r="H37" s="30" t="n">
        <v>25049.3</v>
      </c>
      <c r="I37" s="31" t="n">
        <v>5056.9</v>
      </c>
    </row>
    <row r="38">
      <c r="F38" s="49" t="inlineStr">
        <is>
          <t>Kiryas Joel Village</t>
        </is>
      </c>
      <c r="G38" s="69" t="n">
        <v>1.5</v>
      </c>
      <c r="H38" s="30" t="n">
        <v>25049.3</v>
      </c>
      <c r="I38" s="30" t="n">
        <v>5056.9</v>
      </c>
    </row>
    <row r="39">
      <c r="F39" s="26" t="inlineStr">
        <is>
          <t>Port Jervis City</t>
        </is>
      </c>
      <c r="G39" s="69" t="n">
        <v>2.5</v>
      </c>
      <c r="H39" s="30" t="n">
        <v>3442.3</v>
      </c>
      <c r="I39" s="30" t="n">
        <v>1539.9</v>
      </c>
    </row>
    <row r="40">
      <c r="F40" s="16" t="inlineStr">
        <is>
          <t>Tuxedo Town</t>
        </is>
      </c>
      <c r="G40" s="69" t="n">
        <v>47.1</v>
      </c>
      <c r="H40" s="69" t="n">
        <v>80</v>
      </c>
      <c r="I40" s="69" t="n">
        <v>37.5</v>
      </c>
    </row>
    <row r="41">
      <c r="F41" s="47" t="inlineStr">
        <is>
          <t>Tuxedo Village</t>
        </is>
      </c>
      <c r="G41" s="69" t="n">
        <v>44.4</v>
      </c>
      <c r="H41" s="69" t="n">
        <v>69.5</v>
      </c>
      <c r="I41" s="69" t="n">
        <v>28.9</v>
      </c>
    </row>
    <row r="42">
      <c r="F42" s="47" t="inlineStr">
        <is>
          <t>Tuxedo Park Village</t>
        </is>
      </c>
      <c r="G42" s="69" t="n">
        <v>2.7</v>
      </c>
      <c r="H42" s="69" t="n">
        <v>256.4</v>
      </c>
      <c r="I42" s="69" t="n">
        <v>181.2</v>
      </c>
    </row>
    <row r="43">
      <c r="F43" s="16" t="inlineStr">
        <is>
          <t>Wallkill Town</t>
        </is>
      </c>
      <c r="G43" s="69" t="n">
        <v>61.9</v>
      </c>
      <c r="H43" s="69" t="n">
        <v>497.5</v>
      </c>
      <c r="I43" s="69" t="n">
        <v>198.5</v>
      </c>
    </row>
    <row r="44">
      <c r="F44" s="16" t="inlineStr">
        <is>
          <t>Warwick Town</t>
        </is>
      </c>
      <c r="G44" s="69" t="n">
        <v>101.3</v>
      </c>
      <c r="H44" s="69" t="n">
        <v>315</v>
      </c>
      <c r="I44" s="69" t="n">
        <v>128.8</v>
      </c>
    </row>
    <row r="45">
      <c r="F45" s="47" t="inlineStr">
        <is>
          <t>Florida Village</t>
        </is>
      </c>
      <c r="G45" s="69" t="n">
        <v>2.3</v>
      </c>
      <c r="H45" s="30" t="n">
        <v>1295.6</v>
      </c>
      <c r="I45" s="69" t="n">
        <v>445.3</v>
      </c>
    </row>
    <row r="46">
      <c r="F46" s="47" t="inlineStr">
        <is>
          <t>Greenwood Lake Village</t>
        </is>
      </c>
      <c r="G46" s="69" t="n">
        <v>2</v>
      </c>
      <c r="H46" s="30" t="n">
        <v>1496</v>
      </c>
      <c r="I46" s="69" t="n">
        <v>682.7</v>
      </c>
    </row>
    <row r="47">
      <c r="F47" s="47" t="inlineStr">
        <is>
          <t>Warwick Village</t>
        </is>
      </c>
      <c r="G47" s="69" t="n">
        <v>2.4</v>
      </c>
      <c r="H47" s="30" t="n">
        <v>2726.3</v>
      </c>
      <c r="I47" s="30" t="n">
        <v>1359.7</v>
      </c>
    </row>
    <row r="48">
      <c r="F48" s="16" t="inlineStr">
        <is>
          <t>Wawayanda Town</t>
        </is>
      </c>
      <c r="G48" s="69" t="n">
        <v>34.7</v>
      </c>
      <c r="H48" s="69" t="n">
        <v>215.9</v>
      </c>
      <c r="I48" s="69" t="n">
        <v>75.90000000000001</v>
      </c>
    </row>
    <row r="49">
      <c r="F49" s="16" t="inlineStr">
        <is>
          <t>Woodbury Town</t>
        </is>
      </c>
      <c r="G49" s="69" t="n">
        <v>36.1</v>
      </c>
      <c r="H49" s="69" t="n">
        <v>337.7</v>
      </c>
      <c r="I49" s="69" t="n">
        <v>116.2</v>
      </c>
    </row>
    <row r="50">
      <c r="F50" s="47" t="inlineStr">
        <is>
          <t>Harriman Village (portion)</t>
        </is>
      </c>
      <c r="G50" s="69" t="n">
        <v>0.5</v>
      </c>
      <c r="H50" s="30" t="n">
        <v>1450</v>
      </c>
      <c r="I50" s="69" t="n">
        <v>498.1</v>
      </c>
    </row>
    <row r="51">
      <c r="F51" s="47" t="inlineStr">
        <is>
          <t>Woodbury Village</t>
        </is>
      </c>
      <c r="G51" s="69" t="n">
        <v>35.6</v>
      </c>
      <c r="H51" s="69" t="n">
        <v>321.4</v>
      </c>
      <c r="I51" s="69"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8" bestFit="1" customWidth="1" style="91" min="16" max="16"/>
  </cols>
  <sheetData>
    <row r="1">
      <c r="A1" s="16" t="inlineStr">
        <is>
          <t>Name</t>
        </is>
      </c>
      <c r="B1" s="66" t="inlineStr">
        <is>
          <t>Population of Municipalities by Sex and Age,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71" t="inlineStr">
        <is>
          <t>Table Rules</t>
        </is>
      </c>
      <c r="E5" s="70" t="inlineStr">
        <is>
          <t xml:space="preserve">Enter Data </t>
        </is>
      </c>
      <c r="F5" s="68" t="inlineStr">
        <is>
          <t>Geographic Area</t>
        </is>
      </c>
      <c r="G5" s="68" t="inlineStr">
        <is>
          <t>Total Population</t>
        </is>
      </c>
      <c r="J5" s="68" t="inlineStr">
        <is>
          <t>Population &gt;18 years</t>
        </is>
      </c>
      <c r="M5" s="68" t="inlineStr">
        <is>
          <t>Population Age 15-44 year</t>
        </is>
      </c>
      <c r="P5" s="68" t="inlineStr">
        <is>
          <t>Population 65+ years</t>
        </is>
      </c>
    </row>
    <row r="6" ht="15" customHeight="1" s="91">
      <c r="A6" t="inlineStr">
        <is>
          <t>Multilevel Headers</t>
        </is>
      </c>
      <c r="B6" t="b">
        <v>1</v>
      </c>
      <c r="G6" s="68" t="inlineStr">
        <is>
          <t>Total</t>
        </is>
      </c>
      <c r="H6" s="68" t="inlineStr">
        <is>
          <t>Male</t>
        </is>
      </c>
      <c r="I6" s="68" t="inlineStr">
        <is>
          <t>Female</t>
        </is>
      </c>
      <c r="J6" s="68" t="inlineStr">
        <is>
          <t>Total</t>
        </is>
      </c>
      <c r="K6" s="68" t="inlineStr">
        <is>
          <t>Male</t>
        </is>
      </c>
      <c r="L6" s="68" t="inlineStr">
        <is>
          <t>Female</t>
        </is>
      </c>
      <c r="M6" s="68" t="inlineStr">
        <is>
          <t>Total</t>
        </is>
      </c>
      <c r="N6" s="68" t="inlineStr">
        <is>
          <t>Male</t>
        </is>
      </c>
      <c r="O6" s="68" t="inlineStr">
        <is>
          <t>Female</t>
        </is>
      </c>
      <c r="P6" s="68" t="inlineStr">
        <is>
          <t>Total</t>
        </is>
      </c>
      <c r="Q6" s="68" t="inlineStr">
        <is>
          <t>Male</t>
        </is>
      </c>
      <c r="R6" s="68" t="inlineStr">
        <is>
          <t>Female</t>
        </is>
      </c>
    </row>
    <row r="7" ht="15.75" customHeight="1" s="91">
      <c r="F7" s="16" t="inlineStr">
        <is>
          <t>Orange County</t>
        </is>
      </c>
      <c r="G7" s="14" t="n">
        <v>403840</v>
      </c>
      <c r="H7" s="14" t="n">
        <v>201512</v>
      </c>
      <c r="I7" s="14" t="n">
        <v>202328</v>
      </c>
      <c r="J7" s="14" t="n">
        <v>103740</v>
      </c>
      <c r="K7" s="14" t="n">
        <v>53161</v>
      </c>
      <c r="L7" s="14" t="n">
        <v>50579</v>
      </c>
      <c r="M7" s="14" t="n">
        <v>157903</v>
      </c>
      <c r="N7" s="14" t="n">
        <v>80408</v>
      </c>
      <c r="O7" s="14" t="n">
        <v>77495</v>
      </c>
      <c r="P7" s="14" t="n">
        <v>57945</v>
      </c>
      <c r="Q7" s="14" t="n">
        <v>26221</v>
      </c>
      <c r="R7" s="14" t="n">
        <v>31724</v>
      </c>
    </row>
    <row r="8">
      <c r="F8" s="16" t="inlineStr">
        <is>
          <t>Blooming Grove Town</t>
        </is>
      </c>
      <c r="G8" s="14" t="n">
        <v>18672</v>
      </c>
      <c r="H8" s="14" t="n">
        <v>9133</v>
      </c>
      <c r="I8" s="14" t="n">
        <v>9539</v>
      </c>
      <c r="J8" s="14" t="n">
        <v>5333</v>
      </c>
      <c r="K8" s="14" t="n">
        <v>2906</v>
      </c>
      <c r="L8" s="14" t="n">
        <v>2427</v>
      </c>
      <c r="M8" s="14" t="n">
        <v>7299</v>
      </c>
      <c r="N8" s="14" t="n">
        <v>3507</v>
      </c>
      <c r="O8" s="14" t="n">
        <v>3792</v>
      </c>
      <c r="P8" s="14" t="n">
        <v>2275</v>
      </c>
      <c r="Q8" s="14" t="n">
        <v>1093</v>
      </c>
      <c r="R8" s="14" t="n">
        <v>1182</v>
      </c>
    </row>
    <row r="9">
      <c r="A9" s="71" t="inlineStr">
        <is>
          <t>Figure Rules</t>
        </is>
      </c>
      <c r="F9" s="47" t="inlineStr">
        <is>
          <t>South Blooming Grove Village</t>
        </is>
      </c>
      <c r="G9" s="14" t="n">
        <v>3880</v>
      </c>
      <c r="H9" s="14" t="n">
        <v>1933</v>
      </c>
      <c r="I9" s="14" t="n">
        <v>1947</v>
      </c>
      <c r="J9" s="14" t="n">
        <v>1658</v>
      </c>
      <c r="K9" t="n">
        <v>774</v>
      </c>
      <c r="L9" t="n">
        <v>884</v>
      </c>
      <c r="M9" s="14" t="n">
        <v>1552</v>
      </c>
      <c r="N9" t="n">
        <v>738</v>
      </c>
      <c r="O9" t="n">
        <v>814</v>
      </c>
      <c r="P9" t="n">
        <v>337</v>
      </c>
      <c r="Q9" t="n">
        <v>188</v>
      </c>
      <c r="R9" t="n">
        <v>149</v>
      </c>
    </row>
    <row r="10">
      <c r="A10" t="inlineStr">
        <is>
          <t>Figure Type</t>
        </is>
      </c>
      <c r="F10" s="47" t="inlineStr">
        <is>
          <t>Washingtonville Village</t>
        </is>
      </c>
      <c r="G10" s="14" t="n">
        <v>5723</v>
      </c>
      <c r="H10" s="14" t="n">
        <v>2883</v>
      </c>
      <c r="I10" s="14" t="n">
        <v>2840</v>
      </c>
      <c r="J10" s="50" t="n">
        <v>1287</v>
      </c>
      <c r="K10" s="21" t="n">
        <v>740</v>
      </c>
      <c r="L10" s="21" t="n">
        <v>547</v>
      </c>
      <c r="M10" s="50" t="n">
        <v>2353</v>
      </c>
      <c r="N10" s="50" t="n">
        <v>1384</v>
      </c>
      <c r="O10" t="n">
        <v>969</v>
      </c>
      <c r="P10" t="n">
        <v>885</v>
      </c>
      <c r="Q10" t="n">
        <v>377</v>
      </c>
      <c r="R10" t="n">
        <v>508</v>
      </c>
    </row>
    <row r="11">
      <c r="A11" t="inlineStr">
        <is>
          <t>X Column</t>
        </is>
      </c>
      <c r="F11" s="16" t="inlineStr">
        <is>
          <t>Chester Town</t>
        </is>
      </c>
      <c r="G11" s="50" t="n">
        <v>12621</v>
      </c>
      <c r="H11" s="50" t="n">
        <v>5839</v>
      </c>
      <c r="I11" s="14" t="n">
        <v>6782</v>
      </c>
      <c r="J11" s="14" t="n">
        <v>2702</v>
      </c>
      <c r="K11" s="14" t="n">
        <v>1098</v>
      </c>
      <c r="L11" s="14" t="n">
        <v>1604</v>
      </c>
      <c r="M11" s="14" t="n">
        <v>5120</v>
      </c>
      <c r="N11" s="14" t="n">
        <v>2506</v>
      </c>
      <c r="O11" s="14" t="n">
        <v>2614</v>
      </c>
      <c r="P11" s="14" t="n">
        <v>1794</v>
      </c>
      <c r="Q11" t="n">
        <v>726</v>
      </c>
      <c r="R11" s="14" t="n">
        <v>1068</v>
      </c>
    </row>
    <row r="12">
      <c r="A12" t="inlineStr">
        <is>
          <t>Y Column</t>
        </is>
      </c>
      <c r="F12" s="49" t="inlineStr">
        <is>
          <t>Chester Village</t>
        </is>
      </c>
      <c r="G12" s="14" t="n">
        <v>4052</v>
      </c>
      <c r="H12" s="14" t="n">
        <v>1961</v>
      </c>
      <c r="I12" s="14" t="n">
        <v>2091</v>
      </c>
      <c r="J12" t="n">
        <v>738</v>
      </c>
      <c r="K12" t="n">
        <v>369</v>
      </c>
      <c r="L12" t="n">
        <v>369</v>
      </c>
      <c r="M12" s="14" t="n">
        <v>1797</v>
      </c>
      <c r="N12" s="14" t="n">
        <v>1018</v>
      </c>
      <c r="O12" t="n">
        <v>779</v>
      </c>
      <c r="P12" t="n">
        <v>550</v>
      </c>
      <c r="Q12" t="n">
        <v>221</v>
      </c>
      <c r="R12" t="n">
        <v>329</v>
      </c>
    </row>
    <row r="13">
      <c r="A13" t="inlineStr">
        <is>
          <t>X Axis Title</t>
        </is>
      </c>
      <c r="F13" s="24" t="inlineStr">
        <is>
          <t>Cornwall Town</t>
        </is>
      </c>
      <c r="G13" s="14" t="n">
        <v>12801</v>
      </c>
      <c r="H13" s="14" t="n">
        <v>6218</v>
      </c>
      <c r="I13" s="14" t="n">
        <v>6583</v>
      </c>
      <c r="J13" s="14" t="n">
        <v>2714</v>
      </c>
      <c r="K13" s="14" t="n">
        <v>1263</v>
      </c>
      <c r="L13" s="14" t="n">
        <v>1451</v>
      </c>
      <c r="M13" s="14" t="n">
        <v>4709</v>
      </c>
      <c r="N13" s="14" t="n">
        <v>2289</v>
      </c>
      <c r="O13" s="14" t="n">
        <v>2420</v>
      </c>
      <c r="P13" s="14" t="n">
        <v>2504</v>
      </c>
      <c r="Q13" s="14" t="n">
        <v>1207</v>
      </c>
      <c r="R13" s="14" t="n">
        <v>1297</v>
      </c>
    </row>
    <row r="14">
      <c r="A14" t="inlineStr">
        <is>
          <t>Y Axis Title</t>
        </is>
      </c>
      <c r="F14" s="47" t="inlineStr">
        <is>
          <t>Cornwall-on-Hudson Village</t>
        </is>
      </c>
      <c r="G14" s="14" t="n">
        <v>3046</v>
      </c>
      <c r="H14" s="14" t="n">
        <v>1460</v>
      </c>
      <c r="I14" s="14" t="n">
        <v>1586</v>
      </c>
      <c r="J14" t="n">
        <v>593</v>
      </c>
      <c r="K14" t="n">
        <v>228</v>
      </c>
      <c r="L14" t="n">
        <v>365</v>
      </c>
      <c r="M14" s="14" t="n">
        <v>1087</v>
      </c>
      <c r="N14" t="n">
        <v>484</v>
      </c>
      <c r="O14" t="n">
        <v>603</v>
      </c>
      <c r="P14" t="n">
        <v>552</v>
      </c>
      <c r="Q14" t="n">
        <v>233</v>
      </c>
      <c r="R14" t="n">
        <v>319</v>
      </c>
    </row>
    <row r="15">
      <c r="A15" t="inlineStr">
        <is>
          <t>Start at Zero</t>
        </is>
      </c>
      <c r="F15" s="16" t="inlineStr">
        <is>
          <t>Crawford Town</t>
        </is>
      </c>
      <c r="G15" s="14" t="n">
        <v>9097</v>
      </c>
      <c r="H15" s="14" t="n">
        <v>4732</v>
      </c>
      <c r="I15" s="14" t="n">
        <v>4365</v>
      </c>
      <c r="J15" s="14" t="n">
        <v>2086</v>
      </c>
      <c r="K15" s="14" t="n">
        <v>1380</v>
      </c>
      <c r="L15" t="n">
        <v>706</v>
      </c>
      <c r="M15" s="14" t="n">
        <v>3571</v>
      </c>
      <c r="N15" s="14" t="n">
        <v>1701</v>
      </c>
      <c r="O15" s="14" t="n">
        <v>1870</v>
      </c>
      <c r="P15" s="14" t="n">
        <v>1183</v>
      </c>
      <c r="Q15" t="n">
        <v>495</v>
      </c>
      <c r="R15" t="n">
        <v>688</v>
      </c>
    </row>
    <row r="16">
      <c r="A16" t="inlineStr">
        <is>
          <t>Pivot For Chart</t>
        </is>
      </c>
      <c r="F16" s="16" t="inlineStr">
        <is>
          <t>Deerpark Town</t>
        </is>
      </c>
      <c r="G16" s="14" t="n">
        <v>7471</v>
      </c>
      <c r="H16" s="14" t="n">
        <v>3753</v>
      </c>
      <c r="I16" s="14" t="n">
        <v>3718</v>
      </c>
      <c r="J16" s="14" t="n">
        <v>1512</v>
      </c>
      <c r="K16" t="n">
        <v>494</v>
      </c>
      <c r="L16" s="14" t="n">
        <v>1018</v>
      </c>
      <c r="M16" s="14" t="n">
        <v>2498</v>
      </c>
      <c r="N16" s="14" t="n">
        <v>1298</v>
      </c>
      <c r="O16" s="14" t="n">
        <v>1200</v>
      </c>
      <c r="P16" s="14" t="n">
        <v>1665</v>
      </c>
      <c r="Q16" t="n">
        <v>925</v>
      </c>
      <c r="R16" t="n">
        <v>740</v>
      </c>
    </row>
    <row r="17">
      <c r="F17" s="16" t="inlineStr">
        <is>
          <t>Goshen Town</t>
        </is>
      </c>
      <c r="G17" s="14" t="n">
        <v>14463</v>
      </c>
      <c r="H17" s="14" t="n">
        <v>7390</v>
      </c>
      <c r="I17" s="14" t="n">
        <v>7073</v>
      </c>
      <c r="J17" s="14" t="n">
        <v>2871</v>
      </c>
      <c r="K17" s="14" t="n">
        <v>1373</v>
      </c>
      <c r="L17" s="14" t="n">
        <v>1498</v>
      </c>
      <c r="M17" s="14" t="n">
        <v>4911</v>
      </c>
      <c r="N17" s="14" t="n">
        <v>2696</v>
      </c>
      <c r="O17" s="14" t="n">
        <v>2215</v>
      </c>
      <c r="P17" s="14" t="n">
        <v>3063</v>
      </c>
      <c r="Q17" s="14" t="n">
        <v>1307</v>
      </c>
      <c r="R17" s="14" t="n">
        <v>1756</v>
      </c>
    </row>
    <row r="18">
      <c r="A18" s="71" t="inlineStr">
        <is>
          <t>Source Specifications</t>
        </is>
      </c>
      <c r="F18" s="47" t="inlineStr">
        <is>
          <t>Goshen Village</t>
        </is>
      </c>
      <c r="G18" s="14" t="n">
        <v>5751</v>
      </c>
      <c r="H18" s="14" t="n">
        <v>2745</v>
      </c>
      <c r="I18" s="14" t="n">
        <v>3006</v>
      </c>
      <c r="J18" s="14" t="n">
        <v>1108</v>
      </c>
      <c r="K18" t="n">
        <v>594</v>
      </c>
      <c r="L18" t="n">
        <v>514</v>
      </c>
      <c r="M18" s="14" t="n">
        <v>1675</v>
      </c>
      <c r="N18" t="n">
        <v>812</v>
      </c>
      <c r="O18" t="n">
        <v>863</v>
      </c>
      <c r="P18" s="14"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16" t="inlineStr">
        <is>
          <t>Greenville Town</t>
        </is>
      </c>
      <c r="G19" s="14" t="n">
        <v>4680</v>
      </c>
      <c r="H19" s="14" t="n">
        <v>2458</v>
      </c>
      <c r="I19" s="14" t="n">
        <v>2222</v>
      </c>
      <c r="J19" s="14" t="n">
        <v>1167</v>
      </c>
      <c r="K19" t="n">
        <v>659</v>
      </c>
      <c r="L19" t="n">
        <v>508</v>
      </c>
      <c r="M19" s="14" t="n">
        <v>1869</v>
      </c>
      <c r="N19" s="14" t="n">
        <v>1015</v>
      </c>
      <c r="O19" t="n">
        <v>854</v>
      </c>
      <c r="P19" t="n">
        <v>610</v>
      </c>
      <c r="Q19" t="n">
        <v>285</v>
      </c>
      <c r="R19" t="n">
        <v>325</v>
      </c>
    </row>
    <row r="20">
      <c r="F20" s="16" t="inlineStr">
        <is>
          <t>Hamptonburgh Town</t>
        </is>
      </c>
      <c r="G20" s="14" t="n">
        <v>5507</v>
      </c>
      <c r="H20" s="14" t="n">
        <v>2924</v>
      </c>
      <c r="I20" s="14" t="n">
        <v>2583</v>
      </c>
      <c r="J20" s="14" t="n">
        <v>1280</v>
      </c>
      <c r="K20" t="n">
        <v>818</v>
      </c>
      <c r="L20" t="n">
        <v>462</v>
      </c>
      <c r="M20" s="14" t="n">
        <v>1877</v>
      </c>
      <c r="N20" s="14" t="n">
        <v>1033</v>
      </c>
      <c r="O20" t="n">
        <v>844</v>
      </c>
      <c r="P20" t="n">
        <v>785</v>
      </c>
      <c r="Q20" t="n">
        <v>340</v>
      </c>
      <c r="R20" t="n">
        <v>445</v>
      </c>
    </row>
    <row r="21">
      <c r="A21" s="71" t="inlineStr">
        <is>
          <t>Note Specfications</t>
        </is>
      </c>
      <c r="F21" s="78" t="inlineStr">
        <is>
          <t>Highlands Town</t>
        </is>
      </c>
      <c r="G21" s="14" t="n">
        <v>12894</v>
      </c>
      <c r="H21" s="14" t="n">
        <v>7397</v>
      </c>
      <c r="I21" s="14" t="n">
        <v>5497</v>
      </c>
      <c r="J21" s="14" t="n">
        <v>3027</v>
      </c>
      <c r="K21" s="14" t="n">
        <v>1700</v>
      </c>
      <c r="L21" s="14" t="n">
        <v>1327</v>
      </c>
      <c r="M21" s="14" t="n">
        <v>6519</v>
      </c>
      <c r="N21" s="14" t="n">
        <v>3791</v>
      </c>
      <c r="O21" s="14" t="n">
        <v>2728</v>
      </c>
      <c r="P21" s="14" t="n">
        <v>1064</v>
      </c>
      <c r="Q21" t="n">
        <v>553</v>
      </c>
      <c r="R21" t="n">
        <v>511</v>
      </c>
    </row>
    <row r="22">
      <c r="A22" t="inlineStr">
        <is>
          <t xml:space="preserve">Note </t>
        </is>
      </c>
      <c r="B22" t="inlineStr">
        <is>
          <t>Note: Town totals include Village totals.</t>
        </is>
      </c>
      <c r="F22" s="47" t="inlineStr">
        <is>
          <t>Highland Falls Village</t>
        </is>
      </c>
      <c r="G22" s="14" t="n">
        <v>3696</v>
      </c>
      <c r="H22" s="14" t="n">
        <v>2000</v>
      </c>
      <c r="I22" s="14" t="n">
        <v>1696</v>
      </c>
      <c r="J22" t="n">
        <v>773</v>
      </c>
      <c r="K22" t="n">
        <v>439</v>
      </c>
      <c r="L22" t="n">
        <v>334</v>
      </c>
      <c r="M22" s="14" t="n">
        <v>1323</v>
      </c>
      <c r="N22" t="n">
        <v>694</v>
      </c>
      <c r="O22" t="n">
        <v>629</v>
      </c>
      <c r="P22" t="n">
        <v>447</v>
      </c>
      <c r="Q22" t="n">
        <v>176</v>
      </c>
      <c r="R22" t="n">
        <v>271</v>
      </c>
    </row>
    <row r="23">
      <c r="F23" s="78" t="inlineStr">
        <is>
          <t>Middletown City</t>
        </is>
      </c>
      <c r="G23" s="14" t="n">
        <v>30227</v>
      </c>
      <c r="H23" s="14" t="n">
        <v>15640</v>
      </c>
      <c r="I23" s="14" t="n">
        <v>14587</v>
      </c>
      <c r="J23" s="14" t="n">
        <v>7796</v>
      </c>
      <c r="K23" s="14" t="n">
        <v>4379</v>
      </c>
      <c r="L23" s="14" t="n">
        <v>3417</v>
      </c>
      <c r="M23" s="14" t="n">
        <v>12169</v>
      </c>
      <c r="N23" s="14" t="n">
        <v>6647</v>
      </c>
      <c r="O23" s="14" t="n">
        <v>5522</v>
      </c>
      <c r="P23" s="14" t="n">
        <v>4110</v>
      </c>
      <c r="Q23" s="14" t="n">
        <v>1855</v>
      </c>
      <c r="R23" s="14" t="n">
        <v>2255</v>
      </c>
    </row>
    <row r="24">
      <c r="F24" s="78" t="inlineStr">
        <is>
          <t>Minisink Town</t>
        </is>
      </c>
      <c r="G24" s="14" t="n">
        <v>4648</v>
      </c>
      <c r="H24" s="14" t="n">
        <v>2246</v>
      </c>
      <c r="I24" s="14" t="n">
        <v>2402</v>
      </c>
      <c r="J24" s="14" t="n">
        <v>1277</v>
      </c>
      <c r="K24" t="n">
        <v>496</v>
      </c>
      <c r="L24" t="n">
        <v>781</v>
      </c>
      <c r="M24" s="14" t="n">
        <v>1806</v>
      </c>
      <c r="N24" t="n">
        <v>841</v>
      </c>
      <c r="O24" t="n">
        <v>965</v>
      </c>
      <c r="P24" t="n">
        <v>524</v>
      </c>
      <c r="Q24" t="n">
        <v>332</v>
      </c>
      <c r="R24" t="n">
        <v>192</v>
      </c>
    </row>
    <row r="25">
      <c r="F25" s="49" t="inlineStr">
        <is>
          <t>Unionville Village</t>
        </is>
      </c>
      <c r="G25" t="n">
        <v>684</v>
      </c>
      <c r="H25" t="n">
        <v>282</v>
      </c>
      <c r="I25" t="n">
        <v>402</v>
      </c>
      <c r="J25" t="n">
        <v>222</v>
      </c>
      <c r="K25" t="n">
        <v>61</v>
      </c>
      <c r="L25" t="n">
        <v>161</v>
      </c>
      <c r="M25" t="n">
        <v>278</v>
      </c>
      <c r="N25" t="n">
        <v>114</v>
      </c>
      <c r="O25" t="n">
        <v>164</v>
      </c>
      <c r="P25" t="n">
        <v>79</v>
      </c>
      <c r="Q25" t="n">
        <v>38</v>
      </c>
      <c r="R25" t="n">
        <v>41</v>
      </c>
    </row>
    <row r="26">
      <c r="F26" s="79" t="inlineStr">
        <is>
          <t>Monroe Town</t>
        </is>
      </c>
      <c r="G26" s="14" t="n">
        <v>21299</v>
      </c>
      <c r="H26" s="14" t="n">
        <v>9782</v>
      </c>
      <c r="I26" s="14" t="n">
        <v>11517</v>
      </c>
      <c r="J26" s="14" t="n">
        <v>5787</v>
      </c>
      <c r="K26" s="14" t="n">
        <v>2800</v>
      </c>
      <c r="L26" s="14" t="n">
        <v>2987</v>
      </c>
      <c r="M26" s="14" t="n">
        <v>7992</v>
      </c>
      <c r="N26" s="14" t="n">
        <v>3423</v>
      </c>
      <c r="O26" s="14" t="n">
        <v>4569</v>
      </c>
      <c r="P26" s="14" t="n">
        <v>3039</v>
      </c>
      <c r="Q26" s="14" t="n">
        <v>1509</v>
      </c>
      <c r="R26" s="14" t="n">
        <v>1530</v>
      </c>
    </row>
    <row r="27">
      <c r="A27" s="69" t="n"/>
      <c r="F27" s="47" t="inlineStr">
        <is>
          <t>Harriman Village (portion)</t>
        </is>
      </c>
      <c r="G27" s="14" t="n">
        <v>2089</v>
      </c>
      <c r="H27" t="n">
        <v>877</v>
      </c>
      <c r="I27" s="14" t="n">
        <v>1212</v>
      </c>
      <c r="J27" t="n">
        <v>598</v>
      </c>
      <c r="K27" t="n">
        <v>232</v>
      </c>
      <c r="L27" t="n">
        <v>366</v>
      </c>
      <c r="M27" t="n">
        <v>839</v>
      </c>
      <c r="N27" t="n">
        <v>399</v>
      </c>
      <c r="O27" t="n">
        <v>440</v>
      </c>
      <c r="P27" t="n">
        <v>363</v>
      </c>
      <c r="Q27" t="n">
        <v>117</v>
      </c>
      <c r="R27" t="n">
        <v>246</v>
      </c>
    </row>
    <row r="28">
      <c r="F28" s="47" t="inlineStr">
        <is>
          <t>Monroe Village</t>
        </is>
      </c>
      <c r="G28" s="14" t="n">
        <v>9466</v>
      </c>
      <c r="H28" s="14" t="n">
        <v>4473</v>
      </c>
      <c r="I28" s="14" t="n">
        <v>4993</v>
      </c>
      <c r="J28" s="14" t="n">
        <v>2552</v>
      </c>
      <c r="K28" s="14" t="n">
        <v>1325</v>
      </c>
      <c r="L28" s="14" t="n">
        <v>1227</v>
      </c>
      <c r="M28" s="14" t="n">
        <v>3867</v>
      </c>
      <c r="N28" s="14" t="n">
        <v>1767</v>
      </c>
      <c r="O28" s="14" t="n">
        <v>2100</v>
      </c>
      <c r="P28" t="n">
        <v>950</v>
      </c>
      <c r="Q28" t="n">
        <v>344</v>
      </c>
      <c r="R28" t="n">
        <v>606</v>
      </c>
    </row>
    <row r="29">
      <c r="F29" s="78" t="inlineStr">
        <is>
          <t>Montgomery Town</t>
        </is>
      </c>
      <c r="G29" s="14" t="n">
        <v>23235</v>
      </c>
      <c r="H29" s="14" t="n">
        <v>11058</v>
      </c>
      <c r="I29" s="14" t="n">
        <v>12177</v>
      </c>
      <c r="J29" s="14" t="n">
        <v>5597</v>
      </c>
      <c r="K29" s="14" t="n">
        <v>2566</v>
      </c>
      <c r="L29" s="14" t="n">
        <v>3031</v>
      </c>
      <c r="M29" s="14" t="n">
        <v>8825</v>
      </c>
      <c r="N29" s="14" t="n">
        <v>4262</v>
      </c>
      <c r="O29" s="14" t="n">
        <v>4563</v>
      </c>
      <c r="P29" s="14" t="n">
        <v>3358</v>
      </c>
      <c r="Q29" s="14" t="n">
        <v>1473</v>
      </c>
      <c r="R29" s="14" t="n">
        <v>1885</v>
      </c>
    </row>
    <row r="30">
      <c r="F30" s="47" t="inlineStr">
        <is>
          <t>Maybrook Village</t>
        </is>
      </c>
      <c r="G30" s="14" t="n">
        <v>3147</v>
      </c>
      <c r="H30" s="14" t="n">
        <v>1451</v>
      </c>
      <c r="I30" s="14" t="n">
        <v>1696</v>
      </c>
      <c r="J30" t="n">
        <v>507</v>
      </c>
      <c r="K30" t="n">
        <v>202</v>
      </c>
      <c r="L30" t="n">
        <v>305</v>
      </c>
      <c r="M30" s="14" t="n">
        <v>1094</v>
      </c>
      <c r="N30" t="n">
        <v>626</v>
      </c>
      <c r="O30" t="n">
        <v>468</v>
      </c>
      <c r="P30" t="n">
        <v>660</v>
      </c>
      <c r="Q30" t="n">
        <v>273</v>
      </c>
      <c r="R30" t="n">
        <v>387</v>
      </c>
    </row>
    <row r="31">
      <c r="F31" s="47" t="inlineStr">
        <is>
          <t>Montgomery Village</t>
        </is>
      </c>
      <c r="G31" s="14" t="n">
        <v>3800</v>
      </c>
      <c r="H31" s="14" t="n">
        <v>1722</v>
      </c>
      <c r="I31" s="14" t="n">
        <v>2078</v>
      </c>
      <c r="J31" t="n">
        <v>962</v>
      </c>
      <c r="K31" t="n">
        <v>434</v>
      </c>
      <c r="L31" t="n">
        <v>528</v>
      </c>
      <c r="M31" s="14" t="n">
        <v>1407</v>
      </c>
      <c r="N31" t="n">
        <v>679</v>
      </c>
      <c r="O31" t="n">
        <v>728</v>
      </c>
      <c r="P31" t="n">
        <v>553</v>
      </c>
      <c r="Q31" t="n">
        <v>186</v>
      </c>
      <c r="R31" t="n">
        <v>367</v>
      </c>
    </row>
    <row r="32">
      <c r="F32" s="47" t="inlineStr">
        <is>
          <t>Walden Village</t>
        </is>
      </c>
      <c r="G32" s="14" t="n">
        <v>6871</v>
      </c>
      <c r="H32" s="14" t="n">
        <v>3498</v>
      </c>
      <c r="I32" s="14" t="n">
        <v>3373</v>
      </c>
      <c r="J32" s="14" t="n">
        <v>1664</v>
      </c>
      <c r="K32" t="n">
        <v>868</v>
      </c>
      <c r="L32" t="n">
        <v>796</v>
      </c>
      <c r="M32" s="14" t="n">
        <v>2710</v>
      </c>
      <c r="N32" s="14" t="n">
        <v>1279</v>
      </c>
      <c r="O32" s="14" t="n">
        <v>1431</v>
      </c>
      <c r="P32" t="n">
        <v>816</v>
      </c>
      <c r="Q32" t="n">
        <v>337</v>
      </c>
      <c r="R32" t="n">
        <v>479</v>
      </c>
    </row>
    <row r="33">
      <c r="F33" s="16" t="inlineStr">
        <is>
          <t>Mount Hope Town</t>
        </is>
      </c>
      <c r="G33" s="14" t="n">
        <v>6500</v>
      </c>
      <c r="H33" s="14" t="n">
        <v>3897</v>
      </c>
      <c r="I33" s="50" t="n">
        <v>2603</v>
      </c>
      <c r="J33" s="14" t="n">
        <v>1080</v>
      </c>
      <c r="K33" t="n">
        <v>541</v>
      </c>
      <c r="L33" t="n">
        <v>539</v>
      </c>
      <c r="M33" s="14" t="n">
        <v>2476</v>
      </c>
      <c r="N33" s="14" t="n">
        <v>1540</v>
      </c>
      <c r="O33" t="n">
        <v>936</v>
      </c>
      <c r="P33" s="14" t="n">
        <v>1079</v>
      </c>
      <c r="Q33" t="n">
        <v>540</v>
      </c>
      <c r="R33" t="n">
        <v>539</v>
      </c>
    </row>
    <row r="34">
      <c r="F34" s="47" t="inlineStr">
        <is>
          <t>Otisville Village</t>
        </is>
      </c>
      <c r="G34" s="14" t="n">
        <v>1210</v>
      </c>
      <c r="H34" t="n">
        <v>623</v>
      </c>
      <c r="I34" s="21" t="n">
        <v>587</v>
      </c>
      <c r="J34" t="n">
        <v>353</v>
      </c>
      <c r="K34" t="n">
        <v>148</v>
      </c>
      <c r="L34" t="n">
        <v>205</v>
      </c>
      <c r="M34" t="n">
        <v>464</v>
      </c>
      <c r="N34" t="n">
        <v>267</v>
      </c>
      <c r="O34" t="n">
        <v>197</v>
      </c>
      <c r="P34" t="n">
        <v>237</v>
      </c>
      <c r="Q34" t="n">
        <v>102</v>
      </c>
      <c r="R34" t="n">
        <v>135</v>
      </c>
    </row>
    <row r="35">
      <c r="F35" s="78" t="inlineStr">
        <is>
          <t>Newburgh City</t>
        </is>
      </c>
      <c r="G35" s="14" t="n">
        <v>28649</v>
      </c>
      <c r="H35" s="14" t="n">
        <v>13424</v>
      </c>
      <c r="I35" s="50" t="n">
        <v>15225</v>
      </c>
      <c r="J35" s="14" t="n">
        <v>7379</v>
      </c>
      <c r="K35" s="14" t="n">
        <v>3882</v>
      </c>
      <c r="L35" s="14" t="n">
        <v>3497</v>
      </c>
      <c r="M35" s="14" t="n">
        <v>12569</v>
      </c>
      <c r="N35" s="14" t="n">
        <v>5909</v>
      </c>
      <c r="O35" s="14" t="n">
        <v>6660</v>
      </c>
      <c r="P35" s="14" t="n">
        <v>3540</v>
      </c>
      <c r="Q35" s="14" t="n">
        <v>1339</v>
      </c>
      <c r="R35" s="14" t="n">
        <v>2201</v>
      </c>
    </row>
    <row r="36">
      <c r="F36" s="78" t="inlineStr">
        <is>
          <t>Newburgh Town</t>
        </is>
      </c>
      <c r="G36" s="14" t="n">
        <v>31866</v>
      </c>
      <c r="H36" s="14" t="n">
        <v>16112</v>
      </c>
      <c r="I36" s="50" t="n">
        <v>15754</v>
      </c>
      <c r="J36" s="14" t="n">
        <v>6121</v>
      </c>
      <c r="K36" s="14" t="n">
        <v>3348</v>
      </c>
      <c r="L36" s="14" t="n">
        <v>2773</v>
      </c>
      <c r="M36" s="14" t="n">
        <v>12104</v>
      </c>
      <c r="N36" s="14" t="n">
        <v>6078</v>
      </c>
      <c r="O36" s="14" t="n">
        <v>6026</v>
      </c>
      <c r="P36" s="14" t="n">
        <v>5460</v>
      </c>
      <c r="Q36" s="14" t="n">
        <v>2695</v>
      </c>
      <c r="R36" s="14" t="n">
        <v>2765</v>
      </c>
    </row>
    <row r="37">
      <c r="F37" s="78" t="inlineStr">
        <is>
          <t>New Windsor Town</t>
        </is>
      </c>
      <c r="G37" s="14" t="n">
        <v>27781</v>
      </c>
      <c r="H37" s="14" t="n">
        <v>13475</v>
      </c>
      <c r="I37" s="14" t="n">
        <v>14306</v>
      </c>
      <c r="J37" s="14" t="n">
        <v>5691</v>
      </c>
      <c r="K37" s="14" t="n">
        <v>2802</v>
      </c>
      <c r="L37" s="14" t="n">
        <v>2889</v>
      </c>
      <c r="M37" s="14" t="n">
        <v>11036</v>
      </c>
      <c r="N37" s="14" t="n">
        <v>5596</v>
      </c>
      <c r="O37" s="14" t="n">
        <v>5440</v>
      </c>
      <c r="P37" s="14" t="n">
        <v>4593</v>
      </c>
      <c r="Q37" s="14" t="n">
        <v>1908</v>
      </c>
      <c r="R37" s="14" t="n">
        <v>2685</v>
      </c>
    </row>
    <row r="38">
      <c r="F38" s="78" t="inlineStr">
        <is>
          <t>Palm Tree Town</t>
        </is>
      </c>
      <c r="G38" s="14" t="n">
        <v>36572</v>
      </c>
      <c r="H38" s="14" t="n">
        <v>18558</v>
      </c>
      <c r="I38" s="14" t="n">
        <v>18014</v>
      </c>
      <c r="J38" s="14" t="n">
        <v>20811</v>
      </c>
      <c r="K38" s="14" t="n">
        <v>10582</v>
      </c>
      <c r="L38" s="14" t="n">
        <v>10229</v>
      </c>
      <c r="M38" s="14" t="n">
        <v>14907</v>
      </c>
      <c r="N38" s="14" t="n">
        <v>7680</v>
      </c>
      <c r="O38" s="14" t="n">
        <v>7227</v>
      </c>
      <c r="P38" t="n">
        <v>969</v>
      </c>
      <c r="Q38" t="n">
        <v>424</v>
      </c>
      <c r="R38" t="n">
        <v>545</v>
      </c>
    </row>
    <row r="39">
      <c r="F39" s="49" t="inlineStr">
        <is>
          <t>Kiryas Joel Village</t>
        </is>
      </c>
      <c r="G39" s="14" t="n">
        <v>36572</v>
      </c>
      <c r="H39" s="14" t="n">
        <v>18558</v>
      </c>
      <c r="I39" s="14" t="n">
        <v>18014</v>
      </c>
      <c r="J39" s="14" t="n">
        <v>20811</v>
      </c>
      <c r="K39" s="14" t="n">
        <v>10582</v>
      </c>
      <c r="L39" s="14" t="n">
        <v>10229</v>
      </c>
      <c r="M39" s="14" t="n">
        <v>14907</v>
      </c>
      <c r="N39" s="14" t="n">
        <v>7680</v>
      </c>
      <c r="O39" s="14" t="n">
        <v>7227</v>
      </c>
      <c r="P39" t="n">
        <v>969</v>
      </c>
      <c r="Q39" t="n">
        <v>424</v>
      </c>
      <c r="R39" t="n">
        <v>545</v>
      </c>
    </row>
    <row r="40">
      <c r="F40" s="26" t="inlineStr">
        <is>
          <t>Port Jervis City</t>
        </is>
      </c>
      <c r="G40" s="14" t="n">
        <v>8709</v>
      </c>
      <c r="H40" s="14" t="n">
        <v>4267</v>
      </c>
      <c r="I40" s="14" t="n">
        <v>4442</v>
      </c>
      <c r="J40" s="14" t="n">
        <v>1809</v>
      </c>
      <c r="K40" t="n">
        <v>875</v>
      </c>
      <c r="L40" t="n">
        <v>934</v>
      </c>
      <c r="M40" s="14" t="n">
        <v>3614</v>
      </c>
      <c r="N40" s="14" t="n">
        <v>1882</v>
      </c>
      <c r="O40" s="14" t="n">
        <v>1732</v>
      </c>
      <c r="P40" s="14" t="n">
        <v>1615</v>
      </c>
      <c r="Q40" t="n">
        <v>631</v>
      </c>
      <c r="R40" t="n">
        <v>984</v>
      </c>
    </row>
    <row r="41">
      <c r="F41" s="16" t="inlineStr">
        <is>
          <t>Tuxedo Town</t>
        </is>
      </c>
      <c r="G41" s="14" t="n">
        <v>3765</v>
      </c>
      <c r="H41" s="14" t="n">
        <v>1975</v>
      </c>
      <c r="I41" s="14" t="n">
        <v>1790</v>
      </c>
      <c r="J41" t="n">
        <v>702</v>
      </c>
      <c r="K41" t="n">
        <v>360</v>
      </c>
      <c r="L41" t="n">
        <v>342</v>
      </c>
      <c r="M41" s="14" t="n">
        <v>1099</v>
      </c>
      <c r="N41" t="n">
        <v>600</v>
      </c>
      <c r="O41" t="n">
        <v>499</v>
      </c>
      <c r="P41" t="n">
        <v>869</v>
      </c>
      <c r="Q41" t="n">
        <v>398</v>
      </c>
      <c r="R41" t="n">
        <v>471</v>
      </c>
    </row>
    <row r="42">
      <c r="F42" s="47" t="inlineStr">
        <is>
          <t>Tuxedo Village</t>
        </is>
      </c>
      <c r="G42" s="14" t="n">
        <v>3083</v>
      </c>
      <c r="H42" s="14" t="n">
        <v>1546</v>
      </c>
      <c r="I42" s="14" t="n">
        <v>1537</v>
      </c>
      <c r="J42" t="n">
        <v>620</v>
      </c>
      <c r="K42" t="n">
        <v>302</v>
      </c>
      <c r="L42" t="n">
        <v>318</v>
      </c>
      <c r="M42" t="n">
        <v>998</v>
      </c>
      <c r="N42" t="n">
        <v>556</v>
      </c>
      <c r="O42" t="n">
        <v>442</v>
      </c>
      <c r="P42" t="n">
        <v>692</v>
      </c>
      <c r="Q42" t="n">
        <v>304</v>
      </c>
      <c r="R42" t="n">
        <v>388</v>
      </c>
    </row>
    <row r="43">
      <c r="F43" s="47" t="inlineStr">
        <is>
          <t>Tuxedo Park Village</t>
        </is>
      </c>
      <c r="G43" t="n">
        <v>682</v>
      </c>
      <c r="H43" t="n">
        <v>429</v>
      </c>
      <c r="I43" t="n">
        <v>253</v>
      </c>
      <c r="J43" t="n">
        <v>82</v>
      </c>
      <c r="K43" t="n">
        <v>58</v>
      </c>
      <c r="L43" t="n">
        <v>24</v>
      </c>
      <c r="M43" t="n">
        <v>101</v>
      </c>
      <c r="N43" t="n">
        <v>44</v>
      </c>
      <c r="O43" t="n">
        <v>57</v>
      </c>
      <c r="P43" t="n">
        <v>177</v>
      </c>
      <c r="Q43" t="n">
        <v>94</v>
      </c>
      <c r="R43" t="n">
        <v>83</v>
      </c>
    </row>
    <row r="44">
      <c r="F44" s="16" t="inlineStr">
        <is>
          <t>Wallkill Town</t>
        </is>
      </c>
      <c r="G44" s="14" t="n">
        <v>30790</v>
      </c>
      <c r="H44" s="14" t="n">
        <v>15650</v>
      </c>
      <c r="I44" s="14" t="n">
        <v>15140</v>
      </c>
      <c r="J44" s="14" t="n">
        <v>5920</v>
      </c>
      <c r="K44" s="14" t="n">
        <v>3193</v>
      </c>
      <c r="L44" s="14" t="n">
        <v>2727</v>
      </c>
      <c r="M44" s="14" t="n">
        <v>12150</v>
      </c>
      <c r="N44" s="14" t="n">
        <v>6415</v>
      </c>
      <c r="O44" s="14" t="n">
        <v>5735</v>
      </c>
      <c r="P44" s="14" t="n">
        <v>5176</v>
      </c>
      <c r="Q44" s="14" t="n">
        <v>2171</v>
      </c>
      <c r="R44" s="14" t="n">
        <v>3005</v>
      </c>
    </row>
    <row r="45">
      <c r="F45" s="16" t="inlineStr">
        <is>
          <t>Warwick Town</t>
        </is>
      </c>
      <c r="G45" s="14" t="n">
        <v>31909</v>
      </c>
      <c r="H45" s="14" t="n">
        <v>15794</v>
      </c>
      <c r="I45" s="14" t="n">
        <v>16115</v>
      </c>
      <c r="J45" s="14" t="n">
        <v>6273</v>
      </c>
      <c r="K45" s="14" t="n">
        <v>3096</v>
      </c>
      <c r="L45" s="14" t="n">
        <v>3177</v>
      </c>
      <c r="M45" s="14" t="n">
        <v>11255</v>
      </c>
      <c r="N45" s="14" t="n">
        <v>5803</v>
      </c>
      <c r="O45" s="14" t="n">
        <v>5452</v>
      </c>
      <c r="P45" s="14" t="n">
        <v>6279</v>
      </c>
      <c r="Q45" s="14" t="n">
        <v>2773</v>
      </c>
      <c r="R45" s="14" t="n">
        <v>3506</v>
      </c>
    </row>
    <row r="46">
      <c r="F46" s="47" t="inlineStr">
        <is>
          <t>Florida Village</t>
        </is>
      </c>
      <c r="G46" s="14" t="n">
        <v>2915</v>
      </c>
      <c r="H46" s="14" t="n">
        <v>1566</v>
      </c>
      <c r="I46" s="14" t="n">
        <v>1349</v>
      </c>
      <c r="J46" t="n">
        <v>620</v>
      </c>
      <c r="K46" t="n">
        <v>413</v>
      </c>
      <c r="L46" t="n">
        <v>207</v>
      </c>
      <c r="M46" s="14" t="n">
        <v>1251</v>
      </c>
      <c r="N46" t="n">
        <v>677</v>
      </c>
      <c r="O46" t="n">
        <v>574</v>
      </c>
      <c r="P46" t="n">
        <v>442</v>
      </c>
      <c r="Q46" t="n">
        <v>188</v>
      </c>
      <c r="R46" t="n">
        <v>254</v>
      </c>
    </row>
    <row r="47">
      <c r="F47" s="47" t="inlineStr">
        <is>
          <t>Greenwood Lake Village</t>
        </is>
      </c>
      <c r="G47" s="14" t="n">
        <v>3022</v>
      </c>
      <c r="H47" s="14" t="n">
        <v>1471</v>
      </c>
      <c r="I47" s="14" t="n">
        <v>1551</v>
      </c>
      <c r="J47" t="n">
        <v>529</v>
      </c>
      <c r="K47" t="n">
        <v>270</v>
      </c>
      <c r="L47" t="n">
        <v>259</v>
      </c>
      <c r="M47" s="14" t="n">
        <v>1225</v>
      </c>
      <c r="N47" t="n">
        <v>520</v>
      </c>
      <c r="O47" t="n">
        <v>705</v>
      </c>
      <c r="P47" t="n">
        <v>632</v>
      </c>
      <c r="Q47" t="n">
        <v>359</v>
      </c>
      <c r="R47" t="n">
        <v>273</v>
      </c>
    </row>
    <row r="48">
      <c r="F48" s="47" t="inlineStr">
        <is>
          <t>Warwick Village</t>
        </is>
      </c>
      <c r="G48" s="14" t="n">
        <v>6625</v>
      </c>
      <c r="H48" s="14" t="n">
        <v>2921</v>
      </c>
      <c r="I48" s="14" t="n">
        <v>3704</v>
      </c>
      <c r="J48" s="14" t="n">
        <v>1274</v>
      </c>
      <c r="K48" t="n">
        <v>566</v>
      </c>
      <c r="L48" t="n">
        <v>708</v>
      </c>
      <c r="M48" s="14" t="n">
        <v>2054</v>
      </c>
      <c r="N48" s="14" t="n">
        <v>1005</v>
      </c>
      <c r="O48" s="14" t="n">
        <v>1049</v>
      </c>
      <c r="P48" s="14" t="n">
        <v>1808</v>
      </c>
      <c r="Q48" t="n">
        <v>682</v>
      </c>
      <c r="R48" s="14" t="n">
        <v>1126</v>
      </c>
    </row>
    <row r="49">
      <c r="F49" s="16" t="inlineStr">
        <is>
          <t>Wawayanda Town</t>
        </is>
      </c>
      <c r="G49" s="14" t="n">
        <v>7493</v>
      </c>
      <c r="H49" s="14" t="n">
        <v>3585</v>
      </c>
      <c r="I49" s="14" t="n">
        <v>3908</v>
      </c>
      <c r="J49" s="14" t="n">
        <v>1726</v>
      </c>
      <c r="K49" t="n">
        <v>726</v>
      </c>
      <c r="L49" s="14" t="n">
        <v>1000</v>
      </c>
      <c r="M49" s="14" t="n">
        <v>2794</v>
      </c>
      <c r="N49" s="14" t="n">
        <v>1326</v>
      </c>
      <c r="O49" s="14" t="n">
        <v>1468</v>
      </c>
      <c r="P49" s="14" t="n">
        <v>1043</v>
      </c>
      <c r="Q49" t="n">
        <v>584</v>
      </c>
      <c r="R49" t="n">
        <v>459</v>
      </c>
    </row>
    <row r="50">
      <c r="F50" s="16" t="inlineStr">
        <is>
          <t>Woodbury Town</t>
        </is>
      </c>
      <c r="G50" s="14" t="n">
        <v>12191</v>
      </c>
      <c r="H50" s="14" t="n">
        <v>6205</v>
      </c>
      <c r="I50" s="14" t="n">
        <v>5986</v>
      </c>
      <c r="J50" s="14" t="n">
        <v>3079</v>
      </c>
      <c r="K50" s="14" t="n">
        <v>1824</v>
      </c>
      <c r="L50" s="14" t="n">
        <v>1255</v>
      </c>
      <c r="M50" s="14" t="n">
        <v>4734</v>
      </c>
      <c r="N50" s="14" t="n">
        <v>2570</v>
      </c>
      <c r="O50" s="14" t="n">
        <v>2164</v>
      </c>
      <c r="P50" s="14" t="n">
        <v>1348</v>
      </c>
      <c r="Q50" t="n">
        <v>658</v>
      </c>
      <c r="R50" t="n">
        <v>690</v>
      </c>
    </row>
    <row r="51">
      <c r="F51" s="47" t="inlineStr">
        <is>
          <t>Harriman Village (portion)</t>
        </is>
      </c>
      <c r="G51" t="n">
        <v>754</v>
      </c>
      <c r="H51" t="n">
        <v>337</v>
      </c>
      <c r="I51" t="n">
        <v>417</v>
      </c>
      <c r="J51" t="n">
        <v>149</v>
      </c>
      <c r="K51" t="n">
        <v>103</v>
      </c>
      <c r="L51" t="n">
        <v>46</v>
      </c>
      <c r="M51" t="n">
        <v>250</v>
      </c>
      <c r="N51" t="n">
        <v>114</v>
      </c>
      <c r="O51" t="n">
        <v>136</v>
      </c>
      <c r="P51" t="n">
        <v>61</v>
      </c>
      <c r="Q51" t="n">
        <v>38</v>
      </c>
      <c r="R51" t="n">
        <v>23</v>
      </c>
    </row>
    <row r="52">
      <c r="F52" s="47" t="inlineStr">
        <is>
          <t>Woodbury Village</t>
        </is>
      </c>
      <c r="G52" s="14" t="n">
        <v>11437</v>
      </c>
      <c r="H52" s="14" t="n">
        <v>5868</v>
      </c>
      <c r="I52" s="14" t="n">
        <v>5569</v>
      </c>
      <c r="J52" s="14" t="n">
        <v>2930</v>
      </c>
      <c r="K52" s="14" t="n">
        <v>1721</v>
      </c>
      <c r="L52" s="14" t="n">
        <v>1209</v>
      </c>
      <c r="M52" s="14" t="n">
        <v>4484</v>
      </c>
      <c r="N52" s="14" t="n">
        <v>2456</v>
      </c>
      <c r="O52" s="14" t="n">
        <v>2028</v>
      </c>
      <c r="P52" s="14"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11.42578125" bestFit="1" customWidth="1" style="91" min="11" max="11"/>
    <col width="36.140625" bestFit="1" customWidth="1" style="91" min="12" max="12"/>
    <col width="22.28515625" bestFit="1" customWidth="1" style="91" min="13" max="13"/>
    <col width="17.85546875" bestFit="1" customWidth="1" style="91" min="14" max="14"/>
    <col width="16.7109375" bestFit="1" customWidth="1" style="91" min="15" max="15"/>
    <col width="20.42578125" bestFit="1" customWidth="1" style="91" min="16" max="16"/>
  </cols>
  <sheetData>
    <row r="1">
      <c r="A1" s="16" t="inlineStr">
        <is>
          <t>Name</t>
        </is>
      </c>
      <c r="B1" s="66" t="inlineStr">
        <is>
          <t>Population of Municipalities by Race and Ethnicity, 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t="inlineStr">
        <is>
          <t>Geographic Area</t>
        </is>
      </c>
      <c r="G5" s="68" t="inlineStr">
        <is>
          <t>Total Pop</t>
        </is>
      </c>
      <c r="H5" s="68" t="inlineStr">
        <is>
          <t>White Alone</t>
        </is>
      </c>
      <c r="I5" s="68" t="inlineStr">
        <is>
          <t>Black Alone</t>
        </is>
      </c>
      <c r="J5" s="68" t="inlineStr">
        <is>
          <t>American Indian/Alaska Native Alone</t>
        </is>
      </c>
      <c r="K5" s="68" t="inlineStr">
        <is>
          <t>Asian Alone</t>
        </is>
      </c>
      <c r="L5" s="68" t="inlineStr">
        <is>
          <t>Native Hawaiian/Pacific Islander Alone</t>
        </is>
      </c>
      <c r="M5" s="68" t="inlineStr">
        <is>
          <t>Some Other Race Alone</t>
        </is>
      </c>
      <c r="N5" s="68" t="inlineStr">
        <is>
          <t>Two or More Races</t>
        </is>
      </c>
      <c r="O5" s="68" t="inlineStr">
        <is>
          <t>Hispanic or Latino</t>
        </is>
      </c>
      <c r="P5" s="68" t="inlineStr">
        <is>
          <t>Not Hispanic or Latino</t>
        </is>
      </c>
    </row>
    <row r="6" ht="15" customHeight="1" s="91">
      <c r="A6" t="inlineStr">
        <is>
          <t>Multilevel Headers</t>
        </is>
      </c>
      <c r="B6" t="b">
        <v>0</v>
      </c>
      <c r="F6" t="inlineStr">
        <is>
          <t>Orange County</t>
        </is>
      </c>
      <c r="G6" s="28" t="n">
        <v>401310</v>
      </c>
      <c r="H6" s="28" t="n">
        <v>248085</v>
      </c>
      <c r="I6" s="28" t="n">
        <v>45543</v>
      </c>
      <c r="J6" s="28" t="n">
        <v>2949</v>
      </c>
      <c r="K6" s="28" t="n">
        <v>12025</v>
      </c>
      <c r="L6" s="68" t="n">
        <v>185</v>
      </c>
      <c r="M6" s="28" t="n">
        <v>52023</v>
      </c>
      <c r="N6" s="28" t="n">
        <v>40500</v>
      </c>
      <c r="O6" s="28" t="n">
        <v>89744</v>
      </c>
      <c r="P6" s="28" t="n">
        <v>311566</v>
      </c>
    </row>
    <row r="7" ht="15.75" customHeight="1" s="91">
      <c r="F7" t="inlineStr">
        <is>
          <t>Blooming Grove Town</t>
        </is>
      </c>
      <c r="G7" s="28" t="n">
        <v>18811</v>
      </c>
      <c r="H7" s="28" t="n">
        <v>12738</v>
      </c>
      <c r="I7" s="28" t="n">
        <v>1539</v>
      </c>
      <c r="J7" s="68" t="n">
        <v>121</v>
      </c>
      <c r="K7" s="68" t="n">
        <v>416</v>
      </c>
      <c r="L7" s="68" t="n">
        <v>7</v>
      </c>
      <c r="M7" s="28" t="n">
        <v>1784</v>
      </c>
      <c r="N7" s="28" t="n">
        <v>2206</v>
      </c>
      <c r="O7" s="28" t="n">
        <v>3913</v>
      </c>
      <c r="P7" s="28" t="n">
        <v>14898</v>
      </c>
    </row>
    <row r="8">
      <c r="F8" t="inlineStr">
        <is>
          <t>South Blooming Grove Village</t>
        </is>
      </c>
      <c r="G8" s="28" t="n">
        <v>3973</v>
      </c>
      <c r="H8" s="28" t="n">
        <v>2786</v>
      </c>
      <c r="I8" s="68" t="n">
        <v>311</v>
      </c>
      <c r="J8" s="68" t="n">
        <v>25</v>
      </c>
      <c r="K8" s="68" t="n">
        <v>52</v>
      </c>
      <c r="L8" s="68" t="n">
        <v>5</v>
      </c>
      <c r="M8" s="68" t="n">
        <v>484</v>
      </c>
      <c r="N8" s="68" t="n">
        <v>310</v>
      </c>
      <c r="O8" s="68" t="n">
        <v>555</v>
      </c>
      <c r="P8" s="28" t="n">
        <v>3418</v>
      </c>
    </row>
    <row r="9">
      <c r="A9" s="71" t="inlineStr">
        <is>
          <t>Figure Rules</t>
        </is>
      </c>
      <c r="F9" t="inlineStr">
        <is>
          <t>Washingtonville Village</t>
        </is>
      </c>
      <c r="G9" s="28" t="n">
        <v>5657</v>
      </c>
      <c r="H9" s="28" t="n">
        <v>3555</v>
      </c>
      <c r="I9" s="68" t="n">
        <v>630</v>
      </c>
      <c r="J9" s="68" t="n">
        <v>26</v>
      </c>
      <c r="K9" s="68" t="n">
        <v>131</v>
      </c>
      <c r="L9" s="68" t="n">
        <v>1</v>
      </c>
      <c r="M9" s="68" t="n">
        <v>590</v>
      </c>
      <c r="N9" s="68" t="n">
        <v>724</v>
      </c>
      <c r="O9" s="28" t="n">
        <v>1466</v>
      </c>
      <c r="P9" s="28" t="n">
        <v>4191</v>
      </c>
    </row>
    <row r="10">
      <c r="A10" t="inlineStr">
        <is>
          <t>Figure Type</t>
        </is>
      </c>
      <c r="F10" t="inlineStr">
        <is>
          <t>Chester Town</t>
        </is>
      </c>
      <c r="G10" s="28" t="n">
        <v>12646</v>
      </c>
      <c r="H10" s="28" t="n">
        <v>8574</v>
      </c>
      <c r="I10" s="28" t="n">
        <v>1188</v>
      </c>
      <c r="J10" s="68" t="n">
        <v>53</v>
      </c>
      <c r="K10" s="68" t="n">
        <v>513</v>
      </c>
      <c r="L10" s="68" t="n">
        <v>2</v>
      </c>
      <c r="M10" s="68" t="n">
        <v>984</v>
      </c>
      <c r="N10" s="28" t="n">
        <v>1332</v>
      </c>
      <c r="O10" s="28" t="n">
        <v>2446</v>
      </c>
      <c r="P10" s="28" t="n">
        <v>10200</v>
      </c>
    </row>
    <row r="11">
      <c r="A11" t="inlineStr">
        <is>
          <t>X Column</t>
        </is>
      </c>
      <c r="F11" t="inlineStr">
        <is>
          <t>Chester Village</t>
        </is>
      </c>
      <c r="G11" s="28" t="n">
        <v>3993</v>
      </c>
      <c r="H11" s="28" t="n">
        <v>2287</v>
      </c>
      <c r="I11" s="68" t="n">
        <v>611</v>
      </c>
      <c r="J11" s="68" t="n">
        <v>33</v>
      </c>
      <c r="K11" s="68" t="n">
        <v>212</v>
      </c>
      <c r="L11" s="68" t="n">
        <v>2</v>
      </c>
      <c r="M11" s="68" t="n">
        <v>417</v>
      </c>
      <c r="N11" s="68" t="n">
        <v>431</v>
      </c>
      <c r="O11" s="68" t="n">
        <v>912</v>
      </c>
      <c r="P11" s="28" t="n">
        <v>3081</v>
      </c>
    </row>
    <row r="12">
      <c r="A12" t="inlineStr">
        <is>
          <t>Y Column</t>
        </is>
      </c>
      <c r="F12" s="21" t="inlineStr">
        <is>
          <t>Cornwall Town</t>
        </is>
      </c>
      <c r="G12" s="28" t="n">
        <v>12884</v>
      </c>
      <c r="H12" s="28" t="n">
        <v>10225</v>
      </c>
      <c r="I12" s="68" t="n">
        <v>466</v>
      </c>
      <c r="J12" s="68" t="n">
        <v>37</v>
      </c>
      <c r="K12" s="68" t="n">
        <v>412</v>
      </c>
      <c r="L12" s="68" t="n">
        <v>5</v>
      </c>
      <c r="M12" s="68" t="n">
        <v>585</v>
      </c>
      <c r="N12" s="28" t="n">
        <v>1154</v>
      </c>
      <c r="O12" s="28" t="n">
        <v>1664</v>
      </c>
      <c r="P12" s="28" t="n">
        <v>11220</v>
      </c>
    </row>
    <row r="13">
      <c r="A13" t="inlineStr">
        <is>
          <t>X Axis Title</t>
        </is>
      </c>
      <c r="F13" t="inlineStr">
        <is>
          <t>Cornwall-on-Hudson Village</t>
        </is>
      </c>
      <c r="G13" s="28" t="n">
        <v>3075</v>
      </c>
      <c r="H13" s="28" t="n">
        <v>2598</v>
      </c>
      <c r="I13" s="68" t="n">
        <v>82</v>
      </c>
      <c r="J13" s="68" t="n">
        <v>9</v>
      </c>
      <c r="K13" s="68" t="n">
        <v>51</v>
      </c>
      <c r="L13" s="68" t="n">
        <v>3</v>
      </c>
      <c r="M13" s="68" t="n">
        <v>65</v>
      </c>
      <c r="N13" s="68" t="n">
        <v>267</v>
      </c>
      <c r="O13" s="68" t="n">
        <v>277</v>
      </c>
      <c r="P13" s="28" t="n">
        <v>2798</v>
      </c>
    </row>
    <row r="14">
      <c r="A14" t="inlineStr">
        <is>
          <t>Y Axis Title</t>
        </is>
      </c>
      <c r="F14" t="inlineStr">
        <is>
          <t>Crawford Town</t>
        </is>
      </c>
      <c r="G14" s="28" t="n">
        <v>9130</v>
      </c>
      <c r="H14" s="28" t="n">
        <v>7187</v>
      </c>
      <c r="I14" s="68" t="n">
        <v>390</v>
      </c>
      <c r="J14" s="68" t="n">
        <v>38</v>
      </c>
      <c r="K14" s="68" t="n">
        <v>152</v>
      </c>
      <c r="L14" s="68" t="n">
        <v>1</v>
      </c>
      <c r="M14" s="68" t="n">
        <v>439</v>
      </c>
      <c r="N14" s="68" t="n">
        <v>923</v>
      </c>
      <c r="O14" s="28" t="n">
        <v>1370</v>
      </c>
      <c r="P14" s="28" t="n">
        <v>7760</v>
      </c>
    </row>
    <row r="15">
      <c r="A15" t="inlineStr">
        <is>
          <t>Start at Zero</t>
        </is>
      </c>
      <c r="F15" t="inlineStr">
        <is>
          <t>Deerpark Town</t>
        </is>
      </c>
      <c r="G15" s="28" t="n">
        <v>7509</v>
      </c>
      <c r="H15" s="28" t="n">
        <v>6083</v>
      </c>
      <c r="I15" s="68" t="n">
        <v>240</v>
      </c>
      <c r="J15" s="68" t="n">
        <v>37</v>
      </c>
      <c r="K15" s="68" t="n">
        <v>334</v>
      </c>
      <c r="L15" s="68" t="n">
        <v>3</v>
      </c>
      <c r="M15" s="68" t="n">
        <v>188</v>
      </c>
      <c r="N15" s="68" t="n">
        <v>624</v>
      </c>
      <c r="O15" s="68" t="n">
        <v>657</v>
      </c>
      <c r="P15" s="28" t="n">
        <v>6852</v>
      </c>
    </row>
    <row r="16">
      <c r="A16" t="inlineStr">
        <is>
          <t>Pivot For Chart</t>
        </is>
      </c>
      <c r="F16" t="inlineStr">
        <is>
          <t>Goshen Town</t>
        </is>
      </c>
      <c r="G16" s="28" t="n">
        <v>14571</v>
      </c>
      <c r="H16" s="28" t="n">
        <v>10315</v>
      </c>
      <c r="I16" s="28" t="n">
        <v>1026</v>
      </c>
      <c r="J16" s="68" t="n">
        <v>68</v>
      </c>
      <c r="K16" s="68" t="n">
        <v>491</v>
      </c>
      <c r="L16" s="68" t="n">
        <v>3</v>
      </c>
      <c r="M16" s="28" t="n">
        <v>1196</v>
      </c>
      <c r="N16" s="28" t="n">
        <v>1472</v>
      </c>
      <c r="O16" s="28" t="n">
        <v>3133</v>
      </c>
      <c r="P16" s="28" t="n">
        <v>11438</v>
      </c>
    </row>
    <row r="17">
      <c r="F17" t="inlineStr">
        <is>
          <t>Goshen Village</t>
        </is>
      </c>
      <c r="G17" s="28" t="n">
        <v>5777</v>
      </c>
      <c r="H17" s="28" t="n">
        <v>4230</v>
      </c>
      <c r="I17" s="68" t="n">
        <v>303</v>
      </c>
      <c r="J17" s="68" t="n">
        <v>31</v>
      </c>
      <c r="K17" s="68" t="n">
        <v>185</v>
      </c>
      <c r="L17" s="68" t="n">
        <v>2</v>
      </c>
      <c r="M17" s="68" t="n">
        <v>509</v>
      </c>
      <c r="N17" s="68" t="n">
        <v>517</v>
      </c>
      <c r="O17" s="28" t="n">
        <v>1205</v>
      </c>
      <c r="P17" s="28" t="n">
        <v>4572</v>
      </c>
    </row>
    <row r="18">
      <c r="A18" s="71" t="inlineStr">
        <is>
          <t>Source Specifications</t>
        </is>
      </c>
      <c r="F18" t="inlineStr">
        <is>
          <t>Greenville Town</t>
        </is>
      </c>
      <c r="G18" s="28" t="n">
        <v>4689</v>
      </c>
      <c r="H18" s="28" t="n">
        <v>3828</v>
      </c>
      <c r="I18" s="68" t="n">
        <v>164</v>
      </c>
      <c r="J18" s="68" t="n">
        <v>17</v>
      </c>
      <c r="K18" s="68" t="n">
        <v>55</v>
      </c>
      <c r="L18" s="68" t="n">
        <v>0</v>
      </c>
      <c r="M18" s="68" t="n">
        <v>229</v>
      </c>
      <c r="N18" s="68" t="n">
        <v>396</v>
      </c>
      <c r="O18" s="68" t="n">
        <v>626</v>
      </c>
      <c r="P18" s="28"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28" t="n">
        <v>5489</v>
      </c>
      <c r="H19" s="28" t="n">
        <v>4274</v>
      </c>
      <c r="I19" s="68" t="n">
        <v>189</v>
      </c>
      <c r="J19" s="68" t="n">
        <v>20</v>
      </c>
      <c r="K19" s="68" t="n">
        <v>204</v>
      </c>
      <c r="L19" s="68" t="n">
        <v>0</v>
      </c>
      <c r="M19" s="68" t="n">
        <v>227</v>
      </c>
      <c r="N19" s="68" t="n">
        <v>575</v>
      </c>
      <c r="O19" s="68" t="n">
        <v>797</v>
      </c>
      <c r="P19" s="28" t="n">
        <v>4692</v>
      </c>
    </row>
    <row r="20">
      <c r="F20" s="69" t="inlineStr">
        <is>
          <t>Highlands Town</t>
        </is>
      </c>
      <c r="G20" s="28" t="n">
        <v>12939</v>
      </c>
      <c r="H20" s="28" t="n">
        <v>8655</v>
      </c>
      <c r="I20" s="28" t="n">
        <v>1435</v>
      </c>
      <c r="J20" s="68" t="n">
        <v>137</v>
      </c>
      <c r="K20" s="68" t="n">
        <v>613</v>
      </c>
      <c r="L20" s="68" t="n">
        <v>31</v>
      </c>
      <c r="M20" s="68" t="n">
        <v>893</v>
      </c>
      <c r="N20" s="28" t="n">
        <v>1175</v>
      </c>
      <c r="O20" s="28" t="n">
        <v>2066</v>
      </c>
      <c r="P20" s="28" t="n">
        <v>10873</v>
      </c>
    </row>
    <row r="21">
      <c r="A21" s="71" t="inlineStr">
        <is>
          <t>Note Specfications</t>
        </is>
      </c>
      <c r="F21" s="69" t="inlineStr">
        <is>
          <t>Highland Falls Village</t>
        </is>
      </c>
      <c r="G21" s="28" t="n">
        <v>3684</v>
      </c>
      <c r="H21" s="28" t="n">
        <v>2100</v>
      </c>
      <c r="I21" s="68" t="n">
        <v>561</v>
      </c>
      <c r="J21" s="68" t="n">
        <v>54</v>
      </c>
      <c r="K21" s="68" t="n">
        <v>110</v>
      </c>
      <c r="L21" s="68" t="n">
        <v>3</v>
      </c>
      <c r="M21" s="68" t="n">
        <v>441</v>
      </c>
      <c r="N21" s="68" t="n">
        <v>415</v>
      </c>
      <c r="O21" s="68" t="n">
        <v>947</v>
      </c>
      <c r="P21" s="28" t="n">
        <v>2737</v>
      </c>
    </row>
    <row r="22">
      <c r="A22" t="inlineStr">
        <is>
          <t xml:space="preserve">Note </t>
        </is>
      </c>
      <c r="B22" t="inlineStr">
        <is>
          <t>Note: Town totals include Village totals</t>
        </is>
      </c>
      <c r="F22" s="69" t="inlineStr">
        <is>
          <t>Middletown City</t>
        </is>
      </c>
      <c r="G22" s="28" t="n">
        <v>30345</v>
      </c>
      <c r="H22" s="28" t="n">
        <v>9983</v>
      </c>
      <c r="I22" s="28" t="n">
        <v>7116</v>
      </c>
      <c r="J22" s="68" t="n">
        <v>424</v>
      </c>
      <c r="K22" s="28" t="n">
        <v>1165</v>
      </c>
      <c r="L22" s="68" t="n">
        <v>14</v>
      </c>
      <c r="M22" s="28" t="n">
        <v>7284</v>
      </c>
      <c r="N22" s="28" t="n">
        <v>4359</v>
      </c>
      <c r="O22" s="28" t="n">
        <v>13243</v>
      </c>
      <c r="P22" s="28" t="n">
        <v>17102</v>
      </c>
    </row>
    <row r="23">
      <c r="F23" s="69" t="inlineStr">
        <is>
          <t>Minisink Town</t>
        </is>
      </c>
      <c r="G23" s="28" t="n">
        <v>4621</v>
      </c>
      <c r="H23" s="28" t="n">
        <v>3829</v>
      </c>
      <c r="I23" s="68" t="n">
        <v>177</v>
      </c>
      <c r="J23" s="68" t="n">
        <v>8</v>
      </c>
      <c r="K23" s="68" t="n">
        <v>49</v>
      </c>
      <c r="L23" s="68" t="n">
        <v>0</v>
      </c>
      <c r="M23" s="68" t="n">
        <v>188</v>
      </c>
      <c r="N23" s="68" t="n">
        <v>370</v>
      </c>
      <c r="O23" s="68" t="n">
        <v>618</v>
      </c>
      <c r="P23" s="28" t="n">
        <v>4003</v>
      </c>
    </row>
    <row r="24">
      <c r="F24" t="inlineStr">
        <is>
          <t>Unionville Village</t>
        </is>
      </c>
      <c r="G24" s="68" t="n">
        <v>592</v>
      </c>
      <c r="H24" s="68" t="n">
        <v>505</v>
      </c>
      <c r="I24" s="68" t="n">
        <v>27</v>
      </c>
      <c r="J24" s="68" t="n">
        <v>0</v>
      </c>
      <c r="K24" s="68" t="n">
        <v>4</v>
      </c>
      <c r="L24" s="68" t="n">
        <v>0</v>
      </c>
      <c r="M24" s="68" t="n">
        <v>23</v>
      </c>
      <c r="N24" s="68" t="n">
        <v>33</v>
      </c>
      <c r="O24" s="68" t="n">
        <v>53</v>
      </c>
      <c r="P24" s="68" t="n">
        <v>539</v>
      </c>
    </row>
    <row r="25">
      <c r="F25" s="69" t="inlineStr">
        <is>
          <t>Monroe Town</t>
        </is>
      </c>
      <c r="G25" s="28" t="n">
        <v>21387</v>
      </c>
      <c r="H25" s="28" t="n">
        <v>13246</v>
      </c>
      <c r="I25" s="28" t="n">
        <v>1685</v>
      </c>
      <c r="J25" s="68" t="n">
        <v>137</v>
      </c>
      <c r="K25" s="28" t="n">
        <v>1221</v>
      </c>
      <c r="L25" s="68" t="n">
        <v>6</v>
      </c>
      <c r="M25" s="28" t="n">
        <v>2833</v>
      </c>
      <c r="N25" s="28" t="n">
        <v>2259</v>
      </c>
      <c r="O25" s="28" t="n">
        <v>5342</v>
      </c>
      <c r="P25" s="28" t="n">
        <v>16045</v>
      </c>
    </row>
    <row r="26">
      <c r="F26" s="69" t="inlineStr">
        <is>
          <t>Harriman Village (total)*</t>
        </is>
      </c>
      <c r="G26" s="28" t="n">
        <v>2714</v>
      </c>
      <c r="H26" s="28" t="n">
        <v>1247</v>
      </c>
      <c r="I26" s="68" t="n">
        <v>495</v>
      </c>
      <c r="J26" s="68" t="n">
        <v>9</v>
      </c>
      <c r="K26" s="68" t="n">
        <v>258</v>
      </c>
      <c r="L26" s="68" t="n">
        <v>5</v>
      </c>
      <c r="M26" s="68" t="n">
        <v>364</v>
      </c>
      <c r="N26" s="68" t="n">
        <v>336</v>
      </c>
      <c r="O26" s="68" t="n">
        <v>783</v>
      </c>
      <c r="P26" s="28" t="n">
        <v>1931</v>
      </c>
    </row>
    <row r="27">
      <c r="A27" s="69" t="n"/>
      <c r="F27" s="69" t="inlineStr">
        <is>
          <t>Monroe Village</t>
        </is>
      </c>
      <c r="G27" s="28" t="n">
        <v>9343</v>
      </c>
      <c r="H27" s="28" t="n">
        <v>5528</v>
      </c>
      <c r="I27" s="68" t="n">
        <v>699</v>
      </c>
      <c r="J27" s="68" t="n">
        <v>64</v>
      </c>
      <c r="K27" s="68" t="n">
        <v>530</v>
      </c>
      <c r="L27" s="68" t="n">
        <v>0</v>
      </c>
      <c r="M27" s="28" t="n">
        <v>1544</v>
      </c>
      <c r="N27" s="68" t="n">
        <v>978</v>
      </c>
      <c r="O27" s="28" t="n">
        <v>2790</v>
      </c>
      <c r="P27" s="28" t="n">
        <v>6553</v>
      </c>
    </row>
    <row r="28">
      <c r="F28" s="69" t="inlineStr">
        <is>
          <t>Montgomery Town</t>
        </is>
      </c>
      <c r="G28" s="28" t="n">
        <v>23322</v>
      </c>
      <c r="H28" s="28" t="n">
        <v>16894</v>
      </c>
      <c r="I28" s="28" t="n">
        <v>1842</v>
      </c>
      <c r="J28" s="68" t="n">
        <v>117</v>
      </c>
      <c r="K28" s="68" t="n">
        <v>414</v>
      </c>
      <c r="L28" s="68" t="n">
        <v>6</v>
      </c>
      <c r="M28" s="28" t="n">
        <v>1562</v>
      </c>
      <c r="N28" s="28" t="n">
        <v>2487</v>
      </c>
      <c r="O28" s="28" t="n">
        <v>4320</v>
      </c>
      <c r="P28" s="28" t="n">
        <v>19002</v>
      </c>
    </row>
    <row r="29">
      <c r="F29" s="69" t="inlineStr">
        <is>
          <t>Maybrook Village</t>
        </is>
      </c>
      <c r="G29" s="28" t="n">
        <v>3150</v>
      </c>
      <c r="H29" s="28" t="n">
        <v>1930</v>
      </c>
      <c r="I29" s="68" t="n">
        <v>461</v>
      </c>
      <c r="J29" s="68" t="n">
        <v>11</v>
      </c>
      <c r="K29" s="68" t="n">
        <v>43</v>
      </c>
      <c r="L29" s="68" t="n">
        <v>0</v>
      </c>
      <c r="M29" s="68" t="n">
        <v>286</v>
      </c>
      <c r="N29" s="68" t="n">
        <v>419</v>
      </c>
      <c r="O29" s="68" t="n">
        <v>803</v>
      </c>
      <c r="P29" s="28" t="n">
        <v>2347</v>
      </c>
    </row>
    <row r="30">
      <c r="F30" s="69" t="inlineStr">
        <is>
          <t>Montgomery Village</t>
        </is>
      </c>
      <c r="G30" s="28" t="n">
        <v>3834</v>
      </c>
      <c r="H30" s="28" t="n">
        <v>2896</v>
      </c>
      <c r="I30" s="68" t="n">
        <v>275</v>
      </c>
      <c r="J30" s="68" t="n">
        <v>9</v>
      </c>
      <c r="K30" s="68" t="n">
        <v>61</v>
      </c>
      <c r="L30" s="68" t="n">
        <v>0</v>
      </c>
      <c r="M30" s="68" t="n">
        <v>181</v>
      </c>
      <c r="N30" s="68" t="n">
        <v>412</v>
      </c>
      <c r="O30" s="68" t="n">
        <v>620</v>
      </c>
      <c r="P30" s="28" t="n">
        <v>3214</v>
      </c>
    </row>
    <row r="31">
      <c r="F31" s="69" t="inlineStr">
        <is>
          <t>Walden Village</t>
        </is>
      </c>
      <c r="G31" s="28" t="n">
        <v>6818</v>
      </c>
      <c r="H31" s="28" t="n">
        <v>4533</v>
      </c>
      <c r="I31" s="68" t="n">
        <v>680</v>
      </c>
      <c r="J31" s="68" t="n">
        <v>55</v>
      </c>
      <c r="K31" s="68" t="n">
        <v>130</v>
      </c>
      <c r="L31" s="68" t="n">
        <v>5</v>
      </c>
      <c r="M31" s="68" t="n">
        <v>588</v>
      </c>
      <c r="N31" s="68" t="n">
        <v>827</v>
      </c>
      <c r="O31" s="28" t="n">
        <v>1596</v>
      </c>
      <c r="P31" s="28" t="n">
        <v>5222</v>
      </c>
    </row>
    <row r="32">
      <c r="F32" t="inlineStr">
        <is>
          <t>Mount Hope Town</t>
        </is>
      </c>
      <c r="G32" s="28" t="n">
        <v>6537</v>
      </c>
      <c r="H32" s="28" t="n">
        <v>4474</v>
      </c>
      <c r="I32" s="68" t="n">
        <v>824</v>
      </c>
      <c r="J32" s="68" t="n">
        <v>28</v>
      </c>
      <c r="K32" s="68" t="n">
        <v>312</v>
      </c>
      <c r="L32" s="68" t="n">
        <v>0</v>
      </c>
      <c r="M32" s="68" t="n">
        <v>387</v>
      </c>
      <c r="N32" s="68" t="n">
        <v>512</v>
      </c>
      <c r="O32" s="28" t="n">
        <v>1143</v>
      </c>
      <c r="P32" s="28" t="n">
        <v>5394</v>
      </c>
    </row>
    <row r="33">
      <c r="F33" s="69" t="inlineStr">
        <is>
          <t>Otisville Village</t>
        </is>
      </c>
      <c r="G33" s="68" t="n">
        <v>969</v>
      </c>
      <c r="H33" s="68" t="n">
        <v>719</v>
      </c>
      <c r="I33" s="68" t="n">
        <v>52</v>
      </c>
      <c r="J33" s="68" t="n">
        <v>3</v>
      </c>
      <c r="K33" s="68" t="n">
        <v>72</v>
      </c>
      <c r="L33" s="68" t="n">
        <v>0</v>
      </c>
      <c r="M33" s="68" t="n">
        <v>34</v>
      </c>
      <c r="N33" s="68" t="n">
        <v>89</v>
      </c>
      <c r="O33" s="68" t="n">
        <v>159</v>
      </c>
      <c r="P33" s="68" t="n">
        <v>810</v>
      </c>
    </row>
    <row r="34">
      <c r="F34" s="69" t="inlineStr">
        <is>
          <t>Newburgh City</t>
        </is>
      </c>
      <c r="G34" s="28" t="n">
        <v>28856</v>
      </c>
      <c r="H34" s="28" t="n">
        <v>6554</v>
      </c>
      <c r="I34" s="28" t="n">
        <v>8167</v>
      </c>
      <c r="J34" s="68" t="n">
        <v>656</v>
      </c>
      <c r="K34" s="68" t="n">
        <v>260</v>
      </c>
      <c r="L34" s="68" t="n">
        <v>24</v>
      </c>
      <c r="M34" s="28" t="n">
        <v>9737</v>
      </c>
      <c r="N34" s="28" t="n">
        <v>3458</v>
      </c>
      <c r="O34" s="28" t="n">
        <v>15085</v>
      </c>
      <c r="P34" s="28" t="n">
        <v>13771</v>
      </c>
    </row>
    <row r="35">
      <c r="F35" s="69" t="inlineStr">
        <is>
          <t>Newburgh Town</t>
        </is>
      </c>
      <c r="G35" s="28" t="n">
        <v>31985</v>
      </c>
      <c r="H35" s="28" t="n">
        <v>19719</v>
      </c>
      <c r="I35" s="28" t="n">
        <v>4462</v>
      </c>
      <c r="J35" s="68" t="n">
        <v>281</v>
      </c>
      <c r="K35" s="68" t="n">
        <v>948</v>
      </c>
      <c r="L35" s="68" t="n">
        <v>5</v>
      </c>
      <c r="M35" s="28" t="n">
        <v>3084</v>
      </c>
      <c r="N35" s="28" t="n">
        <v>3486</v>
      </c>
      <c r="O35" s="28" t="n">
        <v>7066</v>
      </c>
      <c r="P35" s="28" t="n">
        <v>24919</v>
      </c>
    </row>
    <row r="36">
      <c r="F36" s="69" t="inlineStr">
        <is>
          <t>New Windsor Town</t>
        </is>
      </c>
      <c r="G36" s="28" t="n">
        <v>27805</v>
      </c>
      <c r="H36" s="28" t="n">
        <v>15819</v>
      </c>
      <c r="I36" s="28" t="n">
        <v>4346</v>
      </c>
      <c r="J36" s="68" t="n">
        <v>194</v>
      </c>
      <c r="K36" s="28" t="n">
        <v>1084</v>
      </c>
      <c r="L36" s="68" t="n">
        <v>21</v>
      </c>
      <c r="M36" s="28" t="n">
        <v>3109</v>
      </c>
      <c r="N36" s="28" t="n">
        <v>3232</v>
      </c>
      <c r="O36" s="28" t="n">
        <v>7100</v>
      </c>
      <c r="P36" s="28" t="n">
        <v>20705</v>
      </c>
    </row>
    <row r="37">
      <c r="F37" s="69" t="inlineStr">
        <is>
          <t>Palm Tree Town</t>
        </is>
      </c>
      <c r="G37" s="28" t="n">
        <v>32954</v>
      </c>
      <c r="H37" s="28" t="n">
        <v>23305</v>
      </c>
      <c r="I37" s="68" t="n">
        <v>58</v>
      </c>
      <c r="J37" s="68" t="n">
        <v>20</v>
      </c>
      <c r="K37" s="68" t="n">
        <v>18</v>
      </c>
      <c r="L37" s="68" t="n">
        <v>14</v>
      </c>
      <c r="M37" s="28" t="n">
        <v>8803</v>
      </c>
      <c r="N37" s="68" t="n">
        <v>736</v>
      </c>
      <c r="O37" s="68" t="n">
        <v>465</v>
      </c>
      <c r="P37" s="28" t="n">
        <v>32489</v>
      </c>
    </row>
    <row r="38">
      <c r="F38" t="inlineStr">
        <is>
          <t>Kiryas Joel Village</t>
        </is>
      </c>
      <c r="G38" s="28" t="n">
        <v>32954</v>
      </c>
      <c r="H38" s="28" t="n">
        <v>23305</v>
      </c>
      <c r="I38" s="68" t="n">
        <v>58</v>
      </c>
      <c r="J38" s="68" t="n">
        <v>20</v>
      </c>
      <c r="K38" s="68" t="n">
        <v>18</v>
      </c>
      <c r="L38" s="68" t="n">
        <v>14</v>
      </c>
      <c r="M38" s="28" t="n">
        <v>8803</v>
      </c>
      <c r="N38" s="68" t="n">
        <v>736</v>
      </c>
      <c r="O38" s="68" t="n">
        <v>465</v>
      </c>
      <c r="P38" s="28" t="n">
        <v>32489</v>
      </c>
    </row>
    <row r="39">
      <c r="F39" t="inlineStr">
        <is>
          <t>Port Jervis City</t>
        </is>
      </c>
      <c r="G39" s="28" t="n">
        <v>8775</v>
      </c>
      <c r="H39" s="28" t="n">
        <v>6201</v>
      </c>
      <c r="I39" s="68" t="n">
        <v>803</v>
      </c>
      <c r="J39" s="68" t="n">
        <v>47</v>
      </c>
      <c r="K39" s="68" t="n">
        <v>187</v>
      </c>
      <c r="L39" s="68" t="n">
        <v>2</v>
      </c>
      <c r="M39" s="68" t="n">
        <v>606</v>
      </c>
      <c r="N39" s="68" t="n">
        <v>929</v>
      </c>
      <c r="O39" s="28" t="n">
        <v>1311</v>
      </c>
      <c r="P39" s="28" t="n">
        <v>7464</v>
      </c>
    </row>
    <row r="40">
      <c r="F40" t="inlineStr">
        <is>
          <t>Tuxedo Town</t>
        </is>
      </c>
      <c r="G40" s="28" t="n">
        <v>3811</v>
      </c>
      <c r="H40" s="28" t="n">
        <v>2948</v>
      </c>
      <c r="I40" s="68" t="n">
        <v>186</v>
      </c>
      <c r="J40" s="68" t="n">
        <v>3</v>
      </c>
      <c r="K40" s="68" t="n">
        <v>193</v>
      </c>
      <c r="L40" s="68" t="n">
        <v>0</v>
      </c>
      <c r="M40" s="68" t="n">
        <v>183</v>
      </c>
      <c r="N40" s="68" t="n">
        <v>298</v>
      </c>
      <c r="O40" s="68" t="n">
        <v>466</v>
      </c>
      <c r="P40" s="28" t="n">
        <v>3345</v>
      </c>
    </row>
    <row r="41">
      <c r="F41" t="inlineStr">
        <is>
          <t>Tuxedo Park Village</t>
        </is>
      </c>
      <c r="G41" s="68" t="n">
        <v>645</v>
      </c>
      <c r="H41" s="68" t="n">
        <v>535</v>
      </c>
      <c r="I41" s="68" t="n">
        <v>7</v>
      </c>
      <c r="J41" s="68" t="n">
        <v>0</v>
      </c>
      <c r="K41" s="68" t="n">
        <v>47</v>
      </c>
      <c r="L41" s="68" t="n">
        <v>0</v>
      </c>
      <c r="M41" s="68" t="n">
        <v>6</v>
      </c>
      <c r="N41" s="68" t="n">
        <v>50</v>
      </c>
      <c r="O41" s="68" t="n">
        <v>41</v>
      </c>
      <c r="P41" s="68" t="n">
        <v>604</v>
      </c>
    </row>
    <row r="42">
      <c r="F42" t="inlineStr">
        <is>
          <t>Wallkill Town</t>
        </is>
      </c>
      <c r="G42" s="28" t="n">
        <v>30486</v>
      </c>
      <c r="H42" s="28" t="n">
        <v>14858</v>
      </c>
      <c r="I42" s="28" t="n">
        <v>6244</v>
      </c>
      <c r="J42" s="68" t="n">
        <v>250</v>
      </c>
      <c r="K42" s="28" t="n">
        <v>1320</v>
      </c>
      <c r="L42" s="68" t="n">
        <v>16</v>
      </c>
      <c r="M42" s="28" t="n">
        <v>4025</v>
      </c>
      <c r="N42" s="28" t="n">
        <v>3773</v>
      </c>
      <c r="O42" s="28" t="n">
        <v>8492</v>
      </c>
      <c r="P42" s="28" t="n">
        <v>21994</v>
      </c>
    </row>
    <row r="43">
      <c r="F43" t="inlineStr">
        <is>
          <t>Warwick Town</t>
        </is>
      </c>
      <c r="G43" s="28" t="n">
        <v>32027</v>
      </c>
      <c r="H43" s="28" t="n">
        <v>25384</v>
      </c>
      <c r="I43" s="28" t="n">
        <v>1377</v>
      </c>
      <c r="J43" s="68" t="n">
        <v>141</v>
      </c>
      <c r="K43" s="68" t="n">
        <v>643</v>
      </c>
      <c r="L43" s="68" t="n">
        <v>7</v>
      </c>
      <c r="M43" s="28" t="n">
        <v>1643</v>
      </c>
      <c r="N43" s="28" t="n">
        <v>2832</v>
      </c>
      <c r="O43" s="28" t="n">
        <v>4429</v>
      </c>
      <c r="P43" s="28" t="n">
        <v>27598</v>
      </c>
    </row>
    <row r="44">
      <c r="F44" t="inlineStr">
        <is>
          <t>Florida Village</t>
        </is>
      </c>
      <c r="G44" s="28" t="n">
        <v>2888</v>
      </c>
      <c r="H44" s="28" t="n">
        <v>2116</v>
      </c>
      <c r="I44" s="68" t="n">
        <v>236</v>
      </c>
      <c r="J44" s="68" t="n">
        <v>18</v>
      </c>
      <c r="K44" s="68" t="n">
        <v>71</v>
      </c>
      <c r="L44" s="68" t="n">
        <v>0</v>
      </c>
      <c r="M44" s="68" t="n">
        <v>166</v>
      </c>
      <c r="N44" s="68" t="n">
        <v>281</v>
      </c>
      <c r="O44" s="68" t="n">
        <v>510</v>
      </c>
      <c r="P44" s="28" t="n">
        <v>2378</v>
      </c>
    </row>
    <row r="45">
      <c r="F45" t="inlineStr">
        <is>
          <t>Greenwood Lake Village</t>
        </is>
      </c>
      <c r="G45" s="28" t="n">
        <v>2994</v>
      </c>
      <c r="H45" s="28" t="n">
        <v>2452</v>
      </c>
      <c r="I45" s="68" t="n">
        <v>50</v>
      </c>
      <c r="J45" s="68" t="n">
        <v>11</v>
      </c>
      <c r="K45" s="68" t="n">
        <v>41</v>
      </c>
      <c r="L45" s="68" t="n">
        <v>4</v>
      </c>
      <c r="M45" s="68" t="n">
        <v>130</v>
      </c>
      <c r="N45" s="68" t="n">
        <v>306</v>
      </c>
      <c r="O45" s="68" t="n">
        <v>413</v>
      </c>
      <c r="P45" s="28" t="n">
        <v>2581</v>
      </c>
    </row>
    <row r="46">
      <c r="F46" t="inlineStr">
        <is>
          <t>Warwick Village</t>
        </is>
      </c>
      <c r="G46" s="28" t="n">
        <v>6652</v>
      </c>
      <c r="H46" s="28" t="n">
        <v>5568</v>
      </c>
      <c r="I46" s="68" t="n">
        <v>182</v>
      </c>
      <c r="J46" s="68" t="n">
        <v>36</v>
      </c>
      <c r="K46" s="68" t="n">
        <v>94</v>
      </c>
      <c r="L46" s="68" t="n">
        <v>0</v>
      </c>
      <c r="M46" s="68" t="n">
        <v>247</v>
      </c>
      <c r="N46" s="68" t="n">
        <v>525</v>
      </c>
      <c r="O46" s="68" t="n">
        <v>826</v>
      </c>
      <c r="P46" s="28" t="n">
        <v>5826</v>
      </c>
    </row>
    <row r="47">
      <c r="F47" t="inlineStr">
        <is>
          <t>Wawayanda Town</t>
        </is>
      </c>
      <c r="G47" s="28" t="n">
        <v>7534</v>
      </c>
      <c r="H47" s="28" t="n">
        <v>5546</v>
      </c>
      <c r="I47" s="68" t="n">
        <v>498</v>
      </c>
      <c r="J47" s="68" t="n">
        <v>22</v>
      </c>
      <c r="K47" s="68" t="n">
        <v>194</v>
      </c>
      <c r="L47" s="68" t="n">
        <v>0</v>
      </c>
      <c r="M47" s="68" t="n">
        <v>567</v>
      </c>
      <c r="N47" s="68" t="n">
        <v>707</v>
      </c>
      <c r="O47" s="28" t="n">
        <v>1335</v>
      </c>
      <c r="P47" s="28" t="n">
        <v>6199</v>
      </c>
    </row>
    <row r="48">
      <c r="F48" t="inlineStr">
        <is>
          <t>Woodbury Town</t>
        </is>
      </c>
      <c r="G48" s="28" t="n">
        <v>12197</v>
      </c>
      <c r="H48" s="28" t="n">
        <v>7446</v>
      </c>
      <c r="I48" s="28" t="n">
        <v>1121</v>
      </c>
      <c r="J48" s="68" t="n">
        <v>93</v>
      </c>
      <c r="K48" s="68" t="n">
        <v>827</v>
      </c>
      <c r="L48" s="68" t="n">
        <v>18</v>
      </c>
      <c r="M48" s="28" t="n">
        <v>1487</v>
      </c>
      <c r="N48" s="28" t="n">
        <v>1205</v>
      </c>
      <c r="O48" s="28" t="n">
        <v>2657</v>
      </c>
      <c r="P48" s="28" t="n">
        <v>9540</v>
      </c>
    </row>
    <row r="49">
      <c r="F49" t="inlineStr">
        <is>
          <t>Woodbury Village</t>
        </is>
      </c>
      <c r="G49" s="28" t="n">
        <v>11526</v>
      </c>
      <c r="H49" s="28" t="n">
        <v>7226</v>
      </c>
      <c r="I49" s="68" t="n">
        <v>942</v>
      </c>
      <c r="J49" s="68" t="n">
        <v>92</v>
      </c>
      <c r="K49" s="68" t="n">
        <v>720</v>
      </c>
      <c r="L49" s="68" t="n">
        <v>15</v>
      </c>
      <c r="M49" s="28" t="n">
        <v>1389</v>
      </c>
      <c r="N49" s="28" t="n">
        <v>1142</v>
      </c>
      <c r="O49" s="28" t="n">
        <v>2458</v>
      </c>
      <c r="P49" s="28"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8.140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43.42578125" bestFit="1" customWidth="1" style="91" min="15" max="15"/>
    <col width="12.42578125" bestFit="1" customWidth="1" style="91" min="16" max="16"/>
    <col width="14" bestFit="1" customWidth="1" style="91" min="21" max="21"/>
  </cols>
  <sheetData>
    <row r="1">
      <c r="A1" s="16" t="inlineStr">
        <is>
          <t>Name</t>
        </is>
      </c>
      <c r="B1" s="66" t="inlineStr">
        <is>
          <t>Employed Civilians by Industry and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71" t="inlineStr">
        <is>
          <t>Table Rules</t>
        </is>
      </c>
      <c r="E5" s="70" t="inlineStr">
        <is>
          <t xml:space="preserve">Enter Data </t>
        </is>
      </c>
      <c r="F5" s="73" t="inlineStr">
        <is>
          <t>Geographic Area</t>
        </is>
      </c>
      <c r="G5" s="73" t="inlineStr">
        <is>
          <t>Civilian Employed Population Age 16+</t>
        </is>
      </c>
      <c r="H5" s="69" t="inlineStr">
        <is>
          <t>Industry</t>
        </is>
      </c>
    </row>
    <row r="6" ht="15" customHeight="1" s="91">
      <c r="A6" t="inlineStr">
        <is>
          <t>Multilevel Headers</t>
        </is>
      </c>
      <c r="B6" t="b">
        <v>1</v>
      </c>
      <c r="H6" s="73" t="inlineStr">
        <is>
          <t>Agriculture, Forestry, Fishing, Hunting, Mining</t>
        </is>
      </c>
      <c r="I6" s="73" t="inlineStr">
        <is>
          <t>Construction</t>
        </is>
      </c>
      <c r="J6" s="73" t="inlineStr">
        <is>
          <t>Manufacturing</t>
        </is>
      </c>
      <c r="K6" s="73" t="inlineStr">
        <is>
          <t>Wholesale Trade</t>
        </is>
      </c>
      <c r="L6" s="73" t="inlineStr">
        <is>
          <t>Retail Trade</t>
        </is>
      </c>
      <c r="M6" s="73" t="inlineStr">
        <is>
          <t>Transportation, Warehousing, Utilities</t>
        </is>
      </c>
      <c r="N6" s="73" t="inlineStr">
        <is>
          <t>Information</t>
        </is>
      </c>
      <c r="O6" s="73" t="inlineStr">
        <is>
          <t>Finance, Insurance, Real Estate, Rental/Leasing</t>
        </is>
      </c>
      <c r="P6" s="73" t="inlineStr">
        <is>
          <t>Professional, Scientific, Management, Administrative, Waste Management</t>
        </is>
      </c>
      <c r="Q6" s="73" t="inlineStr">
        <is>
          <t>Educational Services, Health Care, Social Assistance</t>
        </is>
      </c>
      <c r="R6" s="73" t="inlineStr">
        <is>
          <t>Arts, Entertainment, Recreation, Accommodation, Food Services</t>
        </is>
      </c>
      <c r="S6" s="73" t="inlineStr">
        <is>
          <t>Public Administration</t>
        </is>
      </c>
      <c r="T6" s="73" t="inlineStr">
        <is>
          <t>Other Services</t>
        </is>
      </c>
      <c r="V6" s="69" t="n"/>
    </row>
    <row r="7" ht="15.75" customHeight="1" s="91">
      <c r="F7" s="16" t="inlineStr">
        <is>
          <t>Orange County</t>
        </is>
      </c>
      <c r="G7" s="74" t="n">
        <v>184167</v>
      </c>
      <c r="H7" s="74" t="n">
        <v>1278</v>
      </c>
      <c r="I7" s="74" t="n">
        <v>13492</v>
      </c>
      <c r="J7" s="74" t="n">
        <v>11754</v>
      </c>
      <c r="K7" s="74" t="n">
        <v>5470</v>
      </c>
      <c r="L7" s="74" t="n">
        <v>23207</v>
      </c>
      <c r="M7" s="74" t="n">
        <v>12393</v>
      </c>
      <c r="N7" s="74" t="n">
        <v>4268</v>
      </c>
      <c r="O7" s="74" t="n">
        <v>10817</v>
      </c>
      <c r="P7" s="74" t="n">
        <v>18700</v>
      </c>
      <c r="Q7" s="74" t="n">
        <v>50693</v>
      </c>
      <c r="R7" s="74" t="n">
        <v>12127</v>
      </c>
      <c r="S7" s="74" t="n">
        <v>10996</v>
      </c>
      <c r="T7" s="74" t="n">
        <v>8972</v>
      </c>
      <c r="U7" s="69" t="n"/>
      <c r="V7" s="69" t="n"/>
    </row>
    <row r="8">
      <c r="F8" s="16" t="inlineStr">
        <is>
          <t>Blooming Grove Town</t>
        </is>
      </c>
      <c r="G8" s="74" t="n">
        <v>8167</v>
      </c>
      <c r="H8" s="69" t="n">
        <v>85</v>
      </c>
      <c r="I8" s="69" t="n">
        <v>766</v>
      </c>
      <c r="J8" s="69" t="n">
        <v>369</v>
      </c>
      <c r="K8" s="69" t="n">
        <v>263</v>
      </c>
      <c r="L8" s="69" t="n">
        <v>891</v>
      </c>
      <c r="M8" s="69" t="n">
        <v>375</v>
      </c>
      <c r="N8" s="69" t="n">
        <v>255</v>
      </c>
      <c r="O8" s="69" t="n">
        <v>633</v>
      </c>
      <c r="P8" s="69" t="n">
        <v>692</v>
      </c>
      <c r="Q8" s="74" t="n">
        <v>2359</v>
      </c>
      <c r="R8" s="69" t="n">
        <v>628</v>
      </c>
      <c r="S8" s="69" t="n">
        <v>495</v>
      </c>
      <c r="T8" s="69" t="n">
        <v>356</v>
      </c>
      <c r="U8" s="69" t="n"/>
      <c r="V8" s="69" t="n"/>
    </row>
    <row r="9">
      <c r="A9" s="71" t="inlineStr">
        <is>
          <t>Figure Rules</t>
        </is>
      </c>
      <c r="F9" s="47" t="inlineStr">
        <is>
          <t>South Blooming Grove Village</t>
        </is>
      </c>
      <c r="G9" s="74" t="n">
        <v>1268</v>
      </c>
      <c r="H9" s="69" t="n">
        <v>0</v>
      </c>
      <c r="I9" s="69" t="n">
        <v>103</v>
      </c>
      <c r="J9" s="69" t="n">
        <v>102</v>
      </c>
      <c r="K9" s="69" t="n">
        <v>49</v>
      </c>
      <c r="L9" s="69" t="n">
        <v>169</v>
      </c>
      <c r="M9" s="69" t="n">
        <v>55</v>
      </c>
      <c r="N9" s="69" t="n">
        <v>29</v>
      </c>
      <c r="O9" s="69" t="n">
        <v>99</v>
      </c>
      <c r="P9" s="69" t="n">
        <v>71</v>
      </c>
      <c r="Q9" s="69" t="n">
        <v>355</v>
      </c>
      <c r="R9" s="69" t="n">
        <v>132</v>
      </c>
      <c r="S9" s="69" t="n">
        <v>5</v>
      </c>
      <c r="T9" s="69" t="n">
        <v>99</v>
      </c>
      <c r="U9" s="69" t="n"/>
      <c r="V9" s="69" t="n"/>
    </row>
    <row r="10">
      <c r="A10" t="inlineStr">
        <is>
          <t>Figure Type</t>
        </is>
      </c>
      <c r="F10" s="47" t="inlineStr">
        <is>
          <t>Washingtonville Village</t>
        </is>
      </c>
      <c r="G10" s="74" t="n">
        <v>2827</v>
      </c>
      <c r="H10" s="69" t="n">
        <v>0</v>
      </c>
      <c r="I10" s="69" t="n">
        <v>120</v>
      </c>
      <c r="J10" s="69" t="n">
        <v>103</v>
      </c>
      <c r="K10" s="69" t="n">
        <v>187</v>
      </c>
      <c r="L10" s="69" t="n">
        <v>251</v>
      </c>
      <c r="M10" s="69" t="n">
        <v>89</v>
      </c>
      <c r="N10" s="69" t="n">
        <v>155</v>
      </c>
      <c r="O10" s="69" t="n">
        <v>288</v>
      </c>
      <c r="P10" s="69" t="n">
        <v>203</v>
      </c>
      <c r="Q10" s="69" t="n">
        <v>800</v>
      </c>
      <c r="R10" s="69" t="n">
        <v>169</v>
      </c>
      <c r="S10" s="69" t="n">
        <v>298</v>
      </c>
      <c r="T10" s="69" t="n">
        <v>164</v>
      </c>
      <c r="U10" s="69" t="n"/>
      <c r="V10" s="69" t="n"/>
    </row>
    <row r="11">
      <c r="A11" t="inlineStr">
        <is>
          <t>X Column</t>
        </is>
      </c>
      <c r="F11" s="16" t="inlineStr">
        <is>
          <t>Chester Town</t>
        </is>
      </c>
      <c r="G11" s="74" t="n">
        <v>6888</v>
      </c>
      <c r="H11" s="69" t="n">
        <v>25</v>
      </c>
      <c r="I11" s="69" t="n">
        <v>346</v>
      </c>
      <c r="J11" s="68" t="n">
        <v>488</v>
      </c>
      <c r="K11" s="68" t="n">
        <v>283</v>
      </c>
      <c r="L11" s="28" t="n">
        <v>1099</v>
      </c>
      <c r="M11" s="68" t="n">
        <v>648</v>
      </c>
      <c r="N11" s="68" t="n">
        <v>244</v>
      </c>
      <c r="O11" s="69" t="n">
        <v>416</v>
      </c>
      <c r="P11" s="69" t="n">
        <v>790</v>
      </c>
      <c r="Q11" s="74" t="n">
        <v>1327</v>
      </c>
      <c r="R11" s="69" t="n">
        <v>533</v>
      </c>
      <c r="S11" s="69" t="n">
        <v>447</v>
      </c>
      <c r="T11" s="69" t="n">
        <v>242</v>
      </c>
      <c r="U11" s="69" t="n"/>
      <c r="V11" s="69" t="n"/>
    </row>
    <row r="12">
      <c r="A12" t="inlineStr">
        <is>
          <t>Y Column</t>
        </is>
      </c>
      <c r="F12" s="49" t="inlineStr">
        <is>
          <t>Chester Village</t>
        </is>
      </c>
      <c r="G12" s="28" t="n">
        <v>2488</v>
      </c>
      <c r="H12" s="68" t="n">
        <v>0</v>
      </c>
      <c r="I12" s="69" t="n">
        <v>89</v>
      </c>
      <c r="J12" s="69" t="n">
        <v>111</v>
      </c>
      <c r="K12" s="69" t="n">
        <v>96</v>
      </c>
      <c r="L12" s="69" t="n">
        <v>633</v>
      </c>
      <c r="M12" s="69" t="n">
        <v>263</v>
      </c>
      <c r="N12" s="69" t="n">
        <v>77</v>
      </c>
      <c r="O12" s="69" t="n">
        <v>175</v>
      </c>
      <c r="P12" s="69" t="n">
        <v>108</v>
      </c>
      <c r="Q12" s="69" t="n">
        <v>423</v>
      </c>
      <c r="R12" s="69" t="n">
        <v>260</v>
      </c>
      <c r="S12" s="69" t="n">
        <v>141</v>
      </c>
      <c r="T12" s="69" t="n">
        <v>112</v>
      </c>
      <c r="U12" s="69" t="n"/>
      <c r="V12" s="69" t="n"/>
    </row>
    <row r="13">
      <c r="A13" t="inlineStr">
        <is>
          <t>X Axis Title</t>
        </is>
      </c>
      <c r="F13" s="24" t="inlineStr">
        <is>
          <t>Cornwall Town</t>
        </is>
      </c>
      <c r="G13" s="74" t="n">
        <v>6425</v>
      </c>
      <c r="H13" s="69" t="n">
        <v>12</v>
      </c>
      <c r="I13" s="69" t="n">
        <v>357</v>
      </c>
      <c r="J13" s="69" t="n">
        <v>452</v>
      </c>
      <c r="K13" s="69" t="n">
        <v>155</v>
      </c>
      <c r="L13" s="69" t="n">
        <v>593</v>
      </c>
      <c r="M13" s="69" t="n">
        <v>207</v>
      </c>
      <c r="N13" s="69" t="n">
        <v>171</v>
      </c>
      <c r="O13" s="69" t="n">
        <v>406</v>
      </c>
      <c r="P13" s="69" t="n">
        <v>799</v>
      </c>
      <c r="Q13" s="74" t="n">
        <v>2023</v>
      </c>
      <c r="R13" s="69" t="n">
        <v>342</v>
      </c>
      <c r="S13" s="69" t="n">
        <v>725</v>
      </c>
      <c r="T13" s="69" t="n">
        <v>183</v>
      </c>
      <c r="U13" s="69" t="n"/>
      <c r="V13" s="69" t="n"/>
    </row>
    <row r="14">
      <c r="A14" t="inlineStr">
        <is>
          <t>Y Axis Title</t>
        </is>
      </c>
      <c r="F14" s="47" t="inlineStr">
        <is>
          <t>Cornwall-on-Hudson Village</t>
        </is>
      </c>
      <c r="G14" s="74" t="n">
        <v>1656</v>
      </c>
      <c r="H14" s="69" t="n">
        <v>0</v>
      </c>
      <c r="I14" s="69" t="n">
        <v>63</v>
      </c>
      <c r="J14" s="69" t="n">
        <v>156</v>
      </c>
      <c r="K14" s="69" t="n">
        <v>10</v>
      </c>
      <c r="L14" s="69" t="n">
        <v>189</v>
      </c>
      <c r="M14" s="69" t="n">
        <v>87</v>
      </c>
      <c r="N14" s="69" t="n">
        <v>30</v>
      </c>
      <c r="O14" s="69" t="n">
        <v>120</v>
      </c>
      <c r="P14" s="69" t="n">
        <v>148</v>
      </c>
      <c r="Q14" s="69" t="n">
        <v>534</v>
      </c>
      <c r="R14" s="69" t="n">
        <v>74</v>
      </c>
      <c r="S14" s="69" t="n">
        <v>202</v>
      </c>
      <c r="T14" s="69" t="n">
        <v>43</v>
      </c>
      <c r="U14" s="69" t="n"/>
      <c r="V14" s="69" t="n"/>
    </row>
    <row r="15">
      <c r="A15" t="inlineStr">
        <is>
          <t>Start at Zero</t>
        </is>
      </c>
      <c r="F15" s="16" t="inlineStr">
        <is>
          <t>Crawford Town</t>
        </is>
      </c>
      <c r="G15" s="74" t="n">
        <v>5000</v>
      </c>
      <c r="H15" s="69" t="n">
        <v>58</v>
      </c>
      <c r="I15" s="69" t="n">
        <v>426</v>
      </c>
      <c r="J15" s="69" t="n">
        <v>162</v>
      </c>
      <c r="K15" s="69" t="n">
        <v>180</v>
      </c>
      <c r="L15" s="69" t="n">
        <v>580</v>
      </c>
      <c r="M15" s="69" t="n">
        <v>230</v>
      </c>
      <c r="N15" s="69" t="n">
        <v>149</v>
      </c>
      <c r="O15" s="69" t="n">
        <v>293</v>
      </c>
      <c r="P15" s="69" t="n">
        <v>516</v>
      </c>
      <c r="Q15" s="74" t="n">
        <v>1632</v>
      </c>
      <c r="R15" s="69" t="n">
        <v>255</v>
      </c>
      <c r="S15" s="69" t="n">
        <v>315</v>
      </c>
      <c r="T15" s="69" t="n">
        <v>204</v>
      </c>
      <c r="U15" s="69" t="n"/>
      <c r="V15" s="69" t="n"/>
    </row>
    <row r="16">
      <c r="A16" t="inlineStr">
        <is>
          <t>Pivot For Chart</t>
        </is>
      </c>
      <c r="F16" s="16" t="inlineStr">
        <is>
          <t>Deerpark Town</t>
        </is>
      </c>
      <c r="G16" s="74" t="n">
        <v>3207</v>
      </c>
      <c r="H16" s="69" t="n">
        <v>76</v>
      </c>
      <c r="I16" s="69" t="n">
        <v>232</v>
      </c>
      <c r="J16" s="69" t="n">
        <v>250</v>
      </c>
      <c r="K16" s="69" t="n">
        <v>52</v>
      </c>
      <c r="L16" s="69" t="n">
        <v>463</v>
      </c>
      <c r="M16" s="69" t="n">
        <v>239</v>
      </c>
      <c r="N16" s="69" t="n">
        <v>74</v>
      </c>
      <c r="O16" s="69" t="n">
        <v>30</v>
      </c>
      <c r="P16" s="69" t="n">
        <v>309</v>
      </c>
      <c r="Q16" s="69" t="n">
        <v>810</v>
      </c>
      <c r="R16" s="69" t="n">
        <v>163</v>
      </c>
      <c r="S16" s="69" t="n">
        <v>192</v>
      </c>
      <c r="T16" s="69" t="n">
        <v>317</v>
      </c>
      <c r="U16" s="69" t="n"/>
      <c r="V16" s="69" t="n"/>
    </row>
    <row r="17">
      <c r="F17" s="16" t="inlineStr">
        <is>
          <t>Goshen Town</t>
        </is>
      </c>
      <c r="G17" s="74" t="n">
        <v>6373</v>
      </c>
      <c r="H17" s="69" t="n">
        <v>52</v>
      </c>
      <c r="I17" s="69" t="n">
        <v>372</v>
      </c>
      <c r="J17" s="69" t="n">
        <v>590</v>
      </c>
      <c r="K17" s="69" t="n">
        <v>214</v>
      </c>
      <c r="L17" s="69" t="n">
        <v>863</v>
      </c>
      <c r="M17" s="69" t="n">
        <v>270</v>
      </c>
      <c r="N17" s="69" t="n">
        <v>80</v>
      </c>
      <c r="O17" s="69" t="n">
        <v>328</v>
      </c>
      <c r="P17" s="69" t="n">
        <v>744</v>
      </c>
      <c r="Q17" s="74" t="n">
        <v>1875</v>
      </c>
      <c r="R17" s="69" t="n">
        <v>318</v>
      </c>
      <c r="S17" s="69" t="n">
        <v>439</v>
      </c>
      <c r="T17" s="69" t="n">
        <v>228</v>
      </c>
      <c r="U17" s="69" t="n"/>
      <c r="V17" s="69" t="n"/>
    </row>
    <row r="18">
      <c r="A18" s="71" t="inlineStr">
        <is>
          <t>Source Specifications</t>
        </is>
      </c>
      <c r="F18" s="47" t="inlineStr">
        <is>
          <t>Goshen Village</t>
        </is>
      </c>
      <c r="G18" s="74" t="n">
        <v>2703</v>
      </c>
      <c r="H18" s="69" t="n">
        <v>0</v>
      </c>
      <c r="I18" s="69" t="n">
        <v>175</v>
      </c>
      <c r="J18" s="69" t="n">
        <v>103</v>
      </c>
      <c r="K18" s="69" t="n">
        <v>61</v>
      </c>
      <c r="L18" s="69" t="n">
        <v>349</v>
      </c>
      <c r="M18" s="69" t="n">
        <v>127</v>
      </c>
      <c r="N18" s="69" t="n">
        <v>29</v>
      </c>
      <c r="O18" s="69" t="n">
        <v>178</v>
      </c>
      <c r="P18" s="69" t="n">
        <v>335</v>
      </c>
      <c r="Q18" s="69" t="n">
        <v>796</v>
      </c>
      <c r="R18" s="69" t="n">
        <v>232</v>
      </c>
      <c r="S18" s="69" t="n">
        <v>238</v>
      </c>
      <c r="T18" s="69" t="n">
        <v>80</v>
      </c>
      <c r="U18" s="69" t="n"/>
      <c r="V18" s="69"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s="16" t="inlineStr">
        <is>
          <t>Greenville Town</t>
        </is>
      </c>
      <c r="G19" s="74" t="n">
        <v>2563</v>
      </c>
      <c r="H19" s="69" t="n">
        <v>55</v>
      </c>
      <c r="I19" s="69" t="n">
        <v>206</v>
      </c>
      <c r="J19" s="69" t="n">
        <v>113</v>
      </c>
      <c r="K19" s="69" t="n">
        <v>36</v>
      </c>
      <c r="L19" s="69" t="n">
        <v>262</v>
      </c>
      <c r="M19" s="69" t="n">
        <v>250</v>
      </c>
      <c r="N19" s="69" t="n">
        <v>63</v>
      </c>
      <c r="O19" s="69" t="n">
        <v>115</v>
      </c>
      <c r="P19" s="69" t="n">
        <v>155</v>
      </c>
      <c r="Q19" s="69" t="n">
        <v>774</v>
      </c>
      <c r="R19" s="69" t="n">
        <v>49</v>
      </c>
      <c r="S19" s="69" t="n">
        <v>304</v>
      </c>
      <c r="T19" s="69" t="n">
        <v>181</v>
      </c>
      <c r="U19" s="69" t="n"/>
      <c r="V19" s="69" t="n"/>
    </row>
    <row r="20">
      <c r="F20" s="16" t="inlineStr">
        <is>
          <t>Hamptonburgh Town</t>
        </is>
      </c>
      <c r="G20" s="74" t="n">
        <v>2495</v>
      </c>
      <c r="H20" s="69" t="n">
        <v>9</v>
      </c>
      <c r="I20" s="69" t="n">
        <v>368</v>
      </c>
      <c r="J20" s="69" t="n">
        <v>74</v>
      </c>
      <c r="K20" s="69" t="n">
        <v>112</v>
      </c>
      <c r="L20" s="69" t="n">
        <v>249</v>
      </c>
      <c r="M20" s="69" t="n">
        <v>110</v>
      </c>
      <c r="N20" s="69" t="n">
        <v>55</v>
      </c>
      <c r="O20" s="69" t="n">
        <v>113</v>
      </c>
      <c r="P20" s="69" t="n">
        <v>355</v>
      </c>
      <c r="Q20" s="69" t="n">
        <v>598</v>
      </c>
      <c r="R20" s="69" t="n">
        <v>161</v>
      </c>
      <c r="S20" s="69" t="n">
        <v>52</v>
      </c>
      <c r="T20" s="69" t="n">
        <v>239</v>
      </c>
      <c r="U20" s="69" t="n"/>
      <c r="V20" s="69" t="n"/>
    </row>
    <row r="21">
      <c r="A21" s="69" t="inlineStr">
        <is>
          <t>Note Specfications</t>
        </is>
      </c>
      <c r="F21" s="78" t="inlineStr">
        <is>
          <t>Highlands Town</t>
        </is>
      </c>
      <c r="G21" s="74" t="n">
        <v>4373</v>
      </c>
      <c r="H21" s="69" t="n">
        <v>7</v>
      </c>
      <c r="I21" s="69" t="n">
        <v>234</v>
      </c>
      <c r="J21" s="69" t="n">
        <v>202</v>
      </c>
      <c r="K21" s="69" t="n">
        <v>14</v>
      </c>
      <c r="L21" s="69" t="n">
        <v>257</v>
      </c>
      <c r="M21" s="69" t="n">
        <v>568</v>
      </c>
      <c r="N21" s="69" t="n">
        <v>82</v>
      </c>
      <c r="O21" s="69" t="n">
        <v>61</v>
      </c>
      <c r="P21" s="69" t="n">
        <v>632</v>
      </c>
      <c r="Q21" s="74" t="n">
        <v>1291</v>
      </c>
      <c r="R21" s="69" t="n">
        <v>423</v>
      </c>
      <c r="S21" s="69" t="n">
        <v>420</v>
      </c>
      <c r="T21" s="69" t="n">
        <v>182</v>
      </c>
      <c r="U21" s="69" t="n"/>
      <c r="V21" s="69"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47" t="inlineStr">
        <is>
          <t>Highland Falls Village</t>
        </is>
      </c>
      <c r="G22" s="74" t="n">
        <v>1770</v>
      </c>
      <c r="H22" s="69" t="n">
        <v>0</v>
      </c>
      <c r="I22" s="69" t="n">
        <v>109</v>
      </c>
      <c r="J22" s="69" t="n">
        <v>85</v>
      </c>
      <c r="K22" s="69" t="n">
        <v>14</v>
      </c>
      <c r="L22" s="69" t="n">
        <v>100</v>
      </c>
      <c r="M22" s="69" t="n">
        <v>135</v>
      </c>
      <c r="N22" s="69" t="n">
        <v>7</v>
      </c>
      <c r="O22" s="69" t="n">
        <v>15</v>
      </c>
      <c r="P22" s="69" t="n">
        <v>312</v>
      </c>
      <c r="Q22" s="69" t="n">
        <v>539</v>
      </c>
      <c r="R22" s="69" t="n">
        <v>207</v>
      </c>
      <c r="S22" s="69" t="n">
        <v>183</v>
      </c>
      <c r="T22" s="69" t="n">
        <v>64</v>
      </c>
      <c r="U22" s="69" t="n"/>
      <c r="V22" s="69" t="n"/>
    </row>
    <row r="23">
      <c r="F23" s="78" t="inlineStr">
        <is>
          <t>Middletown City</t>
        </is>
      </c>
      <c r="G23" s="74" t="n">
        <v>13664</v>
      </c>
      <c r="H23" s="69" t="n">
        <v>139</v>
      </c>
      <c r="I23" s="74" t="n">
        <v>1041</v>
      </c>
      <c r="J23" s="69" t="n">
        <v>834</v>
      </c>
      <c r="K23" s="69" t="n">
        <v>214</v>
      </c>
      <c r="L23" s="74" t="n">
        <v>1951</v>
      </c>
      <c r="M23" s="74" t="n">
        <v>1113</v>
      </c>
      <c r="N23" s="69" t="n">
        <v>308</v>
      </c>
      <c r="O23" s="69" t="n">
        <v>679</v>
      </c>
      <c r="P23" s="74" t="n">
        <v>1311</v>
      </c>
      <c r="Q23" s="74" t="n">
        <v>3597</v>
      </c>
      <c r="R23" s="74" t="n">
        <v>1028</v>
      </c>
      <c r="S23" s="69" t="n">
        <v>601</v>
      </c>
      <c r="T23" s="69" t="n">
        <v>848</v>
      </c>
      <c r="U23" s="69" t="n"/>
      <c r="V23" s="69" t="n"/>
    </row>
    <row r="24">
      <c r="F24" s="78" t="inlineStr">
        <is>
          <t>Minisink Town</t>
        </is>
      </c>
      <c r="G24" s="74" t="n">
        <v>2456</v>
      </c>
      <c r="H24" s="69" t="n">
        <v>26</v>
      </c>
      <c r="I24" s="69" t="n">
        <v>101</v>
      </c>
      <c r="J24" s="69" t="n">
        <v>79</v>
      </c>
      <c r="K24" s="69" t="n">
        <v>71</v>
      </c>
      <c r="L24" s="69" t="n">
        <v>189</v>
      </c>
      <c r="M24" s="69" t="n">
        <v>270</v>
      </c>
      <c r="N24" s="69" t="n">
        <v>41</v>
      </c>
      <c r="O24" s="69" t="n">
        <v>134</v>
      </c>
      <c r="P24" s="69" t="n">
        <v>305</v>
      </c>
      <c r="Q24" s="69" t="n">
        <v>837</v>
      </c>
      <c r="R24" s="69" t="n">
        <v>127</v>
      </c>
      <c r="S24" s="69" t="n">
        <v>132</v>
      </c>
      <c r="T24" s="69" t="n">
        <v>144</v>
      </c>
      <c r="U24" s="69" t="n"/>
      <c r="V24" s="69" t="n"/>
    </row>
    <row r="25">
      <c r="F25" s="49" t="inlineStr">
        <is>
          <t>Unionville Village</t>
        </is>
      </c>
      <c r="G25" s="69" t="n">
        <v>368</v>
      </c>
      <c r="H25" s="69" t="n">
        <v>0</v>
      </c>
      <c r="I25" s="69" t="n">
        <v>19</v>
      </c>
      <c r="J25" s="69" t="n">
        <v>0</v>
      </c>
      <c r="K25" s="69" t="n">
        <v>0</v>
      </c>
      <c r="L25" s="69" t="n">
        <v>43</v>
      </c>
      <c r="M25" s="69" t="n">
        <v>83</v>
      </c>
      <c r="N25" s="69" t="n">
        <v>0</v>
      </c>
      <c r="O25" s="69" t="n">
        <v>35</v>
      </c>
      <c r="P25" s="69" t="n">
        <v>76</v>
      </c>
      <c r="Q25" s="69" t="n">
        <v>80</v>
      </c>
      <c r="R25" s="69" t="n">
        <v>5</v>
      </c>
      <c r="S25" s="69" t="n">
        <v>0</v>
      </c>
      <c r="T25" s="69" t="n">
        <v>27</v>
      </c>
      <c r="U25" s="69" t="n"/>
      <c r="V25" s="69" t="n"/>
    </row>
    <row r="26">
      <c r="F26" s="79" t="inlineStr">
        <is>
          <t>Monroe Town</t>
        </is>
      </c>
      <c r="G26" s="74" t="n">
        <v>10354</v>
      </c>
      <c r="H26" s="69" t="n">
        <v>7</v>
      </c>
      <c r="I26" s="69" t="n">
        <v>615</v>
      </c>
      <c r="J26" s="69" t="n">
        <v>554</v>
      </c>
      <c r="K26" s="69" t="n">
        <v>200</v>
      </c>
      <c r="L26" s="74" t="n">
        <v>1305</v>
      </c>
      <c r="M26" s="69" t="n">
        <v>544</v>
      </c>
      <c r="N26" s="69" t="n">
        <v>375</v>
      </c>
      <c r="O26" s="69" t="n">
        <v>715</v>
      </c>
      <c r="P26" s="74" t="n">
        <v>1187</v>
      </c>
      <c r="Q26" s="74" t="n">
        <v>2809</v>
      </c>
      <c r="R26" s="69" t="n">
        <v>643</v>
      </c>
      <c r="S26" s="69" t="n">
        <v>714</v>
      </c>
      <c r="T26" s="69" t="n">
        <v>686</v>
      </c>
      <c r="U26" s="69" t="n"/>
      <c r="V26" s="69" t="n"/>
    </row>
    <row r="27">
      <c r="F27" s="47" t="inlineStr">
        <is>
          <t>Harriman Village (portion)</t>
        </is>
      </c>
      <c r="G27" s="74" t="n">
        <v>1052</v>
      </c>
      <c r="H27" s="69" t="n">
        <v>0</v>
      </c>
      <c r="I27" s="69" t="n">
        <v>82</v>
      </c>
      <c r="J27" s="69" t="n">
        <v>71</v>
      </c>
      <c r="K27" s="69" t="n">
        <v>8</v>
      </c>
      <c r="L27" s="69" t="n">
        <v>140</v>
      </c>
      <c r="M27" s="69" t="n">
        <v>38</v>
      </c>
      <c r="N27" s="69" t="n">
        <v>9</v>
      </c>
      <c r="O27" s="69" t="n">
        <v>18</v>
      </c>
      <c r="P27" s="69" t="n">
        <v>27</v>
      </c>
      <c r="Q27" s="69" t="n">
        <v>333</v>
      </c>
      <c r="R27" s="69" t="n">
        <v>73</v>
      </c>
      <c r="S27" s="69" t="n">
        <v>40</v>
      </c>
      <c r="T27" s="69" t="n">
        <v>113</v>
      </c>
      <c r="U27" s="69" t="n"/>
      <c r="V27" s="69" t="n"/>
    </row>
    <row r="28">
      <c r="F28" s="47" t="inlineStr">
        <is>
          <t>Monroe Village</t>
        </is>
      </c>
      <c r="G28" s="74" t="n">
        <v>4852</v>
      </c>
      <c r="H28" s="69" t="n">
        <v>7</v>
      </c>
      <c r="I28" s="69" t="n">
        <v>299</v>
      </c>
      <c r="J28" s="69" t="n">
        <v>294</v>
      </c>
      <c r="K28" s="69" t="n">
        <v>45</v>
      </c>
      <c r="L28" s="69" t="n">
        <v>606</v>
      </c>
      <c r="M28" s="69" t="n">
        <v>276</v>
      </c>
      <c r="N28" s="69" t="n">
        <v>75</v>
      </c>
      <c r="O28" s="69" t="n">
        <v>317</v>
      </c>
      <c r="P28" s="69" t="n">
        <v>526</v>
      </c>
      <c r="Q28" s="74" t="n">
        <v>1482</v>
      </c>
      <c r="R28" s="69" t="n">
        <v>440</v>
      </c>
      <c r="S28" s="69" t="n">
        <v>310</v>
      </c>
      <c r="T28" s="69" t="n">
        <v>175</v>
      </c>
      <c r="U28" s="69" t="n"/>
      <c r="V28" s="69" t="n"/>
    </row>
    <row r="29">
      <c r="F29" s="78" t="inlineStr">
        <is>
          <t>Montgomery Town</t>
        </is>
      </c>
      <c r="G29" s="74" t="n">
        <v>11292</v>
      </c>
      <c r="H29" s="69" t="n">
        <v>127</v>
      </c>
      <c r="I29" s="69" t="n">
        <v>922</v>
      </c>
      <c r="J29" s="69" t="n">
        <v>819</v>
      </c>
      <c r="K29" s="69" t="n">
        <v>262</v>
      </c>
      <c r="L29" s="74" t="n">
        <v>1205</v>
      </c>
      <c r="M29" s="74" t="n">
        <v>1071</v>
      </c>
      <c r="N29" s="69" t="n">
        <v>214</v>
      </c>
      <c r="O29" s="69" t="n">
        <v>579</v>
      </c>
      <c r="P29" s="69" t="n">
        <v>859</v>
      </c>
      <c r="Q29" s="74" t="n">
        <v>2911</v>
      </c>
      <c r="R29" s="69" t="n">
        <v>865</v>
      </c>
      <c r="S29" s="69" t="n">
        <v>933</v>
      </c>
      <c r="T29" s="69" t="n">
        <v>525</v>
      </c>
      <c r="U29" s="69" t="n"/>
      <c r="V29" s="69" t="n"/>
    </row>
    <row r="30">
      <c r="F30" s="47" t="inlineStr">
        <is>
          <t>Maybrook Village</t>
        </is>
      </c>
      <c r="G30" s="74" t="n">
        <v>1807</v>
      </c>
      <c r="H30" s="69" t="n">
        <v>0</v>
      </c>
      <c r="I30" s="69" t="n">
        <v>88</v>
      </c>
      <c r="J30" s="69" t="n">
        <v>126</v>
      </c>
      <c r="K30" s="69" t="n">
        <v>32</v>
      </c>
      <c r="L30" s="69" t="n">
        <v>193</v>
      </c>
      <c r="M30" s="69" t="n">
        <v>367</v>
      </c>
      <c r="N30" s="69" t="n">
        <v>13</v>
      </c>
      <c r="O30" s="69" t="n">
        <v>119</v>
      </c>
      <c r="P30" s="69" t="n">
        <v>70</v>
      </c>
      <c r="Q30" s="69" t="n">
        <v>359</v>
      </c>
      <c r="R30" s="69" t="n">
        <v>187</v>
      </c>
      <c r="S30" s="69" t="n">
        <v>168</v>
      </c>
      <c r="T30" s="69" t="n">
        <v>85</v>
      </c>
      <c r="U30" s="69" t="n"/>
      <c r="V30" s="69" t="n"/>
    </row>
    <row r="31">
      <c r="F31" s="47" t="inlineStr">
        <is>
          <t>Montgomery Village</t>
        </is>
      </c>
      <c r="G31" s="74" t="n">
        <v>1871</v>
      </c>
      <c r="H31" s="69" t="n">
        <v>0</v>
      </c>
      <c r="I31" s="69" t="n">
        <v>155</v>
      </c>
      <c r="J31" s="69" t="n">
        <v>130</v>
      </c>
      <c r="K31" s="69" t="n">
        <v>76</v>
      </c>
      <c r="L31" s="69" t="n">
        <v>190</v>
      </c>
      <c r="M31" s="69" t="n">
        <v>101</v>
      </c>
      <c r="N31" s="69" t="n">
        <v>29</v>
      </c>
      <c r="O31" s="69" t="n">
        <v>110</v>
      </c>
      <c r="P31" s="69" t="n">
        <v>146</v>
      </c>
      <c r="Q31" s="69" t="n">
        <v>462</v>
      </c>
      <c r="R31" s="69" t="n">
        <v>180</v>
      </c>
      <c r="S31" s="69" t="n">
        <v>263</v>
      </c>
      <c r="T31" s="69" t="n">
        <v>29</v>
      </c>
      <c r="U31" s="69" t="n"/>
      <c r="V31" s="69" t="n"/>
    </row>
    <row r="32">
      <c r="F32" s="47" t="inlineStr">
        <is>
          <t>Walden Village</t>
        </is>
      </c>
      <c r="G32" s="74" t="n">
        <v>3220</v>
      </c>
      <c r="H32" s="69" t="n">
        <v>15</v>
      </c>
      <c r="I32" s="69" t="n">
        <v>208</v>
      </c>
      <c r="J32" s="69" t="n">
        <v>202</v>
      </c>
      <c r="K32" s="69" t="n">
        <v>84</v>
      </c>
      <c r="L32" s="69" t="n">
        <v>228</v>
      </c>
      <c r="M32" s="69" t="n">
        <v>422</v>
      </c>
      <c r="N32" s="69" t="n">
        <v>73</v>
      </c>
      <c r="O32" s="69" t="n">
        <v>152</v>
      </c>
      <c r="P32" s="69" t="n">
        <v>365</v>
      </c>
      <c r="Q32" s="74" t="n">
        <v>1031</v>
      </c>
      <c r="R32" s="69" t="n">
        <v>216</v>
      </c>
      <c r="S32" s="69" t="n">
        <v>99</v>
      </c>
      <c r="T32" s="69" t="n">
        <v>125</v>
      </c>
      <c r="U32" s="69" t="n"/>
      <c r="V32" s="69" t="n"/>
    </row>
    <row r="33">
      <c r="F33" s="16" t="inlineStr">
        <is>
          <t>Mount Hope Town</t>
        </is>
      </c>
      <c r="G33" s="74" t="n">
        <v>2690</v>
      </c>
      <c r="H33" s="69" t="n">
        <v>3</v>
      </c>
      <c r="I33" s="69" t="n">
        <v>292</v>
      </c>
      <c r="J33" s="69" t="n">
        <v>123</v>
      </c>
      <c r="K33" s="69" t="n">
        <v>63</v>
      </c>
      <c r="L33" s="69" t="n">
        <v>350</v>
      </c>
      <c r="M33" s="69" t="n">
        <v>212</v>
      </c>
      <c r="N33" s="69" t="n">
        <v>35</v>
      </c>
      <c r="O33" s="69" t="n">
        <v>88</v>
      </c>
      <c r="P33" s="69" t="n">
        <v>235</v>
      </c>
      <c r="Q33" s="69" t="n">
        <v>823</v>
      </c>
      <c r="R33" s="69" t="n">
        <v>178</v>
      </c>
      <c r="S33" s="69" t="n">
        <v>162</v>
      </c>
      <c r="T33" s="69" t="n">
        <v>126</v>
      </c>
      <c r="U33" s="69" t="n"/>
      <c r="V33" s="69" t="n"/>
    </row>
    <row r="34">
      <c r="F34" s="47" t="inlineStr">
        <is>
          <t>Otisville Village</t>
        </is>
      </c>
      <c r="G34" s="69" t="n">
        <v>500</v>
      </c>
      <c r="H34" s="69" t="n">
        <v>0</v>
      </c>
      <c r="I34" s="68" t="n">
        <v>97</v>
      </c>
      <c r="J34" s="69" t="n">
        <v>25</v>
      </c>
      <c r="K34" s="69" t="n">
        <v>6</v>
      </c>
      <c r="L34" s="69" t="n">
        <v>35</v>
      </c>
      <c r="M34" s="69" t="n">
        <v>45</v>
      </c>
      <c r="N34" s="69" t="n">
        <v>0</v>
      </c>
      <c r="O34" s="69" t="n">
        <v>17</v>
      </c>
      <c r="P34" s="69" t="n">
        <v>36</v>
      </c>
      <c r="Q34" s="69" t="n">
        <v>142</v>
      </c>
      <c r="R34" s="69" t="n">
        <v>52</v>
      </c>
      <c r="S34" s="69" t="n">
        <v>27</v>
      </c>
      <c r="T34" s="69" t="n">
        <v>18</v>
      </c>
      <c r="U34" s="69" t="n"/>
      <c r="V34" s="69" t="n"/>
    </row>
    <row r="35">
      <c r="F35" s="78" t="inlineStr">
        <is>
          <t>Newburgh City</t>
        </is>
      </c>
      <c r="G35" s="74" t="n">
        <v>12879</v>
      </c>
      <c r="H35" s="69" t="n">
        <v>83</v>
      </c>
      <c r="I35" s="68" t="n">
        <v>833</v>
      </c>
      <c r="J35" s="69" t="n">
        <v>848</v>
      </c>
      <c r="K35" s="69" t="n">
        <v>621</v>
      </c>
      <c r="L35" s="74" t="n">
        <v>2230</v>
      </c>
      <c r="M35" s="74" t="n">
        <v>1065</v>
      </c>
      <c r="N35" s="69" t="n">
        <v>169</v>
      </c>
      <c r="O35" s="69" t="n">
        <v>467</v>
      </c>
      <c r="P35" s="69" t="n">
        <v>947</v>
      </c>
      <c r="Q35" s="74" t="n">
        <v>3036</v>
      </c>
      <c r="R35" s="74" t="n">
        <v>1223</v>
      </c>
      <c r="S35" s="69" t="n">
        <v>476</v>
      </c>
      <c r="T35" s="69" t="n">
        <v>881</v>
      </c>
      <c r="U35" s="69" t="n"/>
      <c r="V35" s="69" t="n"/>
    </row>
    <row r="36">
      <c r="F36" s="78" t="inlineStr">
        <is>
          <t>Newburgh Town</t>
        </is>
      </c>
      <c r="G36" s="74" t="n">
        <v>15856</v>
      </c>
      <c r="H36" s="69" t="n">
        <v>104</v>
      </c>
      <c r="I36" s="28" t="n">
        <v>1317</v>
      </c>
      <c r="J36" s="69" t="n">
        <v>684</v>
      </c>
      <c r="K36" s="69" t="n">
        <v>352</v>
      </c>
      <c r="L36" s="74" t="n">
        <v>1932</v>
      </c>
      <c r="M36" s="69" t="n">
        <v>930</v>
      </c>
      <c r="N36" s="69" t="n">
        <v>242</v>
      </c>
      <c r="O36" s="69" t="n">
        <v>871</v>
      </c>
      <c r="P36" s="74" t="n">
        <v>1593</v>
      </c>
      <c r="Q36" s="74" t="n">
        <v>4907</v>
      </c>
      <c r="R36" s="74" t="n">
        <v>1191</v>
      </c>
      <c r="S36" s="69" t="n">
        <v>817</v>
      </c>
      <c r="T36" s="69" t="n">
        <v>916</v>
      </c>
      <c r="U36" s="69" t="n"/>
      <c r="V36" s="69" t="n"/>
    </row>
    <row r="37">
      <c r="F37" s="78" t="inlineStr">
        <is>
          <t>New Windsor Town</t>
        </is>
      </c>
      <c r="G37" s="74" t="n">
        <v>13668</v>
      </c>
      <c r="H37" s="69" t="n">
        <v>129</v>
      </c>
      <c r="I37" s="68" t="n">
        <v>746</v>
      </c>
      <c r="J37" s="69" t="n">
        <v>666</v>
      </c>
      <c r="K37" s="69" t="n">
        <v>438</v>
      </c>
      <c r="L37" s="74" t="n">
        <v>1508</v>
      </c>
      <c r="M37" s="74" t="n">
        <v>1103</v>
      </c>
      <c r="N37" s="69" t="n">
        <v>391</v>
      </c>
      <c r="O37" s="74" t="n">
        <v>1163</v>
      </c>
      <c r="P37" s="74" t="n">
        <v>1120</v>
      </c>
      <c r="Q37" s="74" t="n">
        <v>3727</v>
      </c>
      <c r="R37" s="69" t="n">
        <v>672</v>
      </c>
      <c r="S37" s="74" t="n">
        <v>1092</v>
      </c>
      <c r="T37" s="69" t="n">
        <v>913</v>
      </c>
      <c r="U37" s="69" t="n"/>
      <c r="V37" s="69" t="n"/>
    </row>
    <row r="38">
      <c r="F38" s="78" t="inlineStr">
        <is>
          <t>Palm Tree Town</t>
        </is>
      </c>
      <c r="G38" s="74" t="n">
        <v>8525</v>
      </c>
      <c r="H38" s="69" t="n">
        <v>43</v>
      </c>
      <c r="I38" s="69" t="n">
        <v>652</v>
      </c>
      <c r="J38" s="74" t="n">
        <v>1012</v>
      </c>
      <c r="K38" s="69" t="n">
        <v>506</v>
      </c>
      <c r="L38" s="74" t="n">
        <v>1314</v>
      </c>
      <c r="M38" s="69" t="n">
        <v>168</v>
      </c>
      <c r="N38" s="69" t="n">
        <v>37</v>
      </c>
      <c r="O38" s="69" t="n">
        <v>757</v>
      </c>
      <c r="P38" s="74" t="n">
        <v>1083</v>
      </c>
      <c r="Q38" s="74" t="n">
        <v>2531</v>
      </c>
      <c r="R38" s="69" t="n">
        <v>171</v>
      </c>
      <c r="S38" s="69" t="n">
        <v>68</v>
      </c>
      <c r="T38" s="69" t="n">
        <v>183</v>
      </c>
      <c r="U38" s="69" t="n"/>
      <c r="V38" s="69" t="n"/>
    </row>
    <row r="39">
      <c r="F39" s="49" t="inlineStr">
        <is>
          <t>Kiryas Joel Village</t>
        </is>
      </c>
      <c r="G39" s="74" t="n">
        <v>8525</v>
      </c>
      <c r="H39" s="69" t="n">
        <v>43</v>
      </c>
      <c r="I39" s="69" t="n">
        <v>652</v>
      </c>
      <c r="J39" s="74" t="n">
        <v>1012</v>
      </c>
      <c r="K39" s="69" t="n">
        <v>506</v>
      </c>
      <c r="L39" s="74" t="n">
        <v>1314</v>
      </c>
      <c r="M39" s="69" t="n">
        <v>168</v>
      </c>
      <c r="N39" s="69" t="n">
        <v>37</v>
      </c>
      <c r="O39" s="69" t="n">
        <v>757</v>
      </c>
      <c r="P39" s="74" t="n">
        <v>1083</v>
      </c>
      <c r="Q39" s="74" t="n">
        <v>2531</v>
      </c>
      <c r="R39" s="69" t="n">
        <v>171</v>
      </c>
      <c r="S39" s="69" t="n">
        <v>68</v>
      </c>
      <c r="T39" s="69" t="n">
        <v>183</v>
      </c>
      <c r="U39" s="69" t="n"/>
      <c r="V39" s="69" t="n"/>
    </row>
    <row r="40">
      <c r="F40" s="26" t="inlineStr">
        <is>
          <t>Port Jervis City</t>
        </is>
      </c>
      <c r="G40" s="74" t="n">
        <v>3697</v>
      </c>
      <c r="H40" s="69" t="n">
        <v>0</v>
      </c>
      <c r="I40" s="69" t="n">
        <v>454</v>
      </c>
      <c r="J40" s="69" t="n">
        <v>675</v>
      </c>
      <c r="K40" s="69" t="n">
        <v>59</v>
      </c>
      <c r="L40" s="69" t="n">
        <v>555</v>
      </c>
      <c r="M40" s="69" t="n">
        <v>174</v>
      </c>
      <c r="N40" s="69" t="n">
        <v>32</v>
      </c>
      <c r="O40" s="69" t="n">
        <v>81</v>
      </c>
      <c r="P40" s="69" t="n">
        <v>314</v>
      </c>
      <c r="Q40" s="69" t="n">
        <v>842</v>
      </c>
      <c r="R40" s="69" t="n">
        <v>310</v>
      </c>
      <c r="S40" s="69" t="n">
        <v>93</v>
      </c>
      <c r="T40" s="69" t="n">
        <v>108</v>
      </c>
      <c r="U40" s="69" t="n"/>
      <c r="V40" s="69" t="n"/>
    </row>
    <row r="41">
      <c r="F41" s="16" t="inlineStr">
        <is>
          <t>Tuxedo Town</t>
        </is>
      </c>
      <c r="G41" s="74" t="n">
        <v>1883</v>
      </c>
      <c r="H41" s="69" t="n">
        <v>0</v>
      </c>
      <c r="I41" s="69" t="n">
        <v>78</v>
      </c>
      <c r="J41" s="69" t="n">
        <v>82</v>
      </c>
      <c r="K41" s="69" t="n">
        <v>66</v>
      </c>
      <c r="L41" s="69" t="n">
        <v>238</v>
      </c>
      <c r="M41" s="69" t="n">
        <v>53</v>
      </c>
      <c r="N41" s="69" t="n">
        <v>54</v>
      </c>
      <c r="O41" s="69" t="n">
        <v>265</v>
      </c>
      <c r="P41" s="69" t="n">
        <v>284</v>
      </c>
      <c r="Q41" s="69" t="n">
        <v>422</v>
      </c>
      <c r="R41" s="69" t="n">
        <v>113</v>
      </c>
      <c r="S41" s="69" t="n">
        <v>138</v>
      </c>
      <c r="T41" s="69" t="n">
        <v>90</v>
      </c>
      <c r="U41" s="69" t="n"/>
      <c r="V41" s="69" t="n"/>
    </row>
    <row r="42">
      <c r="F42" s="47" t="inlineStr">
        <is>
          <t>Tuxedo Village</t>
        </is>
      </c>
      <c r="G42" s="74" t="n">
        <v>1494</v>
      </c>
      <c r="H42" s="69" t="n">
        <v>0</v>
      </c>
      <c r="I42" s="69" t="n">
        <v>69</v>
      </c>
      <c r="J42" s="69" t="n">
        <v>76</v>
      </c>
      <c r="K42" s="69" t="n">
        <v>60</v>
      </c>
      <c r="L42" s="69" t="n">
        <v>223</v>
      </c>
      <c r="M42" s="69" t="n">
        <v>49</v>
      </c>
      <c r="N42" s="69" t="n">
        <v>49</v>
      </c>
      <c r="O42" s="69" t="n">
        <v>73</v>
      </c>
      <c r="P42" s="69" t="n">
        <v>229</v>
      </c>
      <c r="Q42" s="69" t="n">
        <v>348</v>
      </c>
      <c r="R42" s="69" t="n">
        <v>93</v>
      </c>
      <c r="S42" s="69" t="n">
        <v>135</v>
      </c>
      <c r="T42" s="69" t="n">
        <v>90</v>
      </c>
      <c r="U42" s="69" t="n"/>
      <c r="V42" s="69" t="n"/>
    </row>
    <row r="43">
      <c r="F43" s="47" t="inlineStr">
        <is>
          <t>Tuxedo Park Village</t>
        </is>
      </c>
      <c r="G43" s="69" t="n">
        <v>389</v>
      </c>
      <c r="H43" s="69" t="n">
        <v>0</v>
      </c>
      <c r="I43" s="69" t="n">
        <v>9</v>
      </c>
      <c r="J43" s="69" t="n">
        <v>6</v>
      </c>
      <c r="K43" s="69" t="n">
        <v>6</v>
      </c>
      <c r="L43" s="69" t="n">
        <v>15</v>
      </c>
      <c r="M43" s="69" t="n">
        <v>4</v>
      </c>
      <c r="N43" s="69" t="n">
        <v>5</v>
      </c>
      <c r="O43" s="69" t="n">
        <v>192</v>
      </c>
      <c r="P43" s="69" t="n">
        <v>55</v>
      </c>
      <c r="Q43" s="69" t="n">
        <v>74</v>
      </c>
      <c r="R43" s="69" t="n">
        <v>20</v>
      </c>
      <c r="S43" s="69" t="n">
        <v>3</v>
      </c>
      <c r="T43" s="69" t="n">
        <v>0</v>
      </c>
      <c r="U43" s="69" t="n"/>
      <c r="V43" s="69" t="n"/>
    </row>
    <row r="44">
      <c r="F44" s="16" t="inlineStr">
        <is>
          <t>Wallkill Town</t>
        </is>
      </c>
      <c r="G44" s="74" t="n">
        <v>15847</v>
      </c>
      <c r="H44" s="69" t="n">
        <v>59</v>
      </c>
      <c r="I44" s="69" t="n">
        <v>968</v>
      </c>
      <c r="J44" s="69" t="n">
        <v>874</v>
      </c>
      <c r="K44" s="69" t="n">
        <v>623</v>
      </c>
      <c r="L44" s="74" t="n">
        <v>2389</v>
      </c>
      <c r="M44" s="74" t="n">
        <v>1335</v>
      </c>
      <c r="N44" s="69" t="n">
        <v>456</v>
      </c>
      <c r="O44" s="69" t="n">
        <v>808</v>
      </c>
      <c r="P44" s="74" t="n">
        <v>1406</v>
      </c>
      <c r="Q44" s="74" t="n">
        <v>4245</v>
      </c>
      <c r="R44" s="74" t="n">
        <v>1230</v>
      </c>
      <c r="S44" s="69" t="n">
        <v>830</v>
      </c>
      <c r="T44" s="69" t="n">
        <v>624</v>
      </c>
      <c r="U44" s="69" t="n"/>
      <c r="V44" s="69" t="n"/>
    </row>
    <row r="45">
      <c r="F45" s="16" t="inlineStr">
        <is>
          <t>Warwick Town</t>
        </is>
      </c>
      <c r="G45" s="74" t="n">
        <v>16321</v>
      </c>
      <c r="H45" s="69" t="n">
        <v>167</v>
      </c>
      <c r="I45" s="74" t="n">
        <v>1590</v>
      </c>
      <c r="J45" s="74" t="n">
        <v>1203</v>
      </c>
      <c r="K45" s="69" t="n">
        <v>456</v>
      </c>
      <c r="L45" s="74" t="n">
        <v>1586</v>
      </c>
      <c r="M45" s="69" t="n">
        <v>758</v>
      </c>
      <c r="N45" s="69" t="n">
        <v>445</v>
      </c>
      <c r="O45" s="74" t="n">
        <v>1228</v>
      </c>
      <c r="P45" s="74" t="n">
        <v>1858</v>
      </c>
      <c r="Q45" s="74" t="n">
        <v>4420</v>
      </c>
      <c r="R45" s="74" t="n">
        <v>1086</v>
      </c>
      <c r="S45" s="74" t="n">
        <v>1009</v>
      </c>
      <c r="T45" s="69" t="n">
        <v>515</v>
      </c>
      <c r="U45" s="69" t="n"/>
      <c r="V45" s="69" t="n"/>
    </row>
    <row r="46">
      <c r="F46" s="47" t="inlineStr">
        <is>
          <t>Florida Village</t>
        </is>
      </c>
      <c r="G46" s="74" t="n">
        <v>1510</v>
      </c>
      <c r="H46" s="69" t="n">
        <v>7</v>
      </c>
      <c r="I46" s="69" t="n">
        <v>172</v>
      </c>
      <c r="J46" s="69" t="n">
        <v>145</v>
      </c>
      <c r="K46" s="69" t="n">
        <v>33</v>
      </c>
      <c r="L46" s="69" t="n">
        <v>208</v>
      </c>
      <c r="M46" s="69" t="n">
        <v>115</v>
      </c>
      <c r="N46" s="69" t="n">
        <v>28</v>
      </c>
      <c r="O46" s="69" t="n">
        <v>98</v>
      </c>
      <c r="P46" s="69" t="n">
        <v>85</v>
      </c>
      <c r="Q46" s="69" t="n">
        <v>308</v>
      </c>
      <c r="R46" s="69" t="n">
        <v>104</v>
      </c>
      <c r="S46" s="69" t="n">
        <v>105</v>
      </c>
      <c r="T46" s="69" t="n">
        <v>102</v>
      </c>
      <c r="U46" s="69" t="n"/>
      <c r="V46" s="69" t="n"/>
    </row>
    <row r="47">
      <c r="F47" s="47" t="inlineStr">
        <is>
          <t>Greenwood Lake Village</t>
        </is>
      </c>
      <c r="G47" s="74" t="n">
        <v>1398</v>
      </c>
      <c r="H47" s="69" t="n">
        <v>0</v>
      </c>
      <c r="I47" s="69" t="n">
        <v>118</v>
      </c>
      <c r="J47" s="69" t="n">
        <v>108</v>
      </c>
      <c r="K47" s="69" t="n">
        <v>16</v>
      </c>
      <c r="L47" s="69" t="n">
        <v>163</v>
      </c>
      <c r="M47" s="69" t="n">
        <v>63</v>
      </c>
      <c r="N47" s="69" t="n">
        <v>57</v>
      </c>
      <c r="O47" s="69" t="n">
        <v>47</v>
      </c>
      <c r="P47" s="69" t="n">
        <v>244</v>
      </c>
      <c r="Q47" s="69" t="n">
        <v>305</v>
      </c>
      <c r="R47" s="69" t="n">
        <v>79</v>
      </c>
      <c r="S47" s="69" t="n">
        <v>125</v>
      </c>
      <c r="T47" s="69" t="n">
        <v>73</v>
      </c>
      <c r="U47" s="69" t="n"/>
      <c r="V47" s="69" t="n"/>
    </row>
    <row r="48">
      <c r="F48" s="47" t="inlineStr">
        <is>
          <t>Warwick Village</t>
        </is>
      </c>
      <c r="G48" s="74" t="n">
        <v>3121</v>
      </c>
      <c r="H48" s="69" t="n">
        <v>32</v>
      </c>
      <c r="I48" s="69" t="n">
        <v>201</v>
      </c>
      <c r="J48" s="69" t="n">
        <v>132</v>
      </c>
      <c r="K48" s="69" t="n">
        <v>55</v>
      </c>
      <c r="L48" s="69" t="n">
        <v>184</v>
      </c>
      <c r="M48" s="69" t="n">
        <v>113</v>
      </c>
      <c r="N48" s="69" t="n">
        <v>53</v>
      </c>
      <c r="O48" s="69" t="n">
        <v>281</v>
      </c>
      <c r="P48" s="69" t="n">
        <v>452</v>
      </c>
      <c r="Q48" s="74" t="n">
        <v>1254</v>
      </c>
      <c r="R48" s="69" t="n">
        <v>212</v>
      </c>
      <c r="S48" s="69" t="n">
        <v>101</v>
      </c>
      <c r="T48" s="69" t="n">
        <v>51</v>
      </c>
      <c r="U48" s="69" t="n"/>
      <c r="V48" s="69" t="n"/>
    </row>
    <row r="49">
      <c r="F49" s="16" t="inlineStr">
        <is>
          <t>Wawayanda Town</t>
        </is>
      </c>
      <c r="G49" s="74" t="n">
        <v>3790</v>
      </c>
      <c r="H49" s="69" t="n">
        <v>12</v>
      </c>
      <c r="I49" s="69" t="n">
        <v>183</v>
      </c>
      <c r="J49" s="69" t="n">
        <v>409</v>
      </c>
      <c r="K49" s="69" t="n">
        <v>123</v>
      </c>
      <c r="L49" s="69" t="n">
        <v>398</v>
      </c>
      <c r="M49" s="69" t="n">
        <v>210</v>
      </c>
      <c r="N49" s="69" t="n">
        <v>85</v>
      </c>
      <c r="O49" s="69" t="n">
        <v>203</v>
      </c>
      <c r="P49" s="69" t="n">
        <v>330</v>
      </c>
      <c r="Q49" s="74" t="n">
        <v>1361</v>
      </c>
      <c r="R49" s="69" t="n">
        <v>122</v>
      </c>
      <c r="S49" s="69" t="n">
        <v>260</v>
      </c>
      <c r="T49" s="69" t="n">
        <v>94</v>
      </c>
      <c r="U49" s="69" t="n"/>
      <c r="V49" s="69" t="n"/>
    </row>
    <row r="50">
      <c r="F50" s="16" t="inlineStr">
        <is>
          <t>Woodbury Town</t>
        </is>
      </c>
      <c r="G50" s="74" t="n">
        <v>5754</v>
      </c>
      <c r="H50" s="69" t="n">
        <v>0</v>
      </c>
      <c r="I50" s="69" t="n">
        <v>393</v>
      </c>
      <c r="J50" s="69" t="n">
        <v>192</v>
      </c>
      <c r="K50" s="69" t="n">
        <v>107</v>
      </c>
      <c r="L50" s="69" t="n">
        <v>800</v>
      </c>
      <c r="M50" s="69" t="n">
        <v>490</v>
      </c>
      <c r="N50" s="69" t="n">
        <v>211</v>
      </c>
      <c r="O50" s="69" t="n">
        <v>384</v>
      </c>
      <c r="P50" s="69" t="n">
        <v>876</v>
      </c>
      <c r="Q50" s="74" t="n">
        <v>1536</v>
      </c>
      <c r="R50" s="69" t="n">
        <v>296</v>
      </c>
      <c r="S50" s="69" t="n">
        <v>282</v>
      </c>
      <c r="T50" s="69" t="n">
        <v>187</v>
      </c>
      <c r="U50" s="69" t="n"/>
      <c r="V50" s="69" t="n"/>
    </row>
    <row r="51">
      <c r="F51" s="47" t="inlineStr">
        <is>
          <t>Harriman Village (portion)</t>
        </is>
      </c>
      <c r="G51" s="69" t="n">
        <v>466</v>
      </c>
      <c r="H51" s="69" t="n">
        <v>0</v>
      </c>
      <c r="I51" s="69" t="n">
        <v>0</v>
      </c>
      <c r="J51" s="69" t="n">
        <v>22</v>
      </c>
      <c r="K51" s="69" t="n">
        <v>9</v>
      </c>
      <c r="L51" s="69" t="n">
        <v>173</v>
      </c>
      <c r="M51" s="69" t="n">
        <v>46</v>
      </c>
      <c r="N51" s="69" t="n">
        <v>29</v>
      </c>
      <c r="O51" s="69" t="n">
        <v>35</v>
      </c>
      <c r="P51" s="69" t="n">
        <v>47</v>
      </c>
      <c r="Q51" s="69" t="n">
        <v>72</v>
      </c>
      <c r="R51" s="69" t="n">
        <v>7</v>
      </c>
      <c r="S51" s="69" t="n">
        <v>13</v>
      </c>
      <c r="T51" s="69" t="n">
        <v>13</v>
      </c>
      <c r="U51" s="69" t="n"/>
      <c r="V51" s="69" t="n"/>
    </row>
    <row r="52">
      <c r="F52" s="47" t="inlineStr">
        <is>
          <t>Woodbury Village</t>
        </is>
      </c>
      <c r="G52" s="74" t="n">
        <v>5288</v>
      </c>
      <c r="H52" s="69" t="n">
        <v>0</v>
      </c>
      <c r="I52" s="69" t="n">
        <v>393</v>
      </c>
      <c r="J52" s="69" t="n">
        <v>170</v>
      </c>
      <c r="K52" s="69" t="n">
        <v>98</v>
      </c>
      <c r="L52" s="69" t="n">
        <v>627</v>
      </c>
      <c r="M52" s="69" t="n">
        <v>444</v>
      </c>
      <c r="N52" s="69" t="n">
        <v>182</v>
      </c>
      <c r="O52" s="69" t="n">
        <v>349</v>
      </c>
      <c r="P52" s="69" t="n">
        <v>829</v>
      </c>
      <c r="Q52" s="74" t="n">
        <v>1464</v>
      </c>
      <c r="R52" s="69" t="n">
        <v>289</v>
      </c>
      <c r="S52" s="69" t="n">
        <v>269</v>
      </c>
      <c r="T52" s="69" t="n">
        <v>174</v>
      </c>
      <c r="U52" s="69" t="n"/>
      <c r="V52" s="69"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37.7109375" bestFit="1" customWidth="1" style="91" min="8" max="8"/>
    <col width="8.85546875" bestFit="1" customWidth="1" style="91" min="9" max="9"/>
    <col width="15.28515625" bestFit="1" customWidth="1" style="91" min="10" max="10"/>
    <col width="43" bestFit="1" customWidth="1" style="91" min="11" max="11"/>
    <col width="41.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Employed Civilian Occupations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Civilian Employed Population Age 16+</t>
        </is>
      </c>
      <c r="H5" s="68" t="inlineStr">
        <is>
          <t>Occupations</t>
        </is>
      </c>
    </row>
    <row r="6" ht="15" customHeight="1" s="91">
      <c r="A6" t="inlineStr">
        <is>
          <t>Multilevel Headers</t>
        </is>
      </c>
      <c r="B6" t="b">
        <v>1</v>
      </c>
      <c r="H6" s="68" t="inlineStr">
        <is>
          <t>Management, Business, Science and Arts</t>
        </is>
      </c>
      <c r="I6" s="68" t="inlineStr">
        <is>
          <t>Service</t>
        </is>
      </c>
      <c r="J6" s="68" t="inlineStr">
        <is>
          <t>Sales and Office</t>
        </is>
      </c>
      <c r="K6" s="68" t="inlineStr">
        <is>
          <t>Natural Resources, Construction, Maintenance</t>
        </is>
      </c>
      <c r="L6" s="68" t="inlineStr">
        <is>
          <t>Production, Transportation, Material Moving</t>
        </is>
      </c>
    </row>
    <row r="7" ht="15.75" customHeight="1" s="91">
      <c r="F7" t="inlineStr">
        <is>
          <t>Orange County</t>
        </is>
      </c>
      <c r="G7" s="28" t="n">
        <v>184167</v>
      </c>
      <c r="H7" s="28" t="n">
        <v>74036</v>
      </c>
      <c r="I7" s="28" t="n">
        <v>32806</v>
      </c>
      <c r="J7" s="28" t="n">
        <v>40121</v>
      </c>
      <c r="K7" s="28" t="n">
        <v>16708</v>
      </c>
      <c r="L7" s="28" t="n">
        <v>20496</v>
      </c>
      <c r="M7" s="69" t="n"/>
      <c r="N7" s="69" t="n"/>
      <c r="O7" s="69" t="n"/>
    </row>
    <row r="8">
      <c r="F8" t="inlineStr">
        <is>
          <t>Blooming Grove Town</t>
        </is>
      </c>
      <c r="G8" s="28" t="n">
        <v>8167</v>
      </c>
      <c r="H8" s="28" t="n">
        <v>3370</v>
      </c>
      <c r="I8" s="28" t="n">
        <v>1503</v>
      </c>
      <c r="J8" s="28" t="n">
        <v>1872</v>
      </c>
      <c r="K8" s="68" t="n">
        <v>950</v>
      </c>
      <c r="L8" s="68" t="n">
        <v>472</v>
      </c>
      <c r="M8" s="69" t="n"/>
      <c r="N8" s="69" t="n"/>
      <c r="O8" s="69" t="n"/>
    </row>
    <row r="9">
      <c r="A9" s="71" t="inlineStr">
        <is>
          <t>Figure Rules</t>
        </is>
      </c>
      <c r="F9" t="inlineStr">
        <is>
          <t>South Blooming Grove Village</t>
        </is>
      </c>
      <c r="G9" s="28" t="n">
        <v>1268</v>
      </c>
      <c r="H9" s="68" t="n">
        <v>550</v>
      </c>
      <c r="I9" s="68" t="n">
        <v>194</v>
      </c>
      <c r="J9" s="68" t="n">
        <v>339</v>
      </c>
      <c r="K9" s="68" t="n">
        <v>118</v>
      </c>
      <c r="L9" s="68" t="n">
        <v>67</v>
      </c>
      <c r="M9" s="69" t="n"/>
      <c r="N9" s="69" t="n"/>
      <c r="O9" s="69" t="n"/>
    </row>
    <row r="10">
      <c r="A10" t="inlineStr">
        <is>
          <t>Figure Type</t>
        </is>
      </c>
      <c r="F10" t="inlineStr">
        <is>
          <t>Washingtonville Village</t>
        </is>
      </c>
      <c r="G10" s="28" t="n">
        <v>2827</v>
      </c>
      <c r="H10" s="28" t="n">
        <v>1117</v>
      </c>
      <c r="I10" s="68" t="n">
        <v>695</v>
      </c>
      <c r="J10" s="68" t="n">
        <v>695</v>
      </c>
      <c r="K10" s="68" t="n">
        <v>195</v>
      </c>
      <c r="L10" s="68" t="n">
        <v>125</v>
      </c>
    </row>
    <row r="11">
      <c r="A11" t="inlineStr">
        <is>
          <t>X Column</t>
        </is>
      </c>
      <c r="F11" t="inlineStr">
        <is>
          <t>Chester Town</t>
        </is>
      </c>
      <c r="G11" s="28" t="n">
        <v>6888</v>
      </c>
      <c r="H11" s="28" t="n">
        <v>3206</v>
      </c>
      <c r="I11" s="68" t="n">
        <v>741</v>
      </c>
      <c r="J11" s="28" t="n">
        <v>1792</v>
      </c>
      <c r="K11" s="68" t="n">
        <v>447</v>
      </c>
      <c r="L11" s="68" t="n">
        <v>702</v>
      </c>
      <c r="M11" s="68" t="n"/>
      <c r="N11" s="68" t="n"/>
    </row>
    <row r="12">
      <c r="A12" t="inlineStr">
        <is>
          <t>Y Column</t>
        </is>
      </c>
      <c r="F12" s="21" t="inlineStr">
        <is>
          <t>Chester Village</t>
        </is>
      </c>
      <c r="G12" s="28" t="n">
        <v>2488</v>
      </c>
      <c r="H12" s="68" t="n">
        <v>927</v>
      </c>
      <c r="I12" s="68" t="n">
        <v>295</v>
      </c>
      <c r="J12" s="68" t="n">
        <v>824</v>
      </c>
      <c r="K12" s="68" t="n">
        <v>125</v>
      </c>
      <c r="L12" s="68" t="n">
        <v>317</v>
      </c>
    </row>
    <row r="13">
      <c r="A13" t="inlineStr">
        <is>
          <t>X Axis Title</t>
        </is>
      </c>
      <c r="F13" t="inlineStr">
        <is>
          <t>Cornwall Town</t>
        </is>
      </c>
      <c r="G13" s="28" t="n">
        <v>6425</v>
      </c>
      <c r="H13" s="28" t="n">
        <v>3459</v>
      </c>
      <c r="I13" s="68" t="n">
        <v>930</v>
      </c>
      <c r="J13" s="28" t="n">
        <v>1116</v>
      </c>
      <c r="K13" s="68" t="n">
        <v>522</v>
      </c>
      <c r="L13" s="68" t="n">
        <v>398</v>
      </c>
    </row>
    <row r="14">
      <c r="A14" t="inlineStr">
        <is>
          <t>Y Axis Title</t>
        </is>
      </c>
      <c r="F14" t="inlineStr">
        <is>
          <t>Cornwall-on-Hudson Village</t>
        </is>
      </c>
      <c r="G14" s="28" t="n">
        <v>1656</v>
      </c>
      <c r="H14" s="68" t="n">
        <v>885</v>
      </c>
      <c r="I14" s="68" t="n">
        <v>259</v>
      </c>
      <c r="J14" s="68" t="n">
        <v>276</v>
      </c>
      <c r="K14" s="68" t="n">
        <v>83</v>
      </c>
      <c r="L14" s="68" t="n">
        <v>153</v>
      </c>
    </row>
    <row r="15">
      <c r="A15" t="inlineStr">
        <is>
          <t>Start at Zero</t>
        </is>
      </c>
      <c r="F15" t="inlineStr">
        <is>
          <t>Crawford Town</t>
        </is>
      </c>
      <c r="G15" s="28" t="n">
        <v>5000</v>
      </c>
      <c r="H15" s="28" t="n">
        <v>2041</v>
      </c>
      <c r="I15" s="68" t="n">
        <v>842</v>
      </c>
      <c r="J15" s="28" t="n">
        <v>1090</v>
      </c>
      <c r="K15" s="68" t="n">
        <v>588</v>
      </c>
      <c r="L15" s="68" t="n">
        <v>439</v>
      </c>
    </row>
    <row r="16">
      <c r="A16" t="inlineStr">
        <is>
          <t>Pivot For Chart</t>
        </is>
      </c>
      <c r="F16" t="inlineStr">
        <is>
          <t>Deerpark Town</t>
        </is>
      </c>
      <c r="G16" s="28" t="n">
        <v>3207</v>
      </c>
      <c r="H16" s="68" t="n">
        <v>915</v>
      </c>
      <c r="I16" s="68" t="n">
        <v>505</v>
      </c>
      <c r="J16" s="28" t="n">
        <v>1094</v>
      </c>
      <c r="K16" s="68" t="n">
        <v>267</v>
      </c>
      <c r="L16" s="68" t="n">
        <v>426</v>
      </c>
    </row>
    <row r="17">
      <c r="F17" t="inlineStr">
        <is>
          <t>Goshen Town</t>
        </is>
      </c>
      <c r="G17" s="28" t="n">
        <v>6373</v>
      </c>
      <c r="H17" s="28" t="n">
        <v>3107</v>
      </c>
      <c r="I17" s="68" t="n">
        <v>948</v>
      </c>
      <c r="J17" s="28" t="n">
        <v>1322</v>
      </c>
      <c r="K17" s="68" t="n">
        <v>558</v>
      </c>
      <c r="L17" s="68" t="n">
        <v>438</v>
      </c>
    </row>
    <row r="18">
      <c r="A18" s="71" t="inlineStr">
        <is>
          <t>Source Specifications</t>
        </is>
      </c>
      <c r="F18" t="inlineStr">
        <is>
          <t>Goshen Village</t>
        </is>
      </c>
      <c r="G18" s="28" t="n">
        <v>2703</v>
      </c>
      <c r="H18" s="28" t="n">
        <v>1151</v>
      </c>
      <c r="I18" s="68" t="n">
        <v>600</v>
      </c>
      <c r="J18" s="68" t="n">
        <v>486</v>
      </c>
      <c r="K18" s="68" t="n">
        <v>199</v>
      </c>
      <c r="L18" s="68"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28" t="n">
        <v>2563</v>
      </c>
      <c r="H19" s="28" t="n">
        <v>1131</v>
      </c>
      <c r="I19" s="68" t="n">
        <v>450</v>
      </c>
      <c r="J19" s="68" t="n">
        <v>410</v>
      </c>
      <c r="K19" s="68" t="n">
        <v>182</v>
      </c>
      <c r="L19" s="68" t="n">
        <v>390</v>
      </c>
    </row>
    <row r="20">
      <c r="F20" s="69" t="inlineStr">
        <is>
          <t>Hamptonburgh Town</t>
        </is>
      </c>
      <c r="G20" s="28" t="n">
        <v>2495</v>
      </c>
      <c r="H20" s="68" t="n">
        <v>998</v>
      </c>
      <c r="I20" s="68" t="n">
        <v>421</v>
      </c>
      <c r="J20" s="68" t="n">
        <v>408</v>
      </c>
      <c r="K20" s="68" t="n">
        <v>450</v>
      </c>
      <c r="L20" s="68" t="n">
        <v>218</v>
      </c>
    </row>
    <row r="21">
      <c r="A21" s="69" t="inlineStr">
        <is>
          <t>Note Specfications</t>
        </is>
      </c>
      <c r="F21" s="69" t="inlineStr">
        <is>
          <t>Highlands Town</t>
        </is>
      </c>
      <c r="G21" s="28" t="n">
        <v>4373</v>
      </c>
      <c r="H21" s="28" t="n">
        <v>1906</v>
      </c>
      <c r="I21" s="68" t="n">
        <v>661</v>
      </c>
      <c r="J21" s="68" t="n">
        <v>934</v>
      </c>
      <c r="K21" s="68" t="n">
        <v>325</v>
      </c>
      <c r="L21" s="68" t="n">
        <v>547</v>
      </c>
    </row>
    <row r="22">
      <c r="A22" t="inlineStr">
        <is>
          <t xml:space="preserve">Note </t>
        </is>
      </c>
      <c r="B22" t="inlineStr">
        <is>
          <t>Note: Town totals include Village totals. Occupation titles and their 4-digit codes are based on the 2018 Standard Occupational Classification.</t>
        </is>
      </c>
      <c r="F22" s="69" t="inlineStr">
        <is>
          <t>Highland Falls Village</t>
        </is>
      </c>
      <c r="G22" s="28" t="n">
        <v>1770</v>
      </c>
      <c r="H22" s="68" t="n">
        <v>809</v>
      </c>
      <c r="I22" s="68" t="n">
        <v>321</v>
      </c>
      <c r="J22" s="68" t="n">
        <v>245</v>
      </c>
      <c r="K22" s="68" t="n">
        <v>146</v>
      </c>
      <c r="L22" s="68" t="n">
        <v>249</v>
      </c>
    </row>
    <row r="23">
      <c r="F23" s="69" t="inlineStr">
        <is>
          <t>Middletown City</t>
        </is>
      </c>
      <c r="G23" s="28" t="n">
        <v>13664</v>
      </c>
      <c r="H23" s="28" t="n">
        <v>4662</v>
      </c>
      <c r="I23" s="28" t="n">
        <v>2868</v>
      </c>
      <c r="J23" s="28" t="n">
        <v>3059</v>
      </c>
      <c r="K23" s="28" t="n">
        <v>1397</v>
      </c>
      <c r="L23" s="28" t="n">
        <v>1678</v>
      </c>
    </row>
    <row r="24">
      <c r="F24" t="inlineStr">
        <is>
          <t>Minisink Town</t>
        </is>
      </c>
      <c r="G24" s="28" t="n">
        <v>2456</v>
      </c>
      <c r="H24" s="28" t="n">
        <v>1153</v>
      </c>
      <c r="I24" s="68" t="n">
        <v>384</v>
      </c>
      <c r="J24" s="68" t="n">
        <v>617</v>
      </c>
      <c r="K24" s="68" t="n">
        <v>110</v>
      </c>
      <c r="L24" s="68" t="n">
        <v>192</v>
      </c>
    </row>
    <row r="25">
      <c r="F25" s="69" t="inlineStr">
        <is>
          <t>Unionville Village</t>
        </is>
      </c>
      <c r="G25" s="68" t="n">
        <v>368</v>
      </c>
      <c r="H25" s="68" t="n">
        <v>180</v>
      </c>
      <c r="I25" s="68" t="n">
        <v>15</v>
      </c>
      <c r="J25" s="68" t="n">
        <v>84</v>
      </c>
      <c r="K25" s="68" t="n">
        <v>38</v>
      </c>
      <c r="L25" s="68" t="n">
        <v>51</v>
      </c>
    </row>
    <row r="26">
      <c r="F26" s="69" t="inlineStr">
        <is>
          <t>Monroe Town</t>
        </is>
      </c>
      <c r="G26" s="28" t="n">
        <v>10354</v>
      </c>
      <c r="H26" s="28" t="n">
        <v>4355</v>
      </c>
      <c r="I26" s="28" t="n">
        <v>2184</v>
      </c>
      <c r="J26" s="28" t="n">
        <v>1856</v>
      </c>
      <c r="K26" s="68" t="n">
        <v>932</v>
      </c>
      <c r="L26" s="28" t="n">
        <v>1027</v>
      </c>
    </row>
    <row r="27">
      <c r="A27" s="69" t="n"/>
      <c r="F27" s="69" t="inlineStr">
        <is>
          <t>Harriman Village (partial)</t>
        </is>
      </c>
      <c r="G27" s="28" t="n">
        <v>1052</v>
      </c>
      <c r="H27" s="68" t="n">
        <v>517</v>
      </c>
      <c r="I27" s="68" t="n">
        <v>198</v>
      </c>
      <c r="J27" s="68" t="n">
        <v>154</v>
      </c>
      <c r="K27" s="68" t="n">
        <v>103</v>
      </c>
      <c r="L27" s="68" t="n">
        <v>80</v>
      </c>
    </row>
    <row r="28">
      <c r="F28" s="69" t="inlineStr">
        <is>
          <t>Monroe Village</t>
        </is>
      </c>
      <c r="G28" s="28" t="n">
        <v>4852</v>
      </c>
      <c r="H28" s="28" t="n">
        <v>1998</v>
      </c>
      <c r="I28" s="28" t="n">
        <v>1004</v>
      </c>
      <c r="J28" s="68" t="n">
        <v>862</v>
      </c>
      <c r="K28" s="68" t="n">
        <v>421</v>
      </c>
      <c r="L28" s="68" t="n">
        <v>567</v>
      </c>
    </row>
    <row r="29">
      <c r="F29" s="69" t="inlineStr">
        <is>
          <t>Montgomery Town</t>
        </is>
      </c>
      <c r="G29" s="28" t="n">
        <v>11292</v>
      </c>
      <c r="H29" s="28" t="n">
        <v>4115</v>
      </c>
      <c r="I29" s="28" t="n">
        <v>1900</v>
      </c>
      <c r="J29" s="28" t="n">
        <v>2529</v>
      </c>
      <c r="K29" s="28" t="n">
        <v>1318</v>
      </c>
      <c r="L29" s="28" t="n">
        <v>1430</v>
      </c>
    </row>
    <row r="30">
      <c r="F30" s="69" t="inlineStr">
        <is>
          <t>Maybrook Village</t>
        </is>
      </c>
      <c r="G30" s="28" t="n">
        <v>1807</v>
      </c>
      <c r="H30" s="68" t="n">
        <v>474</v>
      </c>
      <c r="I30" s="68" t="n">
        <v>342</v>
      </c>
      <c r="J30" s="68" t="n">
        <v>527</v>
      </c>
      <c r="K30" s="68" t="n">
        <v>144</v>
      </c>
      <c r="L30" s="68" t="n">
        <v>320</v>
      </c>
    </row>
    <row r="31">
      <c r="F31" s="69" t="inlineStr">
        <is>
          <t>Montgomery Village</t>
        </is>
      </c>
      <c r="G31" s="28" t="n">
        <v>1871</v>
      </c>
      <c r="H31" s="68" t="n">
        <v>759</v>
      </c>
      <c r="I31" s="68" t="n">
        <v>309</v>
      </c>
      <c r="J31" s="68" t="n">
        <v>423</v>
      </c>
      <c r="K31" s="68" t="n">
        <v>163</v>
      </c>
      <c r="L31" s="68" t="n">
        <v>217</v>
      </c>
    </row>
    <row r="32">
      <c r="F32" t="inlineStr">
        <is>
          <t>Walden Village</t>
        </is>
      </c>
      <c r="G32" s="28" t="n">
        <v>3220</v>
      </c>
      <c r="H32" s="28" t="n">
        <v>1261</v>
      </c>
      <c r="I32" s="68" t="n">
        <v>513</v>
      </c>
      <c r="J32" s="68" t="n">
        <v>676</v>
      </c>
      <c r="K32" s="68" t="n">
        <v>460</v>
      </c>
      <c r="L32" s="68" t="n">
        <v>310</v>
      </c>
    </row>
    <row r="33">
      <c r="F33" s="69" t="inlineStr">
        <is>
          <t>Mount Hope Town</t>
        </is>
      </c>
      <c r="G33" s="28" t="n">
        <v>2690</v>
      </c>
      <c r="H33" s="28" t="n">
        <v>1109</v>
      </c>
      <c r="I33" s="68" t="n">
        <v>454</v>
      </c>
      <c r="J33" s="68" t="n">
        <v>467</v>
      </c>
      <c r="K33" s="68" t="n">
        <v>264</v>
      </c>
      <c r="L33" s="68" t="n">
        <v>396</v>
      </c>
    </row>
    <row r="34">
      <c r="F34" s="69" t="inlineStr">
        <is>
          <t>Otisville Village</t>
        </is>
      </c>
      <c r="G34" s="68" t="n">
        <v>500</v>
      </c>
      <c r="H34" s="68" t="n">
        <v>183</v>
      </c>
      <c r="I34" s="68" t="n">
        <v>69</v>
      </c>
      <c r="J34" s="68" t="n">
        <v>78</v>
      </c>
      <c r="K34" s="68" t="n">
        <v>114</v>
      </c>
      <c r="L34" s="68" t="n">
        <v>56</v>
      </c>
    </row>
    <row r="35">
      <c r="F35" s="69" t="inlineStr">
        <is>
          <t>Newburgh City</t>
        </is>
      </c>
      <c r="G35" s="28" t="n">
        <v>12879</v>
      </c>
      <c r="H35" s="28" t="n">
        <v>3048</v>
      </c>
      <c r="I35" s="28" t="n">
        <v>3600</v>
      </c>
      <c r="J35" s="28" t="n">
        <v>2910</v>
      </c>
      <c r="K35" s="28" t="n">
        <v>1068</v>
      </c>
      <c r="L35" s="28" t="n">
        <v>2253</v>
      </c>
    </row>
    <row r="36">
      <c r="F36" s="69" t="inlineStr">
        <is>
          <t>Newburgh Town</t>
        </is>
      </c>
      <c r="G36" s="28" t="n">
        <v>15856</v>
      </c>
      <c r="H36" s="28" t="n">
        <v>6887</v>
      </c>
      <c r="I36" s="28" t="n">
        <v>3067</v>
      </c>
      <c r="J36" s="28" t="n">
        <v>2789</v>
      </c>
      <c r="K36" s="28" t="n">
        <v>1373</v>
      </c>
      <c r="L36" s="28" t="n">
        <v>1740</v>
      </c>
    </row>
    <row r="37">
      <c r="F37" s="69" t="inlineStr">
        <is>
          <t>New Windsor Town</t>
        </is>
      </c>
      <c r="G37" s="28" t="n">
        <v>13668</v>
      </c>
      <c r="H37" s="28" t="n">
        <v>5591</v>
      </c>
      <c r="I37" s="28" t="n">
        <v>2204</v>
      </c>
      <c r="J37" s="28" t="n">
        <v>3232</v>
      </c>
      <c r="K37" s="28" t="n">
        <v>1162</v>
      </c>
      <c r="L37" s="28" t="n">
        <v>1479</v>
      </c>
    </row>
    <row r="38">
      <c r="F38" t="inlineStr">
        <is>
          <t>Palm Tree Town</t>
        </is>
      </c>
      <c r="G38" s="28" t="n">
        <v>8525</v>
      </c>
      <c r="H38" s="28" t="n">
        <v>3441</v>
      </c>
      <c r="I38" s="68" t="n">
        <v>711</v>
      </c>
      <c r="J38" s="28" t="n">
        <v>3170</v>
      </c>
      <c r="K38" s="68" t="n">
        <v>569</v>
      </c>
      <c r="L38" s="68" t="n">
        <v>634</v>
      </c>
    </row>
    <row r="39">
      <c r="F39" t="inlineStr">
        <is>
          <t>Kiryas Joel Village</t>
        </is>
      </c>
      <c r="G39" s="28" t="n">
        <v>8525</v>
      </c>
      <c r="H39" s="28" t="n">
        <v>3441</v>
      </c>
      <c r="I39" s="68" t="n">
        <v>711</v>
      </c>
      <c r="J39" s="28" t="n">
        <v>3170</v>
      </c>
      <c r="K39" s="68" t="n">
        <v>569</v>
      </c>
      <c r="L39" s="68" t="n">
        <v>634</v>
      </c>
    </row>
    <row r="40">
      <c r="F40" t="inlineStr">
        <is>
          <t>Port Jervis City</t>
        </is>
      </c>
      <c r="G40" s="28" t="n">
        <v>3697</v>
      </c>
      <c r="H40" s="68" t="n">
        <v>796</v>
      </c>
      <c r="I40" s="68" t="n">
        <v>609</v>
      </c>
      <c r="J40" s="68" t="n">
        <v>938</v>
      </c>
      <c r="K40" s="68" t="n">
        <v>586</v>
      </c>
      <c r="L40" s="68" t="n">
        <v>768</v>
      </c>
    </row>
    <row r="41">
      <c r="F41" t="inlineStr">
        <is>
          <t>Tuxedo Town</t>
        </is>
      </c>
      <c r="G41" s="28" t="n">
        <v>1883</v>
      </c>
      <c r="H41" s="68" t="n">
        <v>981</v>
      </c>
      <c r="I41" s="68" t="n">
        <v>348</v>
      </c>
      <c r="J41" s="68" t="n">
        <v>383</v>
      </c>
      <c r="K41" s="68" t="n">
        <v>125</v>
      </c>
      <c r="L41" s="68" t="n">
        <v>46</v>
      </c>
    </row>
    <row r="42">
      <c r="F42" t="inlineStr">
        <is>
          <t>Tuxedo Village</t>
        </is>
      </c>
      <c r="G42" s="28" t="n">
        <v>1494</v>
      </c>
      <c r="H42" s="68" t="n">
        <v>687</v>
      </c>
      <c r="I42" s="68" t="n">
        <v>332</v>
      </c>
      <c r="J42" s="68" t="n">
        <v>311</v>
      </c>
      <c r="K42" s="68" t="n">
        <v>121</v>
      </c>
      <c r="L42" s="68" t="n">
        <v>43</v>
      </c>
    </row>
    <row r="43">
      <c r="F43" t="inlineStr">
        <is>
          <t>Tuxedo Park Village</t>
        </is>
      </c>
      <c r="G43" s="68" t="n">
        <v>389</v>
      </c>
      <c r="H43" s="68" t="n">
        <v>294</v>
      </c>
      <c r="I43" s="68" t="n">
        <v>16</v>
      </c>
      <c r="J43" s="68" t="n">
        <v>72</v>
      </c>
      <c r="K43" s="68" t="n">
        <v>4</v>
      </c>
      <c r="L43" s="68" t="n">
        <v>3</v>
      </c>
    </row>
    <row r="44">
      <c r="F44" t="inlineStr">
        <is>
          <t>Wallkill Town</t>
        </is>
      </c>
      <c r="G44" s="28" t="n">
        <v>15847</v>
      </c>
      <c r="H44" s="28" t="n">
        <v>5564</v>
      </c>
      <c r="I44" s="28" t="n">
        <v>3392</v>
      </c>
      <c r="J44" s="28" t="n">
        <v>3384</v>
      </c>
      <c r="K44" s="28" t="n">
        <v>1248</v>
      </c>
      <c r="L44" s="28" t="n">
        <v>2259</v>
      </c>
    </row>
    <row r="45">
      <c r="F45" t="inlineStr">
        <is>
          <t>Warwick Town</t>
        </is>
      </c>
      <c r="G45" s="28" t="n">
        <v>16321</v>
      </c>
      <c r="H45" s="28" t="n">
        <v>7489</v>
      </c>
      <c r="I45" s="28" t="n">
        <v>2753</v>
      </c>
      <c r="J45" s="28" t="n">
        <v>2990</v>
      </c>
      <c r="K45" s="28" t="n">
        <v>1566</v>
      </c>
      <c r="L45" s="28" t="n">
        <v>1523</v>
      </c>
    </row>
    <row r="46">
      <c r="F46" t="inlineStr">
        <is>
          <t>Florida Village</t>
        </is>
      </c>
      <c r="G46" s="28" t="n">
        <v>1510</v>
      </c>
      <c r="H46" s="68" t="n">
        <v>542</v>
      </c>
      <c r="I46" s="68" t="n">
        <v>201</v>
      </c>
      <c r="J46" s="68" t="n">
        <v>342</v>
      </c>
      <c r="K46" s="68" t="n">
        <v>215</v>
      </c>
      <c r="L46" s="68" t="n">
        <v>210</v>
      </c>
    </row>
    <row r="47">
      <c r="F47" t="inlineStr">
        <is>
          <t>Greenwood Lake Village</t>
        </is>
      </c>
      <c r="G47" s="28" t="n">
        <v>1398</v>
      </c>
      <c r="H47" s="68" t="n">
        <v>526</v>
      </c>
      <c r="I47" s="68" t="n">
        <v>297</v>
      </c>
      <c r="J47" s="68" t="n">
        <v>201</v>
      </c>
      <c r="K47" s="68" t="n">
        <v>219</v>
      </c>
      <c r="L47" s="68" t="n">
        <v>155</v>
      </c>
    </row>
    <row r="48">
      <c r="F48" t="inlineStr">
        <is>
          <t>Warwick Village</t>
        </is>
      </c>
      <c r="G48" s="28" t="n">
        <v>3121</v>
      </c>
      <c r="H48" s="28" t="n">
        <v>1566</v>
      </c>
      <c r="I48" s="68" t="n">
        <v>557</v>
      </c>
      <c r="J48" s="68" t="n">
        <v>490</v>
      </c>
      <c r="K48" s="68" t="n">
        <v>313</v>
      </c>
      <c r="L48" s="68" t="n">
        <v>195</v>
      </c>
    </row>
    <row r="49">
      <c r="F49" t="inlineStr">
        <is>
          <t>Wawayanda Town</t>
        </is>
      </c>
      <c r="G49" s="28" t="n">
        <v>3790</v>
      </c>
      <c r="H49" s="28" t="n">
        <v>1747</v>
      </c>
      <c r="I49" s="68" t="n">
        <v>574</v>
      </c>
      <c r="J49" s="68" t="n">
        <v>749</v>
      </c>
      <c r="K49" s="68" t="n">
        <v>308</v>
      </c>
      <c r="L49" s="68" t="n">
        <v>412</v>
      </c>
    </row>
    <row r="50">
      <c r="F50" t="inlineStr">
        <is>
          <t>Woodbury Town</t>
        </is>
      </c>
      <c r="G50" s="28" t="n">
        <v>5754</v>
      </c>
      <c r="H50" s="28" t="n">
        <v>2965</v>
      </c>
      <c r="I50" s="68" t="n">
        <v>757</v>
      </c>
      <c r="J50" s="28" t="n">
        <v>1010</v>
      </c>
      <c r="K50" s="68" t="n">
        <v>393</v>
      </c>
      <c r="L50" s="68" t="n">
        <v>629</v>
      </c>
    </row>
    <row r="51">
      <c r="F51" t="inlineStr">
        <is>
          <t>Harriman Village (partial)</t>
        </is>
      </c>
      <c r="G51" s="68" t="n">
        <v>466</v>
      </c>
      <c r="H51" s="68" t="n">
        <v>114</v>
      </c>
      <c r="I51" s="68" t="n">
        <v>65</v>
      </c>
      <c r="J51" s="68" t="n">
        <v>262</v>
      </c>
      <c r="K51" s="68" t="n">
        <v>0</v>
      </c>
      <c r="L51" s="68" t="n">
        <v>25</v>
      </c>
    </row>
    <row r="52">
      <c r="F52" t="inlineStr">
        <is>
          <t>Woodbury Village</t>
        </is>
      </c>
      <c r="G52" s="28" t="n">
        <v>5288</v>
      </c>
      <c r="H52" s="28" t="n">
        <v>2851</v>
      </c>
      <c r="I52" s="68" t="n">
        <v>692</v>
      </c>
      <c r="J52" s="68" t="n">
        <v>748</v>
      </c>
      <c r="K52" s="68" t="n">
        <v>393</v>
      </c>
      <c r="L52" s="68"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9.140625" bestFit="1" customWidth="1" style="91" min="8" max="8"/>
    <col width="7.28515625" bestFit="1" customWidth="1" style="91" min="9" max="9"/>
    <col width="9.140625" bestFit="1" customWidth="1" style="91" min="10" max="10"/>
    <col width="8.85546875" bestFit="1" customWidth="1" style="91" min="11" max="11"/>
    <col width="9.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Age, ZIP Code,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71" t="inlineStr">
        <is>
          <t>Table Rules</t>
        </is>
      </c>
      <c r="E5" s="70" t="inlineStr">
        <is>
          <t xml:space="preserve">Enter Data </t>
        </is>
      </c>
      <c r="F5" s="69" t="n"/>
      <c r="G5" s="69" t="n">
        <v>2020</v>
      </c>
      <c r="I5" s="69" t="n">
        <v>2021</v>
      </c>
      <c r="K5" s="69" t="n">
        <v>2022</v>
      </c>
      <c r="M5" s="69" t="n">
        <v>2023</v>
      </c>
      <c r="O5" s="69" t="inlineStr">
        <is>
          <t>Total #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t="inlineStr">
        <is>
          <t>Total #</t>
        </is>
      </c>
      <c r="P6" t="inlineStr">
        <is>
          <t>Average Rate</t>
        </is>
      </c>
    </row>
    <row r="7" ht="15.75" customHeight="1" s="91">
      <c r="F7" t="inlineStr">
        <is>
          <t>Total</t>
        </is>
      </c>
      <c r="G7" s="74" t="n">
        <v>3392</v>
      </c>
      <c r="H7" s="69" t="n">
        <v>887.8</v>
      </c>
      <c r="I7" s="74" t="n">
        <v>3020</v>
      </c>
      <c r="J7" s="69" t="n">
        <v>758.3</v>
      </c>
      <c r="K7" s="74" t="n">
        <v>3077</v>
      </c>
      <c r="L7" s="69" t="n">
        <v>766.9</v>
      </c>
      <c r="M7" s="74" t="n">
        <v>2860</v>
      </c>
      <c r="N7" s="69" t="n">
        <v>708.2</v>
      </c>
      <c r="O7" s="74" t="n">
        <v>12349</v>
      </c>
      <c r="P7" t="n">
        <v>780.3</v>
      </c>
    </row>
    <row r="8">
      <c r="F8" s="69" t="inlineStr">
        <is>
          <t>Age Intervals</t>
        </is>
      </c>
    </row>
    <row r="9">
      <c r="A9" s="71" t="inlineStr">
        <is>
          <t>Figure Rules</t>
        </is>
      </c>
      <c r="F9" s="69" t="inlineStr">
        <is>
          <t>&lt;1</t>
        </is>
      </c>
      <c r="G9" s="69" t="n">
        <v>16</v>
      </c>
      <c r="H9" t="n">
        <v>332.8</v>
      </c>
      <c r="I9" t="n">
        <v>18</v>
      </c>
      <c r="J9" t="n">
        <v>351.2</v>
      </c>
      <c r="K9" t="n">
        <v>15</v>
      </c>
      <c r="L9" t="n">
        <v>302.1</v>
      </c>
      <c r="M9" t="n">
        <v>17</v>
      </c>
      <c r="N9" t="n">
        <v>323.6</v>
      </c>
      <c r="O9" t="n">
        <v>66</v>
      </c>
      <c r="P9" t="n">
        <v>327.4</v>
      </c>
    </row>
    <row r="10">
      <c r="A10" t="inlineStr">
        <is>
          <t>Figure Type</t>
        </is>
      </c>
      <c r="F10" s="38" t="inlineStr">
        <is>
          <t>1-9</t>
        </is>
      </c>
      <c r="G10" s="69" t="n">
        <v>9</v>
      </c>
      <c r="H10" s="69" t="n">
        <v>19.2</v>
      </c>
      <c r="I10" s="69" t="n">
        <v>8</v>
      </c>
      <c r="J10" s="68" t="n">
        <v>16.3</v>
      </c>
      <c r="K10" s="68" t="n">
        <v>7</v>
      </c>
      <c r="L10" s="68" t="n">
        <v>14.5</v>
      </c>
      <c r="M10" s="68" t="n">
        <v>13</v>
      </c>
      <c r="N10" s="68" t="n">
        <v>26.2</v>
      </c>
      <c r="O10" t="n">
        <v>37</v>
      </c>
      <c r="P10" t="n">
        <v>19.1</v>
      </c>
    </row>
    <row r="11">
      <c r="A11" t="inlineStr">
        <is>
          <t>X Column</t>
        </is>
      </c>
      <c r="F11" s="13" t="inlineStr">
        <is>
          <t>10-19</t>
        </is>
      </c>
      <c r="G11" s="68" t="n">
        <v>13</v>
      </c>
      <c r="H11" s="68" t="n">
        <v>22.7</v>
      </c>
      <c r="I11" s="69" t="n">
        <v>8</v>
      </c>
      <c r="J11" s="69" t="n">
        <v>13.3</v>
      </c>
      <c r="K11" s="69" t="n">
        <v>9</v>
      </c>
      <c r="L11" s="69" t="n">
        <v>14.5</v>
      </c>
      <c r="M11" t="n">
        <v>6</v>
      </c>
      <c r="N11" t="n">
        <v>9.699999999999999</v>
      </c>
      <c r="O11" t="n">
        <v>36</v>
      </c>
      <c r="P11" t="n">
        <v>15.1</v>
      </c>
    </row>
    <row r="12">
      <c r="A12" t="inlineStr">
        <is>
          <t>Y Column</t>
        </is>
      </c>
      <c r="F12" s="69" t="inlineStr">
        <is>
          <t>20-24</t>
        </is>
      </c>
      <c r="G12" t="n">
        <v>28</v>
      </c>
      <c r="H12" t="n">
        <v>98.2</v>
      </c>
      <c r="I12" t="n">
        <v>21</v>
      </c>
      <c r="J12" t="n">
        <v>72</v>
      </c>
      <c r="K12" t="n">
        <v>26</v>
      </c>
      <c r="L12" t="n">
        <v>87.7</v>
      </c>
      <c r="M12" t="n">
        <v>11</v>
      </c>
      <c r="N12" t="n">
        <v>38.4</v>
      </c>
      <c r="O12" t="n">
        <v>86</v>
      </c>
      <c r="P12" t="n">
        <v>74.09999999999999</v>
      </c>
    </row>
    <row r="13">
      <c r="A13" t="inlineStr">
        <is>
          <t>X Axis Title</t>
        </is>
      </c>
      <c r="F13" s="69" t="inlineStr">
        <is>
          <t>25-34</t>
        </is>
      </c>
      <c r="G13" t="n">
        <v>73</v>
      </c>
      <c r="H13" t="n">
        <v>162.6</v>
      </c>
      <c r="I13" t="n">
        <v>57</v>
      </c>
      <c r="J13" t="n">
        <v>122.3</v>
      </c>
      <c r="K13" t="n">
        <v>56</v>
      </c>
      <c r="L13" t="n">
        <v>118.2</v>
      </c>
      <c r="M13" t="n">
        <v>48</v>
      </c>
      <c r="N13" t="n">
        <v>100.2</v>
      </c>
      <c r="O13" t="n">
        <v>234</v>
      </c>
      <c r="P13" t="n">
        <v>125.8</v>
      </c>
    </row>
    <row r="14">
      <c r="A14" t="inlineStr">
        <is>
          <t>Y Axis Title</t>
        </is>
      </c>
      <c r="F14" s="69" t="inlineStr">
        <is>
          <t>35-44</t>
        </is>
      </c>
      <c r="G14" t="n">
        <v>98</v>
      </c>
      <c r="H14" t="n">
        <v>216.7</v>
      </c>
      <c r="I14" t="n">
        <v>101</v>
      </c>
      <c r="J14" t="n">
        <v>211.6</v>
      </c>
      <c r="K14" t="n">
        <v>87</v>
      </c>
      <c r="L14" t="n">
        <v>178.6</v>
      </c>
      <c r="M14" t="n">
        <v>87</v>
      </c>
      <c r="N14" t="n">
        <v>174.9</v>
      </c>
      <c r="O14" t="n">
        <v>373</v>
      </c>
      <c r="P14" t="n">
        <v>195.5</v>
      </c>
    </row>
    <row r="15">
      <c r="A15" t="inlineStr">
        <is>
          <t>Start at Zero</t>
        </is>
      </c>
      <c r="F15" s="69" t="inlineStr">
        <is>
          <t>45-54</t>
        </is>
      </c>
      <c r="G15" t="n">
        <v>174</v>
      </c>
      <c r="H15" t="n">
        <v>332.3</v>
      </c>
      <c r="I15" t="n">
        <v>192</v>
      </c>
      <c r="J15" t="n">
        <v>359.8</v>
      </c>
      <c r="K15" t="n">
        <v>159</v>
      </c>
      <c r="L15" t="n">
        <v>303.7</v>
      </c>
      <c r="M15" t="n">
        <v>150</v>
      </c>
      <c r="N15" t="n">
        <v>291.2</v>
      </c>
      <c r="O15" t="n">
        <v>675</v>
      </c>
      <c r="P15" t="n">
        <v>321.7</v>
      </c>
    </row>
    <row r="16">
      <c r="A16" t="inlineStr">
        <is>
          <t>Pivot For Chart</t>
        </is>
      </c>
      <c r="F16" s="69" t="inlineStr">
        <is>
          <t>55-64</t>
        </is>
      </c>
      <c r="G16" t="n">
        <v>395</v>
      </c>
      <c r="H16" t="n">
        <v>811.1</v>
      </c>
      <c r="I16" t="n">
        <v>392</v>
      </c>
      <c r="J16" t="n">
        <v>762.7</v>
      </c>
      <c r="K16" t="n">
        <v>392</v>
      </c>
      <c r="L16" t="n">
        <v>765.9</v>
      </c>
      <c r="M16" t="n">
        <v>344</v>
      </c>
      <c r="N16" t="n">
        <v>667.8</v>
      </c>
      <c r="O16" s="14" t="n">
        <v>1523</v>
      </c>
      <c r="P16" t="n">
        <v>751.9</v>
      </c>
    </row>
    <row r="17">
      <c r="F17" s="69" t="inlineStr">
        <is>
          <t>65-74</t>
        </is>
      </c>
      <c r="G17" t="n">
        <v>663</v>
      </c>
      <c r="H17" s="36" t="n">
        <v>2102.6</v>
      </c>
      <c r="I17" t="n">
        <v>599</v>
      </c>
      <c r="J17" s="36" t="n">
        <v>1789.7</v>
      </c>
      <c r="K17" t="n">
        <v>620</v>
      </c>
      <c r="L17" s="36" t="n">
        <v>1831.6</v>
      </c>
      <c r="M17" t="n">
        <v>546</v>
      </c>
      <c r="N17" s="36" t="n">
        <v>1567.2</v>
      </c>
      <c r="O17" s="14" t="n">
        <v>2428</v>
      </c>
      <c r="P17" s="36" t="n">
        <v>1822.7</v>
      </c>
    </row>
    <row r="18">
      <c r="A18" s="71" t="inlineStr">
        <is>
          <t>Source Specifications</t>
        </is>
      </c>
      <c r="F18" s="69" t="inlineStr">
        <is>
          <t>75-84</t>
        </is>
      </c>
      <c r="G18" t="n">
        <v>788</v>
      </c>
      <c r="H18" s="36" t="n">
        <v>5344.2</v>
      </c>
      <c r="I18" t="n">
        <v>728</v>
      </c>
      <c r="J18" s="36" t="n">
        <v>4770.6</v>
      </c>
      <c r="K18" t="n">
        <v>790</v>
      </c>
      <c r="L18" s="36" t="n">
        <v>4986.1</v>
      </c>
      <c r="M18" t="n">
        <v>752</v>
      </c>
      <c r="N18" s="36" t="n">
        <v>4586.2</v>
      </c>
      <c r="O18" s="14" t="n">
        <v>3058</v>
      </c>
      <c r="P18" s="36" t="n">
        <v>4921.8</v>
      </c>
    </row>
    <row r="19">
      <c r="A19" t="inlineStr">
        <is>
          <t>Source</t>
        </is>
      </c>
      <c r="B19" t="inlineStr">
        <is>
          <t>Source: Special request from NYSDOH Bureau of Vital Records, July 2025</t>
        </is>
      </c>
      <c r="F19" s="69" t="inlineStr">
        <is>
          <t>85+</t>
        </is>
      </c>
      <c r="G19" s="74" t="n">
        <v>1135</v>
      </c>
      <c r="H19" s="30" t="n">
        <v>15876.3</v>
      </c>
      <c r="I19" t="n">
        <v>896</v>
      </c>
      <c r="J19" s="36" t="n">
        <v>13151.3</v>
      </c>
      <c r="K19" t="n">
        <v>916</v>
      </c>
      <c r="L19" s="36" t="n">
        <v>13048.4</v>
      </c>
      <c r="M19" t="n">
        <v>886</v>
      </c>
      <c r="N19" s="36" t="n">
        <v>13206.1</v>
      </c>
      <c r="O19" s="14" t="n">
        <v>3833</v>
      </c>
      <c r="P19" s="36" t="n">
        <v>13820.6</v>
      </c>
    </row>
    <row r="20">
      <c r="F20" s="69" t="inlineStr">
        <is>
          <t>Race and Ethnicity</t>
        </is>
      </c>
    </row>
    <row r="21">
      <c r="A21" s="69" t="inlineStr">
        <is>
          <t>Note Specfications</t>
        </is>
      </c>
      <c r="F21" s="69" t="inlineStr">
        <is>
          <t>Non-Hispanic White</t>
        </is>
      </c>
      <c r="G21" s="74" t="n">
        <v>2626</v>
      </c>
      <c r="H21" s="30" t="n">
        <v>1088.8</v>
      </c>
      <c r="I21" s="14" t="n">
        <v>2347</v>
      </c>
      <c r="J21" t="n">
        <v>946.8</v>
      </c>
      <c r="K21" s="14" t="n">
        <v>2393</v>
      </c>
      <c r="L21" t="n">
        <v>986.2</v>
      </c>
      <c r="M21" s="14" t="n">
        <v>2255</v>
      </c>
      <c r="N21" s="36" t="n">
        <v>2249</v>
      </c>
      <c r="O21" s="14" t="n">
        <v>9621</v>
      </c>
      <c r="P21" s="36"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310</v>
      </c>
      <c r="H22" s="69" t="n">
        <v>806.2</v>
      </c>
      <c r="I22" t="n">
        <v>277</v>
      </c>
      <c r="J22" t="n">
        <v>697.2</v>
      </c>
      <c r="K22" t="n">
        <v>290</v>
      </c>
      <c r="L22" t="n">
        <v>691.4</v>
      </c>
      <c r="M22" t="n">
        <v>265</v>
      </c>
      <c r="N22" t="n">
        <v>259</v>
      </c>
      <c r="O22" s="14" t="n">
        <v>1142</v>
      </c>
      <c r="P22" t="n">
        <v>613.4</v>
      </c>
    </row>
    <row r="23">
      <c r="F23" t="inlineStr">
        <is>
          <t>Hispanic</t>
        </is>
      </c>
      <c r="G23" t="n">
        <v>376</v>
      </c>
      <c r="H23" t="n">
        <v>468.5</v>
      </c>
      <c r="I23" t="n">
        <v>310</v>
      </c>
      <c r="J23" t="n">
        <v>363.2</v>
      </c>
      <c r="K23" t="n">
        <v>305</v>
      </c>
      <c r="L23" t="n">
        <v>340.8</v>
      </c>
      <c r="M23" t="n">
        <v>267</v>
      </c>
      <c r="N23" t="n">
        <v>267</v>
      </c>
      <c r="O23" s="14" t="n">
        <v>1258</v>
      </c>
      <c r="P23" t="n">
        <v>359.9</v>
      </c>
    </row>
    <row r="24">
      <c r="F24" s="69" t="inlineStr">
        <is>
          <t>Other</t>
        </is>
      </c>
      <c r="G24" s="69" t="n">
        <v>80</v>
      </c>
      <c r="H24" s="69" t="n">
        <v>360.6</v>
      </c>
      <c r="I24" t="n">
        <v>86</v>
      </c>
      <c r="J24" t="n">
        <v>339.7</v>
      </c>
      <c r="K24" t="n">
        <v>89</v>
      </c>
      <c r="L24" t="n">
        <v>327.7</v>
      </c>
      <c r="M24" t="n">
        <v>73</v>
      </c>
      <c r="N24" t="n">
        <v>85</v>
      </c>
      <c r="O24" t="n">
        <v>328</v>
      </c>
      <c r="P24" t="n">
        <v>278.3</v>
      </c>
    </row>
    <row r="25">
      <c r="F25" s="69" t="inlineStr">
        <is>
          <t>ZIP Code</t>
        </is>
      </c>
    </row>
    <row r="26">
      <c r="F26" s="69" t="n">
        <v>10940</v>
      </c>
      <c r="G26" s="69" t="n">
        <v>512</v>
      </c>
      <c r="H26" s="30" t="n">
        <v>1035.8</v>
      </c>
      <c r="I26" t="n">
        <v>496</v>
      </c>
      <c r="J26" t="n">
        <v>973.8</v>
      </c>
      <c r="K26" t="n">
        <v>480</v>
      </c>
      <c r="L26" t="n">
        <v>925.7</v>
      </c>
      <c r="M26" t="n">
        <v>430</v>
      </c>
      <c r="N26" t="n">
        <v>809.8</v>
      </c>
      <c r="O26" s="14" t="n">
        <v>1918</v>
      </c>
      <c r="P26" t="n">
        <v>936.3</v>
      </c>
    </row>
    <row r="27">
      <c r="A27" s="69" t="n"/>
      <c r="F27" s="69" t="n">
        <v>10950</v>
      </c>
      <c r="G27" s="69" t="n">
        <v>226</v>
      </c>
      <c r="H27" s="30" t="n">
        <v>1688.6</v>
      </c>
      <c r="I27" t="n">
        <v>167</v>
      </c>
      <c r="J27" s="36" t="n">
        <v>1158.5</v>
      </c>
      <c r="K27" t="n">
        <v>194</v>
      </c>
      <c r="L27" s="36" t="n">
        <v>1337.7</v>
      </c>
      <c r="M27" t="n">
        <v>163</v>
      </c>
      <c r="N27" s="36" t="n">
        <v>1104.3</v>
      </c>
      <c r="O27" t="n">
        <v>750</v>
      </c>
      <c r="P27" s="36" t="n">
        <v>1322.3</v>
      </c>
    </row>
    <row r="28">
      <c r="F28" s="69" t="n">
        <v>12550</v>
      </c>
      <c r="G28" s="69" t="n">
        <v>561</v>
      </c>
      <c r="H28" s="30" t="n">
        <v>2103.9</v>
      </c>
      <c r="I28" t="n">
        <v>459</v>
      </c>
      <c r="J28" s="36" t="n">
        <v>1712.3</v>
      </c>
      <c r="K28" t="n">
        <v>468</v>
      </c>
      <c r="L28" s="36" t="n">
        <v>1707.5</v>
      </c>
      <c r="M28" t="n">
        <v>406</v>
      </c>
      <c r="N28" s="36" t="n">
        <v>1487.2</v>
      </c>
      <c r="O28" s="14" t="n">
        <v>1894</v>
      </c>
      <c r="P28" s="36" t="n">
        <v>1752.7</v>
      </c>
    </row>
    <row r="29">
      <c r="F29" s="69" t="n">
        <v>12771</v>
      </c>
      <c r="G29" s="69" t="n">
        <v>139</v>
      </c>
      <c r="H29" s="69" t="n">
        <v>964.7</v>
      </c>
      <c r="I29" t="n">
        <v>169</v>
      </c>
      <c r="J29" s="36" t="n">
        <v>1138.8</v>
      </c>
      <c r="K29" t="n">
        <v>166</v>
      </c>
      <c r="L29" s="36" t="n">
        <v>1148.5</v>
      </c>
      <c r="M29" t="n">
        <v>157</v>
      </c>
      <c r="N29" s="36" t="n">
        <v>1094.5</v>
      </c>
      <c r="O29" t="n">
        <v>631</v>
      </c>
      <c r="P29" s="14" t="n">
        <v>1086</v>
      </c>
    </row>
    <row r="30"/>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33"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781</v>
      </c>
      <c r="H6" s="69" t="n">
        <v>790.7</v>
      </c>
      <c r="I6" s="69" t="n">
        <v>820.7</v>
      </c>
      <c r="J6" s="69" t="n">
        <v>487.8</v>
      </c>
      <c r="K6" s="69" t="n">
        <v>654.7</v>
      </c>
      <c r="L6" s="69" t="n"/>
      <c r="M6" s="69" t="n"/>
      <c r="N6" s="69" t="n"/>
      <c r="O6" s="69" t="n"/>
    </row>
    <row r="7" ht="15.75" customHeight="1" s="91">
      <c r="F7" t="inlineStr">
        <is>
          <t>NYS excl NYC</t>
        </is>
      </c>
      <c r="G7" s="69" t="n">
        <v>773</v>
      </c>
      <c r="H7" s="69" t="n">
        <v>772.2</v>
      </c>
      <c r="I7" s="69" t="n">
        <v>945</v>
      </c>
      <c r="J7" s="69" t="n">
        <v>413.7</v>
      </c>
      <c r="K7" s="69" t="n">
        <v>594.1</v>
      </c>
      <c r="L7" s="69" t="n"/>
      <c r="M7" s="69" t="n"/>
      <c r="N7" s="69" t="n"/>
      <c r="O7" s="69" t="n"/>
    </row>
    <row r="8">
      <c r="F8" t="inlineStr">
        <is>
          <t>NYS</t>
        </is>
      </c>
      <c r="G8" s="69" t="n">
        <v>735</v>
      </c>
      <c r="H8" s="69" t="n">
        <v>728.3</v>
      </c>
      <c r="I8" s="69" t="n">
        <v>871.2</v>
      </c>
      <c r="J8" s="69" t="n">
        <v>436.7</v>
      </c>
      <c r="K8" s="69" t="n">
        <v>649.3</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n">
        <v>10940</v>
      </c>
      <c r="H5" t="n">
        <v>10950</v>
      </c>
      <c r="I5" t="n">
        <v>12550</v>
      </c>
      <c r="J5" t="n">
        <v>12771</v>
      </c>
    </row>
    <row r="6" ht="15" customHeight="1" s="91">
      <c r="A6" t="inlineStr">
        <is>
          <t>Multilevel Headers</t>
        </is>
      </c>
      <c r="B6" t="b">
        <v>0</v>
      </c>
      <c r="F6" t="n">
        <v>2020</v>
      </c>
      <c r="G6" s="30" t="n">
        <v>1035.8</v>
      </c>
      <c r="H6" s="30" t="n">
        <v>1688.6</v>
      </c>
      <c r="I6" s="30" t="n">
        <v>2103.9</v>
      </c>
      <c r="J6" s="69" t="n">
        <v>964.7</v>
      </c>
      <c r="K6" s="69" t="n"/>
      <c r="L6" s="69" t="n"/>
      <c r="M6" s="69" t="n"/>
      <c r="N6" s="69" t="n"/>
      <c r="O6" s="69" t="n"/>
    </row>
    <row r="7" ht="15.75" customHeight="1" s="91">
      <c r="F7" t="n">
        <v>2021</v>
      </c>
      <c r="G7" s="69" t="n">
        <v>973.8</v>
      </c>
      <c r="H7" s="30" t="n">
        <v>1158.5</v>
      </c>
      <c r="I7" s="30" t="n">
        <v>1712.3</v>
      </c>
      <c r="J7" s="30" t="n">
        <v>1138.8</v>
      </c>
      <c r="K7" s="69" t="n"/>
      <c r="L7" s="69" t="n"/>
      <c r="M7" s="69" t="n"/>
      <c r="N7" s="69" t="n"/>
      <c r="O7" s="69" t="n"/>
    </row>
    <row r="8">
      <c r="F8" t="n">
        <v>2022</v>
      </c>
      <c r="G8" s="69" t="n">
        <v>925.7</v>
      </c>
      <c r="H8" s="30" t="n">
        <v>1337.7</v>
      </c>
      <c r="I8" s="30" t="n">
        <v>1707.5</v>
      </c>
      <c r="J8" s="30" t="n">
        <v>1148.5</v>
      </c>
      <c r="K8" s="69" t="n"/>
      <c r="L8" s="69" t="n"/>
      <c r="M8" s="69" t="n"/>
      <c r="N8" s="69" t="n"/>
      <c r="O8" s="69" t="n"/>
    </row>
    <row r="9">
      <c r="A9" s="71" t="inlineStr">
        <is>
          <t>Figure Rules</t>
        </is>
      </c>
      <c r="F9" t="n">
        <v>2023</v>
      </c>
      <c r="G9" s="69" t="n">
        <v>809.8</v>
      </c>
      <c r="H9" s="30" t="n">
        <v>1104.3</v>
      </c>
      <c r="I9" s="30" t="n">
        <v>1487.2</v>
      </c>
      <c r="J9" s="30" t="n">
        <v>1094.5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982.2</v>
      </c>
      <c r="H6" s="69" t="n">
        <v>842.9</v>
      </c>
      <c r="I6" s="69" t="n">
        <v>827.9</v>
      </c>
      <c r="J6" s="69" t="n">
        <v>767.5</v>
      </c>
      <c r="K6" s="69" t="n"/>
      <c r="L6" s="69" t="n"/>
      <c r="M6" s="69" t="n"/>
      <c r="N6" s="69" t="n"/>
      <c r="O6" s="69" t="n"/>
    </row>
    <row r="7" ht="15.75" customHeight="1" s="91">
      <c r="F7" t="inlineStr">
        <is>
          <t>Females</t>
        </is>
      </c>
      <c r="G7" s="69" t="n">
        <v>680.7</v>
      </c>
      <c r="H7" s="69" t="n">
        <v>609.2</v>
      </c>
      <c r="I7" s="69" t="n">
        <v>616.3</v>
      </c>
      <c r="J7" s="69" t="n">
        <v>582.8</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Sex</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0"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8.85546875" bestFit="1" customWidth="1" style="91" min="15" max="15"/>
    <col width="12.42578125" bestFit="1" customWidth="1" style="91" min="16" max="16"/>
  </cols>
  <sheetData>
    <row r="1">
      <c r="A1" s="16" t="inlineStr">
        <is>
          <t>Name</t>
        </is>
      </c>
      <c r="B1" s="66" t="inlineStr">
        <is>
          <t>Top Five Leading Causes of Death, by Count and Age-Adjusted Rate per 100,000 Population, 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76" t="inlineStr">
        <is>
          <t>percent1</t>
        </is>
      </c>
      <c r="J4" s="76" t="inlineStr">
        <is>
          <t>percent1</t>
        </is>
      </c>
      <c r="L4" s="76" t="inlineStr">
        <is>
          <t>percent1</t>
        </is>
      </c>
      <c r="N4" s="76" t="inlineStr">
        <is>
          <t>percent1</t>
        </is>
      </c>
      <c r="P4" s="76" t="inlineStr">
        <is>
          <t>percent1</t>
        </is>
      </c>
    </row>
    <row r="5">
      <c r="A5" s="71" t="inlineStr">
        <is>
          <t>Table Rules</t>
        </is>
      </c>
      <c r="E5" s="70" t="inlineStr">
        <is>
          <t xml:space="preserve">Enter Data </t>
        </is>
      </c>
      <c r="F5" s="69" t="inlineStr">
        <is>
          <t>All Deaths</t>
        </is>
      </c>
      <c r="H5" s="69" t="inlineStr">
        <is>
          <t>#1 Cause of Death</t>
        </is>
      </c>
      <c r="J5" s="69" t="inlineStr">
        <is>
          <t>#2 Cause of Death</t>
        </is>
      </c>
      <c r="L5" s="69" t="inlineStr">
        <is>
          <t>#3 Cause of Death</t>
        </is>
      </c>
      <c r="N5" s="69" t="inlineStr">
        <is>
          <t>#4 Cause of Death</t>
        </is>
      </c>
      <c r="P5" s="69" t="inlineStr">
        <is>
          <t>#5 Cause of Death</t>
        </is>
      </c>
    </row>
    <row r="6" ht="15" customHeight="1" s="91">
      <c r="A6" t="inlineStr">
        <is>
          <t>Multilevel Headers</t>
        </is>
      </c>
      <c r="B6" t="b">
        <v>1</v>
      </c>
      <c r="F6" s="69" t="inlineStr">
        <is>
          <t>Orange County</t>
        </is>
      </c>
      <c r="H6" s="69" t="inlineStr">
        <is>
          <t>Heart Disease</t>
        </is>
      </c>
      <c r="J6" s="69" t="inlineStr">
        <is>
          <t>Cancer</t>
        </is>
      </c>
      <c r="L6" s="69" t="inlineStr">
        <is>
          <t>Unintentional Injury</t>
        </is>
      </c>
      <c r="N6" s="69" t="inlineStr">
        <is>
          <t>COVID-19</t>
        </is>
      </c>
      <c r="P6" s="69" t="inlineStr">
        <is>
          <t>CLRD</t>
        </is>
      </c>
    </row>
    <row r="7" ht="15.75" customHeight="1" s="91">
      <c r="F7" t="inlineStr">
        <is>
          <t>Count</t>
        </is>
      </c>
      <c r="G7" s="74" t="n">
        <v>3222</v>
      </c>
      <c r="H7" s="69" t="n">
        <v>653</v>
      </c>
      <c r="J7" s="69" t="n">
        <v>609</v>
      </c>
      <c r="L7" s="69" t="n">
        <v>253</v>
      </c>
      <c r="N7" s="69" t="n">
        <v>231</v>
      </c>
      <c r="P7" s="69" t="n">
        <v>125</v>
      </c>
    </row>
    <row r="8">
      <c r="F8" t="inlineStr">
        <is>
          <t>Rate</t>
        </is>
      </c>
      <c r="G8" s="69" t="n">
        <v>745.2</v>
      </c>
      <c r="H8" s="69" t="n">
        <v>150.6</v>
      </c>
      <c r="J8" s="69" t="n">
        <v>132.4</v>
      </c>
      <c r="L8" s="69" t="n">
        <v>62.2</v>
      </c>
      <c r="N8" s="69" t="n">
        <v>53.4</v>
      </c>
      <c r="P8" s="69" t="n">
        <v>29.6</v>
      </c>
    </row>
    <row r="9">
      <c r="A9" s="71" t="inlineStr">
        <is>
          <t>Figure Rules</t>
        </is>
      </c>
      <c r="F9" s="69" t="inlineStr">
        <is>
          <t>NYS Excl NYC</t>
        </is>
      </c>
      <c r="H9" s="69" t="inlineStr">
        <is>
          <t>Heart Disease</t>
        </is>
      </c>
      <c r="J9" s="69" t="inlineStr">
        <is>
          <t>Cancer</t>
        </is>
      </c>
      <c r="L9" s="69" t="inlineStr">
        <is>
          <t>COVID-19</t>
        </is>
      </c>
      <c r="N9" s="69" t="inlineStr">
        <is>
          <t>Unintentional Injury</t>
        </is>
      </c>
      <c r="P9" s="69" t="inlineStr">
        <is>
          <t>CLRD</t>
        </is>
      </c>
    </row>
    <row r="10">
      <c r="A10" t="inlineStr">
        <is>
          <t>Figure Type</t>
        </is>
      </c>
      <c r="F10" t="inlineStr">
        <is>
          <t>Count</t>
        </is>
      </c>
      <c r="G10" s="74" t="n">
        <v>113465</v>
      </c>
      <c r="H10" s="74" t="n">
        <v>26215</v>
      </c>
      <c r="J10" s="74" t="n">
        <v>21762</v>
      </c>
      <c r="L10" s="74" t="n">
        <v>6666</v>
      </c>
      <c r="N10" s="74" t="n">
        <v>6666</v>
      </c>
      <c r="P10" s="74" t="n">
        <v>4602</v>
      </c>
    </row>
    <row r="11">
      <c r="A11" t="inlineStr">
        <is>
          <t>X Column</t>
        </is>
      </c>
      <c r="F11" t="inlineStr">
        <is>
          <t>Rate</t>
        </is>
      </c>
      <c r="G11" s="69" t="n">
        <v>744</v>
      </c>
      <c r="H11" s="69" t="n">
        <v>166.4</v>
      </c>
      <c r="J11" s="69" t="n">
        <v>137.3</v>
      </c>
      <c r="L11" s="68" t="n">
        <v>54.8</v>
      </c>
      <c r="N11" s="68" t="n">
        <v>42.3</v>
      </c>
      <c r="P11" s="68" t="n">
        <v>28.8</v>
      </c>
    </row>
    <row r="12">
      <c r="A12" t="inlineStr">
        <is>
          <t>Y Column</t>
        </is>
      </c>
      <c r="F12" s="69" t="inlineStr">
        <is>
          <t>NYS</t>
        </is>
      </c>
      <c r="H12" s="69" t="inlineStr">
        <is>
          <t>Heart Disease</t>
        </is>
      </c>
      <c r="J12" s="69" t="inlineStr">
        <is>
          <t>Cancer</t>
        </is>
      </c>
      <c r="L12" s="69" t="inlineStr">
        <is>
          <t>COVID-19</t>
        </is>
      </c>
      <c r="N12" s="69" t="inlineStr">
        <is>
          <t>Unintentional Injury</t>
        </is>
      </c>
      <c r="P12" s="75" t="inlineStr">
        <is>
          <t>Cerebrovascular
Disease</t>
        </is>
      </c>
    </row>
    <row r="13">
      <c r="A13" t="inlineStr">
        <is>
          <t>X Axis Title</t>
        </is>
      </c>
      <c r="F13" t="inlineStr">
        <is>
          <t>Count</t>
        </is>
      </c>
      <c r="G13" s="14" t="n">
        <v>173986</v>
      </c>
      <c r="H13" s="74" t="n">
        <v>43166</v>
      </c>
      <c r="J13" s="74" t="n">
        <v>32584</v>
      </c>
      <c r="L13" s="74" t="n">
        <v>11174</v>
      </c>
      <c r="N13" s="74" t="n">
        <v>10820</v>
      </c>
      <c r="P13" s="74" t="n">
        <v>6574</v>
      </c>
    </row>
    <row r="14">
      <c r="A14" t="inlineStr">
        <is>
          <t>Y Axis Title</t>
        </is>
      </c>
      <c r="F14" t="inlineStr">
        <is>
          <t>Rate</t>
        </is>
      </c>
      <c r="G14" t="n">
        <v>679.6</v>
      </c>
      <c r="H14" s="69" t="n">
        <v>163.7</v>
      </c>
      <c r="J14" s="69" t="n">
        <v>123.7</v>
      </c>
      <c r="L14" s="69" t="n">
        <v>42.7</v>
      </c>
      <c r="N14" s="69" t="n">
        <v>50.6</v>
      </c>
      <c r="P14" s="69" t="n">
        <v>25.1</v>
      </c>
    </row>
    <row r="15">
      <c r="A15" t="inlineStr">
        <is>
          <t>Start at Zero</t>
        </is>
      </c>
    </row>
    <row r="16">
      <c r="A16" t="inlineStr">
        <is>
          <t>Pivot For Chart</t>
        </is>
      </c>
    </row>
    <row r="17"/>
    <row r="18">
      <c r="A18" s="71" t="inlineStr">
        <is>
          <t>Source Specifications</t>
        </is>
      </c>
    </row>
    <row r="19">
      <c r="A19" t="inlineStr">
        <is>
          <t>Source</t>
        </is>
      </c>
      <c r="B19" t="inlineStr">
        <is>
          <t>Source: Vital Statistics of NYS, November 2025 https://apps.health.ny.gov/public/tabvis/PHIG_Public/lcd</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66">
    <mergeCell ref="P4:Q4"/>
    <mergeCell ref="L7:M7"/>
    <mergeCell ref="N11:O11"/>
    <mergeCell ref="J5:K5"/>
    <mergeCell ref="N7:O7"/>
    <mergeCell ref="H10:I10"/>
    <mergeCell ref="J14:K14"/>
    <mergeCell ref="J10:K10"/>
    <mergeCell ref="P10:Q10"/>
    <mergeCell ref="F6:G6"/>
    <mergeCell ref="H4:I4"/>
    <mergeCell ref="J13:K13"/>
    <mergeCell ref="H9:I9"/>
    <mergeCell ref="L13:M13"/>
    <mergeCell ref="J9:K9"/>
    <mergeCell ref="P9:Q9"/>
    <mergeCell ref="F12:G12"/>
    <mergeCell ref="L12:M12"/>
    <mergeCell ref="H6:I6"/>
    <mergeCell ref="N12:O12"/>
    <mergeCell ref="J6:K6"/>
    <mergeCell ref="P6:Q6"/>
    <mergeCell ref="F5:G5"/>
    <mergeCell ref="P8:Q8"/>
    <mergeCell ref="P11:Q11"/>
    <mergeCell ref="L5:M5"/>
    <mergeCell ref="A18:B18"/>
    <mergeCell ref="A27:B27"/>
    <mergeCell ref="L8:M8"/>
    <mergeCell ref="L14:M14"/>
    <mergeCell ref="N8:O8"/>
    <mergeCell ref="N14:O14"/>
    <mergeCell ref="N5:O5"/>
    <mergeCell ref="B1:O1"/>
    <mergeCell ref="J4:K4"/>
    <mergeCell ref="A21:B21"/>
    <mergeCell ref="H11:I11"/>
    <mergeCell ref="L4:M4"/>
    <mergeCell ref="J11:K11"/>
    <mergeCell ref="P7:Q7"/>
    <mergeCell ref="H7:I7"/>
    <mergeCell ref="L10:M10"/>
    <mergeCell ref="J7:K7"/>
    <mergeCell ref="A5:B5"/>
    <mergeCell ref="N10:O10"/>
    <mergeCell ref="P5:Q5"/>
    <mergeCell ref="P13:Q13"/>
    <mergeCell ref="H13:I13"/>
    <mergeCell ref="N13:O13"/>
    <mergeCell ref="F9:G9"/>
    <mergeCell ref="L9:M9"/>
    <mergeCell ref="N9:O9"/>
    <mergeCell ref="H8:I8"/>
    <mergeCell ref="H12:I12"/>
    <mergeCell ref="J12:K12"/>
    <mergeCell ref="P12:Q12"/>
    <mergeCell ref="L6:M6"/>
    <mergeCell ref="N6:O6"/>
    <mergeCell ref="L11:M11"/>
    <mergeCell ref="H5:I5"/>
    <mergeCell ref="P14:Q14"/>
    <mergeCell ref="H14:I14"/>
    <mergeCell ref="A9:B9"/>
    <mergeCell ref="E5:E57"/>
    <mergeCell ref="J8:K8"/>
    <mergeCell ref="N4:O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Deaths from Leading Causes by Sex,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s="68" t="inlineStr">
        <is>
          <t>Cause of Death</t>
        </is>
      </c>
      <c r="G5" s="69" t="inlineStr">
        <is>
          <t>Number of Deaths</t>
        </is>
      </c>
    </row>
    <row r="6" ht="15" customHeight="1" s="91">
      <c r="A6" t="inlineStr">
        <is>
          <t>Multilevel Headers</t>
        </is>
      </c>
      <c r="B6" t="b">
        <v>1</v>
      </c>
      <c r="G6" t="inlineStr">
        <is>
          <t>Male</t>
        </is>
      </c>
      <c r="H6" t="inlineStr">
        <is>
          <t>Female</t>
        </is>
      </c>
      <c r="I6" t="inlineStr">
        <is>
          <t>Total</t>
        </is>
      </c>
      <c r="J6" s="69" t="n"/>
      <c r="K6" s="69" t="n"/>
      <c r="L6" s="69" t="n"/>
      <c r="M6" s="69" t="n"/>
      <c r="N6" s="69" t="n"/>
      <c r="O6" s="69" t="n"/>
    </row>
    <row r="7" ht="15.75" customHeight="1" s="91">
      <c r="F7" s="16" t="inlineStr">
        <is>
          <t>All Causes</t>
        </is>
      </c>
      <c r="G7" s="74" t="n">
        <v>6235</v>
      </c>
      <c r="H7" s="74" t="n">
        <v>6114</v>
      </c>
      <c r="I7" s="74" t="n">
        <v>12349</v>
      </c>
      <c r="J7" s="69" t="n"/>
      <c r="K7" s="69" t="n"/>
      <c r="L7" s="69" t="n"/>
      <c r="M7" s="69" t="n"/>
      <c r="N7" s="69" t="n"/>
      <c r="O7" s="69" t="n"/>
    </row>
    <row r="8">
      <c r="F8" s="47" t="inlineStr">
        <is>
          <t>Disease of the Heart</t>
        </is>
      </c>
      <c r="G8" s="74" t="n">
        <v>1409</v>
      </c>
      <c r="H8" s="74" t="n">
        <v>1214</v>
      </c>
      <c r="I8" s="74" t="n">
        <v>2623</v>
      </c>
      <c r="J8" s="69" t="n"/>
      <c r="K8" s="69" t="n"/>
      <c r="L8" s="69" t="n"/>
      <c r="M8" s="69" t="n"/>
      <c r="N8" s="69" t="n"/>
      <c r="O8" s="69" t="n"/>
    </row>
    <row r="9">
      <c r="A9" s="71" t="inlineStr">
        <is>
          <t>Figure Rules</t>
        </is>
      </c>
      <c r="F9" s="47" t="inlineStr">
        <is>
          <t>Malignant Neoplasms</t>
        </is>
      </c>
      <c r="G9" s="74" t="n">
        <v>1165</v>
      </c>
      <c r="H9" s="74" t="n">
        <v>1217</v>
      </c>
      <c r="I9" s="74" t="n">
        <v>2382</v>
      </c>
      <c r="J9" s="69" t="n"/>
      <c r="K9" s="69" t="n"/>
      <c r="L9" s="69" t="n"/>
      <c r="M9" s="69" t="n"/>
      <c r="N9" s="69" t="n"/>
      <c r="O9" s="69" t="n"/>
    </row>
    <row r="10">
      <c r="A10" t="inlineStr">
        <is>
          <t>Figure Type</t>
        </is>
      </c>
      <c r="F10" s="47" t="inlineStr">
        <is>
          <t>Unintentional Injury</t>
        </is>
      </c>
      <c r="G10" s="69" t="n">
        <v>793</v>
      </c>
      <c r="H10" s="69" t="n">
        <v>366</v>
      </c>
      <c r="I10" s="74" t="n">
        <v>1159</v>
      </c>
    </row>
    <row r="11">
      <c r="A11" t="inlineStr">
        <is>
          <t>X Column</t>
        </is>
      </c>
      <c r="F11" s="48" t="inlineStr">
        <is>
          <t>COPD/CLRD</t>
        </is>
      </c>
      <c r="G11" s="68" t="n">
        <v>222</v>
      </c>
      <c r="H11" s="68" t="n">
        <v>271</v>
      </c>
      <c r="I11" s="69" t="n">
        <v>493</v>
      </c>
      <c r="J11" s="68" t="n"/>
      <c r="K11" s="68" t="n"/>
      <c r="L11" s="68" t="n"/>
      <c r="M11" s="68" t="n"/>
      <c r="N11" s="68" t="n"/>
    </row>
    <row r="12">
      <c r="A12" t="inlineStr">
        <is>
          <t>Y Column</t>
        </is>
      </c>
      <c r="F12" s="47" t="inlineStr">
        <is>
          <t>Cerebrovascular Disease</t>
        </is>
      </c>
      <c r="G12" s="69" t="n">
        <v>176</v>
      </c>
      <c r="H12" s="69" t="n">
        <v>236</v>
      </c>
      <c r="I12" s="69" t="n">
        <v>412</v>
      </c>
      <c r="J12" s="69" t="n"/>
      <c r="K12" s="69" t="n"/>
      <c r="L12" s="69" t="n"/>
    </row>
    <row r="13">
      <c r="A13" t="inlineStr">
        <is>
          <t>X Axis Title</t>
        </is>
      </c>
      <c r="F13" s="47" t="inlineStr">
        <is>
          <t>Alzheimer's Disease</t>
        </is>
      </c>
      <c r="G13" s="69" t="n">
        <v>106</v>
      </c>
      <c r="H13" s="69" t="n">
        <v>292</v>
      </c>
      <c r="I13" s="69" t="n">
        <v>398</v>
      </c>
    </row>
    <row r="14">
      <c r="A14" t="inlineStr">
        <is>
          <t>Y Axis Title</t>
        </is>
      </c>
      <c r="F14" s="47" t="inlineStr">
        <is>
          <t>Diabetes</t>
        </is>
      </c>
      <c r="G14" s="69" t="n">
        <v>155</v>
      </c>
      <c r="H14" s="69" t="n">
        <v>146</v>
      </c>
      <c r="I14" s="69" t="n">
        <v>301</v>
      </c>
    </row>
    <row r="15">
      <c r="A15" t="inlineStr">
        <is>
          <t>Start at Zero</t>
        </is>
      </c>
      <c r="F15" s="47" t="inlineStr">
        <is>
          <t>Pneumonia</t>
        </is>
      </c>
      <c r="G15" s="69" t="n">
        <v>136</v>
      </c>
      <c r="H15" s="69" t="n">
        <v>109</v>
      </c>
      <c r="I15" s="69" t="n">
        <v>245</v>
      </c>
    </row>
    <row r="16">
      <c r="A16" t="inlineStr">
        <is>
          <t>Pivot For Chart</t>
        </is>
      </c>
      <c r="F16" s="47" t="inlineStr">
        <is>
          <t>Septicemia</t>
        </is>
      </c>
      <c r="G16" s="69" t="n">
        <v>128</v>
      </c>
      <c r="H16" s="69" t="n">
        <v>135</v>
      </c>
      <c r="I16" s="69" t="n">
        <v>263</v>
      </c>
    </row>
    <row r="17">
      <c r="F17" s="47" t="inlineStr">
        <is>
          <t>Suicide</t>
        </is>
      </c>
      <c r="G17" s="69" t="n">
        <v>185</v>
      </c>
      <c r="H17" s="69" t="n">
        <v>42</v>
      </c>
      <c r="I17" s="69" t="n">
        <v>227</v>
      </c>
    </row>
    <row r="18">
      <c r="A18" s="71" t="inlineStr">
        <is>
          <t>Source Specifications</t>
        </is>
      </c>
      <c r="F18" s="47" t="inlineStr">
        <is>
          <t>Cirrhosis of Liver</t>
        </is>
      </c>
      <c r="G18" s="69" t="n">
        <v>84</v>
      </c>
      <c r="H18" s="69" t="n">
        <v>39</v>
      </c>
      <c r="I18" s="69" t="n">
        <v>123</v>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Deaths that are Premature, by Race and Ethnicity, 2018–2020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45.8</v>
      </c>
      <c r="H6" s="69" t="n">
        <v>41.3</v>
      </c>
      <c r="I6" s="69" t="n">
        <v>63.4</v>
      </c>
      <c r="J6" s="69" t="n">
        <v>61.3</v>
      </c>
      <c r="K6" s="69" t="n">
        <v>57.9</v>
      </c>
      <c r="L6" s="69" t="n"/>
      <c r="M6" s="69" t="n"/>
      <c r="N6" s="69" t="n"/>
      <c r="O6" s="69" t="n"/>
    </row>
    <row r="7" ht="15.75" customHeight="1" s="91">
      <c r="F7" t="inlineStr">
        <is>
          <t>NYS excl NYC</t>
        </is>
      </c>
      <c r="G7" s="69" t="n">
        <v>40.8</v>
      </c>
      <c r="H7" s="69" t="n">
        <v>37.3</v>
      </c>
      <c r="I7" s="69" t="n">
        <v>61.6</v>
      </c>
      <c r="J7" s="69" t="n">
        <v>46.5</v>
      </c>
      <c r="K7" s="69" t="n">
        <v>60.8</v>
      </c>
      <c r="L7" s="69" t="n"/>
      <c r="M7" s="69" t="n"/>
      <c r="N7" s="69" t="n"/>
      <c r="O7" s="69" t="n"/>
    </row>
    <row r="8">
      <c r="F8" t="inlineStr">
        <is>
          <t>NYS</t>
        </is>
      </c>
      <c r="G8" s="69" t="n">
        <v>42.9</v>
      </c>
      <c r="H8" s="69" t="n">
        <v>36.6</v>
      </c>
      <c r="I8" s="69" t="n">
        <v>58.6</v>
      </c>
      <c r="J8" s="69" t="n">
        <v>42.9</v>
      </c>
      <c r="K8" s="69" t="n">
        <v>55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25.140625" bestFit="1" customWidth="1" style="91" min="8" max="8"/>
    <col width="38" bestFit="1" customWidth="1" style="91" min="9" max="9"/>
    <col width="9" bestFit="1" customWidth="1" style="91" min="10" max="10"/>
    <col width="16.85546875" customWidth="1" style="91" min="11" max="11"/>
    <col width="24.7109375"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Household Median Income, Poverty Status, and GINI Index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71" t="inlineStr">
        <is>
          <t>Table Rules</t>
        </is>
      </c>
      <c r="E5" s="70" t="inlineStr">
        <is>
          <t xml:space="preserve">Enter Data </t>
        </is>
      </c>
      <c r="F5" s="69" t="inlineStr">
        <is>
          <t>Geographic Area</t>
        </is>
      </c>
      <c r="G5" s="69" t="inlineStr">
        <is>
          <t>Total Households</t>
        </is>
      </c>
      <c r="H5" s="69" t="inlineStr">
        <is>
          <t>Median Household Income</t>
        </is>
      </c>
      <c r="I5" s="69" t="inlineStr">
        <is>
          <t>Households Below Federal Poverty Level</t>
        </is>
      </c>
      <c r="K5" s="69" t="inlineStr">
        <is>
          <t>Households Below Local Poverty Level</t>
        </is>
      </c>
      <c r="M5" s="69" t="inlineStr">
        <is>
          <t>Households with Income Over $150,000</t>
        </is>
      </c>
      <c r="O5" s="69" t="inlineStr">
        <is>
          <t>GINI Index</t>
        </is>
      </c>
    </row>
    <row r="6" ht="15" customHeight="1" s="91">
      <c r="A6" t="inlineStr">
        <is>
          <t>Multilevel Headers</t>
        </is>
      </c>
      <c r="B6" t="b">
        <v>1</v>
      </c>
      <c r="I6" s="69" t="inlineStr">
        <is>
          <t>#</t>
        </is>
      </c>
      <c r="J6" s="69" t="inlineStr">
        <is>
          <t>%</t>
        </is>
      </c>
      <c r="K6" s="69" t="inlineStr">
        <is>
          <t>#</t>
        </is>
      </c>
      <c r="L6" s="69" t="inlineStr">
        <is>
          <t>%</t>
        </is>
      </c>
      <c r="M6" s="69" t="inlineStr">
        <is>
          <t>#</t>
        </is>
      </c>
      <c r="N6" s="69" t="inlineStr">
        <is>
          <t>%</t>
        </is>
      </c>
    </row>
    <row r="7" ht="15.75" customHeight="1" s="91">
      <c r="F7" t="inlineStr">
        <is>
          <t>Orange County</t>
        </is>
      </c>
      <c r="G7" s="28" t="n">
        <v>137311</v>
      </c>
      <c r="H7" s="92" t="n">
        <v>96497</v>
      </c>
      <c r="I7" s="28" t="n">
        <v>21753</v>
      </c>
      <c r="J7" s="68" t="n">
        <v>15.8</v>
      </c>
      <c r="K7" s="28" t="n">
        <v>35627</v>
      </c>
      <c r="L7" s="68" t="n">
        <v>25.9</v>
      </c>
      <c r="M7" s="28" t="n">
        <v>39482</v>
      </c>
      <c r="N7" s="68" t="n">
        <v>28.8</v>
      </c>
      <c r="O7" s="68" t="n">
        <v>0.44</v>
      </c>
    </row>
    <row r="8">
      <c r="F8" t="inlineStr">
        <is>
          <t>Blooming Grove Town</t>
        </is>
      </c>
      <c r="G8" s="28" t="n">
        <v>6149</v>
      </c>
      <c r="H8" s="92" t="n">
        <v>100763</v>
      </c>
      <c r="I8" s="68" t="n">
        <v>805</v>
      </c>
      <c r="J8" s="68" t="n">
        <v>13.1</v>
      </c>
      <c r="K8" s="28" t="n">
        <v>1399</v>
      </c>
      <c r="L8" s="68" t="n">
        <v>22.8</v>
      </c>
      <c r="M8" s="28" t="n">
        <v>1825</v>
      </c>
      <c r="N8" s="68" t="n">
        <v>29.7</v>
      </c>
      <c r="O8" s="68" t="n">
        <v>0.41</v>
      </c>
    </row>
    <row r="9">
      <c r="A9" s="71" t="inlineStr">
        <is>
          <t>Figure Rules</t>
        </is>
      </c>
      <c r="F9" t="inlineStr">
        <is>
          <t>South Blooming Grove Village</t>
        </is>
      </c>
      <c r="G9" s="28" t="n">
        <v>1173</v>
      </c>
      <c r="H9" s="92" t="n">
        <v>68958</v>
      </c>
      <c r="I9" s="68" t="n">
        <v>158</v>
      </c>
      <c r="J9" s="68" t="n">
        <v>13.5</v>
      </c>
      <c r="K9" s="68" t="n">
        <v>374</v>
      </c>
      <c r="L9" s="68" t="n">
        <v>31.9</v>
      </c>
      <c r="M9" s="68" t="n">
        <v>142</v>
      </c>
      <c r="N9" s="68" t="n">
        <v>12.1</v>
      </c>
      <c r="O9" s="68" t="n">
        <v>0.39</v>
      </c>
    </row>
    <row r="10">
      <c r="A10" t="inlineStr">
        <is>
          <t>Figure Type</t>
        </is>
      </c>
      <c r="F10" t="inlineStr">
        <is>
          <t>Washingtonville Village</t>
        </is>
      </c>
      <c r="G10" s="28" t="n">
        <v>2106</v>
      </c>
      <c r="H10" s="92" t="n">
        <v>101080</v>
      </c>
      <c r="I10" s="68" t="n">
        <v>370</v>
      </c>
      <c r="J10" s="68" t="n">
        <v>17.6</v>
      </c>
      <c r="K10" s="68" t="n">
        <v>553</v>
      </c>
      <c r="L10" s="68" t="n">
        <v>26.3</v>
      </c>
      <c r="M10" s="68" t="n">
        <v>590</v>
      </c>
      <c r="N10" s="68" t="n">
        <v>28</v>
      </c>
      <c r="O10" s="68" t="n">
        <v>0.47</v>
      </c>
    </row>
    <row r="11">
      <c r="A11" t="inlineStr">
        <is>
          <t>X Column</t>
        </is>
      </c>
      <c r="F11" t="inlineStr">
        <is>
          <t>Chester Town</t>
        </is>
      </c>
      <c r="G11" s="28" t="n">
        <v>4458</v>
      </c>
      <c r="H11" s="92" t="n">
        <v>146893</v>
      </c>
      <c r="I11" s="68" t="n">
        <v>357</v>
      </c>
      <c r="J11" s="68" t="n">
        <v>8</v>
      </c>
      <c r="K11" s="68" t="n">
        <v>692</v>
      </c>
      <c r="L11" s="68" t="n">
        <v>15.5</v>
      </c>
      <c r="M11" s="28" t="n">
        <v>2183</v>
      </c>
      <c r="N11" s="68" t="n">
        <v>48.9</v>
      </c>
      <c r="O11" s="68" t="n">
        <v>0.38</v>
      </c>
    </row>
    <row r="12">
      <c r="A12" t="inlineStr">
        <is>
          <t>Y Column</t>
        </is>
      </c>
      <c r="F12" s="21" t="inlineStr">
        <is>
          <t>Chester Village</t>
        </is>
      </c>
      <c r="G12" s="28" t="n">
        <v>1560</v>
      </c>
      <c r="H12" s="92" t="n">
        <v>97250</v>
      </c>
      <c r="I12" s="68" t="n">
        <v>260</v>
      </c>
      <c r="J12" s="68" t="n">
        <v>16.7</v>
      </c>
      <c r="K12" s="68" t="n">
        <v>377</v>
      </c>
      <c r="L12" s="68" t="n">
        <v>24.2</v>
      </c>
      <c r="M12" s="68" t="n">
        <v>563</v>
      </c>
      <c r="N12" s="68" t="n">
        <v>36.1</v>
      </c>
      <c r="O12" s="68" t="n">
        <v>0.38</v>
      </c>
    </row>
    <row r="13">
      <c r="A13" t="inlineStr">
        <is>
          <t>X Axis Title</t>
        </is>
      </c>
      <c r="F13" t="inlineStr">
        <is>
          <t>Cornwall Town</t>
        </is>
      </c>
      <c r="G13" s="28" t="n">
        <v>5023</v>
      </c>
      <c r="H13" s="92" t="n">
        <v>118639</v>
      </c>
      <c r="I13" s="68" t="n">
        <v>459</v>
      </c>
      <c r="J13" s="68" t="n">
        <v>9.1</v>
      </c>
      <c r="K13" s="68" t="n">
        <v>773</v>
      </c>
      <c r="L13" s="68" t="n">
        <v>15.4</v>
      </c>
      <c r="M13" s="28" t="n">
        <v>1879</v>
      </c>
      <c r="N13" s="68" t="n">
        <v>37.4</v>
      </c>
      <c r="O13" s="68" t="n">
        <v>0.38</v>
      </c>
    </row>
    <row r="14">
      <c r="A14" t="inlineStr">
        <is>
          <t>Y Axis Title</t>
        </is>
      </c>
      <c r="F14" t="inlineStr">
        <is>
          <t>Cornwall-on-Hudson Village</t>
        </is>
      </c>
      <c r="G14" s="28" t="n">
        <v>1230</v>
      </c>
      <c r="H14" s="92" t="n">
        <v>150288</v>
      </c>
      <c r="I14" s="68" t="n">
        <v>79</v>
      </c>
      <c r="J14" s="68" t="n">
        <v>6.4</v>
      </c>
      <c r="K14" s="68" t="n">
        <v>143</v>
      </c>
      <c r="L14" s="68" t="n">
        <v>11.6</v>
      </c>
      <c r="M14" s="68" t="n">
        <v>627</v>
      </c>
      <c r="N14" s="68" t="n">
        <v>51</v>
      </c>
      <c r="O14" s="68" t="n">
        <v>0.36</v>
      </c>
    </row>
    <row r="15">
      <c r="A15" t="inlineStr">
        <is>
          <t>Start at Zero</t>
        </is>
      </c>
      <c r="F15" t="inlineStr">
        <is>
          <t>Crawford Town</t>
        </is>
      </c>
      <c r="G15" s="28" t="n">
        <v>3001</v>
      </c>
      <c r="H15" s="92" t="n">
        <v>130656</v>
      </c>
      <c r="I15" s="68" t="n">
        <v>277</v>
      </c>
      <c r="J15" s="68" t="n">
        <v>9.199999999999999</v>
      </c>
      <c r="K15" s="68" t="n">
        <v>448</v>
      </c>
      <c r="L15" s="68" t="n">
        <v>14.9</v>
      </c>
      <c r="M15" s="28" t="n">
        <v>1246</v>
      </c>
      <c r="N15" s="68" t="n">
        <v>41.5</v>
      </c>
      <c r="O15" s="68" t="n">
        <v>0.43</v>
      </c>
    </row>
    <row r="16">
      <c r="A16" t="inlineStr">
        <is>
          <t>Pivot For Chart</t>
        </is>
      </c>
      <c r="F16" t="inlineStr">
        <is>
          <t>Deerpark Town</t>
        </is>
      </c>
      <c r="G16" s="28" t="n">
        <v>2993</v>
      </c>
      <c r="H16" s="92" t="n">
        <v>72164</v>
      </c>
      <c r="I16" s="68" t="n">
        <v>421</v>
      </c>
      <c r="J16" s="68" t="n">
        <v>14.1</v>
      </c>
      <c r="K16" s="68" t="n">
        <v>834</v>
      </c>
      <c r="L16" s="68" t="n">
        <v>27.9</v>
      </c>
      <c r="M16" s="68" t="n">
        <v>448</v>
      </c>
      <c r="N16" s="68" t="n">
        <v>14.9</v>
      </c>
      <c r="O16" s="68" t="n">
        <v>0.4</v>
      </c>
    </row>
    <row r="17">
      <c r="F17" t="inlineStr">
        <is>
          <t>Goshen Town</t>
        </is>
      </c>
      <c r="G17" s="28" t="n">
        <v>4861</v>
      </c>
      <c r="H17" s="92" t="n">
        <v>117817</v>
      </c>
      <c r="I17" s="68" t="n">
        <v>626</v>
      </c>
      <c r="J17" s="68" t="n">
        <v>12.9</v>
      </c>
      <c r="K17" s="28" t="n">
        <v>1031</v>
      </c>
      <c r="L17" s="68" t="n">
        <v>21.2</v>
      </c>
      <c r="M17" s="28" t="n">
        <v>1895</v>
      </c>
      <c r="N17" s="68" t="n">
        <v>38.9</v>
      </c>
      <c r="O17" s="68" t="n">
        <v>0.47</v>
      </c>
    </row>
    <row r="18">
      <c r="A18" s="71" t="inlineStr">
        <is>
          <t>Source Specifications</t>
        </is>
      </c>
      <c r="F18" t="inlineStr">
        <is>
          <t>Goshen Village</t>
        </is>
      </c>
      <c r="G18" s="28" t="n">
        <v>2350</v>
      </c>
      <c r="H18" s="92" t="n">
        <v>99464</v>
      </c>
      <c r="I18" s="68" t="n">
        <v>436</v>
      </c>
      <c r="J18" s="68" t="n">
        <v>18.6</v>
      </c>
      <c r="K18" s="68" t="n">
        <v>653</v>
      </c>
      <c r="L18" s="68" t="n">
        <v>27.8</v>
      </c>
      <c r="M18" s="68" t="n">
        <v>730</v>
      </c>
      <c r="N18" s="68" t="n">
        <v>31.1</v>
      </c>
      <c r="O18" s="68"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28" t="n">
        <v>1645</v>
      </c>
      <c r="H19" s="92" t="n">
        <v>130938</v>
      </c>
      <c r="I19" s="68" t="n">
        <v>66</v>
      </c>
      <c r="J19" s="68" t="n">
        <v>4</v>
      </c>
      <c r="K19" s="68" t="n">
        <v>196</v>
      </c>
      <c r="L19" s="68" t="n">
        <v>11.9</v>
      </c>
      <c r="M19" s="68" t="n">
        <v>594</v>
      </c>
      <c r="N19" s="68" t="n">
        <v>36.1</v>
      </c>
      <c r="O19" s="68" t="n">
        <v>0.33</v>
      </c>
    </row>
    <row r="20">
      <c r="F20" s="69" t="inlineStr">
        <is>
          <t>Hamptonburgh Town</t>
        </is>
      </c>
      <c r="G20" s="28" t="n">
        <v>1745</v>
      </c>
      <c r="H20" s="92" t="n">
        <v>113267</v>
      </c>
      <c r="I20" s="68" t="n">
        <v>171</v>
      </c>
      <c r="J20" s="68" t="n">
        <v>9.800000000000001</v>
      </c>
      <c r="K20" s="68" t="n">
        <v>310</v>
      </c>
      <c r="L20" s="68" t="n">
        <v>17.8</v>
      </c>
      <c r="M20" s="68" t="n">
        <v>632</v>
      </c>
      <c r="N20" s="68" t="n">
        <v>36.2</v>
      </c>
      <c r="O20" s="68" t="n">
        <v>0.42</v>
      </c>
    </row>
    <row r="21">
      <c r="A21" s="69" t="inlineStr">
        <is>
          <t>Note Specfications</t>
        </is>
      </c>
      <c r="F21" s="69" t="inlineStr">
        <is>
          <t>Highlands Town</t>
        </is>
      </c>
      <c r="G21" s="28" t="n">
        <v>3938</v>
      </c>
      <c r="H21" s="92" t="n">
        <v>111786</v>
      </c>
      <c r="I21" s="68" t="n">
        <v>367</v>
      </c>
      <c r="J21" s="68" t="n">
        <v>9.300000000000001</v>
      </c>
      <c r="K21" s="68" t="n">
        <v>833</v>
      </c>
      <c r="L21" s="68" t="n">
        <v>21.2</v>
      </c>
      <c r="M21" s="28" t="n">
        <v>1218</v>
      </c>
      <c r="N21" s="68" t="n">
        <v>30.9</v>
      </c>
      <c r="O21" s="68"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69" t="inlineStr">
        <is>
          <t>Highland Falls Village</t>
        </is>
      </c>
      <c r="G22" s="28" t="n">
        <v>1648</v>
      </c>
      <c r="H22" s="92" t="n">
        <v>107500</v>
      </c>
      <c r="I22" s="68" t="n">
        <v>221</v>
      </c>
      <c r="J22" s="68" t="n">
        <v>13.4</v>
      </c>
      <c r="K22" s="68" t="n">
        <v>500</v>
      </c>
      <c r="L22" s="68" t="n">
        <v>30.3</v>
      </c>
      <c r="M22" s="68" t="n">
        <v>393</v>
      </c>
      <c r="N22" s="68" t="n">
        <v>23.8</v>
      </c>
      <c r="O22" s="68" t="n">
        <v>0.39</v>
      </c>
    </row>
    <row r="23">
      <c r="F23" s="69" t="inlineStr">
        <is>
          <t>Middletown City</t>
        </is>
      </c>
      <c r="G23" s="28" t="n">
        <v>10182</v>
      </c>
      <c r="H23" s="92" t="n">
        <v>77174</v>
      </c>
      <c r="I23" s="28" t="n">
        <v>2209</v>
      </c>
      <c r="J23" s="68" t="n">
        <v>21.7</v>
      </c>
      <c r="K23" s="28" t="n">
        <v>3329</v>
      </c>
      <c r="L23" s="68" t="n">
        <v>32.7</v>
      </c>
      <c r="M23" s="28" t="n">
        <v>2002</v>
      </c>
      <c r="N23" s="68" t="n">
        <v>19.6</v>
      </c>
      <c r="O23" s="68" t="n">
        <v>0.44</v>
      </c>
    </row>
    <row r="24">
      <c r="F24" t="inlineStr">
        <is>
          <t>Minisink Town</t>
        </is>
      </c>
      <c r="G24" s="28" t="n">
        <v>1526</v>
      </c>
      <c r="H24" s="92" t="n">
        <v>114048</v>
      </c>
      <c r="I24" s="68" t="n">
        <v>105</v>
      </c>
      <c r="J24" s="68" t="n">
        <v>6.9</v>
      </c>
      <c r="K24" s="68" t="n">
        <v>217</v>
      </c>
      <c r="L24" s="68" t="n">
        <v>14.2</v>
      </c>
      <c r="M24" s="68" t="n">
        <v>464</v>
      </c>
      <c r="N24" s="68" t="n">
        <v>30.4</v>
      </c>
      <c r="O24" s="68" t="n">
        <v>0.37</v>
      </c>
    </row>
    <row r="25">
      <c r="F25" s="69" t="inlineStr">
        <is>
          <t>Unionville Village</t>
        </is>
      </c>
      <c r="G25" s="68" t="n">
        <v>222</v>
      </c>
      <c r="H25" s="92" t="n">
        <v>104615</v>
      </c>
      <c r="I25" s="68" t="n">
        <v>3</v>
      </c>
      <c r="J25" s="68" t="n">
        <v>1.4</v>
      </c>
      <c r="K25" s="68" t="n">
        <v>29</v>
      </c>
      <c r="L25" s="68" t="n">
        <v>13.1</v>
      </c>
      <c r="M25" s="68" t="n">
        <v>59</v>
      </c>
      <c r="N25" s="68" t="n">
        <v>26.6</v>
      </c>
      <c r="O25" s="68" t="n">
        <v>0.42</v>
      </c>
    </row>
    <row r="26">
      <c r="F26" s="69" t="inlineStr">
        <is>
          <t>Monroe Town</t>
        </is>
      </c>
      <c r="G26" s="28" t="n">
        <v>6855</v>
      </c>
      <c r="H26" s="92" t="n">
        <v>116019</v>
      </c>
      <c r="I26" s="68" t="n">
        <v>625</v>
      </c>
      <c r="J26" s="68" t="n">
        <v>9.1</v>
      </c>
      <c r="K26" s="28" t="n">
        <v>1105</v>
      </c>
      <c r="L26" s="68" t="n">
        <v>16.1</v>
      </c>
      <c r="M26" s="28" t="n">
        <v>2522</v>
      </c>
      <c r="N26" s="68" t="n">
        <v>36.8</v>
      </c>
      <c r="O26" s="68" t="n">
        <v>0.39</v>
      </c>
    </row>
    <row r="27">
      <c r="A27" s="69" t="n"/>
      <c r="F27" s="69" t="inlineStr">
        <is>
          <t>Harriman Village (portion)</t>
        </is>
      </c>
      <c r="G27" s="68" t="n">
        <v>792</v>
      </c>
      <c r="H27" s="92" t="n">
        <v>95324</v>
      </c>
      <c r="I27" s="68" t="n">
        <v>93</v>
      </c>
      <c r="J27" s="68" t="n">
        <v>11.7</v>
      </c>
      <c r="K27" s="68" t="n">
        <v>209</v>
      </c>
      <c r="L27" s="68" t="n">
        <v>26.4</v>
      </c>
      <c r="M27" s="68" t="n">
        <v>186</v>
      </c>
      <c r="N27" s="68" t="n">
        <v>23.5</v>
      </c>
      <c r="O27" s="68" t="n">
        <v>0.38</v>
      </c>
    </row>
    <row r="28">
      <c r="F28" s="69" t="inlineStr">
        <is>
          <t>Monroe Village</t>
        </is>
      </c>
      <c r="G28" s="28" t="n">
        <v>2886</v>
      </c>
      <c r="H28" s="92" t="n">
        <v>110806</v>
      </c>
      <c r="I28" s="68" t="n">
        <v>283</v>
      </c>
      <c r="J28" s="68" t="n">
        <v>9.800000000000001</v>
      </c>
      <c r="K28" s="68" t="n">
        <v>487</v>
      </c>
      <c r="L28" s="68" t="n">
        <v>16.9</v>
      </c>
      <c r="M28" s="28" t="n">
        <v>1000</v>
      </c>
      <c r="N28" s="68" t="n">
        <v>34.7</v>
      </c>
      <c r="O28" s="68" t="n">
        <v>0.36</v>
      </c>
    </row>
    <row r="29">
      <c r="F29" s="69" t="inlineStr">
        <is>
          <t>Montgomery Town</t>
        </is>
      </c>
      <c r="G29" s="28" t="n">
        <v>8306</v>
      </c>
      <c r="H29" s="92" t="n">
        <v>98360</v>
      </c>
      <c r="I29" s="28" t="n">
        <v>1411</v>
      </c>
      <c r="J29" s="68" t="n">
        <v>17</v>
      </c>
      <c r="K29" s="28" t="n">
        <v>2113</v>
      </c>
      <c r="L29" s="68" t="n">
        <v>25.4</v>
      </c>
      <c r="M29" s="28" t="n">
        <v>2318</v>
      </c>
      <c r="N29" s="68" t="n">
        <v>27.9</v>
      </c>
      <c r="O29" s="68" t="n">
        <v>0.42</v>
      </c>
    </row>
    <row r="30">
      <c r="F30" s="69" t="inlineStr">
        <is>
          <t>Maybrook Village</t>
        </is>
      </c>
      <c r="G30" s="28" t="n">
        <v>1401</v>
      </c>
      <c r="H30" s="92" t="n">
        <v>89293</v>
      </c>
      <c r="I30" s="68" t="n">
        <v>279</v>
      </c>
      <c r="J30" s="68" t="n">
        <v>19.9</v>
      </c>
      <c r="K30" s="68" t="n">
        <v>417</v>
      </c>
      <c r="L30" s="68" t="n">
        <v>29.8</v>
      </c>
      <c r="M30" s="68" t="n">
        <v>225</v>
      </c>
      <c r="N30" s="68" t="n">
        <v>16.1</v>
      </c>
      <c r="O30" s="68" t="n">
        <v>0.39</v>
      </c>
    </row>
    <row r="31">
      <c r="F31" s="69" t="inlineStr">
        <is>
          <t>Montgomery Village</t>
        </is>
      </c>
      <c r="G31" s="28" t="n">
        <v>1535</v>
      </c>
      <c r="H31" s="92" t="n">
        <v>88348</v>
      </c>
      <c r="I31" s="68" t="n">
        <v>286</v>
      </c>
      <c r="J31" s="68" t="n">
        <v>18.6</v>
      </c>
      <c r="K31" s="68" t="n">
        <v>414</v>
      </c>
      <c r="L31" s="68" t="n">
        <v>27</v>
      </c>
      <c r="M31" s="68" t="n">
        <v>404</v>
      </c>
      <c r="N31" s="68" t="n">
        <v>26.3</v>
      </c>
      <c r="O31" s="68" t="n">
        <v>0.44</v>
      </c>
    </row>
    <row r="32">
      <c r="F32" t="inlineStr">
        <is>
          <t>Walden Village</t>
        </is>
      </c>
      <c r="G32" s="28" t="n">
        <v>2621</v>
      </c>
      <c r="H32" s="92" t="n">
        <v>89652</v>
      </c>
      <c r="I32" s="68" t="n">
        <v>650</v>
      </c>
      <c r="J32" s="68" t="n">
        <v>24.8</v>
      </c>
      <c r="K32" s="68" t="n">
        <v>860</v>
      </c>
      <c r="L32" s="68" t="n">
        <v>32.8</v>
      </c>
      <c r="M32" s="68" t="n">
        <v>578</v>
      </c>
      <c r="N32" s="68" t="n">
        <v>22.1</v>
      </c>
      <c r="O32" s="68" t="n">
        <v>0.44</v>
      </c>
    </row>
    <row r="33">
      <c r="F33" s="69" t="inlineStr">
        <is>
          <t>Mount Hope Town</t>
        </is>
      </c>
      <c r="G33" s="28" t="n">
        <v>2094</v>
      </c>
      <c r="H33" s="92" t="n">
        <v>95833</v>
      </c>
      <c r="I33" s="68" t="n">
        <v>336</v>
      </c>
      <c r="J33" s="68" t="n">
        <v>16</v>
      </c>
      <c r="K33" s="68" t="n">
        <v>581</v>
      </c>
      <c r="L33" s="68" t="n">
        <v>27.7</v>
      </c>
      <c r="M33" s="68" t="n">
        <v>626</v>
      </c>
      <c r="N33" s="68" t="n">
        <v>29.9</v>
      </c>
      <c r="O33" s="68" t="n">
        <v>0.45</v>
      </c>
    </row>
    <row r="34">
      <c r="F34" s="69" t="inlineStr">
        <is>
          <t>Otisville Village</t>
        </is>
      </c>
      <c r="G34" s="68" t="n">
        <v>439</v>
      </c>
      <c r="H34" s="92" t="n">
        <v>80625</v>
      </c>
      <c r="I34" s="68" t="n">
        <v>46</v>
      </c>
      <c r="J34" s="68" t="n">
        <v>10.5</v>
      </c>
      <c r="K34" s="68" t="n">
        <v>95</v>
      </c>
      <c r="L34" s="68" t="n">
        <v>21.6</v>
      </c>
      <c r="M34" s="68" t="n">
        <v>66</v>
      </c>
      <c r="N34" s="68" t="n">
        <v>15</v>
      </c>
      <c r="O34" s="68" t="n">
        <v>0.42</v>
      </c>
    </row>
    <row r="35">
      <c r="F35" s="69" t="inlineStr">
        <is>
          <t>Newburgh City</t>
        </is>
      </c>
      <c r="G35" s="28" t="n">
        <v>10335</v>
      </c>
      <c r="H35" s="92" t="n">
        <v>51006</v>
      </c>
      <c r="I35" s="28" t="n">
        <v>3526</v>
      </c>
      <c r="J35" s="68" t="n">
        <v>34.1</v>
      </c>
      <c r="K35" s="28" t="n">
        <v>4991</v>
      </c>
      <c r="L35" s="68" t="n">
        <v>48.3</v>
      </c>
      <c r="M35" s="28" t="n">
        <v>1271</v>
      </c>
      <c r="N35" s="68" t="n">
        <v>12.3</v>
      </c>
      <c r="O35" s="68" t="n">
        <v>0.51</v>
      </c>
    </row>
    <row r="36">
      <c r="F36" s="69" t="inlineStr">
        <is>
          <t>Newburgh Town</t>
        </is>
      </c>
      <c r="G36" s="28" t="n">
        <v>11553</v>
      </c>
      <c r="H36" s="92" t="n">
        <v>105892</v>
      </c>
      <c r="I36" s="28" t="n">
        <v>1101</v>
      </c>
      <c r="J36" s="68" t="n">
        <v>9.5</v>
      </c>
      <c r="K36" s="28" t="n">
        <v>2172</v>
      </c>
      <c r="L36" s="68" t="n">
        <v>18.8</v>
      </c>
      <c r="M36" s="28" t="n">
        <v>3334</v>
      </c>
      <c r="N36" s="68" t="n">
        <v>28.9</v>
      </c>
      <c r="O36" s="68" t="n">
        <v>0.39</v>
      </c>
    </row>
    <row r="37">
      <c r="F37" s="69" t="inlineStr">
        <is>
          <t>New Windsor Town</t>
        </is>
      </c>
      <c r="G37" s="28" t="n">
        <v>10763</v>
      </c>
      <c r="H37" s="92" t="n">
        <v>95950</v>
      </c>
      <c r="I37" s="28" t="n">
        <v>1475</v>
      </c>
      <c r="J37" s="68" t="n">
        <v>13.7</v>
      </c>
      <c r="K37" s="28" t="n">
        <v>2920</v>
      </c>
      <c r="L37" s="68" t="n">
        <v>27.1</v>
      </c>
      <c r="M37" s="28" t="n">
        <v>3265</v>
      </c>
      <c r="N37" s="68" t="n">
        <v>30.3</v>
      </c>
      <c r="O37" s="68" t="n">
        <v>0.44</v>
      </c>
    </row>
    <row r="38">
      <c r="F38" t="inlineStr">
        <is>
          <t>Palm Tree Town</t>
        </is>
      </c>
      <c r="G38" s="28" t="n">
        <v>6869</v>
      </c>
      <c r="H38" s="92" t="n">
        <v>43171</v>
      </c>
      <c r="I38" s="28" t="n">
        <v>2432</v>
      </c>
      <c r="J38" s="68" t="n">
        <v>35.4</v>
      </c>
      <c r="K38" s="28" t="n">
        <v>3831</v>
      </c>
      <c r="L38" s="68" t="n">
        <v>55.8</v>
      </c>
      <c r="M38" s="68" t="n">
        <v>691</v>
      </c>
      <c r="N38" s="68" t="n">
        <v>10.1</v>
      </c>
      <c r="O38" s="68" t="n">
        <v>0.49</v>
      </c>
    </row>
    <row r="39">
      <c r="F39" t="inlineStr">
        <is>
          <t>Kiryas Joel Village</t>
        </is>
      </c>
      <c r="G39" s="28" t="n">
        <v>6869</v>
      </c>
      <c r="H39" s="92" t="n">
        <v>43171</v>
      </c>
      <c r="I39" s="28" t="n">
        <v>2432</v>
      </c>
      <c r="J39" s="68" t="n">
        <v>35.4</v>
      </c>
      <c r="K39" s="28" t="n">
        <v>3831</v>
      </c>
      <c r="L39" s="68" t="n">
        <v>55.8</v>
      </c>
      <c r="M39" s="68" t="n">
        <v>691</v>
      </c>
      <c r="N39" s="68" t="n">
        <v>10.1</v>
      </c>
      <c r="O39" s="68" t="n">
        <v>0.49</v>
      </c>
    </row>
    <row r="40">
      <c r="F40" t="inlineStr">
        <is>
          <t>Port Jervis City</t>
        </is>
      </c>
      <c r="G40" s="28" t="n">
        <v>3533</v>
      </c>
      <c r="H40" s="92" t="n">
        <v>50721</v>
      </c>
      <c r="I40" s="28" t="n">
        <v>1254</v>
      </c>
      <c r="J40" s="68" t="n">
        <v>35.5</v>
      </c>
      <c r="K40" s="28" t="n">
        <v>1729</v>
      </c>
      <c r="L40" s="68" t="n">
        <v>48.9</v>
      </c>
      <c r="M40" s="68" t="n">
        <v>267</v>
      </c>
      <c r="N40" s="68" t="n">
        <v>7.6</v>
      </c>
      <c r="O40" s="68" t="n">
        <v>0.45</v>
      </c>
    </row>
    <row r="41">
      <c r="F41" t="inlineStr">
        <is>
          <t>Tuxedo Town</t>
        </is>
      </c>
      <c r="G41" s="28" t="n">
        <v>1539</v>
      </c>
      <c r="H41" s="92" t="n">
        <v>140938</v>
      </c>
      <c r="I41" s="68" t="n">
        <v>147</v>
      </c>
      <c r="J41" s="68" t="n">
        <v>9.6</v>
      </c>
      <c r="K41" s="68" t="n">
        <v>281</v>
      </c>
      <c r="L41" s="68" t="n">
        <v>18.3</v>
      </c>
      <c r="M41" s="68" t="n">
        <v>861</v>
      </c>
      <c r="N41" s="68" t="n">
        <v>55.9</v>
      </c>
      <c r="O41" s="68" t="n">
        <v>0.57</v>
      </c>
    </row>
    <row r="42">
      <c r="F42" t="inlineStr">
        <is>
          <t>Tuxedo Village</t>
        </is>
      </c>
      <c r="G42" s="28" t="n">
        <v>1151</v>
      </c>
      <c r="H42" s="92" t="n">
        <v>118317</v>
      </c>
      <c r="I42" s="68" t="n">
        <v>130</v>
      </c>
      <c r="J42" s="68" t="n">
        <v>11.3</v>
      </c>
      <c r="K42" s="68" t="n">
        <v>255</v>
      </c>
      <c r="L42" s="68" t="n">
        <v>22.2</v>
      </c>
      <c r="M42" s="68" t="n">
        <v>461</v>
      </c>
      <c r="N42" s="68" t="n">
        <v>40.1</v>
      </c>
      <c r="O42" s="68" t="n">
        <v>0.47</v>
      </c>
    </row>
    <row r="43">
      <c r="F43" t="inlineStr">
        <is>
          <t>Tuxedo Park Village</t>
        </is>
      </c>
      <c r="G43" s="68" t="n">
        <v>388</v>
      </c>
      <c r="H43" s="68" t="inlineStr">
        <is>
          <t>$250,000+</t>
        </is>
      </c>
      <c r="I43" s="68" t="n">
        <v>15</v>
      </c>
      <c r="J43" s="68" t="n">
        <v>3.9</v>
      </c>
      <c r="K43" s="68" t="n">
        <v>24</v>
      </c>
      <c r="L43" s="68" t="n">
        <v>6.2</v>
      </c>
      <c r="M43" s="68" t="n">
        <v>290</v>
      </c>
      <c r="N43" s="68" t="n">
        <v>74.7</v>
      </c>
      <c r="O43" s="68" t="n">
        <v>0.44</v>
      </c>
    </row>
    <row r="44">
      <c r="F44" t="inlineStr">
        <is>
          <t>Wallkill Town</t>
        </is>
      </c>
      <c r="G44" s="28" t="n">
        <v>11910</v>
      </c>
      <c r="H44" s="92" t="n">
        <v>94002</v>
      </c>
      <c r="I44" s="28" t="n">
        <v>1746</v>
      </c>
      <c r="J44" s="68" t="n">
        <v>14.7</v>
      </c>
      <c r="K44" s="28" t="n">
        <v>2669</v>
      </c>
      <c r="L44" s="68" t="n">
        <v>22.4</v>
      </c>
      <c r="M44" s="28" t="n">
        <v>2560</v>
      </c>
      <c r="N44" s="68" t="n">
        <v>21.5</v>
      </c>
      <c r="O44" s="68" t="n">
        <v>0.39</v>
      </c>
    </row>
    <row r="45">
      <c r="F45" t="inlineStr">
        <is>
          <t>Warwick Town</t>
        </is>
      </c>
      <c r="G45" s="28" t="n">
        <v>11743</v>
      </c>
      <c r="H45" s="92" t="n">
        <v>117680</v>
      </c>
      <c r="I45" s="28" t="n">
        <v>1362</v>
      </c>
      <c r="J45" s="68" t="n">
        <v>11.6</v>
      </c>
      <c r="K45" s="28" t="n">
        <v>2244</v>
      </c>
      <c r="L45" s="68" t="n">
        <v>19.1</v>
      </c>
      <c r="M45" s="28" t="n">
        <v>4501</v>
      </c>
      <c r="N45" s="68" t="n">
        <v>38.3</v>
      </c>
      <c r="O45" s="68" t="n">
        <v>0.42</v>
      </c>
    </row>
    <row r="46">
      <c r="F46" t="inlineStr">
        <is>
          <t>Florida Village</t>
        </is>
      </c>
      <c r="G46" s="68" t="n">
        <v>936</v>
      </c>
      <c r="H46" s="92" t="n">
        <v>117083</v>
      </c>
      <c r="I46" s="68" t="n">
        <v>88</v>
      </c>
      <c r="J46" s="68" t="n">
        <v>9.4</v>
      </c>
      <c r="K46" s="68" t="n">
        <v>127</v>
      </c>
      <c r="L46" s="68" t="n">
        <v>13.6</v>
      </c>
      <c r="M46" s="68" t="n">
        <v>247</v>
      </c>
      <c r="N46" s="68" t="n">
        <v>26.4</v>
      </c>
      <c r="O46" s="68" t="n">
        <v>0.34</v>
      </c>
    </row>
    <row r="47">
      <c r="F47" t="inlineStr">
        <is>
          <t>Greenwood Lake Village</t>
        </is>
      </c>
      <c r="G47" s="28" t="n">
        <v>1181</v>
      </c>
      <c r="H47" s="92" t="n">
        <v>80240</v>
      </c>
      <c r="I47" s="68" t="n">
        <v>169</v>
      </c>
      <c r="J47" s="68" t="n">
        <v>14.3</v>
      </c>
      <c r="K47" s="68" t="n">
        <v>275</v>
      </c>
      <c r="L47" s="68" t="n">
        <v>23.3</v>
      </c>
      <c r="M47" s="68" t="n">
        <v>223</v>
      </c>
      <c r="N47" s="68" t="n">
        <v>18.9</v>
      </c>
      <c r="O47" s="68" t="n">
        <v>0.4</v>
      </c>
    </row>
    <row r="48">
      <c r="F48" t="inlineStr">
        <is>
          <t>Warwick Village</t>
        </is>
      </c>
      <c r="G48" s="28" t="n">
        <v>2998</v>
      </c>
      <c r="H48" s="92" t="n">
        <v>81250</v>
      </c>
      <c r="I48" s="68" t="n">
        <v>792</v>
      </c>
      <c r="J48" s="68" t="n">
        <v>26.4</v>
      </c>
      <c r="K48" s="28" t="n">
        <v>1170</v>
      </c>
      <c r="L48" s="68" t="n">
        <v>39</v>
      </c>
      <c r="M48" s="68" t="n">
        <v>800</v>
      </c>
      <c r="N48" s="68" t="n">
        <v>26.7</v>
      </c>
      <c r="O48" s="68" t="n">
        <v>0.48</v>
      </c>
    </row>
    <row r="49">
      <c r="F49" t="inlineStr">
        <is>
          <t>Wawayanda Town</t>
        </is>
      </c>
      <c r="G49" s="28" t="n">
        <v>2468</v>
      </c>
      <c r="H49" s="92" t="n">
        <v>150000</v>
      </c>
      <c r="I49" s="68" t="n">
        <v>196</v>
      </c>
      <c r="J49" s="68" t="n">
        <v>7.9</v>
      </c>
      <c r="K49" s="68" t="n">
        <v>429</v>
      </c>
      <c r="L49" s="68" t="n">
        <v>17.4</v>
      </c>
      <c r="M49" s="28" t="n">
        <v>1234</v>
      </c>
      <c r="N49" s="68" t="n">
        <v>50</v>
      </c>
      <c r="O49" s="68" t="n">
        <v>0.38</v>
      </c>
    </row>
    <row r="50">
      <c r="F50" t="inlineStr">
        <is>
          <t>Woodbury Town</t>
        </is>
      </c>
      <c r="G50" s="28" t="n">
        <v>3822</v>
      </c>
      <c r="H50" s="92" t="n">
        <v>133953</v>
      </c>
      <c r="I50" s="68" t="n">
        <v>279</v>
      </c>
      <c r="J50" s="68" t="n">
        <v>7.3</v>
      </c>
      <c r="K50" s="68" t="n">
        <v>498</v>
      </c>
      <c r="L50" s="68" t="n">
        <v>13</v>
      </c>
      <c r="M50" s="28" t="n">
        <v>1746</v>
      </c>
      <c r="N50" s="68" t="n">
        <v>45.6</v>
      </c>
      <c r="O50" s="68" t="n">
        <v>0.38</v>
      </c>
    </row>
    <row r="51">
      <c r="F51" t="inlineStr">
        <is>
          <t>Harriman Village (portion)</t>
        </is>
      </c>
      <c r="G51" s="68" t="n">
        <v>259</v>
      </c>
      <c r="H51" s="92" t="n">
        <v>95324</v>
      </c>
      <c r="I51" s="68" t="n">
        <v>39</v>
      </c>
      <c r="J51" s="68" t="n">
        <v>15.1</v>
      </c>
      <c r="K51" s="68" t="n">
        <v>43</v>
      </c>
      <c r="L51" s="68" t="n">
        <v>16.6</v>
      </c>
      <c r="M51" s="68" t="n">
        <v>40</v>
      </c>
      <c r="N51" s="68" t="n">
        <v>15.4</v>
      </c>
      <c r="O51" s="68" t="n">
        <v>0.38</v>
      </c>
    </row>
    <row r="52">
      <c r="F52" t="inlineStr">
        <is>
          <t>Woodbury Village</t>
        </is>
      </c>
      <c r="G52" s="28" t="n">
        <v>3563</v>
      </c>
      <c r="H52" s="92" t="n">
        <v>141607</v>
      </c>
      <c r="I52" s="68" t="n">
        <v>240</v>
      </c>
      <c r="J52" s="68" t="n">
        <v>6.7</v>
      </c>
      <c r="K52" s="68" t="n">
        <v>455</v>
      </c>
      <c r="L52" s="68" t="n">
        <v>12.8</v>
      </c>
      <c r="M52" s="28" t="n">
        <v>1706</v>
      </c>
      <c r="N52" s="68" t="n">
        <v>47.9</v>
      </c>
      <c r="O52" s="68"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Threshold by Size of Family and Number of Related Children Under 18 Years,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row>
    <row r="5">
      <c r="A5" s="71" t="inlineStr">
        <is>
          <t>Table Rules</t>
        </is>
      </c>
      <c r="E5" s="70" t="inlineStr">
        <is>
          <t xml:space="preserve">Enter Data </t>
        </is>
      </c>
      <c r="F5" s="69" t="inlineStr">
        <is>
          <t>Size of family unit</t>
        </is>
      </c>
      <c r="G5" s="69" t="inlineStr">
        <is>
          <t>Related children under 18 years</t>
        </is>
      </c>
    </row>
    <row r="6" ht="15" customHeight="1" s="91">
      <c r="A6" t="inlineStr">
        <is>
          <t>Multilevel Headers</t>
        </is>
      </c>
      <c r="B6" t="b">
        <v>1</v>
      </c>
      <c r="G6" s="69" t="inlineStr">
        <is>
          <t>None</t>
        </is>
      </c>
      <c r="H6" s="69" t="inlineStr">
        <is>
          <t>One</t>
        </is>
      </c>
      <c r="I6" s="69" t="inlineStr">
        <is>
          <t>Two</t>
        </is>
      </c>
      <c r="J6" s="69" t="inlineStr">
        <is>
          <t>Three</t>
        </is>
      </c>
      <c r="K6" s="69" t="inlineStr">
        <is>
          <t>Four</t>
        </is>
      </c>
      <c r="L6" s="69" t="inlineStr">
        <is>
          <t>Five</t>
        </is>
      </c>
      <c r="M6" s="69" t="inlineStr">
        <is>
          <t>Six</t>
        </is>
      </c>
      <c r="N6" s="69" t="inlineStr">
        <is>
          <t>Seven</t>
        </is>
      </c>
      <c r="O6" s="69" t="inlineStr">
        <is>
          <t>Eight or more</t>
        </is>
      </c>
    </row>
    <row r="7" ht="15.75" customHeight="1" s="91">
      <c r="F7" s="77" t="inlineStr">
        <is>
          <t>One person (unrelated individual)</t>
        </is>
      </c>
    </row>
    <row r="8">
      <c r="F8" t="inlineStr">
        <is>
          <t xml:space="preserve">  Under age 65</t>
        </is>
      </c>
      <c r="G8" s="93" t="n">
        <v>16320</v>
      </c>
      <c r="H8" s="69" t="n"/>
      <c r="I8" s="69" t="n"/>
      <c r="J8" s="69" t="n"/>
      <c r="K8" s="69" t="n"/>
      <c r="L8" s="69" t="n"/>
      <c r="M8" s="69" t="n"/>
      <c r="N8" s="69" t="n"/>
      <c r="O8" s="69" t="n"/>
    </row>
    <row r="9">
      <c r="A9" s="71" t="inlineStr">
        <is>
          <t>Figure Rules</t>
        </is>
      </c>
      <c r="F9" t="inlineStr">
        <is>
          <t xml:space="preserve">  Aged 65 and older</t>
        </is>
      </c>
      <c r="G9" s="93" t="n">
        <v>15045</v>
      </c>
    </row>
    <row r="10">
      <c r="A10" t="inlineStr">
        <is>
          <t>Figure Type</t>
        </is>
      </c>
      <c r="F10" s="77" t="inlineStr">
        <is>
          <t>Two people</t>
        </is>
      </c>
    </row>
    <row r="11">
      <c r="A11" t="inlineStr">
        <is>
          <t>X Column</t>
        </is>
      </c>
      <c r="F11" s="48" t="inlineStr">
        <is>
          <t>Householder under age 65</t>
        </is>
      </c>
      <c r="G11" s="92" t="n">
        <v>21006</v>
      </c>
      <c r="H11" s="92" t="n">
        <v>21621</v>
      </c>
      <c r="I11" s="69" t="n"/>
      <c r="J11" s="69" t="n"/>
      <c r="K11" s="69" t="n"/>
      <c r="L11" s="69" t="n"/>
    </row>
    <row r="12">
      <c r="A12" t="inlineStr">
        <is>
          <t>Y Column</t>
        </is>
      </c>
      <c r="F12" s="47" t="inlineStr">
        <is>
          <t>Householder aged 65 and older</t>
        </is>
      </c>
      <c r="G12" s="94" t="n">
        <v>18961</v>
      </c>
      <c r="H12" s="94" t="n">
        <v>21540</v>
      </c>
    </row>
    <row r="13">
      <c r="A13" t="inlineStr">
        <is>
          <t>X Axis Title</t>
        </is>
      </c>
      <c r="F13" t="inlineStr">
        <is>
          <t>Three people</t>
        </is>
      </c>
      <c r="G13" s="94" t="n">
        <v>24537</v>
      </c>
      <c r="H13" s="94" t="n">
        <v>25249</v>
      </c>
      <c r="I13" s="94" t="n">
        <v>25273</v>
      </c>
    </row>
    <row r="14">
      <c r="A14" t="inlineStr">
        <is>
          <t>Y Axis Title</t>
        </is>
      </c>
      <c r="F14" t="inlineStr">
        <is>
          <t>Four people</t>
        </is>
      </c>
      <c r="G14" s="94" t="n">
        <v>32355</v>
      </c>
      <c r="H14" s="94" t="n">
        <v>32884</v>
      </c>
      <c r="I14" s="94" t="n">
        <v>31812</v>
      </c>
      <c r="J14" s="94" t="n">
        <v>31922</v>
      </c>
    </row>
    <row r="15">
      <c r="A15" t="inlineStr">
        <is>
          <t>Start at Zero</t>
        </is>
      </c>
      <c r="F15" t="inlineStr">
        <is>
          <t>Five people</t>
        </is>
      </c>
      <c r="G15" s="94" t="n">
        <v>39019</v>
      </c>
      <c r="H15" s="94" t="n">
        <v>39586</v>
      </c>
      <c r="I15" s="94" t="n">
        <v>38374</v>
      </c>
      <c r="J15" s="94" t="n">
        <v>37436</v>
      </c>
      <c r="K15" s="94" t="n">
        <v>36863</v>
      </c>
    </row>
    <row r="16">
      <c r="A16" t="inlineStr">
        <is>
          <t>Pivot For Chart</t>
        </is>
      </c>
      <c r="F16" t="inlineStr">
        <is>
          <t>Six people</t>
        </is>
      </c>
      <c r="G16" s="94" t="n">
        <v>44879</v>
      </c>
      <c r="H16" s="94" t="n">
        <v>45057</v>
      </c>
      <c r="I16" s="94" t="n">
        <v>44128</v>
      </c>
      <c r="J16" s="94" t="n">
        <v>43238</v>
      </c>
      <c r="K16" s="94" t="n">
        <v>41915</v>
      </c>
      <c r="L16" s="94" t="n">
        <v>41131</v>
      </c>
    </row>
    <row r="17">
      <c r="F17" t="inlineStr">
        <is>
          <t>Seven people</t>
        </is>
      </c>
      <c r="G17" s="94" t="n">
        <v>51638</v>
      </c>
      <c r="H17" s="94" t="n">
        <v>51961</v>
      </c>
      <c r="I17" s="94" t="n">
        <v>50849</v>
      </c>
      <c r="J17" s="94" t="n">
        <v>50075</v>
      </c>
      <c r="K17" s="94" t="n">
        <v>48631</v>
      </c>
      <c r="L17" s="94" t="n">
        <v>46948</v>
      </c>
      <c r="M17" s="94" t="n">
        <v>45100</v>
      </c>
    </row>
    <row r="18">
      <c r="A18" s="71" t="inlineStr">
        <is>
          <t>Source Specifications</t>
        </is>
      </c>
      <c r="F18" t="inlineStr">
        <is>
          <t>Eight people</t>
        </is>
      </c>
      <c r="G18" s="94" t="n">
        <v>57753</v>
      </c>
      <c r="H18" s="94" t="n">
        <v>58263</v>
      </c>
      <c r="I18" s="94" t="n">
        <v>57215</v>
      </c>
      <c r="J18" s="94" t="n">
        <v>56296</v>
      </c>
      <c r="K18" s="94" t="n">
        <v>54992</v>
      </c>
      <c r="L18" s="94" t="n">
        <v>53337</v>
      </c>
      <c r="M18" s="94" t="n">
        <v>51614</v>
      </c>
      <c r="N18" s="94"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77" t="inlineStr">
        <is>
          <t>Nine people or more</t>
        </is>
      </c>
      <c r="G19" s="93" t="n">
        <v>69473</v>
      </c>
      <c r="H19" s="93" t="n">
        <v>69810</v>
      </c>
      <c r="I19" s="94" t="n">
        <v>68882</v>
      </c>
      <c r="J19" s="94" t="n">
        <v>68102</v>
      </c>
      <c r="K19" s="94" t="n">
        <v>66822</v>
      </c>
      <c r="L19" s="94" t="n">
        <v>65062</v>
      </c>
      <c r="M19" s="94" t="n">
        <v>63469</v>
      </c>
      <c r="N19" s="94" t="n">
        <v>63075</v>
      </c>
      <c r="O19" s="94" t="n">
        <v>60640</v>
      </c>
    </row>
    <row r="20">
      <c r="F20" s="69" t="n"/>
      <c r="G20" s="69" t="n"/>
      <c r="H20" s="69" t="n"/>
    </row>
    <row r="21">
      <c r="A21" s="69" t="inlineStr">
        <is>
          <t>Note Specfications</t>
        </is>
      </c>
      <c r="F21" s="69" t="n"/>
      <c r="G21" s="69" t="n"/>
      <c r="H21" s="69"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c r="K30" t="inlineStr">
        <is>
          <t>`</t>
        </is>
      </c>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7109375" bestFit="1" customWidth="1" style="91" min="7" max="7"/>
    <col width="26.28515625" bestFit="1" customWidth="1" style="91" min="8" max="8"/>
    <col width="18.140625" bestFit="1" customWidth="1" style="91" min="9" max="9"/>
    <col width="14.85546875" bestFit="1" customWidth="1" style="91" min="10" max="10"/>
    <col width="13.140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4.85546875" bestFit="1" customWidth="1" style="91" min="16" max="16"/>
  </cols>
  <sheetData>
    <row r="1">
      <c r="A1" s="16" t="inlineStr">
        <is>
          <t>Name</t>
        </is>
      </c>
      <c r="B1" s="66" t="inlineStr">
        <is>
          <t>Population Living in Poverty by Age Group,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s="68" t="inlineStr">
        <is>
          <t>Geographic Area</t>
        </is>
      </c>
      <c r="G5" s="68" t="inlineStr">
        <is>
          <t>Population with Known Poverty Status</t>
        </is>
      </c>
      <c r="H5" s="68" t="inlineStr">
        <is>
          <t>Population Living in Poverty</t>
        </is>
      </c>
      <c r="I5" s="68" t="inlineStr">
        <is>
          <t>Poverty by Age Group</t>
        </is>
      </c>
      <c r="L5" s="68" t="inlineStr">
        <is>
          <t>Poverty by Race and Ethnicity</t>
        </is>
      </c>
    </row>
    <row r="6" ht="15" customHeight="1" s="91">
      <c r="A6" t="inlineStr">
        <is>
          <t>Multilevel Headers</t>
        </is>
      </c>
      <c r="B6" t="b">
        <v>1</v>
      </c>
      <c r="I6" s="68" t="inlineStr">
        <is>
          <t>Under Age 18 years</t>
        </is>
      </c>
      <c r="J6" s="68" t="inlineStr">
        <is>
          <t>Age 18-64 years</t>
        </is>
      </c>
      <c r="K6" s="68" t="inlineStr">
        <is>
          <t>Age 65+ years</t>
        </is>
      </c>
      <c r="L6" s="68" t="inlineStr">
        <is>
          <t>White</t>
        </is>
      </c>
      <c r="M6" s="68" t="inlineStr">
        <is>
          <t>Black</t>
        </is>
      </c>
      <c r="N6" s="68" t="inlineStr">
        <is>
          <t>Asian</t>
        </is>
      </c>
      <c r="O6" s="68" t="inlineStr">
        <is>
          <t>Multiracial</t>
        </is>
      </c>
      <c r="P6" s="68" t="inlineStr">
        <is>
          <t>Hispanic/Latino</t>
        </is>
      </c>
    </row>
    <row r="7" ht="15.75" customHeight="1" s="91">
      <c r="F7" t="inlineStr">
        <is>
          <t>Orange County</t>
        </is>
      </c>
      <c r="G7" s="74" t="n">
        <v>395402</v>
      </c>
      <c r="H7" s="74" t="n">
        <v>51238</v>
      </c>
      <c r="I7" s="74" t="n">
        <v>19619</v>
      </c>
      <c r="J7" s="74" t="n">
        <v>25992</v>
      </c>
      <c r="K7" s="74" t="n">
        <v>5697</v>
      </c>
      <c r="L7" s="74" t="n">
        <v>32525</v>
      </c>
      <c r="M7" s="74" t="n">
        <v>6471</v>
      </c>
      <c r="N7" s="74" t="n">
        <v>1134</v>
      </c>
      <c r="O7" s="74" t="n">
        <v>4573</v>
      </c>
      <c r="P7" s="74" t="n">
        <v>11485</v>
      </c>
    </row>
    <row r="8">
      <c r="F8" t="inlineStr">
        <is>
          <t>Blooming Grove Town</t>
        </is>
      </c>
      <c r="G8" s="74" t="n">
        <v>18639</v>
      </c>
      <c r="H8" s="74" t="n">
        <v>2428</v>
      </c>
      <c r="I8" s="74" t="n">
        <v>1155</v>
      </c>
      <c r="J8" s="74" t="n">
        <v>1025</v>
      </c>
      <c r="K8" s="69" t="n">
        <v>248</v>
      </c>
      <c r="L8" s="74" t="n">
        <v>1796</v>
      </c>
      <c r="M8" s="69" t="n">
        <v>106</v>
      </c>
      <c r="N8" s="69" t="n">
        <v>51</v>
      </c>
      <c r="O8" s="69" t="n">
        <v>107</v>
      </c>
      <c r="P8" s="69" t="n">
        <v>468</v>
      </c>
    </row>
    <row r="9">
      <c r="A9" s="71" t="inlineStr">
        <is>
          <t>Figure Rules</t>
        </is>
      </c>
      <c r="F9" t="inlineStr">
        <is>
          <t>South Blooming Grove Village</t>
        </is>
      </c>
      <c r="G9" s="74" t="n">
        <v>3880</v>
      </c>
      <c r="H9" s="74" t="n">
        <v>1524</v>
      </c>
      <c r="I9" s="69" t="n">
        <v>954</v>
      </c>
      <c r="J9" s="69" t="n">
        <v>564</v>
      </c>
      <c r="K9" s="69" t="n">
        <v>6</v>
      </c>
      <c r="L9" s="74" t="n">
        <v>1323</v>
      </c>
      <c r="M9" s="69" t="n">
        <v>33</v>
      </c>
      <c r="N9" s="69" t="n">
        <v>0</v>
      </c>
      <c r="O9" s="69" t="n">
        <v>7</v>
      </c>
      <c r="P9" s="69" t="n">
        <v>161</v>
      </c>
    </row>
    <row r="10">
      <c r="A10" t="inlineStr">
        <is>
          <t>Figure Type</t>
        </is>
      </c>
      <c r="F10" t="inlineStr">
        <is>
          <t>Washingtonville Village</t>
        </is>
      </c>
      <c r="G10" s="74" t="n">
        <v>5718</v>
      </c>
      <c r="H10" s="69" t="n">
        <v>422</v>
      </c>
      <c r="I10" s="69" t="n">
        <v>54</v>
      </c>
      <c r="J10" s="69" t="n">
        <v>189</v>
      </c>
      <c r="K10" s="69" t="n">
        <v>179</v>
      </c>
      <c r="L10" s="69" t="n">
        <v>233</v>
      </c>
      <c r="M10" s="69" t="n">
        <v>51</v>
      </c>
      <c r="N10" s="69" t="n">
        <v>30</v>
      </c>
      <c r="O10" s="69" t="n">
        <v>69</v>
      </c>
      <c r="P10" s="69" t="n">
        <v>129</v>
      </c>
    </row>
    <row r="11">
      <c r="A11" t="inlineStr">
        <is>
          <t>X Column</t>
        </is>
      </c>
      <c r="F11" t="inlineStr">
        <is>
          <t>Chester Town</t>
        </is>
      </c>
      <c r="G11" s="74" t="n">
        <v>12333</v>
      </c>
      <c r="H11" s="69" t="n">
        <v>907</v>
      </c>
      <c r="I11" s="69" t="n">
        <v>53</v>
      </c>
      <c r="J11" s="68" t="n">
        <v>660</v>
      </c>
      <c r="K11" s="68" t="n">
        <v>194</v>
      </c>
      <c r="L11" s="68" t="n">
        <v>771</v>
      </c>
      <c r="M11" s="68" t="n">
        <v>4</v>
      </c>
      <c r="N11" s="68" t="n">
        <v>0</v>
      </c>
      <c r="O11" s="69" t="n">
        <v>132</v>
      </c>
      <c r="P11" s="69" t="n">
        <v>64</v>
      </c>
    </row>
    <row r="12">
      <c r="A12" t="inlineStr">
        <is>
          <t>Y Column</t>
        </is>
      </c>
      <c r="F12" s="21" t="inlineStr">
        <is>
          <t>Chester Village</t>
        </is>
      </c>
      <c r="G12" s="28" t="n">
        <v>4050</v>
      </c>
      <c r="H12" s="68" t="n">
        <v>262</v>
      </c>
      <c r="I12" s="69" t="n">
        <v>0</v>
      </c>
      <c r="J12" s="69" t="n">
        <v>203</v>
      </c>
      <c r="K12" s="69" t="n">
        <v>59</v>
      </c>
      <c r="L12" s="69" t="n">
        <v>130</v>
      </c>
      <c r="M12" s="69" t="n">
        <v>0</v>
      </c>
      <c r="N12" s="69" t="n">
        <v>0</v>
      </c>
      <c r="O12" s="69" t="n">
        <v>132</v>
      </c>
      <c r="P12" s="69" t="n">
        <v>64</v>
      </c>
    </row>
    <row r="13">
      <c r="A13" t="inlineStr">
        <is>
          <t>X Axis Title</t>
        </is>
      </c>
      <c r="F13" t="inlineStr">
        <is>
          <t>Cornwall Town</t>
        </is>
      </c>
      <c r="G13" s="74" t="n">
        <v>12758</v>
      </c>
      <c r="H13" s="69" t="n">
        <v>622</v>
      </c>
      <c r="I13" s="69" t="n">
        <v>108</v>
      </c>
      <c r="J13" s="69" t="n">
        <v>304</v>
      </c>
      <c r="K13" s="69" t="n">
        <v>210</v>
      </c>
      <c r="L13" s="69" t="n">
        <v>480</v>
      </c>
      <c r="M13" s="69" t="n">
        <v>14</v>
      </c>
      <c r="N13" s="69" t="n">
        <v>72</v>
      </c>
      <c r="O13" s="69" t="n">
        <v>47</v>
      </c>
      <c r="P13" s="69" t="n">
        <v>67</v>
      </c>
    </row>
    <row r="14">
      <c r="A14" t="inlineStr">
        <is>
          <t>Y Axis Title</t>
        </is>
      </c>
      <c r="F14" t="inlineStr">
        <is>
          <t>Cornwall-on-Hudson Village</t>
        </is>
      </c>
      <c r="G14" s="74" t="n">
        <v>3009</v>
      </c>
      <c r="H14" s="69" t="n">
        <v>72</v>
      </c>
      <c r="I14" s="69" t="n">
        <v>0</v>
      </c>
      <c r="J14" s="69" t="n">
        <v>26</v>
      </c>
      <c r="K14" s="69" t="n">
        <v>46</v>
      </c>
      <c r="L14" s="69" t="n">
        <v>72</v>
      </c>
      <c r="M14" s="69" t="n">
        <v>0</v>
      </c>
      <c r="N14" s="69" t="n">
        <v>0</v>
      </c>
      <c r="O14" s="69" t="n">
        <v>0</v>
      </c>
      <c r="P14" s="69" t="n">
        <v>0</v>
      </c>
    </row>
    <row r="15">
      <c r="A15" t="inlineStr">
        <is>
          <t>Start at Zero</t>
        </is>
      </c>
      <c r="F15" t="inlineStr">
        <is>
          <t>Crawford Town</t>
        </is>
      </c>
      <c r="G15" s="74" t="n">
        <v>9077</v>
      </c>
      <c r="H15" s="69" t="n">
        <v>320</v>
      </c>
      <c r="I15" s="69" t="n">
        <v>50</v>
      </c>
      <c r="J15" s="69" t="n">
        <v>231</v>
      </c>
      <c r="K15" s="69" t="n">
        <v>39</v>
      </c>
      <c r="L15" s="69" t="n">
        <v>185</v>
      </c>
      <c r="M15" s="69" t="n">
        <v>86</v>
      </c>
      <c r="N15" s="69" t="n">
        <v>0</v>
      </c>
      <c r="O15" s="69" t="n">
        <v>38</v>
      </c>
      <c r="P15" s="69" t="n">
        <v>72</v>
      </c>
    </row>
    <row r="16">
      <c r="A16" t="inlineStr">
        <is>
          <t>Pivot For Chart</t>
        </is>
      </c>
      <c r="F16" t="inlineStr">
        <is>
          <t>Deerpark Town</t>
        </is>
      </c>
      <c r="G16" s="74" t="n">
        <v>7359</v>
      </c>
      <c r="H16" s="69" t="n">
        <v>627</v>
      </c>
      <c r="I16" s="69" t="n">
        <v>77</v>
      </c>
      <c r="J16" s="69" t="n">
        <v>426</v>
      </c>
      <c r="K16" s="69" t="n">
        <v>124</v>
      </c>
      <c r="L16" s="69" t="n">
        <v>495</v>
      </c>
      <c r="M16" s="69" t="n">
        <v>0</v>
      </c>
      <c r="N16" s="69" t="n">
        <v>0</v>
      </c>
      <c r="O16" s="69" t="n">
        <v>120</v>
      </c>
      <c r="P16" s="69" t="n">
        <v>92</v>
      </c>
    </row>
    <row r="17">
      <c r="F17" t="inlineStr">
        <is>
          <t>Goshen Town</t>
        </is>
      </c>
      <c r="G17" s="74" t="n">
        <v>13210</v>
      </c>
      <c r="H17" s="69" t="n">
        <v>555</v>
      </c>
      <c r="I17" s="69" t="n">
        <v>135</v>
      </c>
      <c r="J17" s="69" t="n">
        <v>337</v>
      </c>
      <c r="K17" s="69" t="n">
        <v>83</v>
      </c>
      <c r="L17" s="69" t="n">
        <v>327</v>
      </c>
      <c r="M17" s="69" t="n">
        <v>4</v>
      </c>
      <c r="N17" s="69" t="n">
        <v>25</v>
      </c>
      <c r="O17" s="69" t="n">
        <v>192</v>
      </c>
      <c r="P17" s="69" t="n">
        <v>209</v>
      </c>
    </row>
    <row r="18">
      <c r="A18" s="71" t="inlineStr">
        <is>
          <t>Source Specifications</t>
        </is>
      </c>
      <c r="F18" t="inlineStr">
        <is>
          <t>Goshen Village</t>
        </is>
      </c>
      <c r="G18" s="74" t="n">
        <v>5598</v>
      </c>
      <c r="H18" s="69" t="n">
        <v>101</v>
      </c>
      <c r="I18" s="69" t="n">
        <v>9</v>
      </c>
      <c r="J18" s="69" t="n">
        <v>64</v>
      </c>
      <c r="K18" s="69" t="n">
        <v>28</v>
      </c>
      <c r="L18" s="69" t="n">
        <v>101</v>
      </c>
      <c r="M18" s="69" t="n">
        <v>0</v>
      </c>
      <c r="N18" s="69" t="n">
        <v>0</v>
      </c>
      <c r="O18" s="69" t="n">
        <v>0</v>
      </c>
      <c r="P18" s="69"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t="inlineStr">
        <is>
          <t>Greenville Town</t>
        </is>
      </c>
      <c r="G19" s="74" t="n">
        <v>4652</v>
      </c>
      <c r="H19" s="69" t="n">
        <v>162</v>
      </c>
      <c r="I19" s="69" t="n">
        <v>16</v>
      </c>
      <c r="J19" s="69" t="n">
        <v>108</v>
      </c>
      <c r="K19" s="69" t="n">
        <v>38</v>
      </c>
      <c r="L19" s="69" t="n">
        <v>145</v>
      </c>
      <c r="M19" s="69" t="n">
        <v>0</v>
      </c>
      <c r="N19" s="69" t="n">
        <v>0</v>
      </c>
      <c r="O19" s="69" t="n">
        <v>0</v>
      </c>
      <c r="P19" s="69" t="n">
        <v>17</v>
      </c>
    </row>
    <row r="20">
      <c r="F20" s="69" t="inlineStr">
        <is>
          <t>Hamptonburgh Town</t>
        </is>
      </c>
      <c r="G20" s="74" t="n">
        <v>5407</v>
      </c>
      <c r="H20" s="69" t="n">
        <v>316</v>
      </c>
      <c r="I20" s="69" t="n">
        <v>96</v>
      </c>
      <c r="J20" s="69" t="n">
        <v>206</v>
      </c>
      <c r="K20" s="69" t="n">
        <v>14</v>
      </c>
      <c r="L20" s="69" t="n">
        <v>158</v>
      </c>
      <c r="M20" s="69" t="n">
        <v>0</v>
      </c>
      <c r="N20" s="69" t="n">
        <v>148</v>
      </c>
      <c r="O20" s="69" t="n">
        <v>10</v>
      </c>
      <c r="P20" s="69" t="n">
        <v>10</v>
      </c>
    </row>
    <row r="21">
      <c r="A21" s="69" t="inlineStr">
        <is>
          <t>Note Specfications</t>
        </is>
      </c>
      <c r="F21" s="69" t="inlineStr">
        <is>
          <t>Highlands Town</t>
        </is>
      </c>
      <c r="G21" s="74" t="n">
        <v>10450</v>
      </c>
      <c r="H21" s="69" t="n">
        <v>633</v>
      </c>
      <c r="I21" s="69" t="n">
        <v>165</v>
      </c>
      <c r="J21" s="69" t="n">
        <v>369</v>
      </c>
      <c r="K21" s="69" t="n">
        <v>99</v>
      </c>
      <c r="L21" s="69" t="n">
        <v>295</v>
      </c>
      <c r="M21" s="69" t="n">
        <v>61</v>
      </c>
      <c r="N21" s="69" t="n">
        <v>0</v>
      </c>
      <c r="O21" s="69" t="n">
        <v>42</v>
      </c>
      <c r="P21" s="69" t="n">
        <v>289</v>
      </c>
    </row>
    <row r="22">
      <c r="A22" t="inlineStr">
        <is>
          <t xml:space="preserve">Note </t>
        </is>
      </c>
      <c r="B22" t="inlineStr">
        <is>
          <t>Note: Town totals include Village totals.</t>
        </is>
      </c>
      <c r="F22" s="69" t="inlineStr">
        <is>
          <t>Highland Falls Village</t>
        </is>
      </c>
      <c r="G22" s="74" t="n">
        <v>3696</v>
      </c>
      <c r="H22" s="69" t="n">
        <v>384</v>
      </c>
      <c r="I22" s="69" t="n">
        <v>144</v>
      </c>
      <c r="J22" s="69" t="n">
        <v>215</v>
      </c>
      <c r="K22" s="69" t="n">
        <v>25</v>
      </c>
      <c r="L22" s="69" t="n">
        <v>104</v>
      </c>
      <c r="M22" s="69" t="n">
        <v>61</v>
      </c>
      <c r="N22" s="69" t="n">
        <v>0</v>
      </c>
      <c r="O22" s="69" t="n">
        <v>27</v>
      </c>
      <c r="P22" s="69" t="n">
        <v>219</v>
      </c>
    </row>
    <row r="23">
      <c r="F23" s="69" t="inlineStr">
        <is>
          <t>Middletown City</t>
        </is>
      </c>
      <c r="G23" s="74" t="n">
        <v>29921</v>
      </c>
      <c r="H23" s="74" t="n">
        <v>4641</v>
      </c>
      <c r="I23" s="74" t="n">
        <v>1480</v>
      </c>
      <c r="J23" s="74" t="n">
        <v>2631</v>
      </c>
      <c r="K23" s="69" t="n">
        <v>530</v>
      </c>
      <c r="L23" s="74" t="n">
        <v>1108</v>
      </c>
      <c r="M23" s="69" t="n">
        <v>679</v>
      </c>
      <c r="N23" s="69" t="n">
        <v>60</v>
      </c>
      <c r="O23" s="69" t="n">
        <v>712</v>
      </c>
      <c r="P23" s="74" t="n">
        <v>2983</v>
      </c>
    </row>
    <row r="24">
      <c r="F24" t="inlineStr">
        <is>
          <t>Minisink Town</t>
        </is>
      </c>
      <c r="G24" s="74" t="n">
        <v>4645</v>
      </c>
      <c r="H24" s="69" t="n">
        <v>476</v>
      </c>
      <c r="I24" s="69" t="n">
        <v>241</v>
      </c>
      <c r="J24" s="69" t="n">
        <v>226</v>
      </c>
      <c r="K24" s="69" t="n">
        <v>9</v>
      </c>
      <c r="L24" s="69" t="n">
        <v>456</v>
      </c>
      <c r="M24" s="69" t="n">
        <v>0</v>
      </c>
      <c r="N24" s="69" t="n">
        <v>0</v>
      </c>
      <c r="O24" s="69" t="n">
        <v>20</v>
      </c>
      <c r="P24" s="69" t="n">
        <v>38</v>
      </c>
    </row>
    <row r="25">
      <c r="F25" s="69" t="inlineStr">
        <is>
          <t>Unionville Village</t>
        </is>
      </c>
      <c r="G25" s="69" t="n">
        <v>684</v>
      </c>
      <c r="H25" s="69" t="n">
        <v>61</v>
      </c>
      <c r="I25" s="69" t="n">
        <v>35</v>
      </c>
      <c r="J25" s="69" t="n">
        <v>26</v>
      </c>
      <c r="K25" s="69" t="n">
        <v>0</v>
      </c>
      <c r="L25" s="69" t="n">
        <v>41</v>
      </c>
      <c r="M25" s="69" t="n">
        <v>0</v>
      </c>
      <c r="N25" s="69" t="n">
        <v>0</v>
      </c>
      <c r="O25" s="69" t="n">
        <v>20</v>
      </c>
      <c r="P25" s="69" t="n">
        <v>38</v>
      </c>
    </row>
    <row r="26">
      <c r="F26" s="69" t="inlineStr">
        <is>
          <t>Monroe Town</t>
        </is>
      </c>
      <c r="G26" s="74" t="n">
        <v>21255</v>
      </c>
      <c r="H26" s="74" t="n">
        <v>1802</v>
      </c>
      <c r="I26" s="69" t="n">
        <v>772</v>
      </c>
      <c r="J26" s="69" t="n">
        <v>909</v>
      </c>
      <c r="K26" s="69" t="n">
        <v>121</v>
      </c>
      <c r="L26" s="74" t="n">
        <v>1191</v>
      </c>
      <c r="M26" s="69" t="n">
        <v>106</v>
      </c>
      <c r="N26" s="69" t="n">
        <v>11</v>
      </c>
      <c r="O26" s="69" t="n">
        <v>138</v>
      </c>
      <c r="P26" s="69" t="n">
        <v>418</v>
      </c>
    </row>
    <row r="27">
      <c r="A27" s="69" t="n"/>
      <c r="F27" s="69" t="inlineStr">
        <is>
          <t>Harriman Village (portion)</t>
        </is>
      </c>
      <c r="G27" s="74" t="n">
        <v>2081</v>
      </c>
      <c r="H27" s="69" t="n">
        <v>79</v>
      </c>
      <c r="I27" s="69" t="n">
        <v>16</v>
      </c>
      <c r="J27" s="69" t="n">
        <v>34</v>
      </c>
      <c r="K27" s="69" t="n">
        <v>2</v>
      </c>
      <c r="L27" s="69" t="n">
        <v>43</v>
      </c>
      <c r="M27" s="69" t="n">
        <v>0</v>
      </c>
      <c r="N27" s="69" t="n">
        <v>0</v>
      </c>
      <c r="O27" s="69" t="n">
        <v>21</v>
      </c>
      <c r="P27" s="69" t="n">
        <v>36</v>
      </c>
    </row>
    <row r="28">
      <c r="F28" s="69" t="inlineStr">
        <is>
          <t>Monroe Village</t>
        </is>
      </c>
      <c r="G28" s="74" t="n">
        <v>9466</v>
      </c>
      <c r="H28" s="69" t="n">
        <v>883</v>
      </c>
      <c r="I28" s="69" t="n">
        <v>304</v>
      </c>
      <c r="J28" s="69" t="n">
        <v>520</v>
      </c>
      <c r="K28" s="69" t="n">
        <v>59</v>
      </c>
      <c r="L28" s="69" t="n">
        <v>343</v>
      </c>
      <c r="M28" s="69" t="n">
        <v>90</v>
      </c>
      <c r="N28" s="69" t="n">
        <v>11</v>
      </c>
      <c r="O28" s="69" t="n">
        <v>83</v>
      </c>
      <c r="P28" s="69" t="n">
        <v>382</v>
      </c>
    </row>
    <row r="29">
      <c r="F29" s="69" t="inlineStr">
        <is>
          <t>Montgomery Town</t>
        </is>
      </c>
      <c r="G29" s="74" t="n">
        <v>22899</v>
      </c>
      <c r="H29" s="74" t="n">
        <v>2399</v>
      </c>
      <c r="I29" s="69" t="n">
        <v>474</v>
      </c>
      <c r="J29" s="74" t="n">
        <v>1417</v>
      </c>
      <c r="K29" s="69" t="n">
        <v>508</v>
      </c>
      <c r="L29" s="74" t="n">
        <v>1669</v>
      </c>
      <c r="M29" s="69" t="n">
        <v>240</v>
      </c>
      <c r="N29" s="69" t="n">
        <v>0</v>
      </c>
      <c r="O29" s="69" t="n">
        <v>305</v>
      </c>
      <c r="P29" s="69" t="n">
        <v>479</v>
      </c>
    </row>
    <row r="30">
      <c r="F30" s="69" t="inlineStr">
        <is>
          <t>Maybrook Village</t>
        </is>
      </c>
      <c r="G30" s="74" t="n">
        <v>3147</v>
      </c>
      <c r="H30" s="69" t="n">
        <v>231</v>
      </c>
      <c r="I30" s="69" t="n">
        <v>0</v>
      </c>
      <c r="J30" s="69" t="n">
        <v>61</v>
      </c>
      <c r="K30" s="69" t="n">
        <v>170</v>
      </c>
      <c r="L30" s="69" t="n">
        <v>216</v>
      </c>
      <c r="M30" s="69" t="n">
        <v>5</v>
      </c>
      <c r="N30" s="69" t="n">
        <v>0</v>
      </c>
      <c r="O30" s="69" t="n">
        <v>0</v>
      </c>
      <c r="P30" s="69" t="n">
        <v>27</v>
      </c>
    </row>
    <row r="31">
      <c r="F31" s="69" t="inlineStr">
        <is>
          <t>Montgomery Village</t>
        </is>
      </c>
      <c r="G31" s="74" t="n">
        <v>3800</v>
      </c>
      <c r="H31" s="69" t="n">
        <v>506</v>
      </c>
      <c r="I31" s="69" t="n">
        <v>142</v>
      </c>
      <c r="J31" s="69" t="n">
        <v>243</v>
      </c>
      <c r="K31" s="69" t="n">
        <v>121</v>
      </c>
      <c r="L31" s="69" t="n">
        <v>208</v>
      </c>
      <c r="M31" s="69" t="n">
        <v>158</v>
      </c>
      <c r="N31" s="69" t="n">
        <v>0</v>
      </c>
      <c r="O31" s="69" t="n">
        <v>13</v>
      </c>
      <c r="P31" s="69" t="n">
        <v>328</v>
      </c>
    </row>
    <row r="32">
      <c r="F32" t="inlineStr">
        <is>
          <t>Walden Village</t>
        </is>
      </c>
      <c r="G32" s="74" t="n">
        <v>6871</v>
      </c>
      <c r="H32" s="69" t="n">
        <v>884</v>
      </c>
      <c r="I32" s="69" t="n">
        <v>193</v>
      </c>
      <c r="J32" s="69" t="n">
        <v>560</v>
      </c>
      <c r="K32" s="69" t="n">
        <v>131</v>
      </c>
      <c r="L32" s="69" t="n">
        <v>535</v>
      </c>
      <c r="M32" s="69" t="n">
        <v>77</v>
      </c>
      <c r="N32" s="69" t="n">
        <v>0</v>
      </c>
      <c r="O32" s="69" t="n">
        <v>224</v>
      </c>
      <c r="P32" s="69" t="n">
        <v>76</v>
      </c>
    </row>
    <row r="33">
      <c r="F33" s="69" t="inlineStr">
        <is>
          <t>Mount Hope Town</t>
        </is>
      </c>
      <c r="G33" s="74" t="n">
        <v>5366</v>
      </c>
      <c r="H33" s="69" t="n">
        <v>300</v>
      </c>
      <c r="I33" s="69" t="n">
        <v>106</v>
      </c>
      <c r="J33" s="69" t="n">
        <v>121</v>
      </c>
      <c r="K33" s="69" t="n">
        <v>73</v>
      </c>
      <c r="L33" s="69" t="n">
        <v>160</v>
      </c>
      <c r="M33" s="69" t="n">
        <v>80</v>
      </c>
      <c r="N33" s="69" t="n">
        <v>48</v>
      </c>
      <c r="O33" s="69" t="n">
        <v>0</v>
      </c>
      <c r="P33" s="69" t="n">
        <v>38</v>
      </c>
    </row>
    <row r="34">
      <c r="F34" s="69" t="inlineStr">
        <is>
          <t>Otisville Village</t>
        </is>
      </c>
      <c r="G34" s="74" t="n">
        <v>1210</v>
      </c>
      <c r="H34" s="69" t="n">
        <v>118</v>
      </c>
      <c r="I34" s="68" t="n">
        <v>64</v>
      </c>
      <c r="J34" s="69" t="n">
        <v>45</v>
      </c>
      <c r="K34" s="69" t="n">
        <v>9</v>
      </c>
      <c r="L34" s="69" t="n">
        <v>50</v>
      </c>
      <c r="M34" s="69" t="n">
        <v>44</v>
      </c>
      <c r="N34" s="69" t="n">
        <v>12</v>
      </c>
      <c r="O34" s="69" t="n">
        <v>0</v>
      </c>
      <c r="P34" s="69" t="n">
        <v>38</v>
      </c>
    </row>
    <row r="35">
      <c r="F35" s="69" t="inlineStr">
        <is>
          <t>Newburgh City</t>
        </is>
      </c>
      <c r="G35" s="74" t="n">
        <v>27990</v>
      </c>
      <c r="H35" s="74" t="n">
        <v>7582</v>
      </c>
      <c r="I35" s="28" t="n">
        <v>2573</v>
      </c>
      <c r="J35" s="74" t="n">
        <v>3993</v>
      </c>
      <c r="K35" s="74" t="n">
        <v>1016</v>
      </c>
      <c r="L35" s="74" t="n">
        <v>2211</v>
      </c>
      <c r="M35" s="74" t="n">
        <v>2472</v>
      </c>
      <c r="N35" s="69" t="n">
        <v>0</v>
      </c>
      <c r="O35" s="69" t="n">
        <v>974</v>
      </c>
      <c r="P35" s="74" t="n">
        <v>3348</v>
      </c>
    </row>
    <row r="36">
      <c r="F36" s="69" t="inlineStr">
        <is>
          <t>Newburgh Town</t>
        </is>
      </c>
      <c r="G36" s="74" t="n">
        <v>31660</v>
      </c>
      <c r="H36" s="74" t="n">
        <v>2743</v>
      </c>
      <c r="I36" s="68" t="n">
        <v>981</v>
      </c>
      <c r="J36" s="74" t="n">
        <v>1374</v>
      </c>
      <c r="K36" s="69" t="n">
        <v>388</v>
      </c>
      <c r="L36" s="74" t="n">
        <v>1545</v>
      </c>
      <c r="M36" s="69" t="n">
        <v>280</v>
      </c>
      <c r="N36" s="69" t="n">
        <v>172</v>
      </c>
      <c r="O36" s="69" t="n">
        <v>577</v>
      </c>
      <c r="P36" s="69" t="n">
        <v>372</v>
      </c>
    </row>
    <row r="37">
      <c r="F37" s="69" t="inlineStr">
        <is>
          <t>New Windsor Town</t>
        </is>
      </c>
      <c r="G37" s="74" t="n">
        <v>27475</v>
      </c>
      <c r="H37" s="74" t="n">
        <v>1722</v>
      </c>
      <c r="I37" s="68" t="n">
        <v>282</v>
      </c>
      <c r="J37" s="69" t="n">
        <v>912</v>
      </c>
      <c r="K37" s="69" t="n">
        <v>528</v>
      </c>
      <c r="L37" s="74" t="n">
        <v>1000</v>
      </c>
      <c r="M37" s="69" t="n">
        <v>426</v>
      </c>
      <c r="N37" s="69" t="n">
        <v>36</v>
      </c>
      <c r="O37" s="69" t="n">
        <v>23</v>
      </c>
      <c r="P37" s="69" t="n">
        <v>350</v>
      </c>
    </row>
    <row r="38">
      <c r="F38" t="inlineStr">
        <is>
          <t>Palm Tree Town</t>
        </is>
      </c>
      <c r="G38" s="74" t="n">
        <v>36129</v>
      </c>
      <c r="H38" s="74" t="n">
        <v>14539</v>
      </c>
      <c r="I38" s="74" t="n">
        <v>8781</v>
      </c>
      <c r="J38" s="74" t="n">
        <v>5629</v>
      </c>
      <c r="K38" s="69" t="n">
        <v>129</v>
      </c>
      <c r="L38" s="74" t="n">
        <v>14236</v>
      </c>
      <c r="M38" s="69" t="n">
        <v>45</v>
      </c>
      <c r="N38" s="69" t="n">
        <v>0</v>
      </c>
      <c r="O38" s="69" t="n">
        <v>258</v>
      </c>
      <c r="P38" s="69" t="n">
        <v>166</v>
      </c>
    </row>
    <row r="39">
      <c r="F39" t="inlineStr">
        <is>
          <t>Kiryas Joel Village</t>
        </is>
      </c>
      <c r="G39" s="74" t="n">
        <v>36129</v>
      </c>
      <c r="H39" s="74" t="n">
        <v>14539</v>
      </c>
      <c r="I39" s="74" t="n">
        <v>8781</v>
      </c>
      <c r="J39" s="74" t="n">
        <v>5629</v>
      </c>
      <c r="K39" s="69" t="n">
        <v>129</v>
      </c>
      <c r="L39" s="74" t="n">
        <v>14236</v>
      </c>
      <c r="M39" s="69" t="n">
        <v>45</v>
      </c>
      <c r="N39" s="69" t="n">
        <v>0</v>
      </c>
      <c r="O39" s="69" t="n">
        <v>258</v>
      </c>
      <c r="P39" s="69" t="n">
        <v>166</v>
      </c>
    </row>
    <row r="40">
      <c r="F40" t="inlineStr">
        <is>
          <t>Port Jervis City</t>
        </is>
      </c>
      <c r="G40" s="74" t="n">
        <v>8623</v>
      </c>
      <c r="H40" s="74" t="n">
        <v>1789</v>
      </c>
      <c r="I40" s="69" t="n">
        <v>456</v>
      </c>
      <c r="J40" s="69" t="n">
        <v>913</v>
      </c>
      <c r="K40" s="69" t="n">
        <v>420</v>
      </c>
      <c r="L40" s="69" t="n">
        <v>973</v>
      </c>
      <c r="M40" s="69" t="n">
        <v>281</v>
      </c>
      <c r="N40" s="69" t="n">
        <v>276</v>
      </c>
      <c r="O40" s="69" t="n">
        <v>176</v>
      </c>
      <c r="P40" s="69" t="n">
        <v>409</v>
      </c>
    </row>
    <row r="41">
      <c r="F41" t="inlineStr">
        <is>
          <t>Tuxedo Town</t>
        </is>
      </c>
      <c r="G41" s="74" t="n">
        <v>3750</v>
      </c>
      <c r="H41" s="69" t="n">
        <v>236</v>
      </c>
      <c r="I41" s="69" t="n">
        <v>1</v>
      </c>
      <c r="J41" s="69" t="n">
        <v>174</v>
      </c>
      <c r="K41" s="69" t="n">
        <v>61</v>
      </c>
      <c r="L41" s="69" t="n">
        <v>194</v>
      </c>
      <c r="M41" s="69" t="n">
        <v>29</v>
      </c>
      <c r="N41" s="69" t="n">
        <v>7</v>
      </c>
      <c r="O41" s="69" t="n">
        <v>0</v>
      </c>
      <c r="P41" s="69" t="n">
        <v>52</v>
      </c>
    </row>
    <row r="42">
      <c r="F42" t="inlineStr">
        <is>
          <t>Tuxedo Village</t>
        </is>
      </c>
      <c r="G42" s="74" t="n">
        <v>3068</v>
      </c>
      <c r="H42" s="69" t="n">
        <v>227</v>
      </c>
      <c r="I42" s="69" t="n">
        <v>0</v>
      </c>
      <c r="J42" s="69" t="n">
        <v>171</v>
      </c>
      <c r="K42" s="69" t="n">
        <v>56</v>
      </c>
      <c r="L42" s="69" t="n">
        <v>187</v>
      </c>
      <c r="M42" s="69" t="n">
        <v>29</v>
      </c>
      <c r="N42" s="69" t="n">
        <v>5</v>
      </c>
      <c r="O42" s="69" t="n">
        <v>0</v>
      </c>
      <c r="P42" s="69" t="n">
        <v>52</v>
      </c>
    </row>
    <row r="43">
      <c r="F43" t="inlineStr">
        <is>
          <t>Tuxedo Park Village</t>
        </is>
      </c>
      <c r="G43" s="69" t="n">
        <v>682</v>
      </c>
      <c r="H43" s="69" t="n">
        <v>9</v>
      </c>
      <c r="I43" s="69" t="n">
        <v>1</v>
      </c>
      <c r="J43" s="69" t="n">
        <v>3</v>
      </c>
      <c r="K43" s="69" t="n">
        <v>5</v>
      </c>
      <c r="L43" s="69" t="n">
        <v>7</v>
      </c>
      <c r="M43" s="69" t="n">
        <v>0</v>
      </c>
      <c r="N43" s="69" t="n">
        <v>2</v>
      </c>
      <c r="O43" s="69" t="n">
        <v>0</v>
      </c>
      <c r="P43" s="69" t="n">
        <v>0</v>
      </c>
    </row>
    <row r="44">
      <c r="F44" t="inlineStr">
        <is>
          <t>Wallkill Town</t>
        </is>
      </c>
      <c r="G44" s="74" t="n">
        <v>30410</v>
      </c>
      <c r="H44" s="74" t="n">
        <v>3225</v>
      </c>
      <c r="I44" s="69" t="n">
        <v>935</v>
      </c>
      <c r="J44" s="74" t="n">
        <v>1898</v>
      </c>
      <c r="K44" s="69" t="n">
        <v>392</v>
      </c>
      <c r="L44" s="69" t="n">
        <v>956</v>
      </c>
      <c r="M44" s="74" t="n">
        <v>1149</v>
      </c>
      <c r="N44" s="69" t="n">
        <v>178</v>
      </c>
      <c r="O44" s="69" t="n">
        <v>433</v>
      </c>
      <c r="P44" s="69" t="n">
        <v>689</v>
      </c>
    </row>
    <row r="45">
      <c r="F45" t="inlineStr">
        <is>
          <t>Warwick Town</t>
        </is>
      </c>
      <c r="G45" s="74" t="n">
        <v>31721</v>
      </c>
      <c r="H45" s="74" t="n">
        <v>2125</v>
      </c>
      <c r="I45" s="69" t="n">
        <v>343</v>
      </c>
      <c r="J45" s="74" t="n">
        <v>1373</v>
      </c>
      <c r="K45" s="69" t="n">
        <v>409</v>
      </c>
      <c r="L45" s="74" t="n">
        <v>1495</v>
      </c>
      <c r="M45" s="69" t="n">
        <v>125</v>
      </c>
      <c r="N45" s="69" t="n">
        <v>50</v>
      </c>
      <c r="O45" s="69" t="n">
        <v>236</v>
      </c>
      <c r="P45" s="69" t="n">
        <v>502</v>
      </c>
    </row>
    <row r="46">
      <c r="F46" t="inlineStr">
        <is>
          <t>Florida Village</t>
        </is>
      </c>
      <c r="G46" s="74" t="n">
        <v>2909</v>
      </c>
      <c r="H46" s="69" t="n">
        <v>227</v>
      </c>
      <c r="I46" s="69" t="n">
        <v>47</v>
      </c>
      <c r="J46" s="69" t="n">
        <v>172</v>
      </c>
      <c r="K46" s="69" t="n">
        <v>8</v>
      </c>
      <c r="L46" s="69" t="n">
        <v>125</v>
      </c>
      <c r="M46" s="69" t="n">
        <v>93</v>
      </c>
      <c r="N46" s="69" t="n">
        <v>0</v>
      </c>
      <c r="O46" s="69" t="n">
        <v>0</v>
      </c>
      <c r="P46" s="69" t="n">
        <v>9</v>
      </c>
    </row>
    <row r="47">
      <c r="F47" t="inlineStr">
        <is>
          <t>Greenwood Lake Village</t>
        </is>
      </c>
      <c r="G47" s="74" t="n">
        <v>3006</v>
      </c>
      <c r="H47" s="69" t="n">
        <v>260</v>
      </c>
      <c r="I47" s="69" t="n">
        <v>116</v>
      </c>
      <c r="J47" s="69" t="n">
        <v>135</v>
      </c>
      <c r="K47" s="69" t="n">
        <v>9</v>
      </c>
      <c r="L47" s="69" t="n">
        <v>47</v>
      </c>
      <c r="M47" s="69" t="n">
        <v>0</v>
      </c>
      <c r="N47" s="69" t="n">
        <v>0</v>
      </c>
      <c r="O47" s="69" t="n">
        <v>182</v>
      </c>
      <c r="P47" s="69" t="n">
        <v>213</v>
      </c>
    </row>
    <row r="48">
      <c r="F48" t="inlineStr">
        <is>
          <t>Warwick Village</t>
        </is>
      </c>
      <c r="G48" s="74" t="n">
        <v>6536</v>
      </c>
      <c r="H48" s="69" t="n">
        <v>441</v>
      </c>
      <c r="I48" s="69" t="n">
        <v>42</v>
      </c>
      <c r="J48" s="69" t="n">
        <v>209</v>
      </c>
      <c r="K48" s="69" t="n">
        <v>190</v>
      </c>
      <c r="L48" s="69" t="n">
        <v>361</v>
      </c>
      <c r="M48" s="69" t="n">
        <v>0</v>
      </c>
      <c r="N48" s="69" t="n">
        <v>0</v>
      </c>
      <c r="O48" s="69" t="n">
        <v>23</v>
      </c>
      <c r="P48" s="69" t="n">
        <v>73</v>
      </c>
    </row>
    <row r="49">
      <c r="F49" t="inlineStr">
        <is>
          <t>Wawayanda Town</t>
        </is>
      </c>
      <c r="G49" s="74" t="n">
        <v>7493</v>
      </c>
      <c r="H49" s="69" t="n">
        <v>413</v>
      </c>
      <c r="I49" s="69" t="n">
        <v>129</v>
      </c>
      <c r="J49" s="69" t="n">
        <v>249</v>
      </c>
      <c r="K49" s="69" t="n">
        <v>35</v>
      </c>
      <c r="L49" s="69" t="n">
        <v>262</v>
      </c>
      <c r="M49" s="69" t="n">
        <v>40</v>
      </c>
      <c r="N49" s="69" t="n">
        <v>0</v>
      </c>
      <c r="O49" s="69" t="n">
        <v>18</v>
      </c>
      <c r="P49" s="69" t="n">
        <v>130</v>
      </c>
    </row>
    <row r="50">
      <c r="F50" t="inlineStr">
        <is>
          <t>Woodbury Town</t>
        </is>
      </c>
      <c r="G50" s="74" t="n">
        <v>12180</v>
      </c>
      <c r="H50" s="69" t="n">
        <v>676</v>
      </c>
      <c r="I50" s="69" t="n">
        <v>210</v>
      </c>
      <c r="J50" s="69" t="n">
        <v>437</v>
      </c>
      <c r="K50" s="69" t="n">
        <v>29</v>
      </c>
      <c r="L50" s="69" t="n">
        <v>417</v>
      </c>
      <c r="M50" s="69" t="n">
        <v>244</v>
      </c>
      <c r="N50" s="69" t="n">
        <v>0</v>
      </c>
      <c r="O50" s="69" t="n">
        <v>15</v>
      </c>
      <c r="P50" s="69" t="n">
        <v>223</v>
      </c>
    </row>
    <row r="51">
      <c r="F51" t="inlineStr">
        <is>
          <t>Harriman Village (portion)</t>
        </is>
      </c>
      <c r="G51" s="69" t="n">
        <v>754</v>
      </c>
      <c r="H51" s="69" t="n">
        <v>103</v>
      </c>
      <c r="I51" s="69" t="n">
        <v>46</v>
      </c>
      <c r="J51" s="69" t="n">
        <v>57</v>
      </c>
      <c r="K51" s="69" t="n">
        <v>0</v>
      </c>
      <c r="L51" s="69" t="n">
        <v>0</v>
      </c>
      <c r="M51" s="69" t="n">
        <v>103</v>
      </c>
      <c r="N51" s="69" t="n">
        <v>0</v>
      </c>
      <c r="O51" s="69" t="n">
        <v>0</v>
      </c>
      <c r="P51" s="69" t="n">
        <v>0</v>
      </c>
    </row>
    <row r="52">
      <c r="F52" t="inlineStr">
        <is>
          <t>Woodbury Village</t>
        </is>
      </c>
      <c r="G52" s="74" t="n">
        <v>11426</v>
      </c>
      <c r="H52" s="69" t="n">
        <v>573</v>
      </c>
      <c r="I52" s="69" t="n">
        <v>164</v>
      </c>
      <c r="J52" s="69" t="n">
        <v>380</v>
      </c>
      <c r="K52" s="69" t="n">
        <v>29</v>
      </c>
      <c r="L52" s="69" t="n">
        <v>417</v>
      </c>
      <c r="M52" s="69" t="n">
        <v>141</v>
      </c>
      <c r="N52" s="69" t="n">
        <v>0</v>
      </c>
      <c r="O52" s="69" t="n">
        <v>15</v>
      </c>
      <c r="P52" s="69"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in Poverty, 2019–2022</t>
        </is>
      </c>
    </row>
    <row r="2">
      <c r="A2" s="16" t="inlineStr">
        <is>
          <t>Table/Figure/Both</t>
        </is>
      </c>
      <c r="B2" t="inlineStr">
        <is>
          <t>Both</t>
        </is>
      </c>
    </row>
    <row r="3">
      <c r="A3" s="16" t="inlineStr">
        <is>
          <t xml:space="preserve">Object ID  </t>
        </is>
      </c>
      <c r="B3" t="inlineStr">
        <is>
          <t>tbl-poverty-pop</t>
        </is>
      </c>
    </row>
    <row r="4">
      <c r="A4" s="16"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12.3</v>
      </c>
      <c r="H6" s="69" t="n">
        <v>10.6</v>
      </c>
      <c r="I6" s="69" t="n">
        <v>12.2</v>
      </c>
      <c r="J6" s="69" t="n">
        <v>14.4</v>
      </c>
      <c r="K6" s="69" t="n"/>
      <c r="L6" s="69" t="n"/>
      <c r="M6" s="69" t="n"/>
      <c r="N6" s="69" t="n"/>
      <c r="O6" s="69" t="n"/>
    </row>
    <row r="7" ht="15.75" customHeight="1" s="91">
      <c r="F7" t="inlineStr">
        <is>
          <t>NYS</t>
        </is>
      </c>
      <c r="G7" s="69" t="n">
        <v>13.1</v>
      </c>
      <c r="H7" s="69" t="n">
        <v>12.7</v>
      </c>
      <c r="I7" s="69" t="n">
        <v>14</v>
      </c>
      <c r="J7" s="69" t="n">
        <v>14.2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the population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Individual Poverty Status in the Past 12 Months, by Race and Ethnicity, 2023</t>
        </is>
      </c>
    </row>
    <row r="2">
      <c r="A2" s="16" t="inlineStr">
        <is>
          <t>Table/Figure/Both</t>
        </is>
      </c>
      <c r="B2" t="inlineStr">
        <is>
          <t>Both</t>
        </is>
      </c>
    </row>
    <row r="3">
      <c r="A3" s="16" t="inlineStr">
        <is>
          <t xml:space="preserve">Object ID  </t>
        </is>
      </c>
      <c r="B3" t="inlineStr">
        <is>
          <t>tbl-poverty-individual-rande</t>
        </is>
      </c>
    </row>
    <row r="4">
      <c r="A4" s="16"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13</v>
      </c>
      <c r="H6" s="69" t="n">
        <v>12.8</v>
      </c>
      <c r="I6" s="69" t="n">
        <v>14.6</v>
      </c>
      <c r="J6" s="69" t="n">
        <v>20.3</v>
      </c>
      <c r="K6" s="69" t="n">
        <v>10.2</v>
      </c>
      <c r="L6" s="69" t="n">
        <v>23.1</v>
      </c>
      <c r="M6" s="69" t="n">
        <v>14.9</v>
      </c>
      <c r="N6" s="69" t="n">
        <v>10.5</v>
      </c>
      <c r="O6" s="69" t="n">
        <v>12.4</v>
      </c>
      <c r="P6" t="n">
        <v>13.1</v>
      </c>
    </row>
    <row r="7" ht="15.75" customHeight="1" s="91">
      <c r="F7" t="inlineStr">
        <is>
          <t>NYS</t>
        </is>
      </c>
      <c r="G7" s="69" t="n">
        <v>13.7</v>
      </c>
      <c r="H7" s="69" t="n">
        <v>10</v>
      </c>
      <c r="I7" s="69" t="n">
        <v>20.6</v>
      </c>
      <c r="J7" s="69" t="n">
        <v>22.7</v>
      </c>
      <c r="K7" s="69" t="n">
        <v>13.9</v>
      </c>
      <c r="L7" s="69" t="n">
        <v>22.2</v>
      </c>
      <c r="M7" s="69" t="n">
        <v>21.9</v>
      </c>
      <c r="N7" s="69" t="n">
        <v>16</v>
      </c>
      <c r="O7" s="69" t="n">
        <v>20.1</v>
      </c>
      <c r="P7" t="n">
        <v>9.5</v>
      </c>
    </row>
    <row r="8">
      <c r="F8" t="inlineStr">
        <is>
          <t>US</t>
        </is>
      </c>
      <c r="G8" s="69" t="n">
        <v>12.4</v>
      </c>
      <c r="H8" s="69" t="n">
        <v>9.9</v>
      </c>
      <c r="I8" s="69" t="n">
        <v>21.3</v>
      </c>
      <c r="J8" s="69" t="n">
        <v>21.8</v>
      </c>
      <c r="K8" s="69" t="n">
        <v>9.9</v>
      </c>
      <c r="L8" s="69" t="n">
        <v>17.2</v>
      </c>
      <c r="M8" s="69" t="n">
        <v>18.2</v>
      </c>
      <c r="N8" s="69" t="n">
        <v>14.7</v>
      </c>
      <c r="O8" s="69" t="n">
        <v>16.9</v>
      </c>
      <c r="P8" t="n">
        <v>9.199999999999999</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Status of Families in the Past 12 Months, by Race and Ethnicity, 2023</t>
        </is>
      </c>
    </row>
    <row r="2">
      <c r="A2" s="16" t="inlineStr">
        <is>
          <t>Table/Figure/Both</t>
        </is>
      </c>
      <c r="B2" t="inlineStr">
        <is>
          <t>Both</t>
        </is>
      </c>
    </row>
    <row r="3">
      <c r="A3" s="16" t="inlineStr">
        <is>
          <t xml:space="preserve">Object ID  </t>
        </is>
      </c>
      <c r="B3" t="inlineStr">
        <is>
          <t>tbl-poverty-family-rande</t>
        </is>
      </c>
    </row>
    <row r="4">
      <c r="A4" s="16"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9.1</v>
      </c>
      <c r="H6" s="69" t="n">
        <v>8.1</v>
      </c>
      <c r="I6" s="69" t="n">
        <v>12.3</v>
      </c>
      <c r="J6" s="69" t="n">
        <v>14.9</v>
      </c>
      <c r="K6" s="69" t="n">
        <v>10.3</v>
      </c>
      <c r="L6" s="69" t="n">
        <v>0</v>
      </c>
      <c r="M6" s="69" t="n">
        <v>10.7</v>
      </c>
      <c r="N6" s="69" t="n">
        <v>9.6</v>
      </c>
      <c r="O6" s="69" t="n">
        <v>10.2</v>
      </c>
      <c r="P6" t="n">
        <v>8</v>
      </c>
    </row>
    <row r="7" ht="15.75" customHeight="1" s="91">
      <c r="F7" t="inlineStr">
        <is>
          <t>NYS</t>
        </is>
      </c>
      <c r="G7" s="69" t="n">
        <v>9.800000000000001</v>
      </c>
      <c r="H7" s="69" t="n">
        <v>6.2</v>
      </c>
      <c r="I7" s="69" t="n">
        <v>16.4</v>
      </c>
      <c r="J7" s="69" t="n">
        <v>19.2</v>
      </c>
      <c r="K7" s="69" t="n">
        <v>11.3</v>
      </c>
      <c r="L7" s="69" t="n">
        <v>11.4</v>
      </c>
      <c r="M7" s="69" t="n">
        <v>18.8</v>
      </c>
      <c r="N7" s="69" t="n">
        <v>12.8</v>
      </c>
      <c r="O7" s="69" t="n">
        <v>16.9</v>
      </c>
      <c r="P7" t="n">
        <v>5.7</v>
      </c>
    </row>
    <row r="8">
      <c r="F8" t="inlineStr">
        <is>
          <t>US</t>
        </is>
      </c>
      <c r="G8" s="69" t="n">
        <v>8.699999999999999</v>
      </c>
      <c r="H8" s="69" t="n">
        <v>6.3</v>
      </c>
      <c r="I8" s="69" t="n">
        <v>17.4</v>
      </c>
      <c r="J8" s="69" t="n">
        <v>18.1</v>
      </c>
      <c r="K8" s="69" t="n">
        <v>7.1</v>
      </c>
      <c r="L8" s="69" t="n">
        <v>12.9</v>
      </c>
      <c r="M8" s="69" t="n">
        <v>15.9</v>
      </c>
      <c r="N8" s="69" t="n">
        <v>12.1</v>
      </c>
      <c r="O8" s="69" t="n">
        <v>14.4</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Children Living Below the Poverty Threshold, 2019–2022</t>
        </is>
      </c>
    </row>
    <row r="2">
      <c r="A2" s="16" t="inlineStr">
        <is>
          <t>Table/Figure/Both</t>
        </is>
      </c>
      <c r="B2" t="inlineStr">
        <is>
          <t>Both</t>
        </is>
      </c>
    </row>
    <row r="3">
      <c r="A3" s="16" t="inlineStr">
        <is>
          <t xml:space="preserve">Object ID  </t>
        </is>
      </c>
      <c r="B3" t="inlineStr">
        <is>
          <t>tbl-children-poverty-threshold</t>
        </is>
      </c>
    </row>
    <row r="4">
      <c r="A4" s="16"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18</v>
      </c>
      <c r="H6" s="69" t="n">
        <v>15.7</v>
      </c>
      <c r="I6" s="69" t="n">
        <v>18</v>
      </c>
      <c r="J6" s="69" t="n">
        <v>21</v>
      </c>
      <c r="K6" s="69" t="n"/>
      <c r="L6" s="69" t="n"/>
      <c r="M6" s="69" t="n"/>
      <c r="N6" s="69" t="n"/>
      <c r="O6" s="69" t="n"/>
    </row>
    <row r="7" ht="15.75" customHeight="1" s="91">
      <c r="F7" t="inlineStr">
        <is>
          <t>NYS</t>
        </is>
      </c>
      <c r="G7" s="69" t="n">
        <v>18.2</v>
      </c>
      <c r="H7" s="69" t="n">
        <v>16.7</v>
      </c>
      <c r="I7" s="69" t="n">
        <v>18.8</v>
      </c>
      <c r="J7" s="69" t="n">
        <v>18.6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children less than 18 years old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3.28515625" bestFit="1" customWidth="1" style="91" min="7" max="7"/>
    <col width="31.42578125" bestFit="1" customWidth="1" style="91" min="8" max="8"/>
    <col width="9.85546875" bestFit="1" customWidth="1" style="91" min="9" max="9"/>
    <col width="12.42578125" bestFit="1" customWidth="1" style="91" min="10" max="10"/>
    <col width="13.28515625" bestFit="1" customWidth="1" style="91" min="11" max="11"/>
    <col width="35.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Employment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16+</t>
        </is>
      </c>
      <c r="H5" s="69" t="inlineStr">
        <is>
          <t>Population Age 16+ in Labor Force</t>
        </is>
      </c>
      <c r="I5" s="69" t="inlineStr">
        <is>
          <t>Civilian Labor Force</t>
        </is>
      </c>
      <c r="K5" s="69" t="inlineStr">
        <is>
          <t>Armed Forces</t>
        </is>
      </c>
      <c r="L5" s="69" t="inlineStr">
        <is>
          <t>Population Age 16+ Not In Labor Force</t>
        </is>
      </c>
    </row>
    <row r="6" ht="15" customHeight="1" s="91">
      <c r="A6" t="inlineStr">
        <is>
          <t>Multilevel Headers</t>
        </is>
      </c>
      <c r="B6" t="b">
        <v>1</v>
      </c>
      <c r="I6" t="inlineStr">
        <is>
          <t>Employed</t>
        </is>
      </c>
      <c r="J6" t="inlineStr">
        <is>
          <t>Unemployed</t>
        </is>
      </c>
      <c r="M6" s="69" t="n"/>
      <c r="N6" s="69" t="n"/>
      <c r="O6" s="69" t="n"/>
    </row>
    <row r="7" ht="15.75" customHeight="1" s="91">
      <c r="F7" t="inlineStr">
        <is>
          <t>Orange County</t>
        </is>
      </c>
      <c r="G7" s="74" t="n">
        <v>312794</v>
      </c>
      <c r="H7" s="74" t="n">
        <v>198515</v>
      </c>
      <c r="I7" s="74" t="n">
        <v>184167</v>
      </c>
      <c r="J7" s="74" t="n">
        <v>10556</v>
      </c>
      <c r="K7" s="74" t="n">
        <v>3792</v>
      </c>
      <c r="L7" s="74" t="n">
        <v>114279</v>
      </c>
      <c r="M7" s="69" t="n"/>
      <c r="N7" s="69" t="n"/>
      <c r="O7" s="69" t="n"/>
    </row>
    <row r="8">
      <c r="F8" t="inlineStr">
        <is>
          <t>Blooming Grove Town</t>
        </is>
      </c>
      <c r="G8" s="74" t="n">
        <v>13963</v>
      </c>
      <c r="H8" s="74" t="n">
        <v>8841</v>
      </c>
      <c r="I8" s="74" t="n">
        <v>8167</v>
      </c>
      <c r="J8" s="69" t="n">
        <v>645</v>
      </c>
      <c r="K8" s="69" t="n">
        <v>29</v>
      </c>
      <c r="L8" s="74" t="n">
        <v>5122</v>
      </c>
      <c r="M8" s="69" t="n"/>
      <c r="N8" s="69" t="n"/>
      <c r="O8" s="69" t="n"/>
    </row>
    <row r="9">
      <c r="A9" s="71" t="inlineStr">
        <is>
          <t>Figure Rules</t>
        </is>
      </c>
      <c r="F9" t="inlineStr">
        <is>
          <t>South Blooming Grove Village</t>
        </is>
      </c>
      <c r="G9" s="74" t="n">
        <v>2303</v>
      </c>
      <c r="H9" s="74" t="n">
        <v>1442</v>
      </c>
      <c r="I9" s="74" t="n">
        <v>1268</v>
      </c>
      <c r="J9" s="69" t="n">
        <v>174</v>
      </c>
      <c r="K9" s="69" t="n">
        <v>0</v>
      </c>
      <c r="L9" s="69" t="n">
        <v>861</v>
      </c>
      <c r="M9" s="69" t="n"/>
      <c r="N9" s="69" t="n"/>
      <c r="O9" s="69" t="n"/>
    </row>
    <row r="10">
      <c r="A10" t="inlineStr">
        <is>
          <t>Figure Type</t>
        </is>
      </c>
      <c r="F10" t="inlineStr">
        <is>
          <t>Washingtonville Village</t>
        </is>
      </c>
      <c r="G10" s="74" t="n">
        <v>4687</v>
      </c>
      <c r="H10" s="14" t="n">
        <v>3056</v>
      </c>
      <c r="I10" s="14" t="n">
        <v>2827</v>
      </c>
      <c r="J10" t="n">
        <v>200</v>
      </c>
      <c r="K10" t="n">
        <v>29</v>
      </c>
      <c r="L10" s="14" t="n">
        <v>1631</v>
      </c>
    </row>
    <row r="11">
      <c r="A11" t="inlineStr">
        <is>
          <t>X Column</t>
        </is>
      </c>
      <c r="F11" t="inlineStr">
        <is>
          <t>Chester Town</t>
        </is>
      </c>
      <c r="G11" s="74" t="n">
        <v>10311</v>
      </c>
      <c r="H11" s="74" t="n">
        <v>7161</v>
      </c>
      <c r="I11" s="74" t="n">
        <v>6888</v>
      </c>
      <c r="J11" s="68" t="n">
        <v>222</v>
      </c>
      <c r="K11" s="68" t="n">
        <v>51</v>
      </c>
      <c r="L11" s="28" t="n">
        <v>3150</v>
      </c>
      <c r="M11" s="68" t="n"/>
      <c r="N11" s="68" t="n"/>
    </row>
    <row r="12">
      <c r="A12" t="inlineStr">
        <is>
          <t>Y Column</t>
        </is>
      </c>
      <c r="F12" s="21" t="inlineStr">
        <is>
          <t>Chester Village</t>
        </is>
      </c>
      <c r="G12" s="28" t="n">
        <v>3497</v>
      </c>
      <c r="H12" s="28" t="n">
        <v>2552</v>
      </c>
      <c r="I12" s="74" t="n">
        <v>2488</v>
      </c>
      <c r="J12" s="69" t="n">
        <v>44</v>
      </c>
      <c r="K12" s="69" t="n">
        <v>20</v>
      </c>
      <c r="L12" s="69" t="n">
        <v>945</v>
      </c>
    </row>
    <row r="13">
      <c r="A13" t="inlineStr">
        <is>
          <t>X Axis Title</t>
        </is>
      </c>
      <c r="F13" t="inlineStr">
        <is>
          <t>Cornwall Town</t>
        </is>
      </c>
      <c r="G13" s="14" t="n">
        <v>10454</v>
      </c>
      <c r="H13" s="14" t="n">
        <v>6811</v>
      </c>
      <c r="I13" s="14" t="n">
        <v>6425</v>
      </c>
      <c r="J13" t="n">
        <v>262</v>
      </c>
      <c r="K13" t="n">
        <v>124</v>
      </c>
      <c r="L13" s="14" t="n">
        <v>3643</v>
      </c>
    </row>
    <row r="14">
      <c r="A14" t="inlineStr">
        <is>
          <t>Y Axis Title</t>
        </is>
      </c>
      <c r="F14" t="inlineStr">
        <is>
          <t>Cornwall-on-Hudson Village</t>
        </is>
      </c>
      <c r="G14" s="14" t="n">
        <v>2569</v>
      </c>
      <c r="H14" s="14" t="n">
        <v>1757</v>
      </c>
      <c r="I14" s="14" t="n">
        <v>1656</v>
      </c>
      <c r="J14" t="n">
        <v>7</v>
      </c>
      <c r="K14" t="n">
        <v>94</v>
      </c>
      <c r="L14" t="n">
        <v>812</v>
      </c>
    </row>
    <row r="15">
      <c r="A15" t="inlineStr">
        <is>
          <t>Start at Zero</t>
        </is>
      </c>
      <c r="F15" t="inlineStr">
        <is>
          <t>Crawford Town</t>
        </is>
      </c>
      <c r="G15" s="14" t="n">
        <v>7403</v>
      </c>
      <c r="H15" s="14" t="n">
        <v>5259</v>
      </c>
      <c r="I15" s="14" t="n">
        <v>5000</v>
      </c>
      <c r="J15" t="n">
        <v>259</v>
      </c>
      <c r="K15" t="n">
        <v>0</v>
      </c>
      <c r="L15" s="14" t="n">
        <v>2144</v>
      </c>
    </row>
    <row r="16">
      <c r="A16" t="inlineStr">
        <is>
          <t>Pivot For Chart</t>
        </is>
      </c>
      <c r="F16" t="inlineStr">
        <is>
          <t>Deerpark Town</t>
        </is>
      </c>
      <c r="G16" s="14" t="n">
        <v>6229</v>
      </c>
      <c r="H16" s="14" t="n">
        <v>3512</v>
      </c>
      <c r="I16" s="14" t="n">
        <v>3207</v>
      </c>
      <c r="J16" t="n">
        <v>305</v>
      </c>
      <c r="K16" t="n">
        <v>0</v>
      </c>
      <c r="L16" s="14" t="n">
        <v>2717</v>
      </c>
    </row>
    <row r="17">
      <c r="F17" t="inlineStr">
        <is>
          <t>Goshen Town</t>
        </is>
      </c>
      <c r="G17" s="14" t="n">
        <v>11905</v>
      </c>
      <c r="H17" s="14" t="n">
        <v>6893</v>
      </c>
      <c r="I17" s="14" t="n">
        <v>6373</v>
      </c>
      <c r="J17" t="n">
        <v>505</v>
      </c>
      <c r="K17" t="n">
        <v>15</v>
      </c>
      <c r="L17" s="14" t="n">
        <v>5012</v>
      </c>
    </row>
    <row r="18">
      <c r="A18" s="71" t="inlineStr">
        <is>
          <t>Source Specifications</t>
        </is>
      </c>
      <c r="F18" t="inlineStr">
        <is>
          <t>Goshen Village</t>
        </is>
      </c>
      <c r="G18" s="14" t="n">
        <v>4743</v>
      </c>
      <c r="H18" s="14" t="n">
        <v>2842</v>
      </c>
      <c r="I18" s="14" t="n">
        <v>2703</v>
      </c>
      <c r="J18" t="n">
        <v>139</v>
      </c>
      <c r="K18" t="n">
        <v>0</v>
      </c>
      <c r="L18" s="14"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t="inlineStr">
        <is>
          <t>Greenville Town</t>
        </is>
      </c>
      <c r="G19" s="14" t="n">
        <v>3682</v>
      </c>
      <c r="H19" s="14" t="n">
        <v>2623</v>
      </c>
      <c r="I19" s="14" t="n">
        <v>2563</v>
      </c>
      <c r="J19" t="n">
        <v>60</v>
      </c>
      <c r="K19" t="n">
        <v>0</v>
      </c>
      <c r="L19" s="14" t="n">
        <v>1059</v>
      </c>
    </row>
    <row r="20">
      <c r="F20" s="69" t="inlineStr">
        <is>
          <t>Hamptonburgh Town</t>
        </is>
      </c>
      <c r="G20" s="74" t="n">
        <v>4418</v>
      </c>
      <c r="H20" s="74" t="n">
        <v>2583</v>
      </c>
      <c r="I20" s="14" t="n">
        <v>2495</v>
      </c>
      <c r="J20" t="n">
        <v>88</v>
      </c>
      <c r="K20" t="n">
        <v>0</v>
      </c>
      <c r="L20" s="14" t="n">
        <v>1835</v>
      </c>
    </row>
    <row r="21">
      <c r="A21" s="69" t="inlineStr">
        <is>
          <t>Note Specfications</t>
        </is>
      </c>
      <c r="F21" s="69" t="inlineStr">
        <is>
          <t>Highlands Town</t>
        </is>
      </c>
      <c r="G21" s="74" t="n">
        <v>10077</v>
      </c>
      <c r="H21" s="74" t="n">
        <v>7452</v>
      </c>
      <c r="I21" s="14" t="n">
        <v>4373</v>
      </c>
      <c r="J21" t="n">
        <v>198</v>
      </c>
      <c r="K21" s="14" t="n">
        <v>2881</v>
      </c>
      <c r="L21" s="14"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69" t="inlineStr">
        <is>
          <t>Highland Falls Village</t>
        </is>
      </c>
      <c r="G22" s="74" t="n">
        <v>3007</v>
      </c>
      <c r="H22" s="74" t="n">
        <v>2121</v>
      </c>
      <c r="I22" s="14" t="n">
        <v>1770</v>
      </c>
      <c r="J22" t="n">
        <v>137</v>
      </c>
      <c r="K22" t="n">
        <v>214</v>
      </c>
      <c r="L22" t="n">
        <v>886</v>
      </c>
    </row>
    <row r="23">
      <c r="F23" s="69" t="inlineStr">
        <is>
          <t>Middletown City</t>
        </is>
      </c>
      <c r="G23" s="74" t="n">
        <v>23291</v>
      </c>
      <c r="H23" s="74" t="n">
        <v>14570</v>
      </c>
      <c r="I23" s="14" t="n">
        <v>13664</v>
      </c>
      <c r="J23" t="n">
        <v>890</v>
      </c>
      <c r="K23" t="n">
        <v>16</v>
      </c>
      <c r="L23" s="14" t="n">
        <v>8721</v>
      </c>
    </row>
    <row r="24">
      <c r="F24" t="inlineStr">
        <is>
          <t>Minisink Town</t>
        </is>
      </c>
      <c r="G24" s="14" t="n">
        <v>3499</v>
      </c>
      <c r="H24" s="14" t="n">
        <v>2509</v>
      </c>
      <c r="I24" s="14" t="n">
        <v>2456</v>
      </c>
      <c r="J24" t="n">
        <v>53</v>
      </c>
      <c r="K24" t="n">
        <v>0</v>
      </c>
      <c r="L24" t="n">
        <v>990</v>
      </c>
    </row>
    <row r="25">
      <c r="F25" s="69" t="inlineStr">
        <is>
          <t>Unionville Village</t>
        </is>
      </c>
      <c r="G25" s="69" t="n">
        <v>493</v>
      </c>
      <c r="H25" s="69" t="n">
        <v>368</v>
      </c>
      <c r="I25" t="n">
        <v>368</v>
      </c>
      <c r="J25" t="n">
        <v>0</v>
      </c>
      <c r="K25" t="n">
        <v>0</v>
      </c>
      <c r="L25" t="n">
        <v>125</v>
      </c>
    </row>
    <row r="26">
      <c r="F26" s="69" t="inlineStr">
        <is>
          <t>Monroe Town</t>
        </is>
      </c>
      <c r="G26" s="74" t="n">
        <v>16348</v>
      </c>
      <c r="H26" s="74" t="n">
        <v>11088</v>
      </c>
      <c r="I26" s="14" t="n">
        <v>10354</v>
      </c>
      <c r="J26" t="n">
        <v>734</v>
      </c>
      <c r="K26" t="n">
        <v>0</v>
      </c>
      <c r="L26" s="14" t="n">
        <v>5260</v>
      </c>
    </row>
    <row r="27">
      <c r="A27" s="69" t="n"/>
      <c r="F27" s="69" t="inlineStr">
        <is>
          <t>Harriman Village (portion)</t>
        </is>
      </c>
      <c r="G27" s="74" t="n">
        <v>1553</v>
      </c>
      <c r="H27" s="74" t="n">
        <v>1085</v>
      </c>
      <c r="I27" s="14" t="n">
        <v>1052</v>
      </c>
      <c r="J27" t="n">
        <v>33</v>
      </c>
      <c r="K27" t="n">
        <v>0</v>
      </c>
      <c r="L27" t="n">
        <v>468</v>
      </c>
    </row>
    <row r="28">
      <c r="F28" s="69" t="inlineStr">
        <is>
          <t>Monroe Village</t>
        </is>
      </c>
      <c r="G28" s="74" t="n">
        <v>7194</v>
      </c>
      <c r="H28" s="74" t="n">
        <v>5047</v>
      </c>
      <c r="I28" s="14" t="n">
        <v>4852</v>
      </c>
      <c r="J28" t="n">
        <v>195</v>
      </c>
      <c r="K28" t="n">
        <v>0</v>
      </c>
      <c r="L28" s="14" t="n">
        <v>2147</v>
      </c>
    </row>
    <row r="29">
      <c r="F29" s="69" t="inlineStr">
        <is>
          <t>Montgomery Town</t>
        </is>
      </c>
      <c r="G29" s="74" t="n">
        <v>18507</v>
      </c>
      <c r="H29" s="74" t="n">
        <v>11935</v>
      </c>
      <c r="I29" s="14" t="n">
        <v>11292</v>
      </c>
      <c r="J29" t="n">
        <v>495</v>
      </c>
      <c r="K29" t="n">
        <v>148</v>
      </c>
      <c r="L29" s="14" t="n">
        <v>6572</v>
      </c>
    </row>
    <row r="30">
      <c r="F30" s="69" t="inlineStr">
        <is>
          <t>Maybrook Village</t>
        </is>
      </c>
      <c r="G30" s="74" t="n">
        <v>2698</v>
      </c>
      <c r="H30" s="74" t="n">
        <v>1836</v>
      </c>
      <c r="I30" s="14" t="n">
        <v>1807</v>
      </c>
      <c r="J30" t="n">
        <v>29</v>
      </c>
      <c r="K30" t="n">
        <v>0</v>
      </c>
      <c r="L30" t="n">
        <v>862</v>
      </c>
    </row>
    <row r="31">
      <c r="F31" s="69" t="inlineStr">
        <is>
          <t>Montgomery Village</t>
        </is>
      </c>
      <c r="G31" s="74" t="n">
        <v>3071</v>
      </c>
      <c r="H31" s="74" t="n">
        <v>1910</v>
      </c>
      <c r="I31" s="14" t="n">
        <v>1871</v>
      </c>
      <c r="J31" t="n">
        <v>19</v>
      </c>
      <c r="K31" t="n">
        <v>20</v>
      </c>
      <c r="L31" s="14" t="n">
        <v>1161</v>
      </c>
    </row>
    <row r="32">
      <c r="F32" t="inlineStr">
        <is>
          <t>Walden Village</t>
        </is>
      </c>
      <c r="G32" s="14" t="n">
        <v>5411</v>
      </c>
      <c r="H32" s="14" t="n">
        <v>3402</v>
      </c>
      <c r="I32" s="14" t="n">
        <v>3220</v>
      </c>
      <c r="J32" t="n">
        <v>182</v>
      </c>
      <c r="K32" t="n">
        <v>0</v>
      </c>
      <c r="L32" s="14" t="n">
        <v>2009</v>
      </c>
    </row>
    <row r="33">
      <c r="F33" s="69" t="inlineStr">
        <is>
          <t>Mount Hope Town</t>
        </is>
      </c>
      <c r="G33" s="74" t="n">
        <v>5594</v>
      </c>
      <c r="H33" s="74" t="n">
        <v>2717</v>
      </c>
      <c r="I33" s="14" t="n">
        <v>2690</v>
      </c>
      <c r="J33" t="n">
        <v>27</v>
      </c>
      <c r="K33" t="n">
        <v>0</v>
      </c>
      <c r="L33" s="14" t="n">
        <v>2877</v>
      </c>
    </row>
    <row r="34">
      <c r="F34" s="69" t="inlineStr">
        <is>
          <t>Otisville Village</t>
        </is>
      </c>
      <c r="G34" s="69" t="n">
        <v>923</v>
      </c>
      <c r="H34" s="69" t="n">
        <v>511</v>
      </c>
      <c r="I34" s="68" t="n">
        <v>500</v>
      </c>
      <c r="J34" t="n">
        <v>11</v>
      </c>
      <c r="K34" t="n">
        <v>0</v>
      </c>
      <c r="L34" t="n">
        <v>412</v>
      </c>
    </row>
    <row r="35">
      <c r="F35" s="69" t="inlineStr">
        <is>
          <t>Newburgh City</t>
        </is>
      </c>
      <c r="G35" s="74" t="n">
        <v>22299</v>
      </c>
      <c r="H35" s="74" t="n">
        <v>13631</v>
      </c>
      <c r="I35" s="28" t="n">
        <v>12879</v>
      </c>
      <c r="J35" t="n">
        <v>752</v>
      </c>
      <c r="K35" t="n">
        <v>0</v>
      </c>
      <c r="L35" s="14" t="n">
        <v>8668</v>
      </c>
    </row>
    <row r="36">
      <c r="F36" s="69" t="inlineStr">
        <is>
          <t>Newburgh Town</t>
        </is>
      </c>
      <c r="G36" s="74" t="n">
        <v>26233</v>
      </c>
      <c r="H36" s="74" t="n">
        <v>16736</v>
      </c>
      <c r="I36" s="28" t="n">
        <v>15856</v>
      </c>
      <c r="J36" t="n">
        <v>718</v>
      </c>
      <c r="K36" t="n">
        <v>162</v>
      </c>
      <c r="L36" s="14" t="n">
        <v>9497</v>
      </c>
    </row>
    <row r="37">
      <c r="F37" s="69" t="inlineStr">
        <is>
          <t>New Windsor Town</t>
        </is>
      </c>
      <c r="G37" s="74" t="n">
        <v>23333</v>
      </c>
      <c r="H37" s="74" t="n">
        <v>15158</v>
      </c>
      <c r="I37" s="28" t="n">
        <v>13668</v>
      </c>
      <c r="J37" s="14" t="n">
        <v>1221</v>
      </c>
      <c r="K37" t="n">
        <v>269</v>
      </c>
      <c r="L37" s="14" t="n">
        <v>8175</v>
      </c>
    </row>
    <row r="38">
      <c r="F38" t="inlineStr">
        <is>
          <t>Palm Tree Town</t>
        </is>
      </c>
      <c r="G38" s="14" t="n">
        <v>17392</v>
      </c>
      <c r="H38" s="14" t="n">
        <v>8728</v>
      </c>
      <c r="I38" s="14" t="n">
        <v>8525</v>
      </c>
      <c r="J38" t="n">
        <v>203</v>
      </c>
      <c r="K38" t="n">
        <v>0</v>
      </c>
      <c r="L38" s="14" t="n">
        <v>8664</v>
      </c>
    </row>
    <row r="39">
      <c r="F39" t="inlineStr">
        <is>
          <t>Kiryas Joel Village</t>
        </is>
      </c>
      <c r="G39" s="14" t="n">
        <v>17392</v>
      </c>
      <c r="H39" s="14" t="n">
        <v>8728</v>
      </c>
      <c r="I39" s="14" t="n">
        <v>8525</v>
      </c>
      <c r="J39" t="n">
        <v>203</v>
      </c>
      <c r="K39" t="n">
        <v>0</v>
      </c>
      <c r="L39" s="14" t="n">
        <v>8664</v>
      </c>
    </row>
    <row r="40">
      <c r="F40" t="inlineStr">
        <is>
          <t>Port Jervis City</t>
        </is>
      </c>
      <c r="G40" s="14" t="n">
        <v>7196</v>
      </c>
      <c r="H40" s="14" t="n">
        <v>3968</v>
      </c>
      <c r="I40" s="14" t="n">
        <v>3697</v>
      </c>
      <c r="J40" t="n">
        <v>271</v>
      </c>
      <c r="K40" t="n">
        <v>0</v>
      </c>
      <c r="L40" s="14" t="n">
        <v>3228</v>
      </c>
    </row>
    <row r="41">
      <c r="F41" t="inlineStr">
        <is>
          <t>Tuxedo Town</t>
        </is>
      </c>
      <c r="G41" s="14" t="n">
        <v>3132</v>
      </c>
      <c r="H41" s="14" t="n">
        <v>1932</v>
      </c>
      <c r="I41" s="14" t="n">
        <v>1883</v>
      </c>
      <c r="J41" t="n">
        <v>29</v>
      </c>
      <c r="K41" t="n">
        <v>20</v>
      </c>
      <c r="L41" s="14" t="n">
        <v>1200</v>
      </c>
    </row>
    <row r="42">
      <c r="F42" t="inlineStr">
        <is>
          <t>Tuxedo Village</t>
        </is>
      </c>
      <c r="G42" s="14" t="n">
        <v>2529</v>
      </c>
      <c r="H42" s="14" t="n">
        <v>1539</v>
      </c>
      <c r="I42" s="14" t="n">
        <v>1494</v>
      </c>
      <c r="J42" t="n">
        <v>25</v>
      </c>
      <c r="K42" t="n">
        <v>20</v>
      </c>
      <c r="L42" t="n">
        <v>990</v>
      </c>
    </row>
    <row r="43">
      <c r="F43" t="inlineStr">
        <is>
          <t>Tuxedo Park Village</t>
        </is>
      </c>
      <c r="G43" t="n">
        <v>603</v>
      </c>
      <c r="H43" t="n">
        <v>393</v>
      </c>
      <c r="I43" t="n">
        <v>389</v>
      </c>
      <c r="J43" t="n">
        <v>4</v>
      </c>
      <c r="K43" t="n">
        <v>0</v>
      </c>
      <c r="L43" t="n">
        <v>210</v>
      </c>
    </row>
    <row r="44">
      <c r="F44" t="inlineStr">
        <is>
          <t>Wallkill Town</t>
        </is>
      </c>
      <c r="G44" s="14" t="n">
        <v>25386</v>
      </c>
      <c r="H44" s="14" t="n">
        <v>17029</v>
      </c>
      <c r="I44" s="14" t="n">
        <v>15847</v>
      </c>
      <c r="J44" s="14" t="n">
        <v>1153</v>
      </c>
      <c r="K44" t="n">
        <v>29</v>
      </c>
      <c r="L44" s="14" t="n">
        <v>8357</v>
      </c>
    </row>
    <row r="45">
      <c r="F45" t="inlineStr">
        <is>
          <t>Warwick Town</t>
        </is>
      </c>
      <c r="G45" s="14" t="n">
        <v>26730</v>
      </c>
      <c r="H45" s="14" t="n">
        <v>16925</v>
      </c>
      <c r="I45" s="14" t="n">
        <v>16321</v>
      </c>
      <c r="J45" t="n">
        <v>578</v>
      </c>
      <c r="K45" t="n">
        <v>26</v>
      </c>
      <c r="L45" s="14" t="n">
        <v>9805</v>
      </c>
    </row>
    <row r="46">
      <c r="F46" t="inlineStr">
        <is>
          <t>Florida Village</t>
        </is>
      </c>
      <c r="G46" s="14" t="n">
        <v>2419</v>
      </c>
      <c r="H46" s="14" t="n">
        <v>1609</v>
      </c>
      <c r="I46" s="14" t="n">
        <v>1510</v>
      </c>
      <c r="J46" t="n">
        <v>73</v>
      </c>
      <c r="K46" t="n">
        <v>26</v>
      </c>
      <c r="L46" t="n">
        <v>810</v>
      </c>
    </row>
    <row r="47">
      <c r="F47" t="inlineStr">
        <is>
          <t>Greenwood Lake Village</t>
        </is>
      </c>
      <c r="G47" s="14" t="n">
        <v>2582</v>
      </c>
      <c r="H47" s="14" t="n">
        <v>1486</v>
      </c>
      <c r="I47" s="14" t="n">
        <v>1398</v>
      </c>
      <c r="J47" t="n">
        <v>88</v>
      </c>
      <c r="K47" t="n">
        <v>0</v>
      </c>
      <c r="L47" s="14" t="n">
        <v>1096</v>
      </c>
    </row>
    <row r="48">
      <c r="F48" t="inlineStr">
        <is>
          <t>Warwick Village</t>
        </is>
      </c>
      <c r="G48" s="14" t="n">
        <v>5488</v>
      </c>
      <c r="H48" s="14" t="n">
        <v>3284</v>
      </c>
      <c r="I48" s="14" t="n">
        <v>3121</v>
      </c>
      <c r="J48" t="n">
        <v>163</v>
      </c>
      <c r="K48" t="n">
        <v>0</v>
      </c>
      <c r="L48" s="14" t="n">
        <v>2204</v>
      </c>
    </row>
    <row r="49">
      <c r="F49" t="inlineStr">
        <is>
          <t>Wawayanda Town</t>
        </is>
      </c>
      <c r="G49" s="14" t="n">
        <v>5936</v>
      </c>
      <c r="H49" s="14" t="n">
        <v>4139</v>
      </c>
      <c r="I49" s="14" t="n">
        <v>3790</v>
      </c>
      <c r="J49" t="n">
        <v>349</v>
      </c>
      <c r="K49" t="n">
        <v>0</v>
      </c>
      <c r="L49" s="14" t="n">
        <v>1797</v>
      </c>
    </row>
    <row r="50">
      <c r="F50" t="inlineStr">
        <is>
          <t>Woodbury Town</t>
        </is>
      </c>
      <c r="G50" s="14" t="n">
        <v>9476</v>
      </c>
      <c r="H50" s="14" t="n">
        <v>6315</v>
      </c>
      <c r="I50" s="14" t="n">
        <v>5754</v>
      </c>
      <c r="J50" t="n">
        <v>539</v>
      </c>
      <c r="K50" t="n">
        <v>22</v>
      </c>
      <c r="L50" s="14" t="n">
        <v>3161</v>
      </c>
    </row>
    <row r="51">
      <c r="F51" t="inlineStr">
        <is>
          <t>Harriman Village (portion)</t>
        </is>
      </c>
      <c r="G51" t="n">
        <v>605</v>
      </c>
      <c r="H51" t="n">
        <v>489</v>
      </c>
      <c r="I51" t="n">
        <v>466</v>
      </c>
      <c r="J51" t="n">
        <v>23</v>
      </c>
      <c r="K51" t="n">
        <v>0</v>
      </c>
      <c r="L51" t="n">
        <v>116</v>
      </c>
    </row>
    <row r="52">
      <c r="F52" t="inlineStr">
        <is>
          <t>Woodbury Village</t>
        </is>
      </c>
      <c r="G52" s="14" t="n">
        <v>8871</v>
      </c>
      <c r="H52" s="14" t="n">
        <v>5826</v>
      </c>
      <c r="I52" s="14" t="n">
        <v>5288</v>
      </c>
      <c r="J52" t="n">
        <v>516</v>
      </c>
      <c r="K52" t="n">
        <v>22</v>
      </c>
      <c r="L52" s="14"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Adolescents 13 Years Old with a Complete HPV Vaccine Series, 2019–2024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8.4</v>
      </c>
      <c r="H6" s="69" t="n">
        <v>4.7</v>
      </c>
      <c r="I6" s="69" t="n">
        <v>3.2</v>
      </c>
      <c r="J6" s="69" t="n">
        <v>3.4</v>
      </c>
      <c r="K6" s="69" t="n"/>
      <c r="L6" s="69" t="n"/>
      <c r="M6" s="69" t="n"/>
      <c r="N6" s="69" t="n"/>
      <c r="O6" s="69" t="n"/>
    </row>
    <row r="7" ht="15.75" customHeight="1" s="91">
      <c r="F7" t="inlineStr">
        <is>
          <t>NYS excl NYC</t>
        </is>
      </c>
      <c r="G7" s="69" t="n">
        <v>8.300000000000001</v>
      </c>
      <c r="H7" s="69" t="n">
        <v>4.8</v>
      </c>
      <c r="I7" s="69" t="n">
        <v>3.2</v>
      </c>
      <c r="J7" s="69" t="n">
        <v>3.5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30.28515625" bestFit="1" customWidth="1" style="91" min="6" max="6"/>
    <col width="37.42578125" customWidth="1" style="91" min="7" max="7"/>
    <col width="51.42578125" bestFit="1" customWidth="1" style="91" min="8" max="8"/>
    <col width="45.28515625" bestFit="1" customWidth="1" style="91" min="9" max="9"/>
    <col width="45.85546875" bestFit="1" customWidth="1" style="91" min="10" max="10"/>
    <col width="25.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Demographic Profile and Graduation Rates by Public School District,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71" t="inlineStr">
        <is>
          <t>Table Rules</t>
        </is>
      </c>
      <c r="E5" s="70" t="inlineStr">
        <is>
          <t xml:space="preserve">Enter Data </t>
        </is>
      </c>
      <c r="F5" s="69" t="inlineStr">
        <is>
          <t>School District</t>
        </is>
      </c>
      <c r="G5" s="69" t="inlineStr">
        <is>
          <t>Racial and Ethnic Origins of Students Enrolled</t>
        </is>
      </c>
      <c r="M5" s="69" t="inlineStr">
        <is>
          <t>Drop-Out and Four-Year Graduation Rate</t>
        </is>
      </c>
    </row>
    <row r="6">
      <c r="A6" t="inlineStr">
        <is>
          <t>Multilevel Headers</t>
        </is>
      </c>
      <c r="B6" t="b">
        <v>1</v>
      </c>
      <c r="G6" s="69" t="inlineStr">
        <is>
          <t>American Indian or Alaska Native # (%)</t>
        </is>
      </c>
      <c r="H6" s="69" t="inlineStr">
        <is>
          <t>Asian or Native Hawaiian/Other Pacific Islander # (%)</t>
        </is>
      </c>
      <c r="I6" s="69" t="inlineStr">
        <is>
          <t>Black or African American # (%)</t>
        </is>
      </c>
      <c r="J6" s="69" t="inlineStr">
        <is>
          <t>Hispanic or Latino # (%)</t>
        </is>
      </c>
      <c r="K6" s="69" t="inlineStr">
        <is>
          <t>White # (%)</t>
        </is>
      </c>
      <c r="L6" s="69" t="inlineStr">
        <is>
          <t>Multiracial # (%)</t>
        </is>
      </c>
      <c r="M6" s="69" t="inlineStr">
        <is>
          <t>Drop-Out Rate # (%)</t>
        </is>
      </c>
      <c r="N6" s="69" t="inlineStr">
        <is>
          <t>Four-Year Graduation Rate (%)</t>
        </is>
      </c>
      <c r="O6" s="20" t="n"/>
      <c r="P6" s="20" t="n"/>
      <c r="Q6" s="20" t="n"/>
      <c r="R6" s="20" t="n"/>
      <c r="S6" s="20" t="n"/>
      <c r="T6" s="20" t="n"/>
      <c r="U6" s="20" t="n"/>
      <c r="V6" s="20" t="n"/>
      <c r="W6" s="20" t="n"/>
    </row>
    <row r="7" ht="15.75" customHeight="1" s="91">
      <c r="F7" t="inlineStr">
        <is>
          <t>Chester Union Free</t>
        </is>
      </c>
      <c r="G7" s="69" t="inlineStr">
        <is>
          <t>1 (0)</t>
        </is>
      </c>
      <c r="H7" s="69" t="inlineStr">
        <is>
          <t>32 (4)</t>
        </is>
      </c>
      <c r="I7" s="69" t="inlineStr">
        <is>
          <t>118 (13)</t>
        </is>
      </c>
      <c r="J7" s="69" t="inlineStr">
        <is>
          <t>367 (41)</t>
        </is>
      </c>
      <c r="K7" s="69" t="inlineStr">
        <is>
          <t>362 (40)</t>
        </is>
      </c>
      <c r="L7" s="69" t="inlineStr">
        <is>
          <t>25 (3)</t>
        </is>
      </c>
      <c r="M7" s="69" t="inlineStr">
        <is>
          <t>2 (2)</t>
        </is>
      </c>
      <c r="N7" s="69" t="inlineStr">
        <is>
          <t>94 (91)</t>
        </is>
      </c>
      <c r="O7" s="69" t="n"/>
    </row>
    <row r="8">
      <c r="F8" t="inlineStr">
        <is>
          <t>Cornwall Central</t>
        </is>
      </c>
      <c r="G8" s="69" t="inlineStr">
        <is>
          <t>3 (0)</t>
        </is>
      </c>
      <c r="H8" s="69" t="inlineStr">
        <is>
          <t>187 (6)</t>
        </is>
      </c>
      <c r="I8" s="69" t="inlineStr">
        <is>
          <t>197 (7)</t>
        </is>
      </c>
      <c r="J8" s="69" t="inlineStr">
        <is>
          <t>733 (25)</t>
        </is>
      </c>
      <c r="K8" s="69" t="inlineStr">
        <is>
          <t>1,730 (58)</t>
        </is>
      </c>
      <c r="L8" s="69" t="inlineStr">
        <is>
          <t>139 (5)</t>
        </is>
      </c>
      <c r="M8" s="69" t="inlineStr">
        <is>
          <t>3 (1)</t>
        </is>
      </c>
      <c r="N8" s="69" t="inlineStr">
        <is>
          <t>263 (97)</t>
        </is>
      </c>
      <c r="O8" s="69" t="n"/>
    </row>
    <row r="9">
      <c r="A9" s="71" t="inlineStr">
        <is>
          <t>Figure Rules</t>
        </is>
      </c>
      <c r="F9" t="inlineStr">
        <is>
          <t>Florida Union Free</t>
        </is>
      </c>
      <c r="G9" s="69" t="inlineStr">
        <is>
          <t>3 (0)</t>
        </is>
      </c>
      <c r="H9" s="69" t="inlineStr">
        <is>
          <t>17 (2)</t>
        </is>
      </c>
      <c r="I9" s="69" t="inlineStr">
        <is>
          <t>50 (7)</t>
        </is>
      </c>
      <c r="J9" s="69" t="inlineStr">
        <is>
          <t>201 (29)</t>
        </is>
      </c>
      <c r="K9" s="69" t="inlineStr">
        <is>
          <t>408 (58)</t>
        </is>
      </c>
      <c r="L9" s="69" t="inlineStr">
        <is>
          <t>22 (3)</t>
        </is>
      </c>
      <c r="M9" s="69" t="inlineStr">
        <is>
          <t>1 (2)</t>
        </is>
      </c>
      <c r="N9" s="69" t="inlineStr">
        <is>
          <t>46 (92)</t>
        </is>
      </c>
      <c r="O9" s="69" t="n"/>
    </row>
    <row r="10">
      <c r="A10" t="inlineStr">
        <is>
          <t>Figure Type</t>
        </is>
      </c>
      <c r="F10" t="inlineStr">
        <is>
          <t>Goshen Central</t>
        </is>
      </c>
      <c r="G10" s="69" t="inlineStr">
        <is>
          <t>3 (0)</t>
        </is>
      </c>
      <c r="H10" s="69" t="inlineStr">
        <is>
          <t>119 (4)</t>
        </is>
      </c>
      <c r="I10" s="69" t="inlineStr">
        <is>
          <t>162 (6)</t>
        </is>
      </c>
      <c r="J10" s="69" t="inlineStr">
        <is>
          <t>607 (22)</t>
        </is>
      </c>
      <c r="K10" s="69" t="inlineStr">
        <is>
          <t>1,812 (66)</t>
        </is>
      </c>
      <c r="L10" s="69" t="inlineStr">
        <is>
          <t>60 (2)</t>
        </is>
      </c>
      <c r="M10" s="69" t="inlineStr">
        <is>
          <t>6 (2)</t>
        </is>
      </c>
      <c r="N10" s="69" t="inlineStr">
        <is>
          <t>232 (94)</t>
        </is>
      </c>
    </row>
    <row r="11">
      <c r="A11" t="inlineStr">
        <is>
          <t>X Column</t>
        </is>
      </c>
      <c r="F11" t="inlineStr">
        <is>
          <t>Greenwood Lake Union Free*</t>
        </is>
      </c>
      <c r="G11" s="69" t="inlineStr">
        <is>
          <t>2 (0)</t>
        </is>
      </c>
      <c r="H11" s="69" t="inlineStr">
        <is>
          <t>10 (2)</t>
        </is>
      </c>
      <c r="I11" s="69" t="inlineStr">
        <is>
          <t>11 (3)</t>
        </is>
      </c>
      <c r="J11" s="68" t="inlineStr">
        <is>
          <t>110 (26)</t>
        </is>
      </c>
      <c r="K11" s="68" t="inlineStr">
        <is>
          <t>280 (66)</t>
        </is>
      </c>
      <c r="L11" s="68" t="inlineStr">
        <is>
          <t>13 (3)</t>
        </is>
      </c>
      <c r="M11" s="68" t="inlineStr">
        <is>
          <t>N/A</t>
        </is>
      </c>
      <c r="N11" s="68" t="inlineStr">
        <is>
          <t>N/A</t>
        </is>
      </c>
    </row>
    <row r="12">
      <c r="A12" t="inlineStr">
        <is>
          <t>Y Column</t>
        </is>
      </c>
      <c r="F12" s="21" t="inlineStr">
        <is>
          <t>Highland Falls Central</t>
        </is>
      </c>
      <c r="G12" s="68" t="inlineStr">
        <is>
          <t>3 (0)</t>
        </is>
      </c>
      <c r="H12" s="68" t="inlineStr">
        <is>
          <t>44 (3)</t>
        </is>
      </c>
      <c r="I12" s="69" t="inlineStr">
        <is>
          <t>119 (8)</t>
        </is>
      </c>
      <c r="J12" s="69" t="inlineStr">
        <is>
          <t>240 (16)</t>
        </is>
      </c>
      <c r="K12" s="69" t="inlineStr">
        <is>
          <t>1,034 (69)</t>
        </is>
      </c>
      <c r="L12" s="69" t="inlineStr">
        <is>
          <t>68 (5)</t>
        </is>
      </c>
      <c r="M12" s="69" t="inlineStr">
        <is>
          <t>0 (0)</t>
        </is>
      </c>
      <c r="N12" s="69" t="inlineStr">
        <is>
          <t>92 (88)</t>
        </is>
      </c>
    </row>
    <row r="13">
      <c r="A13" t="inlineStr">
        <is>
          <t>X Axis Title</t>
        </is>
      </c>
      <c r="F13" t="inlineStr">
        <is>
          <t>Kiryas Joel Village Union Free*</t>
        </is>
      </c>
      <c r="G13" s="69" t="inlineStr">
        <is>
          <t>N/A</t>
        </is>
      </c>
      <c r="H13" s="69" t="inlineStr">
        <is>
          <t>N/A</t>
        </is>
      </c>
      <c r="I13" s="69" t="inlineStr">
        <is>
          <t>N/A</t>
        </is>
      </c>
      <c r="J13" s="69" t="inlineStr">
        <is>
          <t>N/A</t>
        </is>
      </c>
      <c r="K13" s="69" t="inlineStr">
        <is>
          <t>176 (100)</t>
        </is>
      </c>
      <c r="L13" s="69" t="inlineStr">
        <is>
          <t>N/A</t>
        </is>
      </c>
      <c r="M13" s="69" t="inlineStr">
        <is>
          <t>N/A</t>
        </is>
      </c>
      <c r="N13" s="69" t="inlineStr">
        <is>
          <t>N/A</t>
        </is>
      </c>
    </row>
    <row r="14">
      <c r="A14" t="inlineStr">
        <is>
          <t>Y Axis Title</t>
        </is>
      </c>
      <c r="F14" t="inlineStr">
        <is>
          <t>Middletown Enlarged City</t>
        </is>
      </c>
      <c r="G14" s="69" t="inlineStr">
        <is>
          <t>13 (0)</t>
        </is>
      </c>
      <c r="H14" s="69" t="inlineStr">
        <is>
          <t>191 (3)</t>
        </is>
      </c>
      <c r="I14" s="69" t="inlineStr">
        <is>
          <t>1,537 (21)</t>
        </is>
      </c>
      <c r="J14" s="69" t="inlineStr">
        <is>
          <t>4,520 (63)</t>
        </is>
      </c>
      <c r="K14" s="69" t="inlineStr">
        <is>
          <t>687 (10)</t>
        </is>
      </c>
      <c r="L14" s="69" t="inlineStr">
        <is>
          <t>268 (4)</t>
        </is>
      </c>
      <c r="M14" s="69" t="inlineStr">
        <is>
          <t>32 (5)</t>
        </is>
      </c>
      <c r="N14" s="69" t="inlineStr">
        <is>
          <t>615 (91)</t>
        </is>
      </c>
    </row>
    <row r="15">
      <c r="A15" t="inlineStr">
        <is>
          <t>Start at Zero</t>
        </is>
      </c>
      <c r="F15" t="inlineStr">
        <is>
          <t>Minisink Valley Central</t>
        </is>
      </c>
      <c r="G15" s="69" t="inlineStr">
        <is>
          <t>5 (0)</t>
        </is>
      </c>
      <c r="H15" s="69" t="inlineStr">
        <is>
          <t>71 (2)</t>
        </is>
      </c>
      <c r="I15" s="69" t="inlineStr">
        <is>
          <t>226 (7)</t>
        </is>
      </c>
      <c r="J15" s="69" t="inlineStr">
        <is>
          <t>804 (23)</t>
        </is>
      </c>
      <c r="K15" s="69" t="inlineStr">
        <is>
          <t>2,311 (67)</t>
        </is>
      </c>
      <c r="L15" s="69" t="inlineStr">
        <is>
          <t>34 (1)</t>
        </is>
      </c>
      <c r="M15" s="69" t="inlineStr">
        <is>
          <t>9 (3)</t>
        </is>
      </c>
      <c r="N15" s="69" t="inlineStr">
        <is>
          <t>261 (92)</t>
        </is>
      </c>
    </row>
    <row r="16">
      <c r="A16" t="inlineStr">
        <is>
          <t>Pivot For Chart</t>
        </is>
      </c>
      <c r="F16" t="inlineStr">
        <is>
          <t>Monroe-Woodbury Central</t>
        </is>
      </c>
      <c r="G16" s="69" t="inlineStr">
        <is>
          <t>11 (0)</t>
        </is>
      </c>
      <c r="H16" s="69" t="inlineStr">
        <is>
          <t>411 (7)</t>
        </is>
      </c>
      <c r="I16" s="69" t="inlineStr">
        <is>
          <t>725 (11)</t>
        </is>
      </c>
      <c r="J16" s="69" t="inlineStr">
        <is>
          <t>2,911 (46)</t>
        </is>
      </c>
      <c r="K16" s="69" t="inlineStr">
        <is>
          <t>2,051 (32)</t>
        </is>
      </c>
      <c r="L16" s="69" t="inlineStr">
        <is>
          <t>211 (3)</t>
        </is>
      </c>
      <c r="M16" s="69" t="inlineStr">
        <is>
          <t>18 (3)</t>
        </is>
      </c>
      <c r="N16" s="69" t="inlineStr">
        <is>
          <t>555 (90)</t>
        </is>
      </c>
    </row>
    <row r="17">
      <c r="F17" t="inlineStr">
        <is>
          <t>Newburgh Enlarged City</t>
        </is>
      </c>
      <c r="G17" s="69" t="inlineStr">
        <is>
          <t>31 (0)</t>
        </is>
      </c>
      <c r="H17" s="69" t="inlineStr">
        <is>
          <t>216 (2)</t>
        </is>
      </c>
      <c r="I17" s="69" t="inlineStr">
        <is>
          <t>2,019 (19)</t>
        </is>
      </c>
      <c r="J17" s="69" t="inlineStr">
        <is>
          <t>6,410 (61)</t>
        </is>
      </c>
      <c r="K17" s="69" t="inlineStr">
        <is>
          <t>1,364 (13)</t>
        </is>
      </c>
      <c r="L17" s="69" t="inlineStr">
        <is>
          <t>476 (5)</t>
        </is>
      </c>
      <c r="M17" s="69" t="inlineStr">
        <is>
          <t>140 (15)</t>
        </is>
      </c>
      <c r="N17" s="69" t="inlineStr">
        <is>
          <t>665 (71)</t>
        </is>
      </c>
    </row>
    <row r="18">
      <c r="A18" s="71" t="inlineStr">
        <is>
          <t>Source Specifications</t>
        </is>
      </c>
      <c r="F18" t="inlineStr">
        <is>
          <t>Pine Bush Central</t>
        </is>
      </c>
      <c r="G18" s="69" t="inlineStr">
        <is>
          <t>12 (0)</t>
        </is>
      </c>
      <c r="H18" s="69" t="inlineStr">
        <is>
          <t>127 (3)</t>
        </is>
      </c>
      <c r="I18" s="69" t="inlineStr">
        <is>
          <t>549 (12)</t>
        </is>
      </c>
      <c r="J18" s="69" t="inlineStr">
        <is>
          <t>1,213 (27)</t>
        </is>
      </c>
      <c r="K18" s="69" t="inlineStr">
        <is>
          <t>2,489 (55)</t>
        </is>
      </c>
      <c r="L18" s="69" t="inlineStr">
        <is>
          <t>161 (4)</t>
        </is>
      </c>
      <c r="M18" s="69" t="inlineStr">
        <is>
          <t>17 (4)</t>
        </is>
      </c>
      <c r="N18" s="69"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69" t="inlineStr">
        <is>
          <t>9 (0)</t>
        </is>
      </c>
      <c r="H19" s="69" t="inlineStr">
        <is>
          <t>36 (2)</t>
        </is>
      </c>
      <c r="I19" s="69" t="inlineStr">
        <is>
          <t>191 (8)</t>
        </is>
      </c>
      <c r="J19" s="69" t="inlineStr">
        <is>
          <t>520 (23)</t>
        </is>
      </c>
      <c r="K19" s="69" t="inlineStr">
        <is>
          <t>1,359 (59)</t>
        </is>
      </c>
      <c r="L19" s="69" t="inlineStr">
        <is>
          <t>185 (8)</t>
        </is>
      </c>
      <c r="M19" s="69" t="inlineStr">
        <is>
          <t>25 (13)</t>
        </is>
      </c>
      <c r="N19" s="69" t="inlineStr">
        <is>
          <t>157 (80)</t>
        </is>
      </c>
    </row>
    <row r="20">
      <c r="F20" s="47" t="inlineStr">
        <is>
          <t>Tuxedo Union Free*</t>
        </is>
      </c>
      <c r="G20" s="69" t="inlineStr">
        <is>
          <t>N/A</t>
        </is>
      </c>
      <c r="H20" s="69" t="inlineStr">
        <is>
          <t>6 (3)</t>
        </is>
      </c>
      <c r="I20" s="69" t="inlineStr">
        <is>
          <t>26 (14)</t>
        </is>
      </c>
      <c r="J20" s="69" t="inlineStr">
        <is>
          <t>59 (31)</t>
        </is>
      </c>
      <c r="K20" s="69" t="inlineStr">
        <is>
          <t>101 (53)</t>
        </is>
      </c>
      <c r="L20" s="69" t="inlineStr">
        <is>
          <t>N/A</t>
        </is>
      </c>
      <c r="M20" s="69" t="inlineStr">
        <is>
          <t>N/A</t>
        </is>
      </c>
      <c r="N20" s="69" t="inlineStr">
        <is>
          <t>N/A</t>
        </is>
      </c>
    </row>
    <row r="21">
      <c r="A21" s="69" t="inlineStr">
        <is>
          <t>Note Specfications</t>
        </is>
      </c>
      <c r="F21" s="47" t="inlineStr">
        <is>
          <t>Valley Central</t>
        </is>
      </c>
      <c r="G21" s="69" t="inlineStr">
        <is>
          <t>6 (0)</t>
        </is>
      </c>
      <c r="H21" s="69" t="inlineStr">
        <is>
          <t>61 (1)</t>
        </is>
      </c>
      <c r="I21" s="69" t="inlineStr">
        <is>
          <t>316 (8)</t>
        </is>
      </c>
      <c r="J21" s="69" t="inlineStr">
        <is>
          <t>1,352 (33)</t>
        </is>
      </c>
      <c r="K21" s="69" t="inlineStr">
        <is>
          <t>2,155 (52)</t>
        </is>
      </c>
      <c r="L21" s="69" t="inlineStr">
        <is>
          <t>234 (6)</t>
        </is>
      </c>
      <c r="M21" s="69" t="inlineStr">
        <is>
          <t>26 (7)</t>
        </is>
      </c>
      <c r="N21" s="69"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47" t="inlineStr">
        <is>
          <t>Warwick Valley Central</t>
        </is>
      </c>
      <c r="G22" s="69" t="inlineStr">
        <is>
          <t>4 (0)</t>
        </is>
      </c>
      <c r="H22" s="69" t="inlineStr">
        <is>
          <t>90 (2)</t>
        </is>
      </c>
      <c r="I22" s="69" t="inlineStr">
        <is>
          <t>162 (4)</t>
        </is>
      </c>
      <c r="J22" s="69" t="inlineStr">
        <is>
          <t>664 (18)</t>
        </is>
      </c>
      <c r="K22" s="69" t="inlineStr">
        <is>
          <t>2,608 (71)</t>
        </is>
      </c>
      <c r="L22" s="69" t="inlineStr">
        <is>
          <t>161 (4)</t>
        </is>
      </c>
      <c r="M22" s="69" t="inlineStr">
        <is>
          <t>4 (1)</t>
        </is>
      </c>
      <c r="N22" s="69" t="inlineStr">
        <is>
          <t>331 (95)</t>
        </is>
      </c>
    </row>
    <row r="23">
      <c r="F23" s="47" t="inlineStr">
        <is>
          <t>Washingtonville Central</t>
        </is>
      </c>
      <c r="G23" s="69" t="inlineStr">
        <is>
          <t>8 (0)</t>
        </is>
      </c>
      <c r="H23" s="69" t="inlineStr">
        <is>
          <t>72 (2)</t>
        </is>
      </c>
      <c r="I23" s="69" t="inlineStr">
        <is>
          <t>415 (11)</t>
        </is>
      </c>
      <c r="J23" s="69" t="inlineStr">
        <is>
          <t>1,278 (34)</t>
        </is>
      </c>
      <c r="K23" s="69" t="inlineStr">
        <is>
          <t>1,912 (50)</t>
        </is>
      </c>
      <c r="L23" s="69" t="inlineStr">
        <is>
          <t>121 (3)</t>
        </is>
      </c>
      <c r="M23" s="69" t="inlineStr">
        <is>
          <t>9 (2)</t>
        </is>
      </c>
      <c r="N23" s="69" t="inlineStr">
        <is>
          <t>358 (95)</t>
        </is>
      </c>
    </row>
    <row r="24">
      <c r="F24" t="inlineStr">
        <is>
          <t>Washingtonville Central</t>
        </is>
      </c>
      <c r="G24" s="69" t="inlineStr">
        <is>
          <t>8 (0)</t>
        </is>
      </c>
      <c r="H24" s="69" t="inlineStr">
        <is>
          <t>72 (2)</t>
        </is>
      </c>
      <c r="I24" s="69" t="inlineStr">
        <is>
          <t>415 (11)</t>
        </is>
      </c>
      <c r="J24" s="69" t="inlineStr">
        <is>
          <t>1,278 (34)</t>
        </is>
      </c>
      <c r="K24" s="69" t="inlineStr">
        <is>
          <t>1,912 (50)</t>
        </is>
      </c>
      <c r="L24" s="69" t="inlineStr">
        <is>
          <t>121 (3)</t>
        </is>
      </c>
      <c r="M24" s="69" t="inlineStr">
        <is>
          <t>9 (2)</t>
        </is>
      </c>
      <c r="N24" s="69" t="inlineStr">
        <is>
          <t>358 (95)</t>
        </is>
      </c>
    </row>
    <row r="25">
      <c r="F25" s="69" t="n"/>
      <c r="G25" s="69" t="n"/>
      <c r="H25" s="69" t="n"/>
      <c r="I25" s="69" t="n"/>
      <c r="J25" s="69" t="n"/>
      <c r="K25" s="69" t="inlineStr">
        <is>
          <t xml:space="preserve"> </t>
        </is>
      </c>
      <c r="L25" s="69" t="n"/>
      <c r="M25" s="69" t="n"/>
      <c r="N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10"/>
    <col width="20.140625"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Educational Attainment of Persons 25 years and Over,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71" t="inlineStr">
        <is>
          <t>Table Rules</t>
        </is>
      </c>
      <c r="E5" s="70" t="inlineStr">
        <is>
          <t xml:space="preserve">Enter Data </t>
        </is>
      </c>
      <c r="F5" s="69" t="inlineStr">
        <is>
          <t>Geographic Area</t>
        </is>
      </c>
      <c r="G5" s="69" t="inlineStr">
        <is>
          <t>Total Population Age 25 and Over</t>
        </is>
      </c>
      <c r="H5" s="69" t="inlineStr">
        <is>
          <t>Highest Level of Schooling Achieved</t>
        </is>
      </c>
    </row>
    <row r="6" ht="15" customHeight="1" s="91">
      <c r="A6" t="inlineStr">
        <is>
          <t>Multilevel Headers</t>
        </is>
      </c>
      <c r="B6" t="b">
        <v>1</v>
      </c>
      <c r="H6" s="69" t="inlineStr">
        <is>
          <t>&lt; 9th Grade</t>
        </is>
      </c>
      <c r="J6" s="69" t="inlineStr">
        <is>
          <t>9-12th Grade, No Diploma</t>
        </is>
      </c>
      <c r="L6" s="69" t="inlineStr">
        <is>
          <t>High School Graduate</t>
        </is>
      </c>
      <c r="N6" s="69" t="inlineStr">
        <is>
          <t>Some College, No Degree</t>
        </is>
      </c>
      <c r="P6" s="69" t="inlineStr">
        <is>
          <t>Associate's Degree</t>
        </is>
      </c>
      <c r="R6" s="69" t="inlineStr">
        <is>
          <t>Bachelor's Degree</t>
        </is>
      </c>
      <c r="T6" s="69" t="inlineStr">
        <is>
          <t>Graduate/Professional Degree</t>
        </is>
      </c>
    </row>
    <row r="7" ht="15.75" customHeight="1" s="91">
      <c r="H7" s="69" t="inlineStr">
        <is>
          <t>#</t>
        </is>
      </c>
      <c r="I7" s="69" t="inlineStr">
        <is>
          <t>%</t>
        </is>
      </c>
      <c r="J7" s="69" t="inlineStr">
        <is>
          <t>#</t>
        </is>
      </c>
      <c r="K7" s="69" t="inlineStr">
        <is>
          <t>%</t>
        </is>
      </c>
      <c r="L7" s="69" t="inlineStr">
        <is>
          <t>#</t>
        </is>
      </c>
      <c r="M7" s="69" t="inlineStr">
        <is>
          <t>%</t>
        </is>
      </c>
      <c r="N7" s="69" t="inlineStr">
        <is>
          <t>#</t>
        </is>
      </c>
      <c r="O7" s="69" t="inlineStr">
        <is>
          <t>%</t>
        </is>
      </c>
      <c r="P7" s="69" t="inlineStr">
        <is>
          <t>#</t>
        </is>
      </c>
      <c r="Q7" s="69" t="inlineStr">
        <is>
          <t>%</t>
        </is>
      </c>
      <c r="R7" s="69" t="inlineStr">
        <is>
          <t>#</t>
        </is>
      </c>
      <c r="S7" s="69" t="inlineStr">
        <is>
          <t>%</t>
        </is>
      </c>
      <c r="T7" s="69" t="inlineStr">
        <is>
          <t>#</t>
        </is>
      </c>
      <c r="U7" s="69" t="inlineStr">
        <is>
          <t>%</t>
        </is>
      </c>
    </row>
    <row r="8">
      <c r="F8" t="inlineStr">
        <is>
          <t>Orange County</t>
        </is>
      </c>
      <c r="G8" s="74" t="n">
        <v>258632</v>
      </c>
      <c r="H8" s="74" t="n">
        <v>10091</v>
      </c>
      <c r="I8" s="69" t="n">
        <v>390</v>
      </c>
      <c r="J8" s="74" t="n">
        <v>16609</v>
      </c>
      <c r="K8" s="69" t="n">
        <v>640</v>
      </c>
      <c r="L8" s="74" t="n">
        <v>72466</v>
      </c>
      <c r="M8" s="69" t="n">
        <v>2800</v>
      </c>
      <c r="N8" s="74" t="n">
        <v>49355</v>
      </c>
      <c r="O8" s="69" t="n">
        <v>1910</v>
      </c>
      <c r="P8" s="14" t="n">
        <v>26722</v>
      </c>
      <c r="Q8" t="n">
        <v>1030</v>
      </c>
      <c r="R8" s="14" t="n">
        <v>46977</v>
      </c>
      <c r="S8" t="n">
        <v>1820</v>
      </c>
      <c r="T8" s="14" t="n">
        <v>36412</v>
      </c>
      <c r="U8" t="n">
        <v>14.1</v>
      </c>
    </row>
    <row r="9">
      <c r="A9" s="71" t="inlineStr">
        <is>
          <t>Figure Rules</t>
        </is>
      </c>
      <c r="F9" t="inlineStr">
        <is>
          <t>Blooming Grove Town</t>
        </is>
      </c>
      <c r="G9" s="74" t="n">
        <v>11597</v>
      </c>
      <c r="H9" s="69" t="n">
        <v>260</v>
      </c>
      <c r="I9" s="69" t="n">
        <v>2.2</v>
      </c>
      <c r="J9" s="69" t="n">
        <v>591</v>
      </c>
      <c r="K9" s="69" t="n">
        <v>5.1</v>
      </c>
      <c r="L9" s="74" t="n">
        <v>3025</v>
      </c>
      <c r="M9" s="69" t="n">
        <v>26.1</v>
      </c>
      <c r="N9" s="74" t="n">
        <v>2303</v>
      </c>
      <c r="O9" s="69" t="n">
        <v>19.9</v>
      </c>
      <c r="P9" s="14" t="n">
        <v>1728</v>
      </c>
      <c r="Q9" t="n">
        <v>14.9</v>
      </c>
      <c r="R9" s="14" t="n">
        <v>2143</v>
      </c>
      <c r="S9" t="n">
        <v>18.5</v>
      </c>
      <c r="T9" s="14" t="n">
        <v>1547</v>
      </c>
      <c r="U9" t="n">
        <v>13.3</v>
      </c>
    </row>
    <row r="10">
      <c r="A10" t="inlineStr">
        <is>
          <t>Figure Type</t>
        </is>
      </c>
      <c r="F10" t="inlineStr">
        <is>
          <t>South Blooming Grove Village</t>
        </is>
      </c>
      <c r="G10" s="74"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t="inlineStr">
        <is>
          <t>Washingtonville Village</t>
        </is>
      </c>
      <c r="G11" s="74" t="n">
        <v>4006</v>
      </c>
      <c r="H11" s="69" t="n">
        <v>82</v>
      </c>
      <c r="I11" s="69" t="n">
        <v>2</v>
      </c>
      <c r="J11" s="68" t="n">
        <v>253</v>
      </c>
      <c r="K11" s="68" t="n">
        <v>6.3</v>
      </c>
      <c r="L11" s="28" t="n">
        <v>1111</v>
      </c>
      <c r="M11" s="68" t="n">
        <v>27.7</v>
      </c>
      <c r="N11" s="68" t="n">
        <v>822</v>
      </c>
      <c r="O11" t="n">
        <v>20.5</v>
      </c>
      <c r="P11" t="n">
        <v>391</v>
      </c>
      <c r="Q11" t="n">
        <v>9.800000000000001</v>
      </c>
      <c r="R11" t="n">
        <v>914</v>
      </c>
      <c r="S11" t="n">
        <v>22.8</v>
      </c>
      <c r="T11" t="n">
        <v>433</v>
      </c>
      <c r="U11" t="n">
        <v>10.8</v>
      </c>
    </row>
    <row r="12">
      <c r="A12" t="inlineStr">
        <is>
          <t>Y Column</t>
        </is>
      </c>
      <c r="F12" s="21" t="inlineStr">
        <is>
          <t>Chester Town</t>
        </is>
      </c>
      <c r="G12" s="28" t="n">
        <v>8721</v>
      </c>
      <c r="H12" s="68" t="n">
        <v>79</v>
      </c>
      <c r="I12" s="69" t="n">
        <v>0.9</v>
      </c>
      <c r="J12" s="69" t="n">
        <v>238</v>
      </c>
      <c r="K12" s="69" t="n">
        <v>2.7</v>
      </c>
      <c r="L12" s="74" t="n">
        <v>2147</v>
      </c>
      <c r="M12" t="n">
        <v>24.8</v>
      </c>
      <c r="N12" s="14" t="n">
        <v>1812</v>
      </c>
      <c r="O12" t="n">
        <v>20.8</v>
      </c>
      <c r="P12" t="n">
        <v>885</v>
      </c>
      <c r="Q12" t="n">
        <v>10.1</v>
      </c>
      <c r="R12" s="14" t="n">
        <v>2042</v>
      </c>
      <c r="S12" t="n">
        <v>23.4</v>
      </c>
      <c r="T12" s="14" t="n">
        <v>1518</v>
      </c>
      <c r="U12" t="n">
        <v>17.4</v>
      </c>
    </row>
    <row r="13">
      <c r="A13" t="inlineStr">
        <is>
          <t>X Axis Title</t>
        </is>
      </c>
      <c r="F13" t="inlineStr">
        <is>
          <t>Chester Village</t>
        </is>
      </c>
      <c r="G13" s="14"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t="inlineStr">
        <is>
          <t>Cornwall Town</t>
        </is>
      </c>
      <c r="G14" s="14" t="n">
        <v>8939</v>
      </c>
      <c r="H14" t="n">
        <v>190</v>
      </c>
      <c r="I14" t="n">
        <v>2.1</v>
      </c>
      <c r="J14" t="n">
        <v>215</v>
      </c>
      <c r="K14" t="n">
        <v>2.4</v>
      </c>
      <c r="L14" s="14" t="n">
        <v>1426</v>
      </c>
      <c r="M14" t="n">
        <v>16</v>
      </c>
      <c r="N14" s="14" t="n">
        <v>1195</v>
      </c>
      <c r="O14" t="n">
        <v>13.4</v>
      </c>
      <c r="P14" s="14" t="n">
        <v>1132</v>
      </c>
      <c r="Q14" t="n">
        <v>12.7</v>
      </c>
      <c r="R14" s="14" t="n">
        <v>2275</v>
      </c>
      <c r="S14" t="n">
        <v>25.5</v>
      </c>
      <c r="T14" s="14" t="n">
        <v>2506</v>
      </c>
      <c r="U14" t="n">
        <v>28</v>
      </c>
    </row>
    <row r="15">
      <c r="A15" t="inlineStr">
        <is>
          <t>Start at Zero</t>
        </is>
      </c>
      <c r="F15" t="inlineStr">
        <is>
          <t>Cornwall-on-Hudson Village</t>
        </is>
      </c>
      <c r="G15" s="14"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t="inlineStr">
        <is>
          <t>Crawford Town</t>
        </is>
      </c>
      <c r="G16" s="14" t="n">
        <v>6197</v>
      </c>
      <c r="H16" t="n">
        <v>113</v>
      </c>
      <c r="I16" t="n">
        <v>1.8</v>
      </c>
      <c r="J16" t="n">
        <v>186</v>
      </c>
      <c r="K16" t="n">
        <v>3</v>
      </c>
      <c r="L16" s="14" t="n">
        <v>2009</v>
      </c>
      <c r="M16" t="n">
        <v>32.4</v>
      </c>
      <c r="N16" s="14" t="n">
        <v>1255</v>
      </c>
      <c r="O16" t="n">
        <v>20.3</v>
      </c>
      <c r="P16" t="n">
        <v>715</v>
      </c>
      <c r="Q16" t="n">
        <v>11.5</v>
      </c>
      <c r="R16" s="14" t="n">
        <v>1147</v>
      </c>
      <c r="S16" t="n">
        <v>18.5</v>
      </c>
      <c r="T16" t="n">
        <v>772</v>
      </c>
      <c r="U16" t="n">
        <v>12.5</v>
      </c>
    </row>
    <row r="17">
      <c r="F17" t="inlineStr">
        <is>
          <t>Deerpark Town</t>
        </is>
      </c>
      <c r="G17" s="14" t="n">
        <v>5451</v>
      </c>
      <c r="H17" t="n">
        <v>49</v>
      </c>
      <c r="I17" t="n">
        <v>0.9</v>
      </c>
      <c r="J17" t="n">
        <v>266</v>
      </c>
      <c r="K17" t="n">
        <v>4.9</v>
      </c>
      <c r="L17" s="14" t="n">
        <v>2054</v>
      </c>
      <c r="M17" t="n">
        <v>37.7</v>
      </c>
      <c r="N17" s="14" t="n">
        <v>1183</v>
      </c>
      <c r="O17" t="n">
        <v>21.7</v>
      </c>
      <c r="P17" t="n">
        <v>723</v>
      </c>
      <c r="Q17" t="n">
        <v>13.3</v>
      </c>
      <c r="R17" t="n">
        <v>738</v>
      </c>
      <c r="S17" t="n">
        <v>13.5</v>
      </c>
      <c r="T17" t="n">
        <v>438</v>
      </c>
      <c r="U17" t="n">
        <v>8</v>
      </c>
    </row>
    <row r="18">
      <c r="A18" s="71" t="inlineStr">
        <is>
          <t>Source Specifications</t>
        </is>
      </c>
      <c r="F18" t="inlineStr">
        <is>
          <t>Goshen Town</t>
        </is>
      </c>
      <c r="G18" s="14" t="n">
        <v>10366</v>
      </c>
      <c r="H18" t="n">
        <v>313</v>
      </c>
      <c r="I18" t="n">
        <v>3</v>
      </c>
      <c r="J18" t="n">
        <v>876</v>
      </c>
      <c r="K18" t="n">
        <v>8.5</v>
      </c>
      <c r="L18" s="14" t="n">
        <v>2411</v>
      </c>
      <c r="M18" t="n">
        <v>23.3</v>
      </c>
      <c r="N18" s="14" t="n">
        <v>1600</v>
      </c>
      <c r="O18" t="n">
        <v>15.4</v>
      </c>
      <c r="P18" s="14" t="n">
        <v>1008</v>
      </c>
      <c r="Q18" t="n">
        <v>9.699999999999999</v>
      </c>
      <c r="R18" s="14" t="n">
        <v>2216</v>
      </c>
      <c r="S18" t="n">
        <v>21.4</v>
      </c>
      <c r="T18" s="14"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t="inlineStr">
        <is>
          <t>Goshen Village</t>
        </is>
      </c>
      <c r="G19" s="14"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47" t="inlineStr">
        <is>
          <t>Greenville Town</t>
        </is>
      </c>
      <c r="G20" s="74" t="n">
        <v>3247</v>
      </c>
      <c r="H20" s="69" t="n">
        <v>11</v>
      </c>
      <c r="I20" t="n">
        <v>0.3</v>
      </c>
      <c r="J20" t="n">
        <v>81</v>
      </c>
      <c r="K20" t="n">
        <v>2.5</v>
      </c>
      <c r="L20" s="14" t="n">
        <v>1060</v>
      </c>
      <c r="M20" t="n">
        <v>32.6</v>
      </c>
      <c r="N20" t="n">
        <v>679</v>
      </c>
      <c r="O20" t="n">
        <v>20.9</v>
      </c>
      <c r="P20" t="n">
        <v>471</v>
      </c>
      <c r="Q20" t="n">
        <v>14.5</v>
      </c>
      <c r="R20" t="n">
        <v>463</v>
      </c>
      <c r="S20" t="n">
        <v>14.3</v>
      </c>
      <c r="T20" t="n">
        <v>482</v>
      </c>
      <c r="U20" t="n">
        <v>14.8</v>
      </c>
    </row>
    <row r="21">
      <c r="A21" s="69" t="inlineStr">
        <is>
          <t>Note Specfications</t>
        </is>
      </c>
      <c r="F21" s="47" t="inlineStr">
        <is>
          <t>Hamptonburgh Town</t>
        </is>
      </c>
      <c r="G21" s="74" t="n">
        <v>3728</v>
      </c>
      <c r="H21" s="69"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47" t="inlineStr">
        <is>
          <t>Highlands Town</t>
        </is>
      </c>
      <c r="G22" s="74" t="n">
        <v>6664</v>
      </c>
      <c r="H22" s="69" t="n">
        <v>173</v>
      </c>
      <c r="I22" t="n">
        <v>2.6</v>
      </c>
      <c r="J22" t="n">
        <v>368</v>
      </c>
      <c r="K22" t="n">
        <v>5.5</v>
      </c>
      <c r="L22" s="14" t="n">
        <v>1494</v>
      </c>
      <c r="M22" t="n">
        <v>22.4</v>
      </c>
      <c r="N22" s="14" t="n">
        <v>1069</v>
      </c>
      <c r="O22" t="n">
        <v>16</v>
      </c>
      <c r="P22" t="n">
        <v>458</v>
      </c>
      <c r="Q22" t="n">
        <v>6.9</v>
      </c>
      <c r="R22" s="14" t="n">
        <v>1220</v>
      </c>
      <c r="S22" t="n">
        <v>18.3</v>
      </c>
      <c r="T22" s="14" t="n">
        <v>1882</v>
      </c>
      <c r="U22" t="n">
        <v>28.2</v>
      </c>
    </row>
    <row r="23">
      <c r="F23" s="47" t="inlineStr">
        <is>
          <t>Highland Falls Village</t>
        </is>
      </c>
      <c r="G23" s="74" t="n">
        <v>2645</v>
      </c>
      <c r="H23" s="69" t="n">
        <v>94</v>
      </c>
      <c r="I23" t="n">
        <v>3.6</v>
      </c>
      <c r="J23" t="n">
        <v>190</v>
      </c>
      <c r="K23" t="n">
        <v>7.2</v>
      </c>
      <c r="L23" t="n">
        <v>752</v>
      </c>
      <c r="M23" t="n">
        <v>28.4</v>
      </c>
      <c r="N23" t="n">
        <v>430</v>
      </c>
      <c r="O23" t="n">
        <v>16.3</v>
      </c>
      <c r="P23" t="n">
        <v>200</v>
      </c>
      <c r="Q23" t="n">
        <v>7.6</v>
      </c>
      <c r="R23" t="n">
        <v>484</v>
      </c>
      <c r="S23" t="n">
        <v>18.3</v>
      </c>
      <c r="T23" t="n">
        <v>495</v>
      </c>
      <c r="U23" t="n">
        <v>18.7</v>
      </c>
    </row>
    <row r="24">
      <c r="F24" t="inlineStr">
        <is>
          <t>Middletown City</t>
        </is>
      </c>
      <c r="G24" s="14" t="n">
        <v>19878</v>
      </c>
      <c r="H24" s="14" t="n">
        <v>1747</v>
      </c>
      <c r="I24" t="n">
        <v>8.800000000000001</v>
      </c>
      <c r="J24" s="14" t="n">
        <v>1801</v>
      </c>
      <c r="K24" t="n">
        <v>9.1</v>
      </c>
      <c r="L24" s="14" t="n">
        <v>6235</v>
      </c>
      <c r="M24" t="n">
        <v>31.4</v>
      </c>
      <c r="N24" s="14" t="n">
        <v>3799</v>
      </c>
      <c r="O24" t="n">
        <v>19.1</v>
      </c>
      <c r="P24" s="14" t="n">
        <v>2374</v>
      </c>
      <c r="Q24" t="n">
        <v>11.9</v>
      </c>
      <c r="R24" s="14" t="n">
        <v>2084</v>
      </c>
      <c r="S24" t="n">
        <v>10.5</v>
      </c>
      <c r="T24" s="14" t="n">
        <v>1844</v>
      </c>
      <c r="U24" t="n">
        <v>9.300000000000001</v>
      </c>
    </row>
    <row r="25">
      <c r="F25" s="47" t="inlineStr">
        <is>
          <t>Minisink Town</t>
        </is>
      </c>
      <c r="G25" s="74" t="n">
        <v>2895</v>
      </c>
      <c r="H25" s="69" t="n">
        <v>65</v>
      </c>
      <c r="I25" t="n">
        <v>2.2</v>
      </c>
      <c r="J25" t="n">
        <v>168</v>
      </c>
      <c r="K25" t="n">
        <v>5.8</v>
      </c>
      <c r="L25" t="n">
        <v>764</v>
      </c>
      <c r="M25" t="n">
        <v>26.4</v>
      </c>
      <c r="N25" t="n">
        <v>515</v>
      </c>
      <c r="O25" t="n">
        <v>17.8</v>
      </c>
      <c r="P25" t="n">
        <v>247</v>
      </c>
      <c r="Q25" t="n">
        <v>8.5</v>
      </c>
      <c r="R25" t="n">
        <v>550</v>
      </c>
      <c r="S25" t="n">
        <v>19</v>
      </c>
      <c r="T25" t="n">
        <v>586</v>
      </c>
      <c r="U25" t="n">
        <v>20.2</v>
      </c>
    </row>
    <row r="26">
      <c r="F26" s="47" t="inlineStr">
        <is>
          <t>Unionville Village</t>
        </is>
      </c>
      <c r="G26" s="69" t="n">
        <v>383</v>
      </c>
      <c r="H26" s="69" t="n">
        <v>16</v>
      </c>
      <c r="I26" t="n">
        <v>4.2</v>
      </c>
      <c r="J26" t="n">
        <v>2</v>
      </c>
      <c r="K26" t="n">
        <v>0.5</v>
      </c>
      <c r="L26" t="n">
        <v>92</v>
      </c>
      <c r="M26" t="n">
        <v>24</v>
      </c>
      <c r="N26" t="n">
        <v>49</v>
      </c>
      <c r="O26" t="n">
        <v>12.8</v>
      </c>
      <c r="P26" t="n">
        <v>54</v>
      </c>
      <c r="Q26" t="n">
        <v>14.1</v>
      </c>
      <c r="R26" t="n">
        <v>34</v>
      </c>
      <c r="S26" t="n">
        <v>8.9</v>
      </c>
      <c r="T26" t="n">
        <v>136</v>
      </c>
      <c r="U26" t="n">
        <v>35.5</v>
      </c>
    </row>
    <row r="27">
      <c r="A27" s="69" t="n"/>
      <c r="F27" s="47" t="inlineStr">
        <is>
          <t>Monroe Town</t>
        </is>
      </c>
      <c r="G27" s="74" t="n">
        <v>13477</v>
      </c>
      <c r="H27" s="69" t="n">
        <v>581</v>
      </c>
      <c r="I27" t="n">
        <v>4.3</v>
      </c>
      <c r="J27" t="n">
        <v>628</v>
      </c>
      <c r="K27" t="n">
        <v>4.7</v>
      </c>
      <c r="L27" s="14" t="n">
        <v>2942</v>
      </c>
      <c r="M27" t="n">
        <v>21.8</v>
      </c>
      <c r="N27" s="14" t="n">
        <v>2448</v>
      </c>
      <c r="O27" t="n">
        <v>18.2</v>
      </c>
      <c r="P27" s="14" t="n">
        <v>1041</v>
      </c>
      <c r="Q27" t="n">
        <v>7.7</v>
      </c>
      <c r="R27" s="14" t="n">
        <v>3659</v>
      </c>
      <c r="S27" t="n">
        <v>27.1</v>
      </c>
      <c r="T27" s="14" t="n">
        <v>2178</v>
      </c>
      <c r="U27" t="n">
        <v>16.2</v>
      </c>
    </row>
    <row r="28">
      <c r="F28" s="47" t="inlineStr">
        <is>
          <t>Harriman Village (total)*</t>
        </is>
      </c>
      <c r="G28" s="74" t="n">
        <v>1396</v>
      </c>
      <c r="H28" s="69" t="n">
        <v>51</v>
      </c>
      <c r="I28" t="n">
        <v>3.6</v>
      </c>
      <c r="J28" t="n">
        <v>88</v>
      </c>
      <c r="K28" t="n">
        <v>6.3</v>
      </c>
      <c r="L28" t="n">
        <v>425</v>
      </c>
      <c r="M28" t="n">
        <v>30.4</v>
      </c>
      <c r="N28" t="n">
        <v>146</v>
      </c>
      <c r="O28" t="n">
        <v>10.5</v>
      </c>
      <c r="P28" t="n">
        <v>171</v>
      </c>
      <c r="Q28" t="n">
        <v>12.2</v>
      </c>
      <c r="R28" t="n">
        <v>292</v>
      </c>
      <c r="S28" t="n">
        <v>20.9</v>
      </c>
      <c r="T28" t="n">
        <v>223</v>
      </c>
      <c r="U28" t="n">
        <v>15.9</v>
      </c>
    </row>
    <row r="29">
      <c r="F29" s="47" t="inlineStr">
        <is>
          <t>Monroe Village</t>
        </is>
      </c>
      <c r="G29" s="74" t="n">
        <v>5796</v>
      </c>
      <c r="H29" s="69" t="n">
        <v>441</v>
      </c>
      <c r="I29" t="n">
        <v>7.6</v>
      </c>
      <c r="J29" t="n">
        <v>212</v>
      </c>
      <c r="K29" t="n">
        <v>3.7</v>
      </c>
      <c r="L29" s="14" t="n">
        <v>1251</v>
      </c>
      <c r="M29" t="n">
        <v>21.6</v>
      </c>
      <c r="N29" t="n">
        <v>989</v>
      </c>
      <c r="O29" t="n">
        <v>17.1</v>
      </c>
      <c r="P29" t="n">
        <v>604</v>
      </c>
      <c r="Q29" t="n">
        <v>10.4</v>
      </c>
      <c r="R29" s="14" t="n">
        <v>1541</v>
      </c>
      <c r="S29" t="n">
        <v>26.6</v>
      </c>
      <c r="T29" t="n">
        <v>758</v>
      </c>
      <c r="U29" t="n">
        <v>13.1</v>
      </c>
    </row>
    <row r="30">
      <c r="F30" s="47" t="inlineStr">
        <is>
          <t>Montgomery Town</t>
        </is>
      </c>
      <c r="G30" s="74" t="n">
        <v>15586</v>
      </c>
      <c r="H30" s="69" t="n">
        <v>653</v>
      </c>
      <c r="I30" t="n">
        <v>4.2</v>
      </c>
      <c r="J30" t="n">
        <v>971</v>
      </c>
      <c r="K30" t="n">
        <v>6.2</v>
      </c>
      <c r="L30" s="14" t="n">
        <v>4339</v>
      </c>
      <c r="M30" t="n">
        <v>27.8</v>
      </c>
      <c r="N30" s="14" t="n">
        <v>3254</v>
      </c>
      <c r="O30" t="n">
        <v>20.9</v>
      </c>
      <c r="P30" s="14" t="n">
        <v>1979</v>
      </c>
      <c r="Q30" t="n">
        <v>12.7</v>
      </c>
      <c r="R30" s="14" t="n">
        <v>2712</v>
      </c>
      <c r="S30" t="n">
        <v>17.4</v>
      </c>
      <c r="T30" s="14" t="n">
        <v>1678</v>
      </c>
      <c r="U30" t="n">
        <v>10.8</v>
      </c>
    </row>
    <row r="31">
      <c r="F31" s="47" t="inlineStr">
        <is>
          <t>Maybrook Village</t>
        </is>
      </c>
      <c r="G31" s="74" t="n">
        <v>2432</v>
      </c>
      <c r="H31" s="69" t="n">
        <v>80</v>
      </c>
      <c r="I31" t="n">
        <v>3.3</v>
      </c>
      <c r="J31" t="n">
        <v>129</v>
      </c>
      <c r="K31" t="n">
        <v>5.3</v>
      </c>
      <c r="L31" t="n">
        <v>853</v>
      </c>
      <c r="M31" t="n">
        <v>35.1</v>
      </c>
      <c r="N31" t="n">
        <v>571</v>
      </c>
      <c r="O31" t="n">
        <v>23.5</v>
      </c>
      <c r="P31" t="n">
        <v>282</v>
      </c>
      <c r="Q31" t="n">
        <v>11.6</v>
      </c>
      <c r="R31" t="n">
        <v>394</v>
      </c>
      <c r="S31" t="n">
        <v>16.2</v>
      </c>
      <c r="T31" t="n">
        <v>123</v>
      </c>
      <c r="U31" t="n">
        <v>5.1</v>
      </c>
    </row>
    <row r="32">
      <c r="F32" t="inlineStr">
        <is>
          <t>Montgomery Village</t>
        </is>
      </c>
      <c r="G32" s="14"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47" t="inlineStr">
        <is>
          <t>Walden Village</t>
        </is>
      </c>
      <c r="G33" s="74" t="n">
        <v>4548</v>
      </c>
      <c r="H33" s="69" t="n">
        <v>241</v>
      </c>
      <c r="I33" t="n">
        <v>5.3</v>
      </c>
      <c r="J33" t="n">
        <v>309</v>
      </c>
      <c r="K33" t="n">
        <v>6.8</v>
      </c>
      <c r="L33" s="14" t="n">
        <v>1383</v>
      </c>
      <c r="M33" t="n">
        <v>30.4</v>
      </c>
      <c r="N33" s="14" t="n">
        <v>1001</v>
      </c>
      <c r="O33" t="n">
        <v>22</v>
      </c>
      <c r="P33" t="n">
        <v>511</v>
      </c>
      <c r="Q33" t="n">
        <v>11.2</v>
      </c>
      <c r="R33" t="n">
        <v>619</v>
      </c>
      <c r="S33" t="n">
        <v>13.6</v>
      </c>
      <c r="T33" t="n">
        <v>484</v>
      </c>
      <c r="U33" t="n">
        <v>10.6</v>
      </c>
    </row>
    <row r="34">
      <c r="F34" s="47" t="inlineStr">
        <is>
          <t>Mount Hope Town</t>
        </is>
      </c>
      <c r="G34" s="74" t="n">
        <v>4935</v>
      </c>
      <c r="H34" s="69" t="n">
        <v>280</v>
      </c>
      <c r="I34" s="68" t="n">
        <v>5.7</v>
      </c>
      <c r="J34" t="n">
        <v>713</v>
      </c>
      <c r="K34" t="n">
        <v>14.4</v>
      </c>
      <c r="L34" s="14" t="n">
        <v>1288</v>
      </c>
      <c r="M34" t="n">
        <v>26.1</v>
      </c>
      <c r="N34" t="n">
        <v>738</v>
      </c>
      <c r="O34" t="n">
        <v>15</v>
      </c>
      <c r="P34" t="n">
        <v>766</v>
      </c>
      <c r="Q34" t="n">
        <v>15.5</v>
      </c>
      <c r="R34" t="n">
        <v>584</v>
      </c>
      <c r="S34" t="n">
        <v>11.8</v>
      </c>
      <c r="T34" t="n">
        <v>566</v>
      </c>
      <c r="U34" t="n">
        <v>11.5</v>
      </c>
    </row>
    <row r="35">
      <c r="F35" s="47" t="inlineStr">
        <is>
          <t>Otisville Village</t>
        </is>
      </c>
      <c r="G35" s="69" t="n">
        <v>801</v>
      </c>
      <c r="H35" s="69" t="n">
        <v>5</v>
      </c>
      <c r="I35" s="68" t="n">
        <v>0.6</v>
      </c>
      <c r="J35" t="n">
        <v>13</v>
      </c>
      <c r="K35" t="n">
        <v>1.6</v>
      </c>
      <c r="L35" t="n">
        <v>238</v>
      </c>
      <c r="M35" t="n">
        <v>29.7</v>
      </c>
      <c r="N35" t="n">
        <v>196</v>
      </c>
      <c r="O35" t="n">
        <v>24.5</v>
      </c>
      <c r="P35" t="n">
        <v>117</v>
      </c>
      <c r="Q35" t="n">
        <v>14.6</v>
      </c>
      <c r="R35" t="n">
        <v>109</v>
      </c>
      <c r="S35" t="n">
        <v>13.6</v>
      </c>
      <c r="T35" t="n">
        <v>123</v>
      </c>
      <c r="U35" t="n">
        <v>15.4</v>
      </c>
    </row>
    <row r="36">
      <c r="F36" s="47" t="inlineStr">
        <is>
          <t>Newburgh City</t>
        </is>
      </c>
      <c r="G36" s="74" t="n">
        <v>17933</v>
      </c>
      <c r="H36" s="74" t="n">
        <v>1848</v>
      </c>
      <c r="I36" s="68" t="n">
        <v>10.3</v>
      </c>
      <c r="J36" s="14" t="n">
        <v>1699</v>
      </c>
      <c r="K36" t="n">
        <v>9.5</v>
      </c>
      <c r="L36" s="14" t="n">
        <v>6388</v>
      </c>
      <c r="M36" t="n">
        <v>35.6</v>
      </c>
      <c r="N36" s="14" t="n">
        <v>3475</v>
      </c>
      <c r="O36" t="n">
        <v>19.4</v>
      </c>
      <c r="P36" s="14" t="n">
        <v>1331</v>
      </c>
      <c r="Q36" t="n">
        <v>7.4</v>
      </c>
      <c r="R36" s="14" t="n">
        <v>2102</v>
      </c>
      <c r="S36" t="n">
        <v>11.7</v>
      </c>
      <c r="T36" s="14" t="n">
        <v>1090</v>
      </c>
      <c r="U36" t="n">
        <v>6.1</v>
      </c>
    </row>
    <row r="37">
      <c r="F37" s="47" t="inlineStr">
        <is>
          <t>Newburgh Town</t>
        </is>
      </c>
      <c r="G37" s="74" t="n">
        <v>22757</v>
      </c>
      <c r="H37" s="69" t="n">
        <v>692</v>
      </c>
      <c r="I37" s="68" t="n">
        <v>3</v>
      </c>
      <c r="J37" s="14" t="n">
        <v>1059</v>
      </c>
      <c r="K37" t="n">
        <v>4.7</v>
      </c>
      <c r="L37" s="14" t="n">
        <v>5766</v>
      </c>
      <c r="M37" t="n">
        <v>25.3</v>
      </c>
      <c r="N37" s="14" t="n">
        <v>4841</v>
      </c>
      <c r="O37" t="n">
        <v>21.3</v>
      </c>
      <c r="P37" s="14" t="n">
        <v>2803</v>
      </c>
      <c r="Q37" t="n">
        <v>12.3</v>
      </c>
      <c r="R37" s="14" t="n">
        <v>4167</v>
      </c>
      <c r="S37" t="n">
        <v>18.3</v>
      </c>
      <c r="T37" s="14" t="n">
        <v>3429</v>
      </c>
      <c r="U37" t="n">
        <v>15.1</v>
      </c>
    </row>
    <row r="38">
      <c r="F38" t="inlineStr">
        <is>
          <t>New Windsor Town</t>
        </is>
      </c>
      <c r="G38" s="14" t="n">
        <v>19642</v>
      </c>
      <c r="H38" t="n">
        <v>713</v>
      </c>
      <c r="I38" t="n">
        <v>3.6</v>
      </c>
      <c r="J38" s="14" t="n">
        <v>1489</v>
      </c>
      <c r="K38" t="n">
        <v>7.6</v>
      </c>
      <c r="L38" s="14" t="n">
        <v>5519</v>
      </c>
      <c r="M38" t="n">
        <v>28.1</v>
      </c>
      <c r="N38" s="14" t="n">
        <v>3692</v>
      </c>
      <c r="O38" t="n">
        <v>18.8</v>
      </c>
      <c r="P38" s="14" t="n">
        <v>1534</v>
      </c>
      <c r="Q38" t="n">
        <v>7.8</v>
      </c>
      <c r="R38" s="14" t="n">
        <v>3305</v>
      </c>
      <c r="S38" t="n">
        <v>16.8</v>
      </c>
      <c r="T38" s="14" t="n">
        <v>3390</v>
      </c>
      <c r="U38" t="n">
        <v>17.3</v>
      </c>
    </row>
    <row r="39">
      <c r="F39" t="inlineStr">
        <is>
          <t>Palm Tree Town</t>
        </is>
      </c>
      <c r="G39" s="14" t="n">
        <v>10504</v>
      </c>
      <c r="H39" t="n">
        <v>346</v>
      </c>
      <c r="I39" t="n">
        <v>3.3</v>
      </c>
      <c r="J39" s="14" t="n">
        <v>2373</v>
      </c>
      <c r="K39" t="n">
        <v>22.6</v>
      </c>
      <c r="L39" s="14" t="n">
        <v>4268</v>
      </c>
      <c r="M39" t="n">
        <v>40.6</v>
      </c>
      <c r="N39" s="14" t="n">
        <v>2845</v>
      </c>
      <c r="O39" t="n">
        <v>27.1</v>
      </c>
      <c r="P39" t="n">
        <v>31</v>
      </c>
      <c r="Q39" t="n">
        <v>0.3</v>
      </c>
      <c r="R39" t="n">
        <v>317</v>
      </c>
      <c r="S39" t="n">
        <v>3</v>
      </c>
      <c r="T39" t="n">
        <v>324</v>
      </c>
      <c r="U39" t="n">
        <v>3.1</v>
      </c>
    </row>
    <row r="40">
      <c r="F40" t="inlineStr">
        <is>
          <t>Kiryas Joel Village</t>
        </is>
      </c>
      <c r="G40" s="14" t="n">
        <v>10504</v>
      </c>
      <c r="H40" t="n">
        <v>346</v>
      </c>
      <c r="I40" t="n">
        <v>3.3</v>
      </c>
      <c r="J40" s="14" t="n">
        <v>2373</v>
      </c>
      <c r="K40" t="n">
        <v>22.6</v>
      </c>
      <c r="L40" s="14" t="n">
        <v>4268</v>
      </c>
      <c r="M40" t="n">
        <v>40.6</v>
      </c>
      <c r="N40" s="14" t="n">
        <v>2845</v>
      </c>
      <c r="O40" t="n">
        <v>27.1</v>
      </c>
      <c r="P40" t="n">
        <v>31</v>
      </c>
      <c r="Q40" t="n">
        <v>0.3</v>
      </c>
      <c r="R40" t="n">
        <v>317</v>
      </c>
      <c r="S40" t="n">
        <v>3</v>
      </c>
      <c r="T40" t="n">
        <v>324</v>
      </c>
      <c r="U40" t="n">
        <v>3.1</v>
      </c>
    </row>
    <row r="41">
      <c r="F41" t="inlineStr">
        <is>
          <t>Port Jervis City</t>
        </is>
      </c>
      <c r="G41" s="14" t="n">
        <v>5824</v>
      </c>
      <c r="H41" t="n">
        <v>336</v>
      </c>
      <c r="I41" t="n">
        <v>5.8</v>
      </c>
      <c r="J41" t="n">
        <v>450</v>
      </c>
      <c r="K41" t="n">
        <v>7.7</v>
      </c>
      <c r="L41" s="14" t="n">
        <v>2664</v>
      </c>
      <c r="M41" t="n">
        <v>45.7</v>
      </c>
      <c r="N41" t="n">
        <v>938</v>
      </c>
      <c r="O41" t="n">
        <v>16.1</v>
      </c>
      <c r="P41" t="n">
        <v>446</v>
      </c>
      <c r="Q41" t="n">
        <v>7.7</v>
      </c>
      <c r="R41" t="n">
        <v>494</v>
      </c>
      <c r="S41" t="n">
        <v>8.5</v>
      </c>
      <c r="T41" t="n">
        <v>496</v>
      </c>
      <c r="U41" t="n">
        <v>8.5</v>
      </c>
    </row>
    <row r="42">
      <c r="F42" t="inlineStr">
        <is>
          <t>Tuxedo Town</t>
        </is>
      </c>
      <c r="G42" s="14"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t="inlineStr">
        <is>
          <t>Tuxedo Park Village</t>
        </is>
      </c>
      <c r="G43" s="14"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t="inlineStr">
        <is>
          <t>Wallkill Town</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t="inlineStr">
        <is>
          <t>Warwick Town</t>
        </is>
      </c>
      <c r="G45" s="14" t="n">
        <v>21529</v>
      </c>
      <c r="H45" t="n">
        <v>845</v>
      </c>
      <c r="I45" t="n">
        <v>3.9</v>
      </c>
      <c r="J45" s="14" t="n">
        <v>1044</v>
      </c>
      <c r="K45" t="n">
        <v>4.8</v>
      </c>
      <c r="L45" s="14" t="n">
        <v>6704</v>
      </c>
      <c r="M45" t="n">
        <v>31.1</v>
      </c>
      <c r="N45" s="14" t="n">
        <v>4305</v>
      </c>
      <c r="O45" t="n">
        <v>20</v>
      </c>
      <c r="P45" s="14" t="n">
        <v>2506</v>
      </c>
      <c r="Q45" t="n">
        <v>11.6</v>
      </c>
      <c r="R45" s="14" t="n">
        <v>4122</v>
      </c>
      <c r="S45" t="n">
        <v>19.1</v>
      </c>
      <c r="T45" s="14" t="n">
        <v>2003</v>
      </c>
      <c r="U45" t="n">
        <v>9.300000000000001</v>
      </c>
    </row>
    <row r="46">
      <c r="F46" t="inlineStr">
        <is>
          <t>Florida Village</t>
        </is>
      </c>
      <c r="G46" s="14" t="n">
        <v>23420</v>
      </c>
      <c r="H46" t="n">
        <v>455</v>
      </c>
      <c r="I46" t="n">
        <v>1.9</v>
      </c>
      <c r="J46" t="n">
        <v>879</v>
      </c>
      <c r="K46" t="n">
        <v>3.8</v>
      </c>
      <c r="L46" s="14" t="n">
        <v>5799</v>
      </c>
      <c r="M46" t="n">
        <v>24.8</v>
      </c>
      <c r="N46" s="14" t="n">
        <v>4113</v>
      </c>
      <c r="O46" t="n">
        <v>17.6</v>
      </c>
      <c r="P46" s="14" t="n">
        <v>2367</v>
      </c>
      <c r="Q46" t="n">
        <v>10.1</v>
      </c>
      <c r="R46" s="14" t="n">
        <v>6187</v>
      </c>
      <c r="S46" t="n">
        <v>26.4</v>
      </c>
      <c r="T46" s="14" t="n">
        <v>3620</v>
      </c>
      <c r="U46" t="n">
        <v>15.5</v>
      </c>
    </row>
    <row r="47">
      <c r="F47" t="inlineStr">
        <is>
          <t>Greenwood Lake Village</t>
        </is>
      </c>
      <c r="G47" s="14" t="n">
        <v>2017</v>
      </c>
      <c r="H47" t="n">
        <v>87</v>
      </c>
      <c r="I47" t="n">
        <v>4.3</v>
      </c>
      <c r="J47" t="n">
        <v>47</v>
      </c>
      <c r="K47" t="n">
        <v>2.3</v>
      </c>
      <c r="L47" t="n">
        <v>638</v>
      </c>
      <c r="M47" t="n">
        <v>31.6</v>
      </c>
      <c r="N47" t="n">
        <v>409</v>
      </c>
      <c r="O47" t="n">
        <v>20.3</v>
      </c>
      <c r="P47" t="n">
        <v>254</v>
      </c>
      <c r="Q47" t="n">
        <v>12.6</v>
      </c>
      <c r="R47" t="n">
        <v>398</v>
      </c>
      <c r="S47" t="n">
        <v>19.7</v>
      </c>
      <c r="T47" t="n">
        <v>184</v>
      </c>
      <c r="U47" t="n">
        <v>9.1</v>
      </c>
    </row>
    <row r="48">
      <c r="F48" t="inlineStr">
        <is>
          <t>Warwick Village</t>
        </is>
      </c>
      <c r="G48" s="14"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t="inlineStr">
        <is>
          <t>Wawayanda Town</t>
        </is>
      </c>
      <c r="G49" s="14" t="n">
        <v>4933</v>
      </c>
      <c r="H49" t="n">
        <v>79</v>
      </c>
      <c r="I49" t="n">
        <v>1.6</v>
      </c>
      <c r="J49" t="n">
        <v>155</v>
      </c>
      <c r="K49" t="n">
        <v>3.1</v>
      </c>
      <c r="L49" t="n">
        <v>991</v>
      </c>
      <c r="M49" t="n">
        <v>20.1</v>
      </c>
      <c r="N49" t="n">
        <v>920</v>
      </c>
      <c r="O49" t="n">
        <v>18.6</v>
      </c>
      <c r="P49" t="n">
        <v>287</v>
      </c>
      <c r="Q49" t="n">
        <v>5.8</v>
      </c>
      <c r="R49" s="14" t="n">
        <v>1442</v>
      </c>
      <c r="S49" t="n">
        <v>29.2</v>
      </c>
      <c r="T49" s="14" t="n">
        <v>1059</v>
      </c>
      <c r="U49" t="n">
        <v>21.5</v>
      </c>
    </row>
    <row r="50">
      <c r="F50" t="inlineStr">
        <is>
          <t>Woodbury Town</t>
        </is>
      </c>
      <c r="G50" s="14" t="n">
        <v>4885</v>
      </c>
      <c r="H50" t="n">
        <v>50</v>
      </c>
      <c r="I50" t="n">
        <v>1</v>
      </c>
      <c r="J50" t="n">
        <v>75</v>
      </c>
      <c r="K50" t="n">
        <v>1.5</v>
      </c>
      <c r="L50" s="14" t="n">
        <v>1348</v>
      </c>
      <c r="M50" t="n">
        <v>27.6</v>
      </c>
      <c r="N50" t="n">
        <v>675</v>
      </c>
      <c r="O50" t="n">
        <v>13.8</v>
      </c>
      <c r="P50" t="n">
        <v>635</v>
      </c>
      <c r="Q50" t="n">
        <v>13</v>
      </c>
      <c r="R50" s="14" t="n">
        <v>1269</v>
      </c>
      <c r="S50" t="n">
        <v>26</v>
      </c>
      <c r="T50" t="n">
        <v>833</v>
      </c>
      <c r="U50" t="n">
        <v>17.1</v>
      </c>
    </row>
    <row r="51">
      <c r="F51" t="inlineStr">
        <is>
          <t>Woodbury Village</t>
        </is>
      </c>
      <c r="G51" s="14" t="n">
        <v>7634</v>
      </c>
      <c r="H51" t="n">
        <v>125</v>
      </c>
      <c r="I51" t="n">
        <v>1.6</v>
      </c>
      <c r="J51" t="n">
        <v>257</v>
      </c>
      <c r="K51" t="n">
        <v>3.4</v>
      </c>
      <c r="L51" s="14" t="n">
        <v>1477</v>
      </c>
      <c r="M51" t="n">
        <v>19.3</v>
      </c>
      <c r="N51" s="14" t="n">
        <v>1488</v>
      </c>
      <c r="O51" t="n">
        <v>19.5</v>
      </c>
      <c r="P51" t="n">
        <v>875</v>
      </c>
      <c r="Q51" t="n">
        <v>11.5</v>
      </c>
      <c r="R51" s="14" t="n">
        <v>1753</v>
      </c>
      <c r="S51" t="n">
        <v>23</v>
      </c>
      <c r="T51" s="14" t="n">
        <v>1659</v>
      </c>
      <c r="U51" t="n">
        <v>21.7</v>
      </c>
    </row>
    <row r="52">
      <c r="F52" t="inlineStr">
        <is>
          <t>Harriman Village (partial)</t>
        </is>
      </c>
      <c r="G52" t="n">
        <v>566</v>
      </c>
      <c r="H52" t="n">
        <v>57</v>
      </c>
      <c r="I52" t="n">
        <v>10.1</v>
      </c>
      <c r="J52" t="n">
        <v>7</v>
      </c>
      <c r="K52" t="n">
        <v>1.2</v>
      </c>
      <c r="L52" t="n">
        <v>228</v>
      </c>
      <c r="M52" t="n">
        <v>40.3</v>
      </c>
      <c r="N52" t="n">
        <v>71</v>
      </c>
      <c r="O52" t="n">
        <v>12.5</v>
      </c>
      <c r="P52" t="n">
        <v>53</v>
      </c>
      <c r="Q52" t="n">
        <v>9.4</v>
      </c>
      <c r="R52" t="n">
        <v>81</v>
      </c>
      <c r="S52" t="n">
        <v>14.3</v>
      </c>
      <c r="T52" t="n">
        <v>69</v>
      </c>
      <c r="U52" t="n">
        <v>12</v>
      </c>
    </row>
    <row r="53"/>
    <row r="54"/>
    <row r="55"/>
    <row r="56"/>
    <row r="57"/>
  </sheetData>
  <mergeCells count="17">
    <mergeCell ref="H5:N5"/>
    <mergeCell ref="B1:O1"/>
    <mergeCell ref="A21:B21"/>
    <mergeCell ref="F5:F7"/>
    <mergeCell ref="H6:I6"/>
    <mergeCell ref="L6:M6"/>
    <mergeCell ref="J6:K6"/>
    <mergeCell ref="P6:Q6"/>
    <mergeCell ref="N6:O6"/>
    <mergeCell ref="T6:U6"/>
    <mergeCell ref="R6:S6"/>
    <mergeCell ref="A5:B5"/>
    <mergeCell ref="A27:B27"/>
    <mergeCell ref="G5:G7"/>
    <mergeCell ref="A18:B18"/>
    <mergeCell ref="A9:B9"/>
    <mergeCell ref="E5:E5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High School Graduation Rate,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91">
      <c r="A6" t="inlineStr">
        <is>
          <t>Multilevel Headers</t>
        </is>
      </c>
      <c r="B6" t="b">
        <v>0</v>
      </c>
      <c r="F6" t="inlineStr">
        <is>
          <t>Orange</t>
        </is>
      </c>
      <c r="G6" s="69" t="n">
        <v>88</v>
      </c>
      <c r="H6" s="69" t="n">
        <v>83</v>
      </c>
      <c r="I6" s="69" t="n">
        <v>96</v>
      </c>
      <c r="J6" s="69" t="n">
        <v>85</v>
      </c>
      <c r="K6" s="69" t="n">
        <v>83</v>
      </c>
      <c r="L6" s="69" t="n">
        <v>93</v>
      </c>
      <c r="M6" s="69" t="n">
        <v>88</v>
      </c>
      <c r="N6" s="69" t="n"/>
      <c r="O6" s="69" t="n"/>
    </row>
    <row r="7" ht="15.75" customHeight="1" s="91">
      <c r="F7" t="inlineStr">
        <is>
          <t>NYS</t>
        </is>
      </c>
      <c r="G7" s="69" t="n">
        <v>86</v>
      </c>
      <c r="H7" s="69" t="n">
        <v>81</v>
      </c>
      <c r="I7" s="69" t="n">
        <v>93</v>
      </c>
      <c r="J7" s="69" t="n">
        <v>81</v>
      </c>
      <c r="K7" s="69" t="n">
        <v>81</v>
      </c>
      <c r="L7" s="69" t="n">
        <v>91</v>
      </c>
      <c r="M7" s="69" t="n">
        <v>84</v>
      </c>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Education Department, August 2025 https://data.nysed.gov/gradrate.php?year=2022&amp;county=44</t>
        </is>
      </c>
    </row>
    <row r="20">
      <c r="F20" s="69" t="n"/>
      <c r="G20" s="69" t="n"/>
      <c r="H20" s="69" t="n"/>
    </row>
    <row r="21">
      <c r="A21" s="69" t="inlineStr">
        <is>
          <t>Note Specfications</t>
        </is>
      </c>
      <c r="F21" s="69" t="n"/>
      <c r="G21" s="69" t="n"/>
      <c r="H21" s="69"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2851562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Language Spoken at Home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5+</t>
        </is>
      </c>
      <c r="H5" s="69" t="inlineStr">
        <is>
          <t>Language Spoken At Home</t>
        </is>
      </c>
    </row>
    <row r="6" ht="15" customHeight="1" s="91">
      <c r="A6" t="inlineStr">
        <is>
          <t>Multilevel Headers</t>
        </is>
      </c>
      <c r="B6" t="b">
        <v>1</v>
      </c>
      <c r="H6" t="inlineStr">
        <is>
          <t>English Only</t>
        </is>
      </c>
      <c r="I6" s="69" t="inlineStr">
        <is>
          <t>Spanish</t>
        </is>
      </c>
      <c r="J6" s="69" t="inlineStr">
        <is>
          <t>Other Indo-European</t>
        </is>
      </c>
      <c r="K6" s="69" t="inlineStr">
        <is>
          <t>Asian/Pacific Island</t>
        </is>
      </c>
      <c r="L6" s="69" t="inlineStr">
        <is>
          <t>Other</t>
        </is>
      </c>
      <c r="M6" s="69" t="n"/>
      <c r="N6" s="69" t="n"/>
      <c r="O6" s="69" t="n"/>
    </row>
    <row r="7" ht="15.75" customHeight="1" s="91">
      <c r="F7" t="inlineStr">
        <is>
          <t>Orange County</t>
        </is>
      </c>
      <c r="G7" s="74" t="n">
        <v>376697</v>
      </c>
      <c r="H7" s="74" t="n">
        <v>266545</v>
      </c>
      <c r="I7" s="74" t="n">
        <v>55418</v>
      </c>
      <c r="J7" s="74" t="n">
        <v>45346</v>
      </c>
      <c r="K7" s="74" t="n">
        <v>6298</v>
      </c>
      <c r="L7" s="74" t="n">
        <v>3090</v>
      </c>
      <c r="M7" s="69" t="n"/>
      <c r="N7" s="69" t="n"/>
      <c r="O7" s="69" t="n"/>
    </row>
    <row r="8">
      <c r="F8" t="inlineStr">
        <is>
          <t>Blooming Grove Town</t>
        </is>
      </c>
      <c r="G8" s="74" t="n">
        <v>17139</v>
      </c>
      <c r="H8" s="74" t="n">
        <v>11552</v>
      </c>
      <c r="I8" s="74" t="n">
        <v>2838</v>
      </c>
      <c r="J8" s="74" t="n">
        <v>2518</v>
      </c>
      <c r="K8" s="69" t="n">
        <v>150</v>
      </c>
      <c r="L8" s="69" t="n">
        <v>81</v>
      </c>
      <c r="M8" s="69" t="n"/>
      <c r="N8" s="69" t="n"/>
      <c r="O8" s="69" t="n"/>
    </row>
    <row r="9">
      <c r="A9" s="71" t="inlineStr">
        <is>
          <t>Figure Rules</t>
        </is>
      </c>
      <c r="F9" t="inlineStr">
        <is>
          <t>South Blooming Grove Village</t>
        </is>
      </c>
      <c r="G9" s="74" t="n">
        <v>3444</v>
      </c>
      <c r="H9" s="74" t="n">
        <v>1326</v>
      </c>
      <c r="I9" s="69" t="n">
        <v>268</v>
      </c>
      <c r="J9" s="74" t="n">
        <v>1786</v>
      </c>
      <c r="K9" s="69" t="n">
        <v>0</v>
      </c>
      <c r="L9" s="69" t="n">
        <v>64</v>
      </c>
      <c r="M9" s="69" t="n"/>
      <c r="N9" s="69" t="n"/>
      <c r="O9" s="69" t="n"/>
    </row>
    <row r="10">
      <c r="A10" t="inlineStr">
        <is>
          <t>Figure Type</t>
        </is>
      </c>
      <c r="F10" t="inlineStr">
        <is>
          <t>Washingtonville Village</t>
        </is>
      </c>
      <c r="G10" s="74" t="n">
        <v>5521</v>
      </c>
      <c r="H10" s="14" t="n">
        <v>4268</v>
      </c>
      <c r="I10" t="n">
        <v>957</v>
      </c>
      <c r="J10" t="n">
        <v>171</v>
      </c>
      <c r="K10" t="n">
        <v>117</v>
      </c>
      <c r="L10" t="n">
        <v>8</v>
      </c>
    </row>
    <row r="11">
      <c r="A11" t="inlineStr">
        <is>
          <t>X Column</t>
        </is>
      </c>
      <c r="F11" t="inlineStr">
        <is>
          <t>Chester Town</t>
        </is>
      </c>
      <c r="G11" s="74" t="n">
        <v>11930</v>
      </c>
      <c r="H11" s="74" t="n">
        <v>9762</v>
      </c>
      <c r="I11" s="74" t="n">
        <v>1728</v>
      </c>
      <c r="J11" s="68" t="n">
        <v>246</v>
      </c>
      <c r="K11" s="68" t="n">
        <v>87</v>
      </c>
      <c r="L11" s="68" t="n">
        <v>107</v>
      </c>
      <c r="M11" s="68" t="n"/>
      <c r="N11" s="68" t="n"/>
    </row>
    <row r="12">
      <c r="A12" t="inlineStr">
        <is>
          <t>Y Column</t>
        </is>
      </c>
      <c r="F12" s="21" t="inlineStr">
        <is>
          <t>Chester Village</t>
        </is>
      </c>
      <c r="G12" s="28" t="n">
        <v>3965</v>
      </c>
      <c r="H12" s="28" t="n">
        <v>2873</v>
      </c>
      <c r="I12" s="69" t="n">
        <v>872</v>
      </c>
      <c r="J12" s="69" t="n">
        <v>146</v>
      </c>
      <c r="K12" s="69" t="n">
        <v>17</v>
      </c>
      <c r="L12" s="69" t="n">
        <v>57</v>
      </c>
    </row>
    <row r="13">
      <c r="A13" t="inlineStr">
        <is>
          <t>X Axis Title</t>
        </is>
      </c>
      <c r="F13" t="inlineStr">
        <is>
          <t>Cornwall Town</t>
        </is>
      </c>
      <c r="G13" s="14" t="n">
        <v>12136</v>
      </c>
      <c r="H13" s="14" t="n">
        <v>10815</v>
      </c>
      <c r="I13" t="n">
        <v>754</v>
      </c>
      <c r="J13" t="n">
        <v>299</v>
      </c>
      <c r="K13" t="n">
        <v>247</v>
      </c>
      <c r="L13" t="n">
        <v>21</v>
      </c>
    </row>
    <row r="14">
      <c r="A14" t="inlineStr">
        <is>
          <t>Y Axis Title</t>
        </is>
      </c>
      <c r="F14" t="inlineStr">
        <is>
          <t>Cornwall-on-Hudson Village</t>
        </is>
      </c>
      <c r="G14" s="14" t="n">
        <v>2928</v>
      </c>
      <c r="H14" s="14" t="n">
        <v>2545</v>
      </c>
      <c r="I14" t="n">
        <v>194</v>
      </c>
      <c r="J14" t="n">
        <v>133</v>
      </c>
      <c r="K14" t="n">
        <v>51</v>
      </c>
      <c r="L14" t="n">
        <v>5</v>
      </c>
    </row>
    <row r="15">
      <c r="A15" t="inlineStr">
        <is>
          <t>Start at Zero</t>
        </is>
      </c>
      <c r="F15" t="inlineStr">
        <is>
          <t>Crawford Town</t>
        </is>
      </c>
      <c r="G15" s="14" t="n">
        <v>8705</v>
      </c>
      <c r="H15" s="14" t="n">
        <v>7399</v>
      </c>
      <c r="I15" t="n">
        <v>777</v>
      </c>
      <c r="J15" t="n">
        <v>407</v>
      </c>
      <c r="K15" t="n">
        <v>109</v>
      </c>
      <c r="L15" t="n">
        <v>13</v>
      </c>
    </row>
    <row r="16">
      <c r="A16" t="inlineStr">
        <is>
          <t>Pivot For Chart</t>
        </is>
      </c>
      <c r="F16" t="inlineStr">
        <is>
          <t>Deerpark Town</t>
        </is>
      </c>
      <c r="G16" s="14" t="n">
        <v>7216</v>
      </c>
      <c r="H16" s="14" t="n">
        <v>6587</v>
      </c>
      <c r="I16" t="n">
        <v>233</v>
      </c>
      <c r="J16" t="n">
        <v>171</v>
      </c>
      <c r="K16" t="n">
        <v>225</v>
      </c>
      <c r="L16" t="n">
        <v>0</v>
      </c>
    </row>
    <row r="17">
      <c r="F17" t="inlineStr">
        <is>
          <t>Goshen Town</t>
        </is>
      </c>
      <c r="G17" s="14" t="n">
        <v>13829</v>
      </c>
      <c r="H17" s="14" t="n">
        <v>11216</v>
      </c>
      <c r="I17" s="14" t="n">
        <v>1780</v>
      </c>
      <c r="J17" t="n">
        <v>572</v>
      </c>
      <c r="K17" t="n">
        <v>192</v>
      </c>
      <c r="L17" t="n">
        <v>69</v>
      </c>
    </row>
    <row r="18">
      <c r="A18" s="71" t="inlineStr">
        <is>
          <t>Source Specifications</t>
        </is>
      </c>
      <c r="F18" t="inlineStr">
        <is>
          <t>Goshen Village</t>
        </is>
      </c>
      <c r="G18" s="14" t="n">
        <v>5504</v>
      </c>
      <c r="H18" s="14"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t="inlineStr">
        <is>
          <t>Greenville Town</t>
        </is>
      </c>
      <c r="G19" s="14" t="n">
        <v>4447</v>
      </c>
      <c r="H19" s="14" t="n">
        <v>3862</v>
      </c>
      <c r="I19" t="n">
        <v>316</v>
      </c>
      <c r="J19" t="n">
        <v>79</v>
      </c>
      <c r="K19" t="n">
        <v>175</v>
      </c>
      <c r="L19" t="n">
        <v>15</v>
      </c>
    </row>
    <row r="20">
      <c r="F20" s="47" t="inlineStr">
        <is>
          <t>Hamptonburgh Town</t>
        </is>
      </c>
      <c r="G20" s="74" t="n">
        <v>5366</v>
      </c>
      <c r="H20" s="74" t="n">
        <v>4439</v>
      </c>
      <c r="I20" t="n">
        <v>463</v>
      </c>
      <c r="J20" t="n">
        <v>145</v>
      </c>
      <c r="K20" t="n">
        <v>239</v>
      </c>
      <c r="L20" t="n">
        <v>80</v>
      </c>
    </row>
    <row r="21">
      <c r="A21" s="69" t="inlineStr">
        <is>
          <t>Note Specfications</t>
        </is>
      </c>
      <c r="F21" s="47" t="inlineStr">
        <is>
          <t>Highlands Town</t>
        </is>
      </c>
      <c r="G21" s="74" t="n">
        <v>12086</v>
      </c>
      <c r="H21" s="74" t="n">
        <v>9659</v>
      </c>
      <c r="I21" s="14" t="n">
        <v>1187</v>
      </c>
      <c r="J21" t="n">
        <v>765</v>
      </c>
      <c r="K21" t="n">
        <v>374</v>
      </c>
      <c r="L21" t="n">
        <v>101</v>
      </c>
    </row>
    <row r="22">
      <c r="A22" t="inlineStr">
        <is>
          <t xml:space="preserve">Note </t>
        </is>
      </c>
      <c r="B22" t="inlineStr">
        <is>
          <t>Note: Town totals include Village totals.</t>
        </is>
      </c>
      <c r="F22" s="47" t="inlineStr">
        <is>
          <t>Highland Falls Village</t>
        </is>
      </c>
      <c r="G22" s="74" t="n">
        <v>3514</v>
      </c>
      <c r="H22" s="74" t="n">
        <v>2478</v>
      </c>
      <c r="I22" t="n">
        <v>562</v>
      </c>
      <c r="J22" t="n">
        <v>408</v>
      </c>
      <c r="K22" t="n">
        <v>24</v>
      </c>
      <c r="L22" t="n">
        <v>42</v>
      </c>
    </row>
    <row r="23">
      <c r="F23" s="47" t="inlineStr">
        <is>
          <t>Middletown City</t>
        </is>
      </c>
      <c r="G23" s="74" t="n">
        <v>27829</v>
      </c>
      <c r="H23" s="74" t="n">
        <v>18076</v>
      </c>
      <c r="I23" s="14" t="n">
        <v>8278</v>
      </c>
      <c r="J23" t="n">
        <v>647</v>
      </c>
      <c r="K23" t="n">
        <v>712</v>
      </c>
      <c r="L23" t="n">
        <v>116</v>
      </c>
    </row>
    <row r="24">
      <c r="F24" t="inlineStr">
        <is>
          <t>Minisink Town</t>
        </is>
      </c>
      <c r="G24" s="14" t="n">
        <v>4359</v>
      </c>
      <c r="H24" s="14" t="n">
        <v>4011</v>
      </c>
      <c r="I24" t="n">
        <v>241</v>
      </c>
      <c r="J24" t="n">
        <v>107</v>
      </c>
      <c r="K24" t="n">
        <v>0</v>
      </c>
      <c r="L24" t="n">
        <v>0</v>
      </c>
    </row>
    <row r="25">
      <c r="F25" s="47" t="inlineStr">
        <is>
          <t>Unionville Village</t>
        </is>
      </c>
      <c r="G25" s="69" t="n">
        <v>643</v>
      </c>
      <c r="H25" s="69" t="n">
        <v>557</v>
      </c>
      <c r="I25" t="n">
        <v>47</v>
      </c>
      <c r="J25" t="n">
        <v>39</v>
      </c>
      <c r="K25" t="n">
        <v>0</v>
      </c>
      <c r="L25" t="n">
        <v>0</v>
      </c>
    </row>
    <row r="26">
      <c r="F26" s="47" t="inlineStr">
        <is>
          <t>Monroe Town</t>
        </is>
      </c>
      <c r="G26" s="74" t="n">
        <v>19775</v>
      </c>
      <c r="H26" s="74" t="n">
        <v>13174</v>
      </c>
      <c r="I26" s="14" t="n">
        <v>2927</v>
      </c>
      <c r="J26" s="14" t="n">
        <v>2711</v>
      </c>
      <c r="K26" t="n">
        <v>387</v>
      </c>
      <c r="L26" t="n">
        <v>576</v>
      </c>
    </row>
    <row r="27">
      <c r="A27" s="69" t="n"/>
      <c r="F27" s="47" t="inlineStr">
        <is>
          <t>Harriman Village (portion)</t>
        </is>
      </c>
      <c r="G27" s="74" t="n">
        <v>1932</v>
      </c>
      <c r="H27" s="74" t="n">
        <v>1332</v>
      </c>
      <c r="I27" t="n">
        <v>362</v>
      </c>
      <c r="J27" t="n">
        <v>123</v>
      </c>
      <c r="K27" t="n">
        <v>13</v>
      </c>
      <c r="L27" t="n">
        <v>102</v>
      </c>
    </row>
    <row r="28">
      <c r="F28" s="47" t="inlineStr">
        <is>
          <t>Monroe Village</t>
        </is>
      </c>
      <c r="G28" s="74" t="n">
        <v>8514</v>
      </c>
      <c r="H28" s="74" t="n">
        <v>5144</v>
      </c>
      <c r="I28" s="14" t="n">
        <v>1621</v>
      </c>
      <c r="J28" s="14" t="n">
        <v>1325</v>
      </c>
      <c r="K28" t="n">
        <v>124</v>
      </c>
      <c r="L28" t="n">
        <v>300</v>
      </c>
    </row>
    <row r="29">
      <c r="F29" s="47" t="inlineStr">
        <is>
          <t>Montgomery Town</t>
        </is>
      </c>
      <c r="G29" s="74" t="n">
        <v>21772</v>
      </c>
      <c r="H29" s="74" t="n">
        <v>18320</v>
      </c>
      <c r="I29" s="14" t="n">
        <v>2280</v>
      </c>
      <c r="J29" t="n">
        <v>945</v>
      </c>
      <c r="K29" t="n">
        <v>139</v>
      </c>
      <c r="L29" t="n">
        <v>88</v>
      </c>
    </row>
    <row r="30">
      <c r="F30" s="47" t="inlineStr">
        <is>
          <t>Maybrook Village</t>
        </is>
      </c>
      <c r="G30" s="74" t="n">
        <v>3017</v>
      </c>
      <c r="H30" s="74" t="n">
        <v>2364</v>
      </c>
      <c r="I30" t="n">
        <v>441</v>
      </c>
      <c r="J30" t="n">
        <v>207</v>
      </c>
      <c r="K30" t="n">
        <v>0</v>
      </c>
      <c r="L30" t="n">
        <v>0</v>
      </c>
    </row>
    <row r="31">
      <c r="F31" s="47" t="inlineStr">
        <is>
          <t>Montgomery Village</t>
        </is>
      </c>
      <c r="G31" s="74" t="n">
        <v>3470</v>
      </c>
      <c r="H31" s="74" t="n">
        <v>2777</v>
      </c>
      <c r="I31" s="14" t="n">
        <v>6111</v>
      </c>
      <c r="J31" t="n">
        <v>74</v>
      </c>
      <c r="K31" t="n">
        <v>8</v>
      </c>
      <c r="L31" t="n">
        <v>0</v>
      </c>
    </row>
    <row r="32">
      <c r="F32" t="inlineStr">
        <is>
          <t>Walden Village</t>
        </is>
      </c>
      <c r="G32" s="14" t="n">
        <v>6457</v>
      </c>
      <c r="H32" s="14" t="n">
        <v>5424</v>
      </c>
      <c r="I32" t="n">
        <v>625</v>
      </c>
      <c r="J32" t="n">
        <v>342</v>
      </c>
      <c r="K32" t="n">
        <v>41</v>
      </c>
      <c r="L32" t="n">
        <v>25</v>
      </c>
    </row>
    <row r="33">
      <c r="F33" s="47" t="inlineStr">
        <is>
          <t>Mount Hope Town</t>
        </is>
      </c>
      <c r="G33" s="74" t="n">
        <v>6326</v>
      </c>
      <c r="H33" s="74" t="n">
        <v>5313</v>
      </c>
      <c r="I33" t="n">
        <v>755</v>
      </c>
      <c r="J33" t="n">
        <v>127</v>
      </c>
      <c r="K33" t="n">
        <v>126</v>
      </c>
      <c r="L33" t="n">
        <v>5</v>
      </c>
    </row>
    <row r="34">
      <c r="F34" s="47" t="inlineStr">
        <is>
          <t>Otisville Village</t>
        </is>
      </c>
      <c r="G34" s="74" t="n">
        <v>1165</v>
      </c>
      <c r="H34" s="69" t="n">
        <v>921</v>
      </c>
      <c r="I34" s="68" t="n">
        <v>176</v>
      </c>
      <c r="J34" t="n">
        <v>18</v>
      </c>
      <c r="K34" t="n">
        <v>50</v>
      </c>
      <c r="L34" t="n">
        <v>0</v>
      </c>
    </row>
    <row r="35">
      <c r="F35" s="47" t="inlineStr">
        <is>
          <t>Newburgh City</t>
        </is>
      </c>
      <c r="G35" s="74" t="n">
        <v>26981</v>
      </c>
      <c r="H35" s="74" t="n">
        <v>14347</v>
      </c>
      <c r="I35" s="28" t="n">
        <v>11608</v>
      </c>
      <c r="J35" t="n">
        <v>820</v>
      </c>
      <c r="K35" t="n">
        <v>46</v>
      </c>
      <c r="L35" t="n">
        <v>160</v>
      </c>
    </row>
    <row r="36">
      <c r="F36" s="47" t="inlineStr">
        <is>
          <t>Newburgh Town</t>
        </is>
      </c>
      <c r="G36" s="74" t="n">
        <v>30176</v>
      </c>
      <c r="H36" s="74" t="n">
        <v>23243</v>
      </c>
      <c r="I36" s="28" t="n">
        <v>4917</v>
      </c>
      <c r="J36" s="14" t="n">
        <v>1320</v>
      </c>
      <c r="K36" t="n">
        <v>431</v>
      </c>
      <c r="L36" t="n">
        <v>265</v>
      </c>
    </row>
    <row r="37">
      <c r="F37" s="47" t="inlineStr">
        <is>
          <t>New Windsor Town</t>
        </is>
      </c>
      <c r="G37" s="74" t="n">
        <v>26654</v>
      </c>
      <c r="H37" s="74" t="n">
        <v>19922</v>
      </c>
      <c r="I37" s="28" t="n">
        <v>4538</v>
      </c>
      <c r="J37" s="14" t="n">
        <v>1113</v>
      </c>
      <c r="K37" t="n">
        <v>821</v>
      </c>
      <c r="L37" t="n">
        <v>260</v>
      </c>
    </row>
    <row r="38">
      <c r="F38" t="inlineStr">
        <is>
          <t>Palm Tree Town</t>
        </is>
      </c>
      <c r="G38" s="14" t="n">
        <v>29555</v>
      </c>
      <c r="H38" s="14" t="n">
        <v>2173</v>
      </c>
      <c r="I38" t="n">
        <v>771</v>
      </c>
      <c r="J38" s="14" t="n">
        <v>26241</v>
      </c>
      <c r="K38" t="n">
        <v>0</v>
      </c>
      <c r="L38" t="n">
        <v>370</v>
      </c>
    </row>
    <row r="39">
      <c r="F39" t="inlineStr">
        <is>
          <t>Kiryas Joel Village</t>
        </is>
      </c>
      <c r="G39" s="14" t="n">
        <v>29555</v>
      </c>
      <c r="H39" s="14" t="n">
        <v>2173</v>
      </c>
      <c r="I39" t="n">
        <v>771</v>
      </c>
      <c r="J39" s="14" t="n">
        <v>26241</v>
      </c>
      <c r="K39" t="n">
        <v>0</v>
      </c>
      <c r="L39" t="n">
        <v>370</v>
      </c>
    </row>
    <row r="40">
      <c r="F40" t="inlineStr">
        <is>
          <t>Port Jervis City</t>
        </is>
      </c>
      <c r="G40" s="14" t="n">
        <v>8308</v>
      </c>
      <c r="H40" s="14" t="n">
        <v>6540</v>
      </c>
      <c r="I40" s="14" t="n">
        <v>1126</v>
      </c>
      <c r="J40" t="n">
        <v>357</v>
      </c>
      <c r="K40" t="n">
        <v>214</v>
      </c>
      <c r="L40" t="n">
        <v>71</v>
      </c>
    </row>
    <row r="41">
      <c r="F41" t="inlineStr">
        <is>
          <t>Tuxedo Town</t>
        </is>
      </c>
      <c r="G41" s="14" t="n">
        <v>3597</v>
      </c>
      <c r="H41" s="14" t="n">
        <v>3040</v>
      </c>
      <c r="I41" t="n">
        <v>246</v>
      </c>
      <c r="J41" t="n">
        <v>244</v>
      </c>
      <c r="K41" t="n">
        <v>57</v>
      </c>
      <c r="L41" t="n">
        <v>10</v>
      </c>
    </row>
    <row r="42">
      <c r="F42" t="inlineStr">
        <is>
          <t>Tuxedo Village</t>
        </is>
      </c>
      <c r="G42" s="14" t="n">
        <v>2950</v>
      </c>
      <c r="H42" s="14" t="n">
        <v>2456</v>
      </c>
      <c r="I42" t="n">
        <v>235</v>
      </c>
      <c r="J42" t="n">
        <v>198</v>
      </c>
      <c r="K42" t="n">
        <v>51</v>
      </c>
      <c r="L42" t="n">
        <v>10</v>
      </c>
    </row>
    <row r="43">
      <c r="F43" t="inlineStr">
        <is>
          <t>Tuxedo Park Village</t>
        </is>
      </c>
      <c r="G43" t="n">
        <v>647</v>
      </c>
      <c r="H43" t="n">
        <v>584</v>
      </c>
      <c r="I43" t="n">
        <v>11</v>
      </c>
      <c r="J43" t="n">
        <v>46</v>
      </c>
      <c r="K43" t="n">
        <v>6</v>
      </c>
      <c r="L43" t="n">
        <v>0</v>
      </c>
    </row>
    <row r="44">
      <c r="F44" t="inlineStr">
        <is>
          <t>Wallkill Town</t>
        </is>
      </c>
      <c r="G44" s="14" t="n">
        <v>29367</v>
      </c>
      <c r="H44" s="14" t="n">
        <v>22252</v>
      </c>
      <c r="I44" s="14" t="n">
        <v>3672</v>
      </c>
      <c r="J44" s="14" t="n">
        <v>2185</v>
      </c>
      <c r="K44" t="n">
        <v>691</v>
      </c>
      <c r="L44" t="n">
        <v>567</v>
      </c>
    </row>
    <row r="45">
      <c r="F45" t="inlineStr">
        <is>
          <t>Warwick Town</t>
        </is>
      </c>
      <c r="G45" s="14" t="n">
        <v>30299</v>
      </c>
      <c r="H45" s="14" t="n">
        <v>25616</v>
      </c>
      <c r="I45" s="14" t="n">
        <v>2263</v>
      </c>
      <c r="J45" s="14" t="n">
        <v>1748</v>
      </c>
      <c r="K45" t="n">
        <v>605</v>
      </c>
      <c r="L45" t="n">
        <v>67</v>
      </c>
    </row>
    <row r="46">
      <c r="F46" t="inlineStr">
        <is>
          <t>Florida Village</t>
        </is>
      </c>
      <c r="G46" s="14" t="n">
        <v>2717</v>
      </c>
      <c r="H46" s="14" t="n">
        <v>1903</v>
      </c>
      <c r="I46" t="n">
        <v>454</v>
      </c>
      <c r="J46" t="n">
        <v>203</v>
      </c>
      <c r="K46" t="n">
        <v>151</v>
      </c>
      <c r="L46" t="n">
        <v>6</v>
      </c>
    </row>
    <row r="47">
      <c r="F47" t="inlineStr">
        <is>
          <t>Greenwood Lake Village</t>
        </is>
      </c>
      <c r="G47" s="14" t="n">
        <v>2877</v>
      </c>
      <c r="H47" s="14" t="n">
        <v>2190</v>
      </c>
      <c r="I47" t="n">
        <v>335</v>
      </c>
      <c r="J47" t="n">
        <v>177</v>
      </c>
      <c r="K47" t="n">
        <v>175</v>
      </c>
      <c r="L47" t="n">
        <v>0</v>
      </c>
    </row>
    <row r="48">
      <c r="F48" t="inlineStr">
        <is>
          <t>Warwick Village</t>
        </is>
      </c>
      <c r="G48" s="14" t="n">
        <v>6318</v>
      </c>
      <c r="H48" s="14" t="n">
        <v>5278</v>
      </c>
      <c r="I48" t="n">
        <v>254</v>
      </c>
      <c r="J48" t="n">
        <v>617</v>
      </c>
      <c r="K48" t="n">
        <v>136</v>
      </c>
      <c r="L48" t="n">
        <v>33</v>
      </c>
    </row>
    <row r="49">
      <c r="F49" t="inlineStr">
        <is>
          <t>Wawayanda Town</t>
        </is>
      </c>
      <c r="G49" s="14" t="n">
        <v>7205</v>
      </c>
      <c r="H49" s="14" t="n">
        <v>6447</v>
      </c>
      <c r="I49" t="n">
        <v>496</v>
      </c>
      <c r="J49" t="n">
        <v>209</v>
      </c>
      <c r="K49" t="n">
        <v>53</v>
      </c>
      <c r="L49" t="n">
        <v>0</v>
      </c>
    </row>
    <row r="50">
      <c r="F50" t="inlineStr">
        <is>
          <t>Woodbury Town</t>
        </is>
      </c>
      <c r="G50" s="14" t="n">
        <v>11640</v>
      </c>
      <c r="H50" s="14" t="n">
        <v>8780</v>
      </c>
      <c r="I50" s="14" t="n">
        <v>1224</v>
      </c>
      <c r="J50" s="14" t="n">
        <v>1370</v>
      </c>
      <c r="K50" t="n">
        <v>218</v>
      </c>
      <c r="L50" t="n">
        <v>48</v>
      </c>
    </row>
    <row r="51">
      <c r="F51" t="inlineStr">
        <is>
          <t>Harriman Village (portion)</t>
        </is>
      </c>
      <c r="G51" t="n">
        <v>710</v>
      </c>
      <c r="H51" t="n">
        <v>303</v>
      </c>
      <c r="I51" t="n">
        <v>41</v>
      </c>
      <c r="J51" t="n">
        <v>287</v>
      </c>
      <c r="K51" t="n">
        <v>79</v>
      </c>
      <c r="L51" t="n">
        <v>0</v>
      </c>
    </row>
    <row r="52">
      <c r="F52" t="inlineStr">
        <is>
          <t>Woodbury Village</t>
        </is>
      </c>
      <c r="G52" s="14" t="n">
        <v>10930</v>
      </c>
      <c r="H52" s="14" t="n">
        <v>8477</v>
      </c>
      <c r="I52" s="14" t="n">
        <v>1183</v>
      </c>
      <c r="J52" s="14"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28515625" bestFit="1" customWidth="1" style="91" min="7" max="7"/>
    <col width="29.42578125" bestFit="1" customWidth="1" style="91" min="8" max="8"/>
    <col width="31.42578125" bestFit="1" customWidth="1" style="91" min="9" max="9"/>
    <col width="2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English Language Learners, Economically Disadvantaged, and Students with Disabilities by Public School District, 2023–2024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91">
      <c r="A6" t="inlineStr">
        <is>
          <t>Multilevel Headers</t>
        </is>
      </c>
      <c r="B6" t="b">
        <v>0</v>
      </c>
      <c r="F6" t="inlineStr">
        <is>
          <t>Chester Union Free</t>
        </is>
      </c>
      <c r="G6" s="69" t="n">
        <v>905</v>
      </c>
      <c r="H6" s="69" t="inlineStr">
        <is>
          <t>44 (5)</t>
        </is>
      </c>
      <c r="I6" s="69" t="inlineStr">
        <is>
          <t>425 (47)</t>
        </is>
      </c>
      <c r="J6" s="69" t="inlineStr">
        <is>
          <t>158 (17)</t>
        </is>
      </c>
      <c r="K6" s="69" t="n"/>
      <c r="L6" s="69" t="n"/>
      <c r="M6" s="69" t="n"/>
      <c r="N6" s="69" t="n"/>
      <c r="O6" s="69" t="n"/>
    </row>
    <row r="7" ht="15.75" customHeight="1" s="91">
      <c r="F7" t="inlineStr">
        <is>
          <t>Cornwall Central</t>
        </is>
      </c>
      <c r="G7" s="74" t="n">
        <v>2989</v>
      </c>
      <c r="H7" s="69" t="inlineStr">
        <is>
          <t>73 (2)</t>
        </is>
      </c>
      <c r="I7" s="69" t="inlineStr">
        <is>
          <t>724 (24)</t>
        </is>
      </c>
      <c r="J7" s="69" t="inlineStr">
        <is>
          <t>404 (14)</t>
        </is>
      </c>
      <c r="K7" s="69" t="n"/>
      <c r="L7" s="69" t="n"/>
      <c r="M7" s="69" t="n"/>
      <c r="N7" s="69" t="n"/>
      <c r="O7" s="69" t="n"/>
    </row>
    <row r="8">
      <c r="F8" t="inlineStr">
        <is>
          <t>Florida Union Free</t>
        </is>
      </c>
      <c r="G8" s="69" t="n">
        <v>701</v>
      </c>
      <c r="H8" s="69" t="inlineStr">
        <is>
          <t>35 (5)</t>
        </is>
      </c>
      <c r="I8" s="69" t="inlineStr">
        <is>
          <t>266 (38)</t>
        </is>
      </c>
      <c r="J8" s="69" t="inlineStr">
        <is>
          <t>112 (16)</t>
        </is>
      </c>
      <c r="K8" s="69" t="n"/>
      <c r="L8" s="69" t="n"/>
      <c r="M8" s="69" t="n"/>
      <c r="N8" s="69" t="n"/>
      <c r="O8" s="69" t="n"/>
    </row>
    <row r="9">
      <c r="A9" s="71" t="inlineStr">
        <is>
          <t>Figure Rules</t>
        </is>
      </c>
      <c r="F9" t="inlineStr">
        <is>
          <t>Goshen Central</t>
        </is>
      </c>
      <c r="G9" s="74" t="n">
        <v>2763</v>
      </c>
      <c r="H9" s="69" t="inlineStr">
        <is>
          <t>98 (4)</t>
        </is>
      </c>
      <c r="I9" s="69" t="inlineStr">
        <is>
          <t>871 (32)</t>
        </is>
      </c>
      <c r="J9" s="69" t="inlineStr">
        <is>
          <t>405 (15)</t>
        </is>
      </c>
      <c r="K9" s="69" t="n"/>
      <c r="L9" s="69" t="n"/>
      <c r="M9" s="69" t="n"/>
      <c r="N9" s="69" t="n"/>
      <c r="O9" s="69" t="n"/>
    </row>
    <row r="10">
      <c r="A10" t="inlineStr">
        <is>
          <t>Figure Type</t>
        </is>
      </c>
      <c r="F10" t="inlineStr">
        <is>
          <t>Greenwood Lake Union Free*</t>
        </is>
      </c>
      <c r="G10" s="69" t="n">
        <v>426</v>
      </c>
      <c r="H10" s="69" t="inlineStr">
        <is>
          <t>7 (2)</t>
        </is>
      </c>
      <c r="I10" s="69" t="inlineStr">
        <is>
          <t>147 (35)</t>
        </is>
      </c>
      <c r="J10" s="69" t="inlineStr">
        <is>
          <t>72 (17)</t>
        </is>
      </c>
    </row>
    <row r="11">
      <c r="A11" t="inlineStr">
        <is>
          <t>X Column</t>
        </is>
      </c>
      <c r="F11" t="inlineStr">
        <is>
          <t>Highland Falls Central</t>
        </is>
      </c>
      <c r="G11" s="69" t="n">
        <v>914</v>
      </c>
      <c r="H11" s="69" t="inlineStr">
        <is>
          <t>68 (7)</t>
        </is>
      </c>
      <c r="I11" s="69" t="inlineStr">
        <is>
          <t>447 (49)</t>
        </is>
      </c>
      <c r="J11" s="68" t="inlineStr">
        <is>
          <t>189 (21)</t>
        </is>
      </c>
      <c r="K11" s="68" t="n"/>
      <c r="L11" s="68" t="n"/>
      <c r="M11" s="68" t="n"/>
      <c r="N11" s="68" t="n"/>
    </row>
    <row r="12">
      <c r="A12" t="inlineStr">
        <is>
          <t>Y Column</t>
        </is>
      </c>
      <c r="F12" s="21" t="inlineStr">
        <is>
          <t>Kiryas Joel Village Union Free*</t>
        </is>
      </c>
      <c r="G12" s="68" t="n">
        <v>176</v>
      </c>
      <c r="H12" s="68" t="inlineStr">
        <is>
          <t>149 (85)</t>
        </is>
      </c>
      <c r="I12" s="69" t="inlineStr">
        <is>
          <t>153 (87)</t>
        </is>
      </c>
      <c r="J12" s="69" t="inlineStr">
        <is>
          <t>175 (99)</t>
        </is>
      </c>
      <c r="K12" s="69" t="n"/>
      <c r="L12" s="69" t="n"/>
    </row>
    <row r="13">
      <c r="A13" t="inlineStr">
        <is>
          <t>X Axis Title</t>
        </is>
      </c>
      <c r="F13" t="inlineStr">
        <is>
          <t>Middletown Enlarged City</t>
        </is>
      </c>
      <c r="G13" s="74" t="n">
        <v>7216</v>
      </c>
      <c r="H13" s="69" t="inlineStr">
        <is>
          <t>1,065 (15)</t>
        </is>
      </c>
      <c r="I13" s="69" t="inlineStr">
        <is>
          <t>5,370 (74)</t>
        </is>
      </c>
      <c r="J13" s="69" t="inlineStr">
        <is>
          <t>1,220 (17)</t>
        </is>
      </c>
    </row>
    <row r="14">
      <c r="A14" t="inlineStr">
        <is>
          <t>Y Axis Title</t>
        </is>
      </c>
      <c r="F14" t="inlineStr">
        <is>
          <t>Minisink Valley Central</t>
        </is>
      </c>
      <c r="G14" s="74" t="n">
        <v>3451</v>
      </c>
      <c r="H14" s="69" t="inlineStr">
        <is>
          <t>85 (2)</t>
        </is>
      </c>
      <c r="I14" s="69" t="inlineStr">
        <is>
          <t>1,162 (34)</t>
        </is>
      </c>
      <c r="J14" s="69" t="inlineStr">
        <is>
          <t>582 (17)</t>
        </is>
      </c>
    </row>
    <row r="15">
      <c r="A15" t="inlineStr">
        <is>
          <t>Start at Zero</t>
        </is>
      </c>
      <c r="F15" t="inlineStr">
        <is>
          <t>Monroe-Woodbury Central</t>
        </is>
      </c>
      <c r="G15" s="74" t="n">
        <v>6320</v>
      </c>
      <c r="H15" s="69" t="inlineStr">
        <is>
          <t>668 (11)</t>
        </is>
      </c>
      <c r="I15" s="69" t="inlineStr">
        <is>
          <t>3,051 (48)</t>
        </is>
      </c>
      <c r="J15" s="69" t="inlineStr">
        <is>
          <t>1,122 (18)</t>
        </is>
      </c>
    </row>
    <row r="16">
      <c r="A16" t="inlineStr">
        <is>
          <t>Pivot For Chart</t>
        </is>
      </c>
      <c r="F16" t="inlineStr">
        <is>
          <t>Newburgh Enlarged City</t>
        </is>
      </c>
      <c r="G16" s="74" t="n">
        <v>10516</v>
      </c>
      <c r="H16" s="69" t="inlineStr">
        <is>
          <t>1,910 (18)</t>
        </is>
      </c>
      <c r="I16" s="69" t="inlineStr">
        <is>
          <t>6,408 (61)</t>
        </is>
      </c>
      <c r="J16" s="69" t="inlineStr">
        <is>
          <t>1,765 (17)</t>
        </is>
      </c>
    </row>
    <row r="17">
      <c r="F17" t="inlineStr">
        <is>
          <t>Pine Bush Central</t>
        </is>
      </c>
      <c r="G17" s="74" t="n">
        <v>4551</v>
      </c>
      <c r="H17" s="69" t="inlineStr">
        <is>
          <t>119 (3)</t>
        </is>
      </c>
      <c r="I17" s="69" t="inlineStr">
        <is>
          <t>2,575 (57)</t>
        </is>
      </c>
      <c r="J17" s="69" t="inlineStr">
        <is>
          <t>775 (17)</t>
        </is>
      </c>
    </row>
    <row r="18">
      <c r="A18" s="71" t="inlineStr">
        <is>
          <t>Source Specifications</t>
        </is>
      </c>
      <c r="F18" t="inlineStr">
        <is>
          <t>Port Jervis City</t>
        </is>
      </c>
      <c r="G18" s="74" t="n">
        <v>2300</v>
      </c>
      <c r="H18" s="69" t="inlineStr">
        <is>
          <t>53 (2)</t>
        </is>
      </c>
      <c r="I18" s="69" t="inlineStr">
        <is>
          <t>1,403 (61)</t>
        </is>
      </c>
      <c r="J18" s="69"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69" t="n">
        <v>192</v>
      </c>
      <c r="H19" s="69" t="inlineStr">
        <is>
          <t>15 (8)</t>
        </is>
      </c>
      <c r="I19" s="69" t="inlineStr">
        <is>
          <t>80 (42)</t>
        </is>
      </c>
      <c r="J19" s="69" t="inlineStr">
        <is>
          <t>34 (18)</t>
        </is>
      </c>
    </row>
    <row r="20">
      <c r="F20" s="69" t="inlineStr">
        <is>
          <t>Valley Central</t>
        </is>
      </c>
      <c r="G20" s="74" t="n">
        <v>4124</v>
      </c>
      <c r="H20" s="69" t="inlineStr">
        <is>
          <t>70 (2)</t>
        </is>
      </c>
      <c r="I20" s="69" t="inlineStr">
        <is>
          <t>1,797 (44)</t>
        </is>
      </c>
      <c r="J20" s="69" t="inlineStr">
        <is>
          <t>799 (19)</t>
        </is>
      </c>
    </row>
    <row r="21">
      <c r="A21" s="69" t="inlineStr">
        <is>
          <t>Note Specfications</t>
        </is>
      </c>
      <c r="F21" s="69" t="inlineStr">
        <is>
          <t>Warwick Valley Central</t>
        </is>
      </c>
      <c r="G21" s="74" t="n">
        <v>3689</v>
      </c>
      <c r="H21" s="69" t="inlineStr">
        <is>
          <t>43 (1)</t>
        </is>
      </c>
      <c r="I21" s="69" t="inlineStr">
        <is>
          <t>798 (22)</t>
        </is>
      </c>
      <c r="J21" s="69"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69" t="inlineStr">
        <is>
          <t>Washingtonville Central</t>
        </is>
      </c>
      <c r="G22" s="74" t="n">
        <v>3806</v>
      </c>
      <c r="H22" s="69" t="inlineStr">
        <is>
          <t>174 (5)</t>
        </is>
      </c>
      <c r="I22" s="69" t="inlineStr">
        <is>
          <t>1,567 (41)</t>
        </is>
      </c>
      <c r="J22" s="69" t="inlineStr">
        <is>
          <t>581 (15)</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8.7109375" bestFit="1" customWidth="1" style="91" min="16" max="16"/>
  </cols>
  <sheetData>
    <row r="1" ht="15" customHeight="1" s="91">
      <c r="A1" s="16" t="inlineStr">
        <is>
          <t>Name</t>
        </is>
      </c>
      <c r="B1" s="66" t="inlineStr">
        <is>
          <t>Uninsured Civilian Noninstitutionalized Population,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4.8</v>
      </c>
      <c r="H6" s="69" t="n">
        <v>3.4</v>
      </c>
      <c r="I6" s="69" t="n">
        <v>5.2</v>
      </c>
      <c r="J6" s="69" t="n">
        <v>18.8</v>
      </c>
      <c r="K6" s="69" t="n">
        <v>10.6</v>
      </c>
      <c r="L6" s="69" t="n">
        <v>78.09999999999999</v>
      </c>
      <c r="M6" s="69" t="n">
        <v>10.4</v>
      </c>
      <c r="N6" s="69" t="n">
        <v>4.7</v>
      </c>
      <c r="O6" s="69" t="n">
        <v>8.4</v>
      </c>
      <c r="P6" t="n">
        <v>3</v>
      </c>
    </row>
    <row r="7" ht="15.75" customHeight="1" s="91">
      <c r="F7" t="inlineStr">
        <is>
          <t>NYS</t>
        </is>
      </c>
      <c r="G7" s="69" t="n">
        <v>5.1</v>
      </c>
      <c r="H7" s="69" t="n">
        <v>3.3</v>
      </c>
      <c r="I7" s="69" t="n">
        <v>5.6</v>
      </c>
      <c r="J7" s="69" t="n">
        <v>13.6</v>
      </c>
      <c r="K7" s="69" t="n">
        <v>6</v>
      </c>
      <c r="L7" s="69" t="n">
        <v>12.8</v>
      </c>
      <c r="M7" s="69" t="n">
        <v>11.7</v>
      </c>
      <c r="N7" s="69" t="n">
        <v>6.8</v>
      </c>
      <c r="O7" s="69" t="n">
        <v>9.699999999999999</v>
      </c>
      <c r="P7" t="n">
        <v>3.1</v>
      </c>
    </row>
    <row r="8">
      <c r="F8" t="inlineStr">
        <is>
          <t>US</t>
        </is>
      </c>
      <c r="G8" s="69" t="n">
        <v>8.6</v>
      </c>
      <c r="H8" s="69" t="n">
        <v>6.6</v>
      </c>
      <c r="I8" s="69" t="n">
        <v>9.5</v>
      </c>
      <c r="J8" s="69" t="n">
        <v>19.2</v>
      </c>
      <c r="K8" s="69" t="n">
        <v>5.9</v>
      </c>
      <c r="L8" s="69" t="n">
        <v>11.6</v>
      </c>
      <c r="M8" s="69" t="n">
        <v>19.7</v>
      </c>
      <c r="N8" s="69" t="n">
        <v>13</v>
      </c>
      <c r="O8" s="69" t="n">
        <v>17.5</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30.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Cars Available per Household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Households</t>
        </is>
      </c>
      <c r="H5" s="69" t="inlineStr">
        <is>
          <t>Vehicles Available by Household</t>
        </is>
      </c>
    </row>
    <row r="6" ht="15" customHeight="1" s="91">
      <c r="A6" t="inlineStr">
        <is>
          <t>Multilevel Headers</t>
        </is>
      </c>
      <c r="B6" t="b">
        <v>1</v>
      </c>
      <c r="H6" s="69" t="n">
        <v>0</v>
      </c>
      <c r="I6" s="69" t="n">
        <v>1</v>
      </c>
      <c r="J6" s="69" t="n">
        <v>2</v>
      </c>
      <c r="K6" s="69" t="n">
        <v>3</v>
      </c>
      <c r="L6" s="69" t="inlineStr">
        <is>
          <t>4+</t>
        </is>
      </c>
      <c r="M6" s="69" t="n"/>
      <c r="N6" s="69" t="n"/>
      <c r="O6" s="69" t="n"/>
    </row>
    <row r="7" ht="15.75" customHeight="1" s="91">
      <c r="F7" t="inlineStr">
        <is>
          <t>Orange County</t>
        </is>
      </c>
      <c r="G7" s="74" t="n">
        <v>137311</v>
      </c>
      <c r="H7" s="74" t="n">
        <v>11823</v>
      </c>
      <c r="I7" s="74" t="n">
        <v>44006</v>
      </c>
      <c r="J7" s="74" t="n">
        <v>50961</v>
      </c>
      <c r="K7" s="74" t="n">
        <v>19803</v>
      </c>
      <c r="L7" s="74" t="n">
        <v>10718</v>
      </c>
      <c r="M7" s="69" t="n"/>
      <c r="N7" s="69" t="n"/>
      <c r="O7" s="69" t="n"/>
    </row>
    <row r="8">
      <c r="F8" t="inlineStr">
        <is>
          <t>Blooming Grove Town</t>
        </is>
      </c>
      <c r="G8" s="74" t="n">
        <v>6149</v>
      </c>
      <c r="H8" s="69" t="n">
        <v>259</v>
      </c>
      <c r="I8" s="74" t="n">
        <v>2189</v>
      </c>
      <c r="J8" s="74" t="n">
        <v>2236</v>
      </c>
      <c r="K8" s="69" t="n">
        <v>958</v>
      </c>
      <c r="L8" s="69" t="n">
        <v>507</v>
      </c>
      <c r="M8" s="69" t="n"/>
      <c r="N8" s="69" t="n"/>
      <c r="O8" s="69" t="n"/>
    </row>
    <row r="9">
      <c r="A9" s="71" t="inlineStr">
        <is>
          <t>Figure Rules</t>
        </is>
      </c>
      <c r="F9" t="inlineStr">
        <is>
          <t>South Blooming Grove Village</t>
        </is>
      </c>
      <c r="G9" s="74" t="n">
        <v>1173</v>
      </c>
      <c r="H9" s="69" t="n">
        <v>64</v>
      </c>
      <c r="I9" s="69" t="n">
        <v>598</v>
      </c>
      <c r="J9" s="69" t="n">
        <v>392</v>
      </c>
      <c r="K9" s="69" t="n">
        <v>30</v>
      </c>
      <c r="L9" s="69" t="n">
        <v>89</v>
      </c>
      <c r="M9" s="69" t="n"/>
      <c r="N9" s="69" t="n"/>
      <c r="O9" s="69" t="n"/>
    </row>
    <row r="10">
      <c r="A10" t="inlineStr">
        <is>
          <t>Figure Type</t>
        </is>
      </c>
      <c r="F10" t="inlineStr">
        <is>
          <t>Washingtonville Village</t>
        </is>
      </c>
      <c r="G10" s="74" t="n">
        <v>2106</v>
      </c>
      <c r="H10" t="n">
        <v>78</v>
      </c>
      <c r="I10" t="n">
        <v>647</v>
      </c>
      <c r="J10" t="n">
        <v>950</v>
      </c>
      <c r="K10" t="n">
        <v>236</v>
      </c>
      <c r="L10" t="n">
        <v>195</v>
      </c>
    </row>
    <row r="11">
      <c r="A11" t="inlineStr">
        <is>
          <t>X Column</t>
        </is>
      </c>
      <c r="F11" t="inlineStr">
        <is>
          <t>Chester Town</t>
        </is>
      </c>
      <c r="G11" s="74" t="n">
        <v>4458</v>
      </c>
      <c r="H11" s="69" t="n">
        <v>139</v>
      </c>
      <c r="I11" s="69" t="n">
        <v>943</v>
      </c>
      <c r="J11" s="28" t="n">
        <v>2154</v>
      </c>
      <c r="K11" s="68" t="n">
        <v>806</v>
      </c>
      <c r="L11" s="68" t="n">
        <v>416</v>
      </c>
      <c r="M11" s="68" t="n"/>
      <c r="N11" s="68" t="n"/>
    </row>
    <row r="12">
      <c r="A12" t="inlineStr">
        <is>
          <t>Y Column</t>
        </is>
      </c>
      <c r="F12" s="21" t="inlineStr">
        <is>
          <t>Chester Village</t>
        </is>
      </c>
      <c r="G12" s="28" t="n">
        <v>1560</v>
      </c>
      <c r="H12" s="68" t="n">
        <v>124</v>
      </c>
      <c r="I12" s="69" t="n">
        <v>406</v>
      </c>
      <c r="J12" s="69" t="n">
        <v>685</v>
      </c>
      <c r="K12" s="69" t="n">
        <v>305</v>
      </c>
      <c r="L12" s="69" t="n">
        <v>40</v>
      </c>
    </row>
    <row r="13">
      <c r="A13" t="inlineStr">
        <is>
          <t>X Axis Title</t>
        </is>
      </c>
      <c r="F13" t="inlineStr">
        <is>
          <t>Cornwall Town</t>
        </is>
      </c>
      <c r="G13" s="14" t="n">
        <v>5023</v>
      </c>
      <c r="H13" t="n">
        <v>102</v>
      </c>
      <c r="I13" s="14" t="n">
        <v>1605</v>
      </c>
      <c r="J13" s="14" t="n">
        <v>2274</v>
      </c>
      <c r="K13" t="n">
        <v>690</v>
      </c>
      <c r="L13" t="n">
        <v>352</v>
      </c>
    </row>
    <row r="14">
      <c r="A14" t="inlineStr">
        <is>
          <t>Y Axis Title</t>
        </is>
      </c>
      <c r="F14" t="inlineStr">
        <is>
          <t>Cornwall-on-Hudson Village</t>
        </is>
      </c>
      <c r="G14" s="14" t="n">
        <v>1230</v>
      </c>
      <c r="H14" t="n">
        <v>29</v>
      </c>
      <c r="I14" t="n">
        <v>283</v>
      </c>
      <c r="J14" t="n">
        <v>713</v>
      </c>
      <c r="K14" t="n">
        <v>124</v>
      </c>
      <c r="L14" t="n">
        <v>81</v>
      </c>
    </row>
    <row r="15">
      <c r="A15" t="inlineStr">
        <is>
          <t>Start at Zero</t>
        </is>
      </c>
      <c r="F15" t="inlineStr">
        <is>
          <t>Crawford Town</t>
        </is>
      </c>
      <c r="G15" s="14" t="n">
        <v>3001</v>
      </c>
      <c r="H15" t="n">
        <v>23</v>
      </c>
      <c r="I15" t="n">
        <v>627</v>
      </c>
      <c r="J15" s="14" t="n">
        <v>1059</v>
      </c>
      <c r="K15" t="n">
        <v>747</v>
      </c>
      <c r="L15" t="n">
        <v>545</v>
      </c>
    </row>
    <row r="16">
      <c r="A16" t="inlineStr">
        <is>
          <t>Pivot For Chart</t>
        </is>
      </c>
      <c r="F16" t="inlineStr">
        <is>
          <t>Deerpark Town</t>
        </is>
      </c>
      <c r="G16" s="14" t="n">
        <v>2993</v>
      </c>
      <c r="H16" t="n">
        <v>92</v>
      </c>
      <c r="I16" s="14" t="n">
        <v>1031</v>
      </c>
      <c r="J16" s="14" t="n">
        <v>1443</v>
      </c>
      <c r="K16" t="n">
        <v>297</v>
      </c>
      <c r="L16" t="n">
        <v>130</v>
      </c>
    </row>
    <row r="17">
      <c r="F17" t="inlineStr">
        <is>
          <t>Goshen Town</t>
        </is>
      </c>
      <c r="G17" s="14" t="n">
        <v>4861</v>
      </c>
      <c r="H17" t="n">
        <v>357</v>
      </c>
      <c r="I17" s="14" t="n">
        <v>1400</v>
      </c>
      <c r="J17" s="14" t="n">
        <v>1879</v>
      </c>
      <c r="K17" t="n">
        <v>923</v>
      </c>
      <c r="L17" t="n">
        <v>302</v>
      </c>
    </row>
    <row r="18">
      <c r="A18" s="71" t="inlineStr">
        <is>
          <t>Source Specifications</t>
        </is>
      </c>
      <c r="F18" t="inlineStr">
        <is>
          <t>Goshen Village</t>
        </is>
      </c>
      <c r="G18" s="14"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87</v>
      </c>
      <c r="I19" t="n">
        <v>271</v>
      </c>
      <c r="J19" t="n">
        <v>703</v>
      </c>
      <c r="K19" t="n">
        <v>328</v>
      </c>
      <c r="L19" t="n">
        <v>256</v>
      </c>
    </row>
    <row r="20">
      <c r="F20" s="47" t="inlineStr">
        <is>
          <t>Hamptonburgh Town</t>
        </is>
      </c>
      <c r="G20" s="74" t="n">
        <v>1745</v>
      </c>
      <c r="H20" s="69" t="n">
        <v>0</v>
      </c>
      <c r="I20" t="n">
        <v>416</v>
      </c>
      <c r="J20" t="n">
        <v>648</v>
      </c>
      <c r="K20" t="n">
        <v>394</v>
      </c>
      <c r="L20" t="n">
        <v>287</v>
      </c>
    </row>
    <row r="21">
      <c r="A21" s="69" t="inlineStr">
        <is>
          <t>Note Specfications</t>
        </is>
      </c>
      <c r="F21" s="47" t="inlineStr">
        <is>
          <t>Highlands Town</t>
        </is>
      </c>
      <c r="G21" s="74" t="n">
        <v>3938</v>
      </c>
      <c r="H21" s="69" t="n">
        <v>105</v>
      </c>
      <c r="I21" s="14" t="n">
        <v>1410</v>
      </c>
      <c r="J21" s="14" t="n">
        <v>1806</v>
      </c>
      <c r="K21" t="n">
        <v>400</v>
      </c>
      <c r="L21" t="n">
        <v>217</v>
      </c>
    </row>
    <row r="22">
      <c r="A22" t="inlineStr">
        <is>
          <t xml:space="preserve">Note </t>
        </is>
      </c>
      <c r="B22" t="inlineStr">
        <is>
          <t>Note: Town totals include Village totals.</t>
        </is>
      </c>
      <c r="F22" s="47" t="inlineStr">
        <is>
          <t>Highland Falls Village</t>
        </is>
      </c>
      <c r="G22" s="74" t="n">
        <v>1648</v>
      </c>
      <c r="H22" s="69" t="n">
        <v>56</v>
      </c>
      <c r="I22" t="n">
        <v>770</v>
      </c>
      <c r="J22" t="n">
        <v>588</v>
      </c>
      <c r="K22" t="n">
        <v>188</v>
      </c>
      <c r="L22" t="n">
        <v>46</v>
      </c>
    </row>
    <row r="23">
      <c r="F23" s="47" t="inlineStr">
        <is>
          <t>Middletown City</t>
        </is>
      </c>
      <c r="G23" s="74" t="n">
        <v>10182</v>
      </c>
      <c r="H23" s="74" t="n">
        <v>1391</v>
      </c>
      <c r="I23" s="14" t="n">
        <v>3867</v>
      </c>
      <c r="J23" s="14" t="n">
        <v>3270</v>
      </c>
      <c r="K23" s="14" t="n">
        <v>1017</v>
      </c>
      <c r="L23" t="n">
        <v>637</v>
      </c>
    </row>
    <row r="24">
      <c r="F24" t="inlineStr">
        <is>
          <t>Minisink Town</t>
        </is>
      </c>
      <c r="G24" s="14" t="n">
        <v>1526</v>
      </c>
      <c r="H24" t="n">
        <v>43</v>
      </c>
      <c r="I24" t="n">
        <v>309</v>
      </c>
      <c r="J24" t="n">
        <v>652</v>
      </c>
      <c r="K24" t="n">
        <v>207</v>
      </c>
      <c r="L24" t="n">
        <v>315</v>
      </c>
    </row>
    <row r="25">
      <c r="F25" s="47" t="inlineStr">
        <is>
          <t>Unionville Village</t>
        </is>
      </c>
      <c r="G25" s="69" t="n">
        <v>222</v>
      </c>
      <c r="H25" s="69" t="n">
        <v>0</v>
      </c>
      <c r="I25" t="n">
        <v>44</v>
      </c>
      <c r="J25" t="n">
        <v>141</v>
      </c>
      <c r="K25" t="n">
        <v>23</v>
      </c>
      <c r="L25" t="n">
        <v>14</v>
      </c>
    </row>
    <row r="26">
      <c r="F26" s="47" t="inlineStr">
        <is>
          <t>Monroe Town</t>
        </is>
      </c>
      <c r="G26" s="74" t="n">
        <v>6855</v>
      </c>
      <c r="H26" s="69" t="n">
        <v>301</v>
      </c>
      <c r="I26" s="14" t="n">
        <v>2096</v>
      </c>
      <c r="J26" s="14" t="n">
        <v>2539</v>
      </c>
      <c r="K26" s="14" t="n">
        <v>1532</v>
      </c>
      <c r="L26" t="n">
        <v>387</v>
      </c>
    </row>
    <row r="27">
      <c r="A27" s="69" t="n"/>
      <c r="F27" s="47" t="inlineStr">
        <is>
          <t>Harriman Village (partial)*</t>
        </is>
      </c>
      <c r="G27" s="69" t="n">
        <v>792</v>
      </c>
      <c r="H27" s="69" t="n">
        <v>57</v>
      </c>
      <c r="I27" t="n">
        <v>346</v>
      </c>
      <c r="J27" t="n">
        <v>264</v>
      </c>
      <c r="K27" t="n">
        <v>97</v>
      </c>
      <c r="L27" t="n">
        <v>28</v>
      </c>
    </row>
    <row r="28">
      <c r="F28" s="47" t="inlineStr">
        <is>
          <t>Monroe Village</t>
        </is>
      </c>
      <c r="G28" s="74" t="n">
        <v>2886</v>
      </c>
      <c r="H28" s="69" t="n">
        <v>137</v>
      </c>
      <c r="I28" s="14" t="n">
        <v>1025</v>
      </c>
      <c r="J28" t="n">
        <v>966</v>
      </c>
      <c r="K28" t="n">
        <v>536</v>
      </c>
      <c r="L28" t="n">
        <v>222</v>
      </c>
    </row>
    <row r="29">
      <c r="F29" s="47" t="inlineStr">
        <is>
          <t>Montgomery Town</t>
        </is>
      </c>
      <c r="G29" s="74" t="n">
        <v>8306</v>
      </c>
      <c r="H29" s="69" t="n">
        <v>421</v>
      </c>
      <c r="I29" s="14" t="n">
        <v>2443</v>
      </c>
      <c r="J29" s="14" t="n">
        <v>3356</v>
      </c>
      <c r="K29" s="14" t="n">
        <v>1258</v>
      </c>
      <c r="L29" t="n">
        <v>828</v>
      </c>
    </row>
    <row r="30">
      <c r="F30" s="47" t="inlineStr">
        <is>
          <t>Maybrook Village</t>
        </is>
      </c>
      <c r="G30" s="74" t="n">
        <v>1401</v>
      </c>
      <c r="H30" s="69" t="n">
        <v>96</v>
      </c>
      <c r="I30" t="n">
        <v>706</v>
      </c>
      <c r="J30" t="n">
        <v>424</v>
      </c>
      <c r="K30" t="n">
        <v>122</v>
      </c>
      <c r="L30" t="n">
        <v>53</v>
      </c>
    </row>
    <row r="31">
      <c r="F31" s="47" t="inlineStr">
        <is>
          <t>Montgomery Village</t>
        </is>
      </c>
      <c r="G31" s="74" t="n">
        <v>1535</v>
      </c>
      <c r="H31" s="69" t="n">
        <v>119</v>
      </c>
      <c r="I31" t="n">
        <v>510</v>
      </c>
      <c r="J31" t="n">
        <v>711</v>
      </c>
      <c r="K31" t="n">
        <v>174</v>
      </c>
      <c r="L31" t="n">
        <v>21</v>
      </c>
    </row>
    <row r="32">
      <c r="F32" t="inlineStr">
        <is>
          <t>Walden Village</t>
        </is>
      </c>
      <c r="G32" s="14" t="n">
        <v>2621</v>
      </c>
      <c r="H32" t="n">
        <v>167</v>
      </c>
      <c r="I32" t="n">
        <v>638</v>
      </c>
      <c r="J32" s="14" t="n">
        <v>1124</v>
      </c>
      <c r="K32" t="n">
        <v>451</v>
      </c>
      <c r="L32" t="n">
        <v>241</v>
      </c>
    </row>
    <row r="33">
      <c r="F33" s="47" t="inlineStr">
        <is>
          <t>Mount Hope Town</t>
        </is>
      </c>
      <c r="G33" s="74" t="n">
        <v>2094</v>
      </c>
      <c r="H33" s="69" t="n">
        <v>76</v>
      </c>
      <c r="I33" t="n">
        <v>723</v>
      </c>
      <c r="J33" t="n">
        <v>846</v>
      </c>
      <c r="K33" t="n">
        <v>252</v>
      </c>
      <c r="L33" t="n">
        <v>197</v>
      </c>
    </row>
    <row r="34">
      <c r="F34" s="47" t="inlineStr">
        <is>
          <t>Otisville Village</t>
        </is>
      </c>
      <c r="G34" s="69" t="n">
        <v>439</v>
      </c>
      <c r="H34" s="69" t="n">
        <v>31</v>
      </c>
      <c r="I34" s="68" t="n">
        <v>143</v>
      </c>
      <c r="J34" t="n">
        <v>202</v>
      </c>
      <c r="K34" t="n">
        <v>30</v>
      </c>
      <c r="L34" t="n">
        <v>33</v>
      </c>
    </row>
    <row r="35">
      <c r="F35" s="47" t="inlineStr">
        <is>
          <t>Newburgh City</t>
        </is>
      </c>
      <c r="G35" s="74" t="n">
        <v>10335</v>
      </c>
      <c r="H35" s="74" t="n">
        <v>2442</v>
      </c>
      <c r="I35" s="28" t="n">
        <v>4554</v>
      </c>
      <c r="J35" s="14" t="n">
        <v>2503</v>
      </c>
      <c r="K35" t="n">
        <v>542</v>
      </c>
      <c r="L35" t="n">
        <v>294</v>
      </c>
    </row>
    <row r="36">
      <c r="F36" s="47" t="inlineStr">
        <is>
          <t>Newburgh Town</t>
        </is>
      </c>
      <c r="G36" s="74" t="n">
        <v>11553</v>
      </c>
      <c r="H36" s="69" t="n">
        <v>399</v>
      </c>
      <c r="I36" s="28" t="n">
        <v>2737</v>
      </c>
      <c r="J36" s="14" t="n">
        <v>5100</v>
      </c>
      <c r="K36" s="14" t="n">
        <v>2304</v>
      </c>
      <c r="L36" s="14" t="n">
        <v>1013</v>
      </c>
    </row>
    <row r="37">
      <c r="F37" s="47" t="inlineStr">
        <is>
          <t>New Windsor Town</t>
        </is>
      </c>
      <c r="G37" s="74" t="n">
        <v>10763</v>
      </c>
      <c r="H37" s="69" t="n">
        <v>436</v>
      </c>
      <c r="I37" s="28" t="n">
        <v>3551</v>
      </c>
      <c r="J37" s="14" t="n">
        <v>4394</v>
      </c>
      <c r="K37" s="14" t="n">
        <v>1541</v>
      </c>
      <c r="L37" t="n">
        <v>841</v>
      </c>
    </row>
    <row r="38">
      <c r="F38" t="inlineStr">
        <is>
          <t>Palm Tree Town</t>
        </is>
      </c>
      <c r="G38" s="14" t="n">
        <v>6869</v>
      </c>
      <c r="H38" s="14" t="n">
        <v>2413</v>
      </c>
      <c r="I38" s="14" t="n">
        <v>3964</v>
      </c>
      <c r="J38" t="n">
        <v>475</v>
      </c>
      <c r="K38" t="n">
        <v>0</v>
      </c>
      <c r="L38" t="n">
        <v>17</v>
      </c>
    </row>
    <row r="39">
      <c r="F39" t="inlineStr">
        <is>
          <t>Kiryas Joel Village</t>
        </is>
      </c>
      <c r="G39" s="14" t="n">
        <v>6869</v>
      </c>
      <c r="H39" s="14" t="n">
        <v>2413</v>
      </c>
      <c r="I39" s="14" t="n">
        <v>3964</v>
      </c>
      <c r="J39" t="n">
        <v>475</v>
      </c>
      <c r="K39" t="n">
        <v>0</v>
      </c>
      <c r="L39" t="n">
        <v>17</v>
      </c>
    </row>
    <row r="40">
      <c r="F40" t="inlineStr">
        <is>
          <t>Port Jervis City</t>
        </is>
      </c>
      <c r="G40" s="14" t="n">
        <v>3533</v>
      </c>
      <c r="H40" t="n">
        <v>686</v>
      </c>
      <c r="I40" s="14" t="n">
        <v>1337</v>
      </c>
      <c r="J40" s="14" t="n">
        <v>1006</v>
      </c>
      <c r="K40" t="n">
        <v>306</v>
      </c>
      <c r="L40" t="n">
        <v>198</v>
      </c>
    </row>
    <row r="41">
      <c r="F41" t="inlineStr">
        <is>
          <t>Tuxedo Town</t>
        </is>
      </c>
      <c r="G41" s="14" t="n">
        <v>1539</v>
      </c>
      <c r="H41" t="n">
        <v>36</v>
      </c>
      <c r="I41" t="n">
        <v>501</v>
      </c>
      <c r="J41" t="n">
        <v>492</v>
      </c>
      <c r="K41" t="n">
        <v>251</v>
      </c>
      <c r="L41" t="n">
        <v>259</v>
      </c>
    </row>
    <row r="42">
      <c r="F42" t="inlineStr">
        <is>
          <t>Tuxedo Village</t>
        </is>
      </c>
      <c r="G42" s="14" t="n">
        <v>1151</v>
      </c>
      <c r="H42" t="n">
        <v>35</v>
      </c>
      <c r="I42" t="n">
        <v>384</v>
      </c>
      <c r="J42" t="n">
        <v>397</v>
      </c>
      <c r="K42" t="n">
        <v>217</v>
      </c>
      <c r="L42" t="n">
        <v>118</v>
      </c>
    </row>
    <row r="43">
      <c r="F43" t="inlineStr">
        <is>
          <t>Tuxedo Park Village</t>
        </is>
      </c>
      <c r="G43" t="n">
        <v>388</v>
      </c>
      <c r="H43" t="n">
        <v>1</v>
      </c>
      <c r="I43" t="n">
        <v>117</v>
      </c>
      <c r="J43" t="n">
        <v>95</v>
      </c>
      <c r="K43" t="n">
        <v>34</v>
      </c>
      <c r="L43" t="n">
        <v>141</v>
      </c>
    </row>
    <row r="44">
      <c r="F44" t="inlineStr">
        <is>
          <t>Wallkill Town</t>
        </is>
      </c>
      <c r="G44" s="14" t="n">
        <v>11910</v>
      </c>
      <c r="H44" t="n">
        <v>986</v>
      </c>
      <c r="I44" s="14" t="n">
        <v>3575</v>
      </c>
      <c r="J44" s="14" t="n">
        <v>4894</v>
      </c>
      <c r="K44" s="14" t="n">
        <v>1738</v>
      </c>
      <c r="L44" t="n">
        <v>717</v>
      </c>
    </row>
    <row r="45">
      <c r="F45" t="inlineStr">
        <is>
          <t>Warwick Town</t>
        </is>
      </c>
      <c r="G45" s="14" t="n">
        <v>11743</v>
      </c>
      <c r="H45" t="n">
        <v>662</v>
      </c>
      <c r="I45" s="14" t="n">
        <v>3157</v>
      </c>
      <c r="J45" s="14" t="n">
        <v>4459</v>
      </c>
      <c r="K45" s="14" t="n">
        <v>2314</v>
      </c>
      <c r="L45" s="14" t="n">
        <v>1151</v>
      </c>
    </row>
    <row r="46">
      <c r="F46" t="inlineStr">
        <is>
          <t>Florida Village</t>
        </is>
      </c>
      <c r="G46" t="n">
        <v>936</v>
      </c>
      <c r="H46" t="n">
        <v>57</v>
      </c>
      <c r="I46" t="n">
        <v>212</v>
      </c>
      <c r="J46" t="n">
        <v>390</v>
      </c>
      <c r="K46" t="n">
        <v>198</v>
      </c>
      <c r="L46" t="n">
        <v>79</v>
      </c>
    </row>
    <row r="47">
      <c r="F47" t="inlineStr">
        <is>
          <t>Greenwood Lake Village</t>
        </is>
      </c>
      <c r="G47" s="14" t="n">
        <v>1181</v>
      </c>
      <c r="H47" t="n">
        <v>59</v>
      </c>
      <c r="I47" t="n">
        <v>244</v>
      </c>
      <c r="J47" t="n">
        <v>642</v>
      </c>
      <c r="K47" t="n">
        <v>201</v>
      </c>
      <c r="L47" t="n">
        <v>35</v>
      </c>
    </row>
    <row r="48">
      <c r="F48" t="inlineStr">
        <is>
          <t>Warwick Village</t>
        </is>
      </c>
      <c r="G48" s="14" t="n">
        <v>2998</v>
      </c>
      <c r="H48" t="n">
        <v>362</v>
      </c>
      <c r="I48" s="14" t="n">
        <v>1384</v>
      </c>
      <c r="J48" t="n">
        <v>804</v>
      </c>
      <c r="K48" t="n">
        <v>329</v>
      </c>
      <c r="L48" t="n">
        <v>119</v>
      </c>
    </row>
    <row r="49">
      <c r="F49" t="inlineStr">
        <is>
          <t>Wawayanda Town</t>
        </is>
      </c>
      <c r="G49" s="14" t="n">
        <v>2468</v>
      </c>
      <c r="H49" t="n">
        <v>105</v>
      </c>
      <c r="I49" t="n">
        <v>472</v>
      </c>
      <c r="J49" s="14" t="n">
        <v>1045</v>
      </c>
      <c r="K49" t="n">
        <v>441</v>
      </c>
      <c r="L49" t="n">
        <v>405</v>
      </c>
    </row>
    <row r="50">
      <c r="F50" t="inlineStr">
        <is>
          <t>Woodbury Town</t>
        </is>
      </c>
      <c r="G50" s="14" t="n">
        <v>3822</v>
      </c>
      <c r="H50" t="n">
        <v>262</v>
      </c>
      <c r="I50" t="n">
        <v>828</v>
      </c>
      <c r="J50" s="14" t="n">
        <v>1728</v>
      </c>
      <c r="K50" t="n">
        <v>557</v>
      </c>
      <c r="L50" t="n">
        <v>447</v>
      </c>
    </row>
    <row r="51">
      <c r="F51" t="inlineStr">
        <is>
          <t>Harriman Village (partial)*</t>
        </is>
      </c>
      <c r="G51" t="n">
        <v>259</v>
      </c>
      <c r="H51" t="n">
        <v>56</v>
      </c>
      <c r="I51" t="n">
        <v>142</v>
      </c>
      <c r="J51" t="n">
        <v>41</v>
      </c>
      <c r="K51" t="n">
        <v>6</v>
      </c>
      <c r="L51" t="n">
        <v>14</v>
      </c>
    </row>
    <row r="52">
      <c r="F52" t="inlineStr">
        <is>
          <t>Woodbury Village</t>
        </is>
      </c>
      <c r="G52" s="14" t="n">
        <v>3563</v>
      </c>
      <c r="H52" t="n">
        <v>206</v>
      </c>
      <c r="I52" t="n">
        <v>686</v>
      </c>
      <c r="J52" s="14"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85546875" bestFit="1" customWidth="1" style="91" min="7" max="7"/>
    <col width="27.42578125" bestFit="1" customWidth="1" style="91" min="8" max="8"/>
    <col width="25.42578125" bestFit="1" customWidth="1" style="91" min="9" max="10"/>
    <col width="8.85546875" bestFit="1" customWidth="1" style="91" min="11" max="11"/>
    <col width="12.42578125" bestFit="1" customWidth="1" style="91" min="12" max="12"/>
    <col width="19" bestFit="1" customWidth="1" style="91" min="13" max="13"/>
    <col width="27.140625" bestFit="1" customWidth="1" style="91" min="14" max="14"/>
    <col width="12.42578125" bestFit="1" customWidth="1" style="91" min="15" max="16"/>
  </cols>
  <sheetData>
    <row r="1">
      <c r="A1" s="16" t="inlineStr">
        <is>
          <t>Name</t>
        </is>
      </c>
      <c r="B1" s="66" t="inlineStr">
        <is>
          <t>Commuting to Work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71" t="inlineStr">
        <is>
          <t>Table Rules</t>
        </is>
      </c>
      <c r="E5" s="70" t="inlineStr">
        <is>
          <t xml:space="preserve">Enter Data </t>
        </is>
      </c>
      <c r="F5" s="69" t="inlineStr">
        <is>
          <t>Geographic Area</t>
        </is>
      </c>
      <c r="G5" s="69" t="inlineStr">
        <is>
          <t>Total Workers Age 16+</t>
        </is>
      </c>
      <c r="H5" s="69" t="inlineStr">
        <is>
          <t>Journey to Work</t>
        </is>
      </c>
      <c r="N5" s="69" t="inlineStr">
        <is>
          <t>Mean Travel Time in Minutes</t>
        </is>
      </c>
    </row>
    <row r="6" ht="15" customHeight="1" s="91">
      <c r="A6" t="inlineStr">
        <is>
          <t>Multilevel Headers</t>
        </is>
      </c>
      <c r="B6" t="b">
        <v>1</v>
      </c>
      <c r="H6" s="69" t="inlineStr">
        <is>
          <t>Drove Alone (Car, Truck, Van)</t>
        </is>
      </c>
      <c r="I6" s="69" t="inlineStr">
        <is>
          <t>Carpooled (Car, Truck, Van)</t>
        </is>
      </c>
      <c r="J6" s="69" t="inlineStr">
        <is>
          <t>Public Transit (Not Taxicab)</t>
        </is>
      </c>
      <c r="K6" s="69" t="inlineStr">
        <is>
          <t>Walked</t>
        </is>
      </c>
      <c r="L6" s="69" t="inlineStr">
        <is>
          <t>Other Means</t>
        </is>
      </c>
      <c r="M6" s="69" t="inlineStr">
        <is>
          <t>Worked From Home</t>
        </is>
      </c>
      <c r="O6" s="69" t="n"/>
    </row>
    <row r="7" ht="15.75" customHeight="1" s="91">
      <c r="F7" t="inlineStr">
        <is>
          <t>Orange County</t>
        </is>
      </c>
      <c r="G7" s="74" t="n">
        <v>183509</v>
      </c>
      <c r="H7" s="74" t="n">
        <v>126559</v>
      </c>
      <c r="I7" s="74" t="n">
        <v>17469</v>
      </c>
      <c r="J7" s="74" t="n">
        <v>8069</v>
      </c>
      <c r="K7" s="74" t="n">
        <v>6707</v>
      </c>
      <c r="L7" s="74" t="n">
        <v>3611</v>
      </c>
      <c r="M7" s="74" t="n">
        <v>21094</v>
      </c>
      <c r="N7" s="69" t="n">
        <v>34.2</v>
      </c>
      <c r="O7" s="69" t="n"/>
    </row>
    <row r="8">
      <c r="F8" t="inlineStr">
        <is>
          <t>Blooming Grove Town</t>
        </is>
      </c>
      <c r="G8" s="74" t="n">
        <v>7934</v>
      </c>
      <c r="H8" s="74" t="n">
        <v>5434</v>
      </c>
      <c r="I8" s="69" t="n">
        <v>707</v>
      </c>
      <c r="J8" s="69" t="n">
        <v>778</v>
      </c>
      <c r="K8" s="69" t="n">
        <v>50</v>
      </c>
      <c r="L8" s="69" t="n">
        <v>14</v>
      </c>
      <c r="M8" s="69" t="n">
        <v>951</v>
      </c>
      <c r="N8" s="69" t="n">
        <v>43.8</v>
      </c>
      <c r="O8" s="69" t="n"/>
    </row>
    <row r="9">
      <c r="A9" s="71" t="inlineStr">
        <is>
          <t>Figure Rules</t>
        </is>
      </c>
      <c r="F9" t="inlineStr">
        <is>
          <t>South Blooming Grove Village</t>
        </is>
      </c>
      <c r="G9" s="74" t="n">
        <v>1268</v>
      </c>
      <c r="H9" s="69" t="n">
        <v>845</v>
      </c>
      <c r="I9" s="69" t="n">
        <v>111</v>
      </c>
      <c r="J9" s="69" t="n">
        <v>59</v>
      </c>
      <c r="K9" s="69" t="n">
        <v>2</v>
      </c>
      <c r="L9" s="69" t="n">
        <v>8</v>
      </c>
      <c r="M9" s="69" t="n">
        <v>243</v>
      </c>
      <c r="N9" s="69" t="n">
        <v>43.3</v>
      </c>
      <c r="O9" s="69" t="n"/>
    </row>
    <row r="10">
      <c r="A10" t="inlineStr">
        <is>
          <t>Figure Type</t>
        </is>
      </c>
      <c r="F10" t="inlineStr">
        <is>
          <t>Washingtonville Village</t>
        </is>
      </c>
      <c r="G10" s="74" t="n">
        <v>2748</v>
      </c>
      <c r="H10" s="74" t="n">
        <v>2067</v>
      </c>
      <c r="I10" s="69" t="n">
        <v>170</v>
      </c>
      <c r="J10" s="69" t="n">
        <v>145</v>
      </c>
      <c r="K10" s="69" t="n">
        <v>9</v>
      </c>
      <c r="L10" s="69" t="n">
        <v>6</v>
      </c>
      <c r="M10" s="69" t="n">
        <v>351</v>
      </c>
      <c r="N10" s="69" t="n">
        <v>36.3</v>
      </c>
    </row>
    <row r="11">
      <c r="A11" t="inlineStr">
        <is>
          <t>X Column</t>
        </is>
      </c>
      <c r="F11" t="inlineStr">
        <is>
          <t>Chester Town</t>
        </is>
      </c>
      <c r="G11" s="74" t="n">
        <v>6816</v>
      </c>
      <c r="H11" s="74" t="n">
        <v>5003</v>
      </c>
      <c r="I11" s="69" t="n">
        <v>357</v>
      </c>
      <c r="J11" s="68" t="n">
        <v>440</v>
      </c>
      <c r="K11" s="68" t="n">
        <v>70</v>
      </c>
      <c r="L11" s="68" t="n">
        <v>12</v>
      </c>
      <c r="M11" s="68" t="n">
        <v>934</v>
      </c>
      <c r="N11" s="68" t="n">
        <v>41</v>
      </c>
    </row>
    <row r="12">
      <c r="A12" t="inlineStr">
        <is>
          <t>Y Column</t>
        </is>
      </c>
      <c r="F12" s="21" t="inlineStr">
        <is>
          <t>Chester Village</t>
        </is>
      </c>
      <c r="G12" s="28" t="n">
        <v>2406</v>
      </c>
      <c r="H12" s="28" t="n">
        <v>1866</v>
      </c>
      <c r="I12" s="69" t="n">
        <v>93</v>
      </c>
      <c r="J12" s="69" t="n">
        <v>336</v>
      </c>
      <c r="K12" s="69" t="n">
        <v>20</v>
      </c>
      <c r="L12" s="69" t="n">
        <v>0</v>
      </c>
      <c r="M12" s="69" t="n">
        <v>91</v>
      </c>
      <c r="N12" s="69" t="n">
        <v>37.4</v>
      </c>
    </row>
    <row r="13">
      <c r="A13" t="inlineStr">
        <is>
          <t>X Axis Title</t>
        </is>
      </c>
      <c r="F13" t="inlineStr">
        <is>
          <t>Cornwall Town</t>
        </is>
      </c>
      <c r="G13" s="74" t="n">
        <v>6448</v>
      </c>
      <c r="H13" s="74" t="n">
        <v>4762</v>
      </c>
      <c r="I13" s="69" t="n">
        <v>443</v>
      </c>
      <c r="J13" s="69" t="n">
        <v>227</v>
      </c>
      <c r="K13" s="69" t="n">
        <v>73</v>
      </c>
      <c r="L13" s="69" t="n">
        <v>98</v>
      </c>
      <c r="M13" s="69" t="n">
        <v>845</v>
      </c>
      <c r="N13" s="69" t="n">
        <v>32.2</v>
      </c>
    </row>
    <row r="14">
      <c r="A14" t="inlineStr">
        <is>
          <t>Y Axis Title</t>
        </is>
      </c>
      <c r="F14" t="inlineStr">
        <is>
          <t>Cornwall-on-Hudson Village</t>
        </is>
      </c>
      <c r="G14" s="74" t="n">
        <v>1741</v>
      </c>
      <c r="H14" s="74" t="n">
        <v>1330</v>
      </c>
      <c r="I14" s="69" t="n">
        <v>54</v>
      </c>
      <c r="J14" s="69" t="n">
        <v>72</v>
      </c>
      <c r="K14" s="69" t="n">
        <v>18</v>
      </c>
      <c r="L14" s="69" t="n">
        <v>9</v>
      </c>
      <c r="M14" s="69" t="n">
        <v>258</v>
      </c>
      <c r="N14" s="69" t="n">
        <v>38.7</v>
      </c>
    </row>
    <row r="15">
      <c r="A15" t="inlineStr">
        <is>
          <t>Start at Zero</t>
        </is>
      </c>
      <c r="F15" t="inlineStr">
        <is>
          <t>Crawford Town</t>
        </is>
      </c>
      <c r="G15" s="74" t="n">
        <v>4997</v>
      </c>
      <c r="H15" s="74" t="n">
        <v>3987</v>
      </c>
      <c r="I15" s="69" t="n">
        <v>267</v>
      </c>
      <c r="J15" s="69" t="n">
        <v>0</v>
      </c>
      <c r="K15" s="69" t="n">
        <v>91</v>
      </c>
      <c r="L15" s="69" t="n">
        <v>3</v>
      </c>
      <c r="M15" s="69" t="n">
        <v>649</v>
      </c>
      <c r="N15" s="69" t="n">
        <v>34.1</v>
      </c>
    </row>
    <row r="16">
      <c r="A16" t="inlineStr">
        <is>
          <t>Pivot For Chart</t>
        </is>
      </c>
      <c r="F16" t="inlineStr">
        <is>
          <t>Deerpark Town</t>
        </is>
      </c>
      <c r="G16" s="74" t="n">
        <v>3119</v>
      </c>
      <c r="H16" s="74" t="n">
        <v>2356</v>
      </c>
      <c r="I16" s="69" t="n">
        <v>559</v>
      </c>
      <c r="J16" s="69" t="n">
        <v>73</v>
      </c>
      <c r="K16" s="69" t="n">
        <v>6</v>
      </c>
      <c r="L16" s="69" t="n">
        <v>37</v>
      </c>
      <c r="M16" s="69" t="n">
        <v>88</v>
      </c>
      <c r="N16" s="69" t="n">
        <v>32.3</v>
      </c>
    </row>
    <row r="17">
      <c r="F17" t="inlineStr">
        <is>
          <t>Goshen Town</t>
        </is>
      </c>
      <c r="G17" s="74" t="n">
        <v>6256</v>
      </c>
      <c r="H17" s="74" t="n">
        <v>4260</v>
      </c>
      <c r="I17" s="69" t="n">
        <v>433</v>
      </c>
      <c r="J17" s="69" t="n">
        <v>334</v>
      </c>
      <c r="K17" s="69" t="n">
        <v>138</v>
      </c>
      <c r="L17" s="69" t="n">
        <v>94</v>
      </c>
      <c r="M17" s="69" t="n">
        <v>997</v>
      </c>
      <c r="N17" s="69" t="n">
        <v>39.3</v>
      </c>
    </row>
    <row r="18">
      <c r="A18" s="71" t="inlineStr">
        <is>
          <t>Source Specifications</t>
        </is>
      </c>
      <c r="F18" t="inlineStr">
        <is>
          <t>Goshen Village</t>
        </is>
      </c>
      <c r="G18" s="74" t="n">
        <v>2663</v>
      </c>
      <c r="H18" s="74" t="n">
        <v>1777</v>
      </c>
      <c r="I18" s="69" t="n">
        <v>259</v>
      </c>
      <c r="J18" s="69" t="n">
        <v>167</v>
      </c>
      <c r="K18" s="69" t="n">
        <v>42</v>
      </c>
      <c r="L18" s="69" t="n">
        <v>58</v>
      </c>
      <c r="M18" s="69" t="n">
        <v>360</v>
      </c>
      <c r="N18" s="69"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t="inlineStr">
        <is>
          <t>Greenville Town</t>
        </is>
      </c>
      <c r="G19" s="74" t="n">
        <v>2459</v>
      </c>
      <c r="H19" s="74" t="n">
        <v>2100</v>
      </c>
      <c r="I19" s="69" t="n">
        <v>186</v>
      </c>
      <c r="J19" s="69" t="n">
        <v>24</v>
      </c>
      <c r="K19" s="69" t="n">
        <v>0</v>
      </c>
      <c r="L19" s="69" t="n">
        <v>4</v>
      </c>
      <c r="M19" s="69" t="n">
        <v>145</v>
      </c>
      <c r="N19" s="69" t="n">
        <v>41.2</v>
      </c>
    </row>
    <row r="20">
      <c r="F20" s="47" t="inlineStr">
        <is>
          <t>Hamptonburgh Town</t>
        </is>
      </c>
      <c r="G20" s="74" t="n">
        <v>2428</v>
      </c>
      <c r="H20" s="74" t="n">
        <v>1864</v>
      </c>
      <c r="I20" s="69" t="n">
        <v>93</v>
      </c>
      <c r="J20" s="69" t="n">
        <v>106</v>
      </c>
      <c r="K20" s="69" t="n">
        <v>0</v>
      </c>
      <c r="L20" s="69" t="n">
        <v>0</v>
      </c>
      <c r="M20" s="69" t="n">
        <v>365</v>
      </c>
      <c r="N20" s="69" t="n">
        <v>41.2</v>
      </c>
    </row>
    <row r="21">
      <c r="A21" s="69" t="inlineStr">
        <is>
          <t>Note Specfications</t>
        </is>
      </c>
      <c r="F21" s="47" t="inlineStr">
        <is>
          <t>Highlands Town</t>
        </is>
      </c>
      <c r="G21" s="74" t="n">
        <v>6699</v>
      </c>
      <c r="H21" s="74" t="n">
        <v>4078</v>
      </c>
      <c r="I21" s="69" t="n">
        <v>342</v>
      </c>
      <c r="J21" s="69" t="n">
        <v>17</v>
      </c>
      <c r="K21" s="74" t="n">
        <v>1241</v>
      </c>
      <c r="L21" s="69" t="n">
        <v>144</v>
      </c>
      <c r="M21" s="74" t="n">
        <v>1177</v>
      </c>
      <c r="N21" s="69" t="n">
        <v>19</v>
      </c>
    </row>
    <row r="22">
      <c r="A22" t="inlineStr">
        <is>
          <t xml:space="preserve">Note </t>
        </is>
      </c>
      <c r="B22" t="inlineStr">
        <is>
          <t>Note: Town totals include Village totals.</t>
        </is>
      </c>
      <c r="F22" s="47" t="inlineStr">
        <is>
          <t>Highland Falls Village</t>
        </is>
      </c>
      <c r="G22" s="74" t="n">
        <v>1915</v>
      </c>
      <c r="H22" s="74" t="n">
        <v>1457</v>
      </c>
      <c r="I22" s="69" t="n">
        <v>187</v>
      </c>
      <c r="J22" s="69" t="n">
        <v>0</v>
      </c>
      <c r="K22" s="69" t="n">
        <v>75</v>
      </c>
      <c r="L22" s="69" t="n">
        <v>31</v>
      </c>
      <c r="M22" s="69" t="n">
        <v>165</v>
      </c>
      <c r="N22" s="69" t="n">
        <v>24.2</v>
      </c>
    </row>
    <row r="23">
      <c r="F23" s="47" t="inlineStr">
        <is>
          <t>Middletown City</t>
        </is>
      </c>
      <c r="G23" s="74" t="n">
        <v>13184</v>
      </c>
      <c r="H23" s="74" t="n">
        <v>8506</v>
      </c>
      <c r="I23" s="74" t="n">
        <v>2446</v>
      </c>
      <c r="J23" s="69" t="n">
        <v>593</v>
      </c>
      <c r="K23" s="69" t="n">
        <v>355</v>
      </c>
      <c r="L23" s="69" t="n">
        <v>522</v>
      </c>
      <c r="M23" s="69" t="n">
        <v>762</v>
      </c>
      <c r="N23" s="69" t="n">
        <v>35.4</v>
      </c>
    </row>
    <row r="24">
      <c r="F24" t="inlineStr">
        <is>
          <t>Minisink Town</t>
        </is>
      </c>
      <c r="G24" s="74" t="n">
        <v>2438</v>
      </c>
      <c r="H24" s="74" t="n">
        <v>1837</v>
      </c>
      <c r="I24" s="69" t="n">
        <v>213</v>
      </c>
      <c r="J24" s="69" t="n">
        <v>15</v>
      </c>
      <c r="K24" s="69" t="n">
        <v>14</v>
      </c>
      <c r="L24" s="69" t="n">
        <v>76</v>
      </c>
      <c r="M24" s="69" t="n">
        <v>283</v>
      </c>
      <c r="N24" s="69" t="n">
        <v>39.6</v>
      </c>
    </row>
    <row r="25">
      <c r="F25" s="47" t="inlineStr">
        <is>
          <t>Unionville Village</t>
        </is>
      </c>
      <c r="G25" s="69" t="n">
        <v>368</v>
      </c>
      <c r="H25" s="69" t="n">
        <v>269</v>
      </c>
      <c r="I25" s="69" t="n">
        <v>49</v>
      </c>
      <c r="J25" s="69" t="n">
        <v>0</v>
      </c>
      <c r="K25" s="69" t="n">
        <v>14</v>
      </c>
      <c r="L25" s="69" t="n">
        <v>0</v>
      </c>
      <c r="M25" s="69" t="n">
        <v>36</v>
      </c>
      <c r="N25" s="69" t="n">
        <v>33.2</v>
      </c>
    </row>
    <row r="26">
      <c r="F26" s="47" t="inlineStr">
        <is>
          <t>Monroe Town</t>
        </is>
      </c>
      <c r="G26" s="74" t="n">
        <v>10178</v>
      </c>
      <c r="H26" s="74" t="n">
        <v>6377</v>
      </c>
      <c r="I26" s="74" t="n">
        <v>1229</v>
      </c>
      <c r="J26" s="69" t="n">
        <v>729</v>
      </c>
      <c r="K26" s="69" t="n">
        <v>86</v>
      </c>
      <c r="L26" s="69" t="n">
        <v>370</v>
      </c>
      <c r="M26" s="74" t="n">
        <v>1387</v>
      </c>
      <c r="N26" s="69" t="n">
        <v>37.3</v>
      </c>
    </row>
    <row r="27">
      <c r="A27" s="69" t="n"/>
      <c r="F27" s="47" t="inlineStr">
        <is>
          <t>Harriman Village (portion)</t>
        </is>
      </c>
      <c r="G27" s="74" t="n">
        <v>1033</v>
      </c>
      <c r="H27" s="69" t="n">
        <v>630</v>
      </c>
      <c r="I27" s="69" t="n">
        <v>131</v>
      </c>
      <c r="J27" s="69" t="n">
        <v>52</v>
      </c>
      <c r="K27" s="69" t="n">
        <v>21</v>
      </c>
      <c r="L27" s="69" t="n">
        <v>49</v>
      </c>
      <c r="M27" s="69" t="n">
        <v>150</v>
      </c>
      <c r="N27" s="69" t="n">
        <v>36.8</v>
      </c>
    </row>
    <row r="28">
      <c r="F28" s="47" t="inlineStr">
        <is>
          <t>Monroe Village</t>
        </is>
      </c>
      <c r="G28" s="74" t="n">
        <v>4780</v>
      </c>
      <c r="H28" s="74" t="n">
        <v>3427</v>
      </c>
      <c r="I28" s="69" t="n">
        <v>584</v>
      </c>
      <c r="J28" s="69" t="n">
        <v>183</v>
      </c>
      <c r="K28" s="69" t="n">
        <v>30</v>
      </c>
      <c r="L28" s="69" t="n">
        <v>178</v>
      </c>
      <c r="M28" s="69" t="n">
        <v>378</v>
      </c>
      <c r="N28" s="69" t="n">
        <v>33.2</v>
      </c>
    </row>
    <row r="29">
      <c r="F29" s="47" t="inlineStr">
        <is>
          <t>Montgomery Town</t>
        </is>
      </c>
      <c r="G29" s="74" t="n">
        <v>11313</v>
      </c>
      <c r="H29" s="74" t="n">
        <v>9030</v>
      </c>
      <c r="I29" s="69" t="n">
        <v>794</v>
      </c>
      <c r="J29" s="69" t="n">
        <v>243</v>
      </c>
      <c r="K29" s="69" t="n">
        <v>97</v>
      </c>
      <c r="L29" s="69" t="n">
        <v>205</v>
      </c>
      <c r="M29" s="69" t="n">
        <v>944</v>
      </c>
      <c r="N29" s="69" t="n">
        <v>32.1</v>
      </c>
    </row>
    <row r="30">
      <c r="F30" s="47" t="inlineStr">
        <is>
          <t>Maybrook Village</t>
        </is>
      </c>
      <c r="G30" s="74" t="n">
        <v>1785</v>
      </c>
      <c r="H30" s="74" t="n">
        <v>1315</v>
      </c>
      <c r="I30" s="69" t="n">
        <v>191</v>
      </c>
      <c r="J30" s="69" t="n">
        <v>15</v>
      </c>
      <c r="K30" s="69" t="n">
        <v>0</v>
      </c>
      <c r="L30" s="69" t="n">
        <v>106</v>
      </c>
      <c r="M30" s="69" t="n">
        <v>158</v>
      </c>
      <c r="N30" s="69" t="n">
        <v>33.9</v>
      </c>
    </row>
    <row r="31">
      <c r="F31" s="47" t="inlineStr">
        <is>
          <t>Montgomery Village</t>
        </is>
      </c>
      <c r="G31" s="74" t="n">
        <v>1867</v>
      </c>
      <c r="H31" s="74" t="n">
        <v>1475</v>
      </c>
      <c r="I31" s="69" t="n">
        <v>202</v>
      </c>
      <c r="J31" s="69" t="n">
        <v>45</v>
      </c>
      <c r="K31" s="69" t="n">
        <v>8</v>
      </c>
      <c r="L31" s="69" t="n">
        <v>8</v>
      </c>
      <c r="M31" s="69" t="n">
        <v>129</v>
      </c>
      <c r="N31" s="69" t="n">
        <v>32.4</v>
      </c>
    </row>
    <row r="32">
      <c r="F32" t="inlineStr">
        <is>
          <t>Walden Village</t>
        </is>
      </c>
      <c r="G32" s="74" t="n">
        <v>3173</v>
      </c>
      <c r="H32" s="74" t="n">
        <v>2620</v>
      </c>
      <c r="I32" s="69" t="n">
        <v>118</v>
      </c>
      <c r="J32" s="69" t="n">
        <v>12</v>
      </c>
      <c r="K32" s="69" t="n">
        <v>46</v>
      </c>
      <c r="L32" s="69" t="n">
        <v>0</v>
      </c>
      <c r="M32" s="69" t="n">
        <v>377</v>
      </c>
      <c r="N32" s="69" t="n">
        <v>30.6</v>
      </c>
    </row>
    <row r="33">
      <c r="F33" s="47" t="inlineStr">
        <is>
          <t>Mount Hope Town</t>
        </is>
      </c>
      <c r="G33" s="74" t="n">
        <v>2624</v>
      </c>
      <c r="H33" s="74" t="n">
        <v>2138</v>
      </c>
      <c r="I33" s="69" t="n">
        <v>144</v>
      </c>
      <c r="J33" s="69" t="n">
        <v>30</v>
      </c>
      <c r="K33" s="69" t="n">
        <v>9</v>
      </c>
      <c r="L33" s="69" t="n">
        <v>5</v>
      </c>
      <c r="M33" s="69" t="n">
        <v>298</v>
      </c>
      <c r="N33" s="69" t="n">
        <v>37</v>
      </c>
    </row>
    <row r="34">
      <c r="F34" s="47" t="inlineStr">
        <is>
          <t>Otisville Village</t>
        </is>
      </c>
      <c r="G34" s="69" t="n">
        <v>495</v>
      </c>
      <c r="H34" s="69" t="n">
        <v>416</v>
      </c>
      <c r="I34" s="68" t="n">
        <v>17</v>
      </c>
      <c r="J34" s="69" t="n">
        <v>0</v>
      </c>
      <c r="K34" s="69" t="n">
        <v>9</v>
      </c>
      <c r="L34" s="69" t="n">
        <v>5</v>
      </c>
      <c r="M34" s="69" t="n">
        <v>48</v>
      </c>
      <c r="N34" s="69" t="n">
        <v>34.9</v>
      </c>
    </row>
    <row r="35">
      <c r="F35" s="47" t="inlineStr">
        <is>
          <t>Newburgh City</t>
        </is>
      </c>
      <c r="G35" s="74" t="n">
        <v>12624</v>
      </c>
      <c r="H35" s="74" t="n">
        <v>7056</v>
      </c>
      <c r="I35" s="28" t="n">
        <v>1823</v>
      </c>
      <c r="J35" s="69" t="n">
        <v>584</v>
      </c>
      <c r="K35" s="74" t="n">
        <v>1171</v>
      </c>
      <c r="L35" s="69" t="n">
        <v>847</v>
      </c>
      <c r="M35" s="74" t="n">
        <v>1143</v>
      </c>
      <c r="N35" s="69" t="n">
        <v>25.5</v>
      </c>
    </row>
    <row r="36">
      <c r="F36" s="47" t="inlineStr">
        <is>
          <t>Newburgh Town</t>
        </is>
      </c>
      <c r="G36" s="74" t="n">
        <v>15743</v>
      </c>
      <c r="H36" s="74" t="n">
        <v>11843</v>
      </c>
      <c r="I36" s="28" t="n">
        <v>1049</v>
      </c>
      <c r="J36" s="69" t="n">
        <v>636</v>
      </c>
      <c r="K36" s="69" t="n">
        <v>137</v>
      </c>
      <c r="L36" s="69" t="n">
        <v>205</v>
      </c>
      <c r="M36" s="74" t="n">
        <v>1873</v>
      </c>
      <c r="N36" s="69" t="n">
        <v>35.3</v>
      </c>
    </row>
    <row r="37">
      <c r="F37" s="47" t="inlineStr">
        <is>
          <t>New Windsor Town</t>
        </is>
      </c>
      <c r="G37" s="74" t="n">
        <v>13600</v>
      </c>
      <c r="H37" s="74" t="n">
        <v>9530</v>
      </c>
      <c r="I37" s="28" t="n">
        <v>1404</v>
      </c>
      <c r="J37" s="69" t="n">
        <v>582</v>
      </c>
      <c r="K37" s="69" t="n">
        <v>311</v>
      </c>
      <c r="L37" s="69" t="n">
        <v>89</v>
      </c>
      <c r="M37" s="74" t="n">
        <v>1684</v>
      </c>
      <c r="N37" s="69" t="n">
        <v>36.3</v>
      </c>
    </row>
    <row r="38">
      <c r="F38" t="inlineStr">
        <is>
          <t>Palm Tree Town</t>
        </is>
      </c>
      <c r="G38" s="74" t="n">
        <v>8229</v>
      </c>
      <c r="H38" s="74" t="n">
        <v>3294</v>
      </c>
      <c r="I38" s="74" t="n">
        <v>1065</v>
      </c>
      <c r="J38" s="69" t="n">
        <v>832</v>
      </c>
      <c r="K38" s="74" t="n">
        <v>1661</v>
      </c>
      <c r="L38" s="69" t="n">
        <v>239</v>
      </c>
      <c r="M38" s="74" t="n">
        <v>1138</v>
      </c>
      <c r="N38" s="69" t="n">
        <v>21.5</v>
      </c>
    </row>
    <row r="39">
      <c r="F39" t="inlineStr">
        <is>
          <t>Kiryas Joel Village</t>
        </is>
      </c>
      <c r="G39" s="74" t="n">
        <v>8229</v>
      </c>
      <c r="H39" s="74" t="n">
        <v>3294</v>
      </c>
      <c r="I39" s="74" t="n">
        <v>1065</v>
      </c>
      <c r="J39" s="69" t="n">
        <v>832</v>
      </c>
      <c r="K39" s="74" t="n">
        <v>1661</v>
      </c>
      <c r="L39" s="69" t="n">
        <v>239</v>
      </c>
      <c r="M39" s="74" t="n">
        <v>1138</v>
      </c>
      <c r="N39" s="69" t="n">
        <v>21.5</v>
      </c>
    </row>
    <row r="40">
      <c r="F40" t="inlineStr">
        <is>
          <t>Port Jervis City</t>
        </is>
      </c>
      <c r="G40" s="74" t="n">
        <v>3644</v>
      </c>
      <c r="H40" s="74" t="n">
        <v>2439</v>
      </c>
      <c r="I40" s="69" t="n">
        <v>477</v>
      </c>
      <c r="J40" s="69" t="n">
        <v>76</v>
      </c>
      <c r="K40" s="69" t="n">
        <v>424</v>
      </c>
      <c r="L40" s="69" t="n">
        <v>79</v>
      </c>
      <c r="M40" s="69" t="n">
        <v>149</v>
      </c>
      <c r="N40" s="69" t="n">
        <v>23</v>
      </c>
    </row>
    <row r="41">
      <c r="F41" t="inlineStr">
        <is>
          <t>Tuxedo Town</t>
        </is>
      </c>
      <c r="G41" s="74" t="n">
        <v>1892</v>
      </c>
      <c r="H41" s="74" t="n">
        <v>1138</v>
      </c>
      <c r="I41" s="69" t="n">
        <v>61</v>
      </c>
      <c r="J41" s="69" t="n">
        <v>251</v>
      </c>
      <c r="K41" s="69" t="n">
        <v>9</v>
      </c>
      <c r="L41" s="69" t="n">
        <v>0</v>
      </c>
      <c r="M41" s="69" t="n">
        <v>433</v>
      </c>
      <c r="N41" s="69" t="n">
        <v>42.5</v>
      </c>
    </row>
    <row r="42">
      <c r="F42" t="inlineStr">
        <is>
          <t>Tuxedo Village</t>
        </is>
      </c>
      <c r="G42" s="74" t="n">
        <v>1505</v>
      </c>
      <c r="H42" s="74" t="n">
        <v>1022</v>
      </c>
      <c r="I42" s="69" t="n">
        <v>47</v>
      </c>
      <c r="J42" s="69" t="n">
        <v>198</v>
      </c>
      <c r="K42" s="69" t="n">
        <v>0</v>
      </c>
      <c r="L42" s="69" t="n">
        <v>0</v>
      </c>
      <c r="M42" s="69" t="n">
        <v>238</v>
      </c>
      <c r="N42" s="69" t="n">
        <v>42.2</v>
      </c>
    </row>
    <row r="43">
      <c r="F43" t="inlineStr">
        <is>
          <t>Tuxedo Park Village</t>
        </is>
      </c>
      <c r="G43" s="69" t="n">
        <v>387</v>
      </c>
      <c r="H43" s="69" t="n">
        <v>116</v>
      </c>
      <c r="I43" s="69" t="n">
        <v>14</v>
      </c>
      <c r="J43" s="69" t="n">
        <v>53</v>
      </c>
      <c r="K43" s="69" t="n">
        <v>9</v>
      </c>
      <c r="L43" s="69" t="n">
        <v>0</v>
      </c>
      <c r="M43" s="69" t="n">
        <v>195</v>
      </c>
      <c r="N43" s="69" t="n">
        <v>44.7</v>
      </c>
    </row>
    <row r="44">
      <c r="F44" t="inlineStr">
        <is>
          <t>Wallkill Town</t>
        </is>
      </c>
      <c r="G44" s="74" t="n">
        <v>15530</v>
      </c>
      <c r="H44" s="74" t="n">
        <v>11246</v>
      </c>
      <c r="I44" s="74" t="n">
        <v>1926</v>
      </c>
      <c r="J44" s="69" t="n">
        <v>508</v>
      </c>
      <c r="K44" s="69" t="n">
        <v>180</v>
      </c>
      <c r="L44" s="69" t="n">
        <v>323</v>
      </c>
      <c r="M44" s="74" t="n">
        <v>1347</v>
      </c>
      <c r="N44" s="69" t="n">
        <v>31.3</v>
      </c>
    </row>
    <row r="45">
      <c r="F45" t="inlineStr">
        <is>
          <t>Warwick Town</t>
        </is>
      </c>
      <c r="G45" s="74" t="n">
        <v>15944</v>
      </c>
      <c r="H45" s="74" t="n">
        <v>11333</v>
      </c>
      <c r="I45" s="69" t="n">
        <v>759</v>
      </c>
      <c r="J45" s="69" t="n">
        <v>578</v>
      </c>
      <c r="K45" s="69" t="n">
        <v>430</v>
      </c>
      <c r="L45" s="69" t="n">
        <v>117</v>
      </c>
      <c r="M45" s="74" t="n">
        <v>2727</v>
      </c>
      <c r="N45" s="69" t="n">
        <v>39.7</v>
      </c>
    </row>
    <row r="46">
      <c r="F46" t="inlineStr">
        <is>
          <t>Florida Village</t>
        </is>
      </c>
      <c r="G46" s="69" t="n">
        <v>154</v>
      </c>
      <c r="H46" s="74" t="n">
        <v>1088</v>
      </c>
      <c r="I46" s="69" t="n">
        <v>110</v>
      </c>
      <c r="J46" s="69" t="n">
        <v>86</v>
      </c>
      <c r="K46" s="69" t="n">
        <v>109</v>
      </c>
      <c r="L46" s="69" t="n">
        <v>28</v>
      </c>
      <c r="M46" s="69" t="n">
        <v>83</v>
      </c>
      <c r="N46" s="69" t="n">
        <v>33.2</v>
      </c>
    </row>
    <row r="47">
      <c r="F47" t="inlineStr">
        <is>
          <t>Greenwood Lake Village</t>
        </is>
      </c>
      <c r="G47" s="74" t="n">
        <v>1382</v>
      </c>
      <c r="H47" s="69" t="n">
        <v>788</v>
      </c>
      <c r="I47" s="69" t="n">
        <v>117</v>
      </c>
      <c r="J47" s="69" t="n">
        <v>38</v>
      </c>
      <c r="K47" s="69" t="n">
        <v>63</v>
      </c>
      <c r="L47" s="69" t="n">
        <v>12</v>
      </c>
      <c r="M47" s="69" t="n">
        <v>364</v>
      </c>
      <c r="N47" s="69" t="n">
        <v>37.2</v>
      </c>
    </row>
    <row r="48">
      <c r="F48" t="inlineStr">
        <is>
          <t>Warwick Village</t>
        </is>
      </c>
      <c r="G48" s="74" t="n">
        <v>2908</v>
      </c>
      <c r="H48" s="74" t="n">
        <v>2206</v>
      </c>
      <c r="I48" s="69" t="n">
        <v>154</v>
      </c>
      <c r="J48" s="69" t="n">
        <v>113</v>
      </c>
      <c r="K48" s="69" t="n">
        <v>97</v>
      </c>
      <c r="L48" s="69" t="n">
        <v>0</v>
      </c>
      <c r="M48" s="69" t="n">
        <v>338</v>
      </c>
      <c r="N48" s="69" t="n">
        <v>40.1</v>
      </c>
    </row>
    <row r="49">
      <c r="F49" t="inlineStr">
        <is>
          <t>Wawayanda Town</t>
        </is>
      </c>
      <c r="G49" s="74" t="n">
        <v>3493</v>
      </c>
      <c r="H49" s="74" t="n">
        <v>2925</v>
      </c>
      <c r="I49" s="69" t="n">
        <v>151</v>
      </c>
      <c r="J49" s="69" t="n">
        <v>63</v>
      </c>
      <c r="K49" s="69" t="n">
        <v>23</v>
      </c>
      <c r="L49" s="69" t="n">
        <v>28</v>
      </c>
      <c r="M49" s="69" t="n">
        <v>303</v>
      </c>
      <c r="N49" s="69" t="n">
        <v>32.5</v>
      </c>
    </row>
    <row r="50">
      <c r="F50" t="inlineStr">
        <is>
          <t>Woodbury Town</t>
        </is>
      </c>
      <c r="G50" s="74" t="n">
        <v>5617</v>
      </c>
      <c r="H50" s="74" t="n">
        <v>4023</v>
      </c>
      <c r="I50" s="69" t="n">
        <v>541</v>
      </c>
      <c r="J50" s="69" t="n">
        <v>350</v>
      </c>
      <c r="K50" s="69" t="n">
        <v>131</v>
      </c>
      <c r="L50" s="69" t="n">
        <v>100</v>
      </c>
      <c r="M50" s="69" t="n">
        <v>472</v>
      </c>
      <c r="N50" s="69" t="n">
        <v>44.1</v>
      </c>
    </row>
    <row r="51">
      <c r="F51" t="inlineStr">
        <is>
          <t>Harriman Village (portion)</t>
        </is>
      </c>
      <c r="G51" s="69" t="n">
        <v>466</v>
      </c>
      <c r="H51" s="69" t="n">
        <v>124</v>
      </c>
      <c r="I51" s="69" t="n">
        <v>55</v>
      </c>
      <c r="J51" s="69" t="n">
        <v>66</v>
      </c>
      <c r="K51" s="69" t="n">
        <v>131</v>
      </c>
      <c r="L51" s="69" t="n">
        <v>41</v>
      </c>
      <c r="M51" s="69" t="n">
        <v>49</v>
      </c>
      <c r="N51" s="69" t="n">
        <v>26.4</v>
      </c>
    </row>
    <row r="52">
      <c r="F52" t="inlineStr">
        <is>
          <t>Woodbury Village</t>
        </is>
      </c>
      <c r="G52" s="74" t="n">
        <v>5151</v>
      </c>
      <c r="H52" s="74" t="n">
        <v>3899</v>
      </c>
      <c r="I52" s="69" t="n">
        <v>486</v>
      </c>
      <c r="J52" s="69" t="n">
        <v>284</v>
      </c>
      <c r="K52" s="69" t="n">
        <v>0</v>
      </c>
      <c r="L52" s="69" t="n">
        <v>59</v>
      </c>
      <c r="M52" s="69" t="n">
        <v>423</v>
      </c>
      <c r="N52" s="69"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8.28515625" bestFit="1" customWidth="1" style="91" min="7" max="7"/>
    <col width="22.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Tenure and Vacancy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71" t="inlineStr">
        <is>
          <t>Table Rules</t>
        </is>
      </c>
      <c r="E5" s="70" t="inlineStr">
        <is>
          <t xml:space="preserve">Enter Data </t>
        </is>
      </c>
      <c r="F5" s="69" t="inlineStr">
        <is>
          <t>Geographic Area</t>
        </is>
      </c>
      <c r="G5" s="69" t="inlineStr">
        <is>
          <t>Total Housing Units</t>
        </is>
      </c>
      <c r="H5" s="69" t="inlineStr">
        <is>
          <t>Occupied Housing Units</t>
        </is>
      </c>
      <c r="N5" s="69" t="inlineStr">
        <is>
          <t>Vacant Housing Units</t>
        </is>
      </c>
    </row>
    <row r="6" ht="15" customHeight="1" s="91">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91">
      <c r="F7" t="inlineStr">
        <is>
          <t>Orange County</t>
        </is>
      </c>
      <c r="G7" s="74" t="n">
        <v>148460</v>
      </c>
      <c r="H7" s="74" t="n">
        <v>137311</v>
      </c>
      <c r="I7" s="74" t="n">
        <v>93959</v>
      </c>
      <c r="J7" s="74" t="n">
        <v>43352</v>
      </c>
      <c r="K7" s="74" t="n">
        <v>11149</v>
      </c>
      <c r="L7" s="74" t="n">
        <v>1622</v>
      </c>
      <c r="M7" s="69" t="n">
        <v>255</v>
      </c>
      <c r="N7" s="74" t="n">
        <v>1005</v>
      </c>
      <c r="O7" s="69" t="n">
        <v>692</v>
      </c>
      <c r="P7" s="74" t="n">
        <v>2154</v>
      </c>
      <c r="Q7" s="69" t="n">
        <v>47</v>
      </c>
      <c r="R7" s="74" t="n">
        <v>5374</v>
      </c>
    </row>
    <row r="8">
      <c r="F8" t="inlineStr">
        <is>
          <t>Blooming Grove Town</t>
        </is>
      </c>
      <c r="G8" s="74" t="n">
        <v>6884</v>
      </c>
      <c r="H8" s="74" t="n">
        <v>6149</v>
      </c>
      <c r="I8" s="74" t="n">
        <v>5016</v>
      </c>
      <c r="J8" s="74" t="n">
        <v>1133</v>
      </c>
      <c r="K8" s="69" t="n">
        <v>695</v>
      </c>
      <c r="L8" s="69" t="n">
        <v>93</v>
      </c>
      <c r="M8" s="69" t="n">
        <v>0</v>
      </c>
      <c r="N8" s="69" t="n">
        <v>65</v>
      </c>
      <c r="O8" s="69" t="n">
        <v>68</v>
      </c>
      <c r="P8" s="69" t="n">
        <v>186</v>
      </c>
      <c r="Q8" s="69" t="n">
        <v>0</v>
      </c>
      <c r="R8" s="69" t="n">
        <v>283</v>
      </c>
    </row>
    <row r="9">
      <c r="A9" s="71" t="inlineStr">
        <is>
          <t>Figure Rules</t>
        </is>
      </c>
      <c r="F9" t="inlineStr">
        <is>
          <t>South Blooming Grove Village</t>
        </is>
      </c>
      <c r="G9" s="74" t="n">
        <v>1390</v>
      </c>
      <c r="H9" s="74" t="n">
        <v>1173</v>
      </c>
      <c r="I9" s="69" t="n">
        <v>714</v>
      </c>
      <c r="J9" s="69" t="n">
        <v>459</v>
      </c>
      <c r="K9" s="69" t="n">
        <v>217</v>
      </c>
      <c r="L9" s="69" t="n">
        <v>14</v>
      </c>
      <c r="M9" s="69" t="n">
        <v>0</v>
      </c>
      <c r="N9" s="69" t="n">
        <v>0</v>
      </c>
      <c r="O9" s="69" t="n">
        <v>39</v>
      </c>
      <c r="P9" s="69" t="n">
        <v>71</v>
      </c>
      <c r="Q9" s="69" t="n">
        <v>0</v>
      </c>
      <c r="R9" s="69" t="n">
        <v>93</v>
      </c>
    </row>
    <row r="10">
      <c r="A10" t="inlineStr">
        <is>
          <t>Figure Type</t>
        </is>
      </c>
      <c r="F10" t="inlineStr">
        <is>
          <t>Washingtonville Village</t>
        </is>
      </c>
      <c r="G10" s="74" t="n">
        <v>2186</v>
      </c>
      <c r="H10" s="74" t="n">
        <v>2106</v>
      </c>
      <c r="I10" s="74" t="n">
        <v>1670</v>
      </c>
      <c r="J10" s="69" t="n">
        <v>436</v>
      </c>
      <c r="K10" s="69" t="n">
        <v>80</v>
      </c>
      <c r="L10" s="69" t="n">
        <v>44</v>
      </c>
      <c r="M10" s="69" t="n">
        <v>0</v>
      </c>
      <c r="N10" s="69" t="n">
        <v>0</v>
      </c>
      <c r="O10" s="69" t="n">
        <v>0</v>
      </c>
      <c r="P10" s="69" t="n">
        <v>36</v>
      </c>
      <c r="Q10" s="69" t="n">
        <v>0</v>
      </c>
      <c r="R10" s="69" t="n">
        <v>0</v>
      </c>
    </row>
    <row r="11">
      <c r="A11" t="inlineStr">
        <is>
          <t>X Column</t>
        </is>
      </c>
      <c r="F11" t="inlineStr">
        <is>
          <t>Chester Town</t>
        </is>
      </c>
      <c r="G11" s="74" t="n">
        <v>4763</v>
      </c>
      <c r="H11" s="74" t="n">
        <v>4458</v>
      </c>
      <c r="I11" s="74" t="n">
        <v>3538</v>
      </c>
      <c r="J11" s="68" t="n">
        <v>920</v>
      </c>
      <c r="K11" s="68" t="n">
        <v>305</v>
      </c>
      <c r="L11" s="68" t="n">
        <v>0</v>
      </c>
      <c r="M11" s="68" t="n">
        <v>0</v>
      </c>
      <c r="N11" s="68" t="n">
        <v>45</v>
      </c>
      <c r="O11" s="69" t="n">
        <v>0</v>
      </c>
      <c r="P11" s="69" t="n">
        <v>56</v>
      </c>
      <c r="Q11" s="69" t="n">
        <v>0</v>
      </c>
      <c r="R11" s="69" t="n">
        <v>204</v>
      </c>
    </row>
    <row r="12">
      <c r="A12" t="inlineStr">
        <is>
          <t>Y Column</t>
        </is>
      </c>
      <c r="F12" s="21" t="inlineStr">
        <is>
          <t>Chester Village</t>
        </is>
      </c>
      <c r="G12" s="28" t="n">
        <v>1687</v>
      </c>
      <c r="H12" s="28" t="n">
        <v>1560</v>
      </c>
      <c r="I12" s="69" t="n">
        <v>828</v>
      </c>
      <c r="J12" s="69" t="n">
        <v>732</v>
      </c>
      <c r="K12" s="69" t="n">
        <v>127</v>
      </c>
      <c r="L12" s="69" t="n">
        <v>0</v>
      </c>
      <c r="M12" s="69" t="n">
        <v>0</v>
      </c>
      <c r="N12" s="69" t="n">
        <v>0</v>
      </c>
      <c r="O12" s="69" t="n">
        <v>0</v>
      </c>
      <c r="P12" s="69" t="n">
        <v>56</v>
      </c>
      <c r="Q12" s="69" t="n">
        <v>0</v>
      </c>
      <c r="R12" s="69" t="n">
        <v>71</v>
      </c>
    </row>
    <row r="13">
      <c r="A13" t="inlineStr">
        <is>
          <t>X Axis Title</t>
        </is>
      </c>
      <c r="F13" t="inlineStr">
        <is>
          <t>Cornwall Town</t>
        </is>
      </c>
      <c r="G13" s="74" t="n">
        <v>5366</v>
      </c>
      <c r="H13" s="74" t="n">
        <v>5023</v>
      </c>
      <c r="I13" s="74" t="n">
        <v>3815</v>
      </c>
      <c r="J13" s="74" t="n">
        <v>1208</v>
      </c>
      <c r="K13" s="69" t="n">
        <v>343</v>
      </c>
      <c r="L13" s="69" t="n">
        <v>28</v>
      </c>
      <c r="M13" s="69" t="n">
        <v>18</v>
      </c>
      <c r="N13" s="69" t="n">
        <v>93</v>
      </c>
      <c r="O13" s="69" t="n">
        <v>0</v>
      </c>
      <c r="P13" s="69" t="n">
        <v>73</v>
      </c>
      <c r="Q13" s="69" t="n">
        <v>0</v>
      </c>
      <c r="R13" s="69" t="n">
        <v>131</v>
      </c>
    </row>
    <row r="14">
      <c r="A14" t="inlineStr">
        <is>
          <t>Y Axis Title</t>
        </is>
      </c>
      <c r="F14" t="inlineStr">
        <is>
          <t>Cornwall-on-Hudson Village</t>
        </is>
      </c>
      <c r="G14" s="74" t="n">
        <v>1337</v>
      </c>
      <c r="H14" s="74" t="n">
        <v>1230</v>
      </c>
      <c r="I14" s="69" t="n">
        <v>920</v>
      </c>
      <c r="J14" s="69" t="n">
        <v>310</v>
      </c>
      <c r="K14" s="69" t="n">
        <v>107</v>
      </c>
      <c r="L14" s="69" t="n">
        <v>0</v>
      </c>
      <c r="M14" s="69" t="n">
        <v>9</v>
      </c>
      <c r="N14" s="69" t="n">
        <v>27</v>
      </c>
      <c r="O14" s="69" t="n">
        <v>0</v>
      </c>
      <c r="P14" s="69" t="n">
        <v>28</v>
      </c>
      <c r="Q14" s="69" t="n">
        <v>0</v>
      </c>
      <c r="R14" s="69" t="n">
        <v>43</v>
      </c>
    </row>
    <row r="15">
      <c r="A15" t="inlineStr">
        <is>
          <t>Start at Zero</t>
        </is>
      </c>
      <c r="F15" t="inlineStr">
        <is>
          <t>Crawford Town</t>
        </is>
      </c>
      <c r="G15" s="74" t="n">
        <v>3093</v>
      </c>
      <c r="H15" s="74" t="n">
        <v>3001</v>
      </c>
      <c r="I15" s="74" t="n">
        <v>2299</v>
      </c>
      <c r="J15" s="69" t="n">
        <v>702</v>
      </c>
      <c r="K15" s="69" t="n">
        <v>92</v>
      </c>
      <c r="L15" s="69" t="n">
        <v>0</v>
      </c>
      <c r="M15" s="69" t="n">
        <v>0</v>
      </c>
      <c r="N15" s="69" t="n">
        <v>0</v>
      </c>
      <c r="O15" s="69" t="n">
        <v>0</v>
      </c>
      <c r="P15" s="69" t="n">
        <v>60</v>
      </c>
      <c r="Q15" s="69" t="n">
        <v>0</v>
      </c>
      <c r="R15" s="69" t="n">
        <v>32</v>
      </c>
    </row>
    <row r="16">
      <c r="A16" t="inlineStr">
        <is>
          <t>Pivot For Chart</t>
        </is>
      </c>
      <c r="F16" t="inlineStr">
        <is>
          <t>Deerpark Town</t>
        </is>
      </c>
      <c r="G16" s="74" t="n">
        <v>3347</v>
      </c>
      <c r="H16" s="74" t="n">
        <v>2993</v>
      </c>
      <c r="I16" s="74" t="n">
        <v>2254</v>
      </c>
      <c r="J16" s="69" t="n">
        <v>739</v>
      </c>
      <c r="K16" s="69" t="n">
        <v>354</v>
      </c>
      <c r="L16" s="69" t="n">
        <v>21</v>
      </c>
      <c r="M16" s="69" t="n">
        <v>0</v>
      </c>
      <c r="N16" s="69" t="n">
        <v>19</v>
      </c>
      <c r="O16" s="69" t="n">
        <v>25</v>
      </c>
      <c r="P16" s="69" t="n">
        <v>83</v>
      </c>
      <c r="Q16" s="69" t="n">
        <v>0</v>
      </c>
      <c r="R16" s="69" t="n">
        <v>206</v>
      </c>
    </row>
    <row r="17">
      <c r="F17" t="inlineStr">
        <is>
          <t>Goshen Town</t>
        </is>
      </c>
      <c r="G17" s="74" t="n">
        <v>5371</v>
      </c>
      <c r="H17" s="74" t="n">
        <v>4861</v>
      </c>
      <c r="I17" s="74" t="n">
        <v>3868</v>
      </c>
      <c r="J17" s="69" t="n">
        <v>993</v>
      </c>
      <c r="K17" s="69" t="n">
        <v>510</v>
      </c>
      <c r="L17" s="69" t="n">
        <v>76</v>
      </c>
      <c r="M17" s="69" t="n">
        <v>11</v>
      </c>
      <c r="N17" s="69" t="n">
        <v>50</v>
      </c>
      <c r="O17" s="69" t="n">
        <v>26</v>
      </c>
      <c r="P17" s="69" t="n">
        <v>126</v>
      </c>
      <c r="Q17" s="69" t="n">
        <v>0</v>
      </c>
      <c r="R17" s="69" t="n">
        <v>221</v>
      </c>
    </row>
    <row r="18">
      <c r="A18" s="71" t="inlineStr">
        <is>
          <t>Source Specifications</t>
        </is>
      </c>
      <c r="F18" t="inlineStr">
        <is>
          <t>Goshen Village</t>
        </is>
      </c>
      <c r="G18" s="74" t="n">
        <v>2583</v>
      </c>
      <c r="H18" s="74" t="n">
        <v>2350</v>
      </c>
      <c r="I18" s="74" t="n">
        <v>1560</v>
      </c>
      <c r="J18" s="69" t="n">
        <v>790</v>
      </c>
      <c r="K18" s="69" t="n">
        <v>233</v>
      </c>
      <c r="L18" s="69" t="n">
        <v>76</v>
      </c>
      <c r="M18" s="69" t="n">
        <v>11</v>
      </c>
      <c r="N18" s="69" t="n">
        <v>0</v>
      </c>
      <c r="O18" s="69" t="n">
        <v>0</v>
      </c>
      <c r="P18" s="69" t="n">
        <v>74</v>
      </c>
      <c r="Q18" s="69" t="n">
        <v>0</v>
      </c>
      <c r="R18" s="69"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t="inlineStr">
        <is>
          <t>Greenville Town</t>
        </is>
      </c>
      <c r="G19" s="74" t="n">
        <v>1775</v>
      </c>
      <c r="H19" s="74" t="n">
        <v>1645</v>
      </c>
      <c r="I19" s="74" t="n">
        <v>1379</v>
      </c>
      <c r="J19" s="69" t="n">
        <v>266</v>
      </c>
      <c r="K19" s="69" t="n">
        <v>130</v>
      </c>
      <c r="L19" s="69" t="n">
        <v>26</v>
      </c>
      <c r="M19" s="69" t="n">
        <v>0</v>
      </c>
      <c r="N19" s="69" t="n">
        <v>0</v>
      </c>
      <c r="O19" s="69" t="n">
        <v>0</v>
      </c>
      <c r="P19" s="69" t="n">
        <v>13</v>
      </c>
      <c r="Q19" s="69" t="n">
        <v>0</v>
      </c>
      <c r="R19" s="69" t="n">
        <v>91</v>
      </c>
    </row>
    <row r="20">
      <c r="F20" s="47" t="inlineStr">
        <is>
          <t>Hamptonburgh Town</t>
        </is>
      </c>
      <c r="G20" s="74" t="n">
        <v>1842</v>
      </c>
      <c r="H20" s="74" t="n">
        <v>1745</v>
      </c>
      <c r="I20" s="74" t="n">
        <v>1625</v>
      </c>
      <c r="J20" s="69" t="n">
        <v>120</v>
      </c>
      <c r="K20" s="69" t="n">
        <v>97</v>
      </c>
      <c r="L20" s="69" t="n">
        <v>0</v>
      </c>
      <c r="M20" s="69" t="n">
        <v>0</v>
      </c>
      <c r="N20" s="69" t="n">
        <v>9</v>
      </c>
      <c r="O20" s="69" t="n">
        <v>11</v>
      </c>
      <c r="P20" s="69" t="n">
        <v>0</v>
      </c>
      <c r="Q20" s="69" t="n">
        <v>0</v>
      </c>
      <c r="R20" s="69" t="n">
        <v>77</v>
      </c>
    </row>
    <row r="21">
      <c r="A21" s="69" t="inlineStr">
        <is>
          <t>Note Specfications</t>
        </is>
      </c>
      <c r="F21" s="47" t="inlineStr">
        <is>
          <t>Highlands Town</t>
        </is>
      </c>
      <c r="G21" s="74" t="n">
        <v>4240</v>
      </c>
      <c r="H21" s="74" t="n">
        <v>3938</v>
      </c>
      <c r="I21" s="74" t="n">
        <v>1639</v>
      </c>
      <c r="J21" s="74" t="n">
        <v>2299</v>
      </c>
      <c r="K21" s="69" t="n">
        <v>302</v>
      </c>
      <c r="L21" s="69" t="n">
        <v>127</v>
      </c>
      <c r="M21" s="69" t="n">
        <v>0</v>
      </c>
      <c r="N21" s="69" t="n">
        <v>0</v>
      </c>
      <c r="O21" s="69" t="n">
        <v>0</v>
      </c>
      <c r="P21" s="69" t="n">
        <v>36</v>
      </c>
      <c r="Q21" s="69" t="n">
        <v>0</v>
      </c>
      <c r="R21" s="69" t="n">
        <v>139</v>
      </c>
    </row>
    <row r="22">
      <c r="A22" t="inlineStr">
        <is>
          <t xml:space="preserve">Note </t>
        </is>
      </c>
      <c r="B22" t="inlineStr">
        <is>
          <t>Note: Town totals include Village totals. The Village of Harriman is split between the Towns of Monroe and Woodbury.</t>
        </is>
      </c>
      <c r="F22" s="47" t="inlineStr">
        <is>
          <t>Highland Falls Village</t>
        </is>
      </c>
      <c r="G22" s="74" t="n">
        <v>1798</v>
      </c>
      <c r="H22" s="74" t="n">
        <v>1648</v>
      </c>
      <c r="I22" s="69" t="n">
        <v>898</v>
      </c>
      <c r="J22" s="69" t="n">
        <v>750</v>
      </c>
      <c r="K22" s="69" t="n">
        <v>150</v>
      </c>
      <c r="L22" s="69" t="n">
        <v>21</v>
      </c>
      <c r="M22" s="69" t="n">
        <v>0</v>
      </c>
      <c r="N22" s="69" t="n">
        <v>0</v>
      </c>
      <c r="O22" s="69" t="n">
        <v>0</v>
      </c>
      <c r="P22" s="69" t="n">
        <v>22</v>
      </c>
      <c r="Q22" s="69" t="n">
        <v>0</v>
      </c>
      <c r="R22" s="69" t="n">
        <v>107</v>
      </c>
    </row>
    <row r="23">
      <c r="F23" s="47" t="inlineStr">
        <is>
          <t>Middletown City</t>
        </is>
      </c>
      <c r="G23" s="74" t="n">
        <v>11018</v>
      </c>
      <c r="H23" s="74" t="n">
        <v>10182</v>
      </c>
      <c r="I23" s="74" t="n">
        <v>5341</v>
      </c>
      <c r="J23" s="74" t="n">
        <v>4841</v>
      </c>
      <c r="K23" s="69" t="n">
        <v>836</v>
      </c>
      <c r="L23" s="69" t="n">
        <v>201</v>
      </c>
      <c r="M23" s="69" t="n">
        <v>0</v>
      </c>
      <c r="N23" s="69" t="n">
        <v>38</v>
      </c>
      <c r="O23" s="69" t="n">
        <v>0</v>
      </c>
      <c r="P23" s="69" t="n">
        <v>20</v>
      </c>
      <c r="Q23" s="69" t="n">
        <v>0</v>
      </c>
      <c r="R23" s="69" t="n">
        <v>577</v>
      </c>
    </row>
    <row r="24">
      <c r="F24" t="inlineStr">
        <is>
          <t>Minisink Town</t>
        </is>
      </c>
      <c r="G24" s="74" t="n">
        <v>1628</v>
      </c>
      <c r="H24" s="74" t="n">
        <v>1526</v>
      </c>
      <c r="I24" s="74" t="n">
        <v>1244</v>
      </c>
      <c r="J24" s="69" t="n">
        <v>282</v>
      </c>
      <c r="K24" s="69" t="n">
        <v>102</v>
      </c>
      <c r="L24" s="69" t="n">
        <v>51</v>
      </c>
      <c r="M24" s="69" t="n">
        <v>0</v>
      </c>
      <c r="N24" s="69" t="n">
        <v>6</v>
      </c>
      <c r="O24" s="69" t="n">
        <v>0</v>
      </c>
      <c r="P24" s="69" t="n">
        <v>7</v>
      </c>
      <c r="Q24" s="69" t="n">
        <v>0</v>
      </c>
      <c r="R24" s="69" t="n">
        <v>38</v>
      </c>
    </row>
    <row r="25">
      <c r="F25" s="47" t="inlineStr">
        <is>
          <t>Unionville Village</t>
        </is>
      </c>
      <c r="G25" s="69" t="n">
        <v>235</v>
      </c>
      <c r="H25" s="69" t="n">
        <v>222</v>
      </c>
      <c r="I25" s="69" t="n">
        <v>134</v>
      </c>
      <c r="J25" s="69" t="n">
        <v>88</v>
      </c>
      <c r="K25" s="69" t="n">
        <v>13</v>
      </c>
      <c r="L25" s="69" t="n">
        <v>0</v>
      </c>
      <c r="M25" s="69" t="n">
        <v>0</v>
      </c>
      <c r="N25" s="69" t="n">
        <v>6</v>
      </c>
      <c r="O25" s="69" t="n">
        <v>0</v>
      </c>
      <c r="P25" s="69" t="n">
        <v>7</v>
      </c>
      <c r="Q25" s="69" t="n">
        <v>0</v>
      </c>
      <c r="R25" s="69" t="n">
        <v>0</v>
      </c>
    </row>
    <row r="26">
      <c r="F26" s="47" t="inlineStr">
        <is>
          <t>Monroe Town</t>
        </is>
      </c>
      <c r="G26" s="74" t="n">
        <v>7395</v>
      </c>
      <c r="H26" s="74" t="n">
        <v>6855</v>
      </c>
      <c r="I26" s="74" t="n">
        <v>5552</v>
      </c>
      <c r="J26" s="74" t="n">
        <v>1303</v>
      </c>
      <c r="K26" s="69" t="n">
        <v>540</v>
      </c>
      <c r="L26" s="69" t="n">
        <v>65</v>
      </c>
      <c r="M26" s="69" t="n">
        <v>0</v>
      </c>
      <c r="N26" s="69" t="n">
        <v>145</v>
      </c>
      <c r="O26" s="69" t="n">
        <v>17</v>
      </c>
      <c r="P26" s="69" t="n">
        <v>135</v>
      </c>
      <c r="Q26" s="69" t="n">
        <v>0</v>
      </c>
      <c r="R26" s="69" t="n">
        <v>178</v>
      </c>
    </row>
    <row r="27">
      <c r="A27" s="69" t="n"/>
      <c r="F27" s="47" t="inlineStr">
        <is>
          <t>Harriman Village (portion)</t>
        </is>
      </c>
      <c r="G27" s="69" t="n">
        <v>878</v>
      </c>
      <c r="H27" s="69" t="n">
        <v>792</v>
      </c>
      <c r="I27" s="69" t="n">
        <v>447</v>
      </c>
      <c r="J27" s="69" t="n">
        <v>345</v>
      </c>
      <c r="K27" s="69" t="n">
        <v>86</v>
      </c>
      <c r="L27" s="69" t="n">
        <v>38</v>
      </c>
      <c r="M27" s="69" t="n">
        <v>0</v>
      </c>
      <c r="N27" s="69" t="n">
        <v>0</v>
      </c>
      <c r="O27" s="69" t="n">
        <v>0</v>
      </c>
      <c r="P27" s="69" t="n">
        <v>0</v>
      </c>
      <c r="Q27" s="69" t="n">
        <v>0</v>
      </c>
      <c r="R27" s="69" t="n">
        <v>48</v>
      </c>
    </row>
    <row r="28">
      <c r="F28" s="47" t="inlineStr">
        <is>
          <t>Monroe Village</t>
        </is>
      </c>
      <c r="G28" s="74" t="n">
        <v>2969</v>
      </c>
      <c r="H28" s="74" t="n">
        <v>2886</v>
      </c>
      <c r="I28" s="74" t="n">
        <v>2372</v>
      </c>
      <c r="J28" s="69" t="n">
        <v>514</v>
      </c>
      <c r="K28" s="69" t="n">
        <v>83</v>
      </c>
      <c r="L28" s="69" t="n">
        <v>27</v>
      </c>
      <c r="M28" s="69" t="n">
        <v>0</v>
      </c>
      <c r="N28" s="69" t="n">
        <v>0</v>
      </c>
      <c r="O28" s="69" t="n">
        <v>0</v>
      </c>
      <c r="P28" s="69" t="n">
        <v>33</v>
      </c>
      <c r="Q28" s="69" t="n">
        <v>0</v>
      </c>
      <c r="R28" s="69" t="n">
        <v>23</v>
      </c>
    </row>
    <row r="29">
      <c r="F29" s="47" t="inlineStr">
        <is>
          <t>Montgomery Town</t>
        </is>
      </c>
      <c r="G29" s="74" t="n">
        <v>8972</v>
      </c>
      <c r="H29" s="74" t="n">
        <v>8306</v>
      </c>
      <c r="I29" s="74" t="n">
        <v>5721</v>
      </c>
      <c r="J29" s="74" t="n">
        <v>2585</v>
      </c>
      <c r="K29" s="69" t="n">
        <v>666</v>
      </c>
      <c r="L29" s="69" t="n">
        <v>78</v>
      </c>
      <c r="M29" s="69" t="n">
        <v>41</v>
      </c>
      <c r="N29" s="69" t="n">
        <v>42</v>
      </c>
      <c r="O29" s="69" t="n">
        <v>0</v>
      </c>
      <c r="P29" s="69" t="n">
        <v>59</v>
      </c>
      <c r="Q29" s="69" t="n">
        <v>0</v>
      </c>
      <c r="R29" s="69" t="n">
        <v>446</v>
      </c>
    </row>
    <row r="30">
      <c r="F30" s="47" t="inlineStr">
        <is>
          <t>Maybrook Village</t>
        </is>
      </c>
      <c r="G30" s="74" t="n">
        <v>1519</v>
      </c>
      <c r="H30" s="74" t="n">
        <v>1401</v>
      </c>
      <c r="I30" s="69" t="n">
        <v>758</v>
      </c>
      <c r="J30" s="69" t="n">
        <v>643</v>
      </c>
      <c r="K30" s="69" t="n">
        <v>118</v>
      </c>
      <c r="L30" s="69" t="n">
        <v>19</v>
      </c>
      <c r="M30" s="69" t="n">
        <v>0</v>
      </c>
      <c r="N30" s="69" t="n">
        <v>0</v>
      </c>
      <c r="O30" s="69" t="n">
        <v>0</v>
      </c>
      <c r="P30" s="69" t="n">
        <v>0</v>
      </c>
      <c r="Q30" s="69" t="n">
        <v>0</v>
      </c>
      <c r="R30" s="69" t="n">
        <v>99</v>
      </c>
    </row>
    <row r="31">
      <c r="F31" s="47" t="inlineStr">
        <is>
          <t>Montgomery Village</t>
        </is>
      </c>
      <c r="G31" s="74" t="n">
        <v>1600</v>
      </c>
      <c r="H31" s="74" t="n">
        <v>1535</v>
      </c>
      <c r="I31" s="74" t="n">
        <v>1047</v>
      </c>
      <c r="J31" s="69" t="n">
        <v>488</v>
      </c>
      <c r="K31" s="69" t="n">
        <v>65</v>
      </c>
      <c r="L31" s="69" t="n">
        <v>24</v>
      </c>
      <c r="M31" s="69" t="n">
        <v>41</v>
      </c>
      <c r="N31" s="69" t="n">
        <v>0</v>
      </c>
      <c r="O31" s="69" t="n">
        <v>0</v>
      </c>
      <c r="P31" s="69" t="n">
        <v>0</v>
      </c>
      <c r="Q31" s="69" t="n">
        <v>0</v>
      </c>
      <c r="R31" s="69" t="n">
        <v>0</v>
      </c>
    </row>
    <row r="32">
      <c r="F32" t="inlineStr">
        <is>
          <t>Walden Village</t>
        </is>
      </c>
      <c r="G32" s="74" t="n">
        <v>2882</v>
      </c>
      <c r="H32" s="74" t="n">
        <v>2621</v>
      </c>
      <c r="I32" s="74" t="n">
        <v>1648</v>
      </c>
      <c r="J32" s="69" t="n">
        <v>973</v>
      </c>
      <c r="K32" s="69" t="n">
        <v>261</v>
      </c>
      <c r="L32" s="69" t="n">
        <v>35</v>
      </c>
      <c r="M32" s="69" t="n">
        <v>0</v>
      </c>
      <c r="N32" s="69" t="n">
        <v>0</v>
      </c>
      <c r="O32" s="69" t="n">
        <v>0</v>
      </c>
      <c r="P32" s="69" t="n">
        <v>39</v>
      </c>
      <c r="Q32" s="69" t="n">
        <v>0</v>
      </c>
      <c r="R32" s="69" t="n">
        <v>187</v>
      </c>
    </row>
    <row r="33">
      <c r="F33" s="47" t="inlineStr">
        <is>
          <t>Mount Hope Town</t>
        </is>
      </c>
      <c r="G33" s="74" t="n">
        <v>2289</v>
      </c>
      <c r="H33" s="74" t="n">
        <v>2094</v>
      </c>
      <c r="I33" s="74" t="n">
        <v>1686</v>
      </c>
      <c r="J33" s="69" t="n">
        <v>408</v>
      </c>
      <c r="K33" s="69" t="n">
        <v>195</v>
      </c>
      <c r="L33" s="69" t="n">
        <v>5</v>
      </c>
      <c r="M33" s="69" t="n">
        <v>0</v>
      </c>
      <c r="N33" s="69" t="n">
        <v>29</v>
      </c>
      <c r="O33" s="69" t="n">
        <v>6</v>
      </c>
      <c r="P33" s="69" t="n">
        <v>70</v>
      </c>
      <c r="Q33" s="69" t="n">
        <v>0</v>
      </c>
      <c r="R33" s="69" t="n">
        <v>85</v>
      </c>
    </row>
    <row r="34">
      <c r="F34" s="47" t="inlineStr">
        <is>
          <t>Otisville Village</t>
        </is>
      </c>
      <c r="G34" s="69" t="n">
        <v>468</v>
      </c>
      <c r="H34" s="69" t="n">
        <v>439</v>
      </c>
      <c r="I34" s="68" t="n">
        <v>273</v>
      </c>
      <c r="J34" s="69" t="n">
        <v>166</v>
      </c>
      <c r="K34" s="69" t="n">
        <v>29</v>
      </c>
      <c r="L34" s="69" t="n">
        <v>0</v>
      </c>
      <c r="M34" s="69" t="n">
        <v>0</v>
      </c>
      <c r="N34" s="69" t="n">
        <v>0</v>
      </c>
      <c r="O34" s="69" t="n">
        <v>6</v>
      </c>
      <c r="P34" s="69" t="n">
        <v>6</v>
      </c>
      <c r="Q34" s="69" t="n">
        <v>0</v>
      </c>
      <c r="R34" s="69" t="n">
        <v>17</v>
      </c>
    </row>
    <row r="35">
      <c r="F35" s="47" t="inlineStr">
        <is>
          <t>Newburgh City</t>
        </is>
      </c>
      <c r="G35" s="74" t="n">
        <v>11624</v>
      </c>
      <c r="H35" s="74" t="n">
        <v>10335</v>
      </c>
      <c r="I35" s="28" t="n">
        <v>3646</v>
      </c>
      <c r="J35" s="74" t="n">
        <v>6689</v>
      </c>
      <c r="K35" s="74" t="n">
        <v>1289</v>
      </c>
      <c r="L35" s="69" t="n">
        <v>267</v>
      </c>
      <c r="M35" s="69" t="n">
        <v>29</v>
      </c>
      <c r="N35" s="69" t="n">
        <v>39</v>
      </c>
      <c r="O35" s="69" t="n">
        <v>117</v>
      </c>
      <c r="P35" s="69" t="n">
        <v>39</v>
      </c>
      <c r="Q35" s="69" t="n">
        <v>0</v>
      </c>
      <c r="R35" s="69" t="n">
        <v>798</v>
      </c>
    </row>
    <row r="36">
      <c r="F36" s="47" t="inlineStr">
        <is>
          <t>Newburgh Town</t>
        </is>
      </c>
      <c r="G36" s="74" t="n">
        <v>12352</v>
      </c>
      <c r="H36" s="74" t="n">
        <v>11553</v>
      </c>
      <c r="I36" s="28" t="n">
        <v>9196</v>
      </c>
      <c r="J36" s="74" t="n">
        <v>2357</v>
      </c>
      <c r="K36" s="69" t="n">
        <v>799</v>
      </c>
      <c r="L36" s="69" t="n">
        <v>57</v>
      </c>
      <c r="M36" s="69" t="n">
        <v>23</v>
      </c>
      <c r="N36" s="69" t="n">
        <v>86</v>
      </c>
      <c r="O36" s="69" t="n">
        <v>110</v>
      </c>
      <c r="P36" s="69" t="n">
        <v>114</v>
      </c>
      <c r="Q36" s="69" t="n">
        <v>0</v>
      </c>
      <c r="R36" s="69" t="n">
        <v>409</v>
      </c>
    </row>
    <row r="37">
      <c r="F37" s="47" t="inlineStr">
        <is>
          <t>New Windsor Town</t>
        </is>
      </c>
      <c r="G37" s="74" t="n">
        <v>11335</v>
      </c>
      <c r="H37" s="74" t="n">
        <v>10763</v>
      </c>
      <c r="I37" s="28" t="n">
        <v>7658</v>
      </c>
      <c r="J37" s="74" t="n">
        <v>3105</v>
      </c>
      <c r="K37" s="69" t="n">
        <v>572</v>
      </c>
      <c r="L37" s="69" t="n">
        <v>102</v>
      </c>
      <c r="M37" s="69" t="n">
        <v>52</v>
      </c>
      <c r="N37" s="69" t="n">
        <v>74</v>
      </c>
      <c r="O37" s="69" t="n">
        <v>119</v>
      </c>
      <c r="P37" s="69" t="n">
        <v>30</v>
      </c>
      <c r="Q37" s="69" t="n">
        <v>0</v>
      </c>
      <c r="R37" s="69" t="n">
        <v>195</v>
      </c>
    </row>
    <row r="38">
      <c r="F38" t="inlineStr">
        <is>
          <t>Palm Tree Town</t>
        </is>
      </c>
      <c r="G38" s="74" t="n">
        <v>7383</v>
      </c>
      <c r="H38" s="74" t="n">
        <v>6869</v>
      </c>
      <c r="I38" s="74" t="n">
        <v>2407</v>
      </c>
      <c r="J38" s="74" t="n">
        <v>4462</v>
      </c>
      <c r="K38" s="69" t="n">
        <v>514</v>
      </c>
      <c r="L38" s="69" t="n">
        <v>70</v>
      </c>
      <c r="M38" s="69" t="n">
        <v>0</v>
      </c>
      <c r="N38" s="69" t="n">
        <v>0</v>
      </c>
      <c r="O38" s="69" t="n">
        <v>0</v>
      </c>
      <c r="P38" s="69" t="n">
        <v>214</v>
      </c>
      <c r="Q38" s="69" t="n">
        <v>0</v>
      </c>
      <c r="R38" s="69" t="n">
        <v>230</v>
      </c>
    </row>
    <row r="39">
      <c r="F39" t="inlineStr">
        <is>
          <t>Kiryas Joel Village</t>
        </is>
      </c>
      <c r="G39" s="74" t="n">
        <v>7383</v>
      </c>
      <c r="H39" s="74" t="n">
        <v>6869</v>
      </c>
      <c r="I39" s="74" t="n">
        <v>2407</v>
      </c>
      <c r="J39" s="74" t="n">
        <v>4462</v>
      </c>
      <c r="K39" s="69" t="n">
        <v>514</v>
      </c>
      <c r="L39" s="69" t="n">
        <v>70</v>
      </c>
      <c r="M39" s="69" t="n">
        <v>0</v>
      </c>
      <c r="N39" s="69" t="n">
        <v>0</v>
      </c>
      <c r="O39" s="69" t="n">
        <v>0</v>
      </c>
      <c r="P39" s="69" t="n">
        <v>214</v>
      </c>
      <c r="Q39" s="69" t="n">
        <v>0</v>
      </c>
      <c r="R39" s="69" t="n">
        <v>230</v>
      </c>
    </row>
    <row r="40">
      <c r="F40" t="inlineStr">
        <is>
          <t>Port Jervis City</t>
        </is>
      </c>
      <c r="G40" s="74" t="n">
        <v>3896</v>
      </c>
      <c r="H40" s="74" t="n">
        <v>3533</v>
      </c>
      <c r="I40" s="74" t="n">
        <v>1831</v>
      </c>
      <c r="J40" s="74" t="n">
        <v>1702</v>
      </c>
      <c r="K40" s="69" t="n">
        <v>363</v>
      </c>
      <c r="L40" s="69" t="n">
        <v>74</v>
      </c>
      <c r="M40" s="69" t="n">
        <v>0</v>
      </c>
      <c r="N40" s="69" t="n">
        <v>76</v>
      </c>
      <c r="O40" s="69" t="n">
        <v>68</v>
      </c>
      <c r="P40" s="69" t="n">
        <v>9</v>
      </c>
      <c r="Q40" s="69" t="n">
        <v>0</v>
      </c>
      <c r="R40" s="69" t="n">
        <v>136</v>
      </c>
    </row>
    <row r="41">
      <c r="F41" t="inlineStr">
        <is>
          <t>Tuxedo Town</t>
        </is>
      </c>
      <c r="G41" s="74" t="n">
        <v>1766</v>
      </c>
      <c r="H41" s="74" t="n">
        <v>1539</v>
      </c>
      <c r="I41" s="74" t="n">
        <v>1159</v>
      </c>
      <c r="J41" s="69" t="n">
        <v>380</v>
      </c>
      <c r="K41" s="69" t="n">
        <v>227</v>
      </c>
      <c r="L41" s="69" t="n">
        <v>23</v>
      </c>
      <c r="M41" s="69" t="n">
        <v>0</v>
      </c>
      <c r="N41" s="69" t="n">
        <v>32</v>
      </c>
      <c r="O41" s="69" t="n">
        <v>13</v>
      </c>
      <c r="P41" s="69" t="n">
        <v>64</v>
      </c>
      <c r="Q41" s="69" t="n">
        <v>0</v>
      </c>
      <c r="R41" s="69" t="n">
        <v>95</v>
      </c>
    </row>
    <row r="42">
      <c r="F42" t="inlineStr">
        <is>
          <t>Tuxedo Village</t>
        </is>
      </c>
      <c r="G42" s="74" t="n">
        <v>1284</v>
      </c>
      <c r="H42" s="74" t="n">
        <v>1151</v>
      </c>
      <c r="I42" s="69" t="n">
        <v>812</v>
      </c>
      <c r="J42" s="69" t="n">
        <v>339</v>
      </c>
      <c r="K42" s="69" t="n">
        <v>133</v>
      </c>
      <c r="L42" s="69" t="n">
        <v>23</v>
      </c>
      <c r="M42" s="69" t="n">
        <v>0</v>
      </c>
      <c r="N42" s="69" t="n">
        <v>27</v>
      </c>
      <c r="O42" s="69" t="n">
        <v>0</v>
      </c>
      <c r="P42" s="69" t="n">
        <v>14</v>
      </c>
      <c r="Q42" s="69" t="n">
        <v>0</v>
      </c>
      <c r="R42" s="69" t="n">
        <v>69</v>
      </c>
    </row>
    <row r="43">
      <c r="F43" t="inlineStr">
        <is>
          <t>Tuxedo Park Village</t>
        </is>
      </c>
      <c r="G43" s="69" t="n">
        <v>482</v>
      </c>
      <c r="H43" s="69" t="n">
        <v>388</v>
      </c>
      <c r="I43" s="69" t="n">
        <v>347</v>
      </c>
      <c r="J43" s="69" t="n">
        <v>41</v>
      </c>
      <c r="K43" s="69" t="n">
        <v>94</v>
      </c>
      <c r="L43" s="69" t="n">
        <v>0</v>
      </c>
      <c r="M43" s="69" t="n">
        <v>0</v>
      </c>
      <c r="N43" s="69" t="n">
        <v>5</v>
      </c>
      <c r="O43" s="69" t="n">
        <v>13</v>
      </c>
      <c r="P43" s="69" t="n">
        <v>50</v>
      </c>
      <c r="Q43" s="69" t="n">
        <v>0</v>
      </c>
      <c r="R43" s="69" t="n">
        <v>26</v>
      </c>
    </row>
    <row r="44">
      <c r="F44" t="inlineStr">
        <is>
          <t>Wallkill Town</t>
        </is>
      </c>
      <c r="G44" s="74" t="n">
        <v>12287</v>
      </c>
      <c r="H44" s="74" t="n">
        <v>11910</v>
      </c>
      <c r="I44" s="74" t="n">
        <v>7930</v>
      </c>
      <c r="J44" s="74" t="n">
        <v>3980</v>
      </c>
      <c r="K44" s="69" t="n">
        <v>377</v>
      </c>
      <c r="L44" s="69" t="n">
        <v>34</v>
      </c>
      <c r="M44" s="69" t="n">
        <v>0</v>
      </c>
      <c r="N44" s="69" t="n">
        <v>37</v>
      </c>
      <c r="O44" s="69" t="n">
        <v>52</v>
      </c>
      <c r="P44" s="69" t="n">
        <v>95</v>
      </c>
      <c r="Q44" s="69" t="n">
        <v>0</v>
      </c>
      <c r="R44" s="69" t="n">
        <v>159</v>
      </c>
    </row>
    <row r="45">
      <c r="F45" t="inlineStr">
        <is>
          <t>Warwick Town</t>
        </is>
      </c>
      <c r="G45" s="74" t="n">
        <v>13046</v>
      </c>
      <c r="H45" s="74" t="n">
        <v>11743</v>
      </c>
      <c r="I45" s="74" t="n">
        <v>9467</v>
      </c>
      <c r="J45" s="74" t="n">
        <v>2276</v>
      </c>
      <c r="K45" s="74" t="n">
        <v>1303</v>
      </c>
      <c r="L45" s="69" t="n">
        <v>96</v>
      </c>
      <c r="M45" s="69" t="n">
        <v>81</v>
      </c>
      <c r="N45" s="69" t="n">
        <v>59</v>
      </c>
      <c r="O45" s="69" t="n">
        <v>34</v>
      </c>
      <c r="P45" s="69" t="n">
        <v>495</v>
      </c>
      <c r="Q45" s="69" t="n">
        <v>47</v>
      </c>
      <c r="R45" s="69" t="n">
        <v>491</v>
      </c>
    </row>
    <row r="46">
      <c r="F46" t="inlineStr">
        <is>
          <t>Florida Village</t>
        </is>
      </c>
      <c r="G46" s="74" t="n">
        <v>1002</v>
      </c>
      <c r="H46" s="69" t="n">
        <v>936</v>
      </c>
      <c r="I46" s="69" t="n">
        <v>798</v>
      </c>
      <c r="J46" s="69" t="n">
        <v>138</v>
      </c>
      <c r="K46" s="69" t="n">
        <v>66</v>
      </c>
      <c r="L46" s="69" t="n">
        <v>14</v>
      </c>
      <c r="M46" s="69" t="n">
        <v>0</v>
      </c>
      <c r="N46" s="69" t="n">
        <v>23</v>
      </c>
      <c r="O46" s="69" t="n">
        <v>0</v>
      </c>
      <c r="P46" s="69" t="n">
        <v>0</v>
      </c>
      <c r="Q46" s="69" t="n">
        <v>0</v>
      </c>
      <c r="R46" s="69" t="n">
        <v>29</v>
      </c>
    </row>
    <row r="47">
      <c r="F47" t="inlineStr">
        <is>
          <t>Greenwood Lake Village</t>
        </is>
      </c>
      <c r="G47" s="74" t="n">
        <v>1379</v>
      </c>
      <c r="H47" s="74" t="n">
        <v>1181</v>
      </c>
      <c r="I47" s="69" t="n">
        <v>923</v>
      </c>
      <c r="J47" s="69" t="n">
        <v>258</v>
      </c>
      <c r="K47" s="69" t="n">
        <v>198</v>
      </c>
      <c r="L47" s="69" t="n">
        <v>0</v>
      </c>
      <c r="M47" s="69" t="n">
        <v>0</v>
      </c>
      <c r="N47" s="69" t="n">
        <v>0</v>
      </c>
      <c r="O47" s="69" t="n">
        <v>34</v>
      </c>
      <c r="P47" s="69" t="n">
        <v>96</v>
      </c>
      <c r="Q47" s="69" t="n">
        <v>0</v>
      </c>
      <c r="R47" s="69" t="n">
        <v>68</v>
      </c>
    </row>
    <row r="48">
      <c r="F48" t="inlineStr">
        <is>
          <t>Warwick Village</t>
        </is>
      </c>
      <c r="G48" s="74" t="n">
        <v>3304</v>
      </c>
      <c r="H48" s="74" t="n">
        <v>2998</v>
      </c>
      <c r="I48" s="74" t="n">
        <v>1684</v>
      </c>
      <c r="J48" s="74" t="n">
        <v>1314</v>
      </c>
      <c r="K48" s="69" t="n">
        <v>306</v>
      </c>
      <c r="L48" s="69" t="n">
        <v>82</v>
      </c>
      <c r="M48" s="69" t="n">
        <v>37</v>
      </c>
      <c r="N48" s="69" t="n">
        <v>0</v>
      </c>
      <c r="O48" s="69" t="n">
        <v>0</v>
      </c>
      <c r="P48" s="69" t="n">
        <v>0</v>
      </c>
      <c r="Q48" s="69" t="n">
        <v>0</v>
      </c>
      <c r="R48" s="69" t="n">
        <v>187</v>
      </c>
    </row>
    <row r="49">
      <c r="F49" t="inlineStr">
        <is>
          <t>Wawayanda Town</t>
        </is>
      </c>
      <c r="G49" s="74" t="n">
        <v>2635</v>
      </c>
      <c r="H49" s="74" t="n">
        <v>2468</v>
      </c>
      <c r="I49" s="74" t="n">
        <v>2246</v>
      </c>
      <c r="J49" s="69" t="n">
        <v>222</v>
      </c>
      <c r="K49" s="69" t="n">
        <v>167</v>
      </c>
      <c r="L49" s="69" t="n">
        <v>0</v>
      </c>
      <c r="M49" s="69" t="n">
        <v>0</v>
      </c>
      <c r="N49" s="69" t="n">
        <v>26</v>
      </c>
      <c r="O49" s="69" t="n">
        <v>26</v>
      </c>
      <c r="P49" s="69" t="n">
        <v>19</v>
      </c>
      <c r="Q49" s="69" t="n">
        <v>0</v>
      </c>
      <c r="R49" s="69" t="n">
        <v>96</v>
      </c>
    </row>
    <row r="50">
      <c r="F50" t="inlineStr">
        <is>
          <t>Woodbury Town</t>
        </is>
      </c>
      <c r="G50" s="74" t="n">
        <v>4193</v>
      </c>
      <c r="H50" s="74" t="n">
        <v>3822</v>
      </c>
      <c r="I50" s="74" t="n">
        <v>3442</v>
      </c>
      <c r="J50" s="69" t="n">
        <v>380</v>
      </c>
      <c r="K50" s="69" t="n">
        <v>371</v>
      </c>
      <c r="L50" s="69" t="n">
        <v>128</v>
      </c>
      <c r="M50" s="69" t="n">
        <v>0</v>
      </c>
      <c r="N50" s="69" t="n">
        <v>35</v>
      </c>
      <c r="O50" s="69" t="n">
        <v>0</v>
      </c>
      <c r="P50" s="69" t="n">
        <v>151</v>
      </c>
      <c r="Q50" s="69" t="n">
        <v>0</v>
      </c>
      <c r="R50" s="69" t="n">
        <v>57</v>
      </c>
    </row>
    <row r="51">
      <c r="F51" t="inlineStr">
        <is>
          <t>Harriman Village (portion)</t>
        </is>
      </c>
      <c r="G51" s="69" t="n">
        <v>259</v>
      </c>
      <c r="H51" s="69" t="n">
        <v>259</v>
      </c>
      <c r="I51" s="69" t="n">
        <v>120</v>
      </c>
      <c r="J51" s="69" t="n">
        <v>139</v>
      </c>
      <c r="K51" s="69" t="n">
        <v>0</v>
      </c>
      <c r="L51" s="69" t="n">
        <v>0</v>
      </c>
      <c r="M51" s="69" t="n">
        <v>0</v>
      </c>
      <c r="N51" s="69" t="n">
        <v>0</v>
      </c>
      <c r="O51" s="69" t="n">
        <v>0</v>
      </c>
      <c r="P51" s="69" t="n">
        <v>0</v>
      </c>
      <c r="Q51" s="69" t="n">
        <v>0</v>
      </c>
      <c r="R51" s="69" t="n">
        <v>0</v>
      </c>
    </row>
    <row r="52">
      <c r="F52" t="inlineStr">
        <is>
          <t>Woodbury Village</t>
        </is>
      </c>
      <c r="G52" s="74" t="n">
        <v>3934</v>
      </c>
      <c r="H52" s="74" t="n">
        <v>3563</v>
      </c>
      <c r="I52" s="74" t="n">
        <v>3322</v>
      </c>
      <c r="J52" s="69" t="n">
        <v>241</v>
      </c>
      <c r="K52" s="69" t="n">
        <v>371</v>
      </c>
      <c r="L52" s="69" t="n">
        <v>128</v>
      </c>
      <c r="M52" s="69" t="n">
        <v>0</v>
      </c>
      <c r="N52" s="69" t="n">
        <v>35</v>
      </c>
      <c r="O52" s="69" t="n">
        <v>0</v>
      </c>
      <c r="P52" s="69" t="n">
        <v>151</v>
      </c>
      <c r="Q52" s="69" t="n">
        <v>0</v>
      </c>
      <c r="R52" s="69"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140625" bestFit="1" customWidth="1" style="91" min="7" max="7"/>
    <col width="11.8554687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Unit Ages by Municipality, 202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71" t="inlineStr">
        <is>
          <t>Table Rules</t>
        </is>
      </c>
      <c r="E5" s="70" t="inlineStr">
        <is>
          <t xml:space="preserve">Enter Data </t>
        </is>
      </c>
      <c r="F5" s="69" t="inlineStr">
        <is>
          <t>Geographic Area</t>
        </is>
      </c>
      <c r="G5" s="69" t="inlineStr">
        <is>
          <t>Total # of Housing Units</t>
        </is>
      </c>
      <c r="H5" s="69" t="inlineStr">
        <is>
          <t>Year Structure Built</t>
        </is>
      </c>
    </row>
    <row r="6" ht="15" customHeight="1" s="91">
      <c r="A6" t="inlineStr">
        <is>
          <t>Multilevel Headers</t>
        </is>
      </c>
      <c r="B6" t="b">
        <v>1</v>
      </c>
      <c r="H6" s="69" t="inlineStr">
        <is>
          <t>2020 or later</t>
        </is>
      </c>
      <c r="I6" s="69" t="inlineStr">
        <is>
          <t>2010-2019</t>
        </is>
      </c>
      <c r="J6" s="69" t="inlineStr">
        <is>
          <t>2000-2009</t>
        </is>
      </c>
      <c r="K6" s="69" t="inlineStr">
        <is>
          <t>1990-1999</t>
        </is>
      </c>
      <c r="L6" s="69" t="inlineStr">
        <is>
          <t>1980-1989</t>
        </is>
      </c>
      <c r="M6" s="69" t="inlineStr">
        <is>
          <t>1970-1979</t>
        </is>
      </c>
      <c r="N6" s="69" t="inlineStr">
        <is>
          <t>1950-1969</t>
        </is>
      </c>
      <c r="O6" s="69" t="inlineStr">
        <is>
          <t>1949 or earlier</t>
        </is>
      </c>
    </row>
    <row r="7" ht="15.75" customHeight="1" s="91">
      <c r="F7" t="inlineStr">
        <is>
          <t>Orange County</t>
        </is>
      </c>
      <c r="G7" s="74" t="n">
        <v>148460</v>
      </c>
      <c r="H7" s="74" t="n">
        <v>1109</v>
      </c>
      <c r="I7" s="74" t="n">
        <v>10815</v>
      </c>
      <c r="J7" s="74" t="n">
        <v>18207</v>
      </c>
      <c r="K7" s="74" t="n">
        <v>14286</v>
      </c>
      <c r="L7" s="74" t="n">
        <v>19738</v>
      </c>
      <c r="M7" s="74" t="n">
        <v>18626</v>
      </c>
      <c r="N7" s="74" t="n">
        <v>29807</v>
      </c>
      <c r="O7" s="74" t="n">
        <v>35872</v>
      </c>
    </row>
    <row r="8">
      <c r="F8" t="inlineStr">
        <is>
          <t>Blooming Grove Town</t>
        </is>
      </c>
      <c r="G8" s="74" t="n">
        <v>6884</v>
      </c>
      <c r="H8" s="69" t="n">
        <v>38</v>
      </c>
      <c r="I8" s="69" t="n">
        <v>175</v>
      </c>
      <c r="J8" s="69" t="n">
        <v>905</v>
      </c>
      <c r="K8" s="69" t="n">
        <v>681</v>
      </c>
      <c r="L8" s="74" t="n">
        <v>1265</v>
      </c>
      <c r="M8" s="74" t="n">
        <v>1099</v>
      </c>
      <c r="N8" s="74" t="n">
        <v>1650</v>
      </c>
      <c r="O8" s="74" t="n">
        <v>1031</v>
      </c>
    </row>
    <row r="9">
      <c r="A9" s="71" t="inlineStr">
        <is>
          <t>Figure Rules</t>
        </is>
      </c>
      <c r="F9" t="inlineStr">
        <is>
          <t>South Blooming Grove Village</t>
        </is>
      </c>
      <c r="G9" s="74" t="n">
        <v>1390</v>
      </c>
      <c r="H9" s="69" t="n">
        <v>0</v>
      </c>
      <c r="I9" s="69" t="n">
        <v>7</v>
      </c>
      <c r="J9" s="69" t="n">
        <v>19</v>
      </c>
      <c r="K9" s="69" t="n">
        <v>69</v>
      </c>
      <c r="L9" s="69" t="n">
        <v>142</v>
      </c>
      <c r="M9" s="69" t="n">
        <v>463</v>
      </c>
      <c r="N9" s="69" t="n">
        <v>626</v>
      </c>
      <c r="O9" s="69" t="n">
        <v>64</v>
      </c>
    </row>
    <row r="10">
      <c r="A10" t="inlineStr">
        <is>
          <t>Figure Type</t>
        </is>
      </c>
      <c r="F10" t="inlineStr">
        <is>
          <t>Washingtonville Village</t>
        </is>
      </c>
      <c r="G10" s="74" t="n">
        <v>2186</v>
      </c>
      <c r="H10" s="69" t="n">
        <v>13</v>
      </c>
      <c r="I10" s="69" t="n">
        <v>64</v>
      </c>
      <c r="J10" s="69" t="n">
        <v>294</v>
      </c>
      <c r="K10" s="69" t="n">
        <v>303</v>
      </c>
      <c r="L10" s="69" t="n">
        <v>688</v>
      </c>
      <c r="M10" s="69" t="n">
        <v>434</v>
      </c>
      <c r="N10" s="69" t="n">
        <v>301</v>
      </c>
      <c r="O10" s="69" t="n">
        <v>89</v>
      </c>
    </row>
    <row r="11">
      <c r="A11" t="inlineStr">
        <is>
          <t>X Column</t>
        </is>
      </c>
      <c r="F11" t="inlineStr">
        <is>
          <t>Chester Town</t>
        </is>
      </c>
      <c r="G11" s="74" t="n">
        <v>4763</v>
      </c>
      <c r="H11" s="69" t="n">
        <v>65</v>
      </c>
      <c r="I11" s="69" t="n">
        <v>243</v>
      </c>
      <c r="J11" s="68" t="n">
        <v>655</v>
      </c>
      <c r="K11" s="68" t="n">
        <v>485</v>
      </c>
      <c r="L11" s="28" t="n">
        <v>1065</v>
      </c>
      <c r="M11" s="68" t="n">
        <v>493</v>
      </c>
      <c r="N11" s="68" t="n">
        <v>996</v>
      </c>
      <c r="O11" s="69" t="n">
        <v>761</v>
      </c>
    </row>
    <row r="12">
      <c r="A12" t="inlineStr">
        <is>
          <t>Y Column</t>
        </is>
      </c>
      <c r="F12" s="21" t="inlineStr">
        <is>
          <t>Chester Village</t>
        </is>
      </c>
      <c r="G12" s="28" t="n">
        <v>1687</v>
      </c>
      <c r="H12" s="68" t="n">
        <v>0</v>
      </c>
      <c r="I12" s="69" t="n">
        <v>111</v>
      </c>
      <c r="J12" s="69" t="n">
        <v>54</v>
      </c>
      <c r="K12" s="69" t="n">
        <v>85</v>
      </c>
      <c r="L12" s="69" t="n">
        <v>531</v>
      </c>
      <c r="M12" s="69" t="n">
        <v>163</v>
      </c>
      <c r="N12" s="69" t="n">
        <v>292</v>
      </c>
      <c r="O12" s="69" t="n">
        <v>451</v>
      </c>
    </row>
    <row r="13">
      <c r="A13" t="inlineStr">
        <is>
          <t>X Axis Title</t>
        </is>
      </c>
      <c r="F13" t="inlineStr">
        <is>
          <t>Cornwall Town</t>
        </is>
      </c>
      <c r="G13" s="74" t="n">
        <v>5366</v>
      </c>
      <c r="H13" s="69" t="n">
        <v>0</v>
      </c>
      <c r="I13" s="69" t="n">
        <v>284</v>
      </c>
      <c r="J13" s="69" t="n">
        <v>393</v>
      </c>
      <c r="K13" s="69" t="n">
        <v>329</v>
      </c>
      <c r="L13" s="69" t="n">
        <v>808</v>
      </c>
      <c r="M13" s="69" t="n">
        <v>438</v>
      </c>
      <c r="N13" s="74" t="n">
        <v>1474</v>
      </c>
      <c r="O13" s="74" t="n">
        <v>1640</v>
      </c>
    </row>
    <row r="14">
      <c r="A14" t="inlineStr">
        <is>
          <t>Y Axis Title</t>
        </is>
      </c>
      <c r="F14" t="inlineStr">
        <is>
          <t>Cornwall-on-Hudson Village</t>
        </is>
      </c>
      <c r="G14" s="74" t="n">
        <v>1337</v>
      </c>
      <c r="H14" s="69" t="n">
        <v>0</v>
      </c>
      <c r="I14" s="69" t="n">
        <v>77</v>
      </c>
      <c r="J14" s="69" t="n">
        <v>38</v>
      </c>
      <c r="K14" s="69" t="n">
        <v>37</v>
      </c>
      <c r="L14" s="69" t="n">
        <v>205</v>
      </c>
      <c r="M14" s="69" t="n">
        <v>59</v>
      </c>
      <c r="N14" s="69" t="n">
        <v>333</v>
      </c>
      <c r="O14" s="69" t="n">
        <v>588</v>
      </c>
    </row>
    <row r="15">
      <c r="A15" t="inlineStr">
        <is>
          <t>Start at Zero</t>
        </is>
      </c>
      <c r="F15" t="inlineStr">
        <is>
          <t>Crawford Town</t>
        </is>
      </c>
      <c r="G15" s="74" t="n">
        <v>3093</v>
      </c>
      <c r="H15" s="69" t="n">
        <v>0</v>
      </c>
      <c r="I15" s="69" t="n">
        <v>107</v>
      </c>
      <c r="J15" s="69" t="n">
        <v>580</v>
      </c>
      <c r="K15" s="69" t="n">
        <v>487</v>
      </c>
      <c r="L15" s="69" t="n">
        <v>395</v>
      </c>
      <c r="M15" s="69" t="n">
        <v>437</v>
      </c>
      <c r="N15" s="69" t="n">
        <v>455</v>
      </c>
      <c r="O15" s="69" t="n">
        <v>629</v>
      </c>
    </row>
    <row r="16">
      <c r="A16" t="inlineStr">
        <is>
          <t>Pivot For Chart</t>
        </is>
      </c>
      <c r="F16" t="inlineStr">
        <is>
          <t>Deerpark Town</t>
        </is>
      </c>
      <c r="G16" s="74" t="n">
        <v>3347</v>
      </c>
      <c r="H16" s="69" t="n">
        <v>21</v>
      </c>
      <c r="I16" s="69" t="n">
        <v>142</v>
      </c>
      <c r="J16" s="69" t="n">
        <v>303</v>
      </c>
      <c r="K16" s="69" t="n">
        <v>462</v>
      </c>
      <c r="L16" s="69" t="n">
        <v>473</v>
      </c>
      <c r="M16" s="69" t="n">
        <v>565</v>
      </c>
      <c r="N16" s="69" t="n">
        <v>689</v>
      </c>
      <c r="O16" s="69" t="n">
        <v>692</v>
      </c>
    </row>
    <row r="17">
      <c r="F17" t="inlineStr">
        <is>
          <t>Goshen Town</t>
        </is>
      </c>
      <c r="G17" s="74" t="n">
        <v>5371</v>
      </c>
      <c r="H17" s="69" t="n">
        <v>56</v>
      </c>
      <c r="I17" s="69" t="n">
        <v>374</v>
      </c>
      <c r="J17" s="69" t="n">
        <v>510</v>
      </c>
      <c r="K17" s="69" t="n">
        <v>503</v>
      </c>
      <c r="L17" s="69" t="n">
        <v>795</v>
      </c>
      <c r="M17" s="69" t="n">
        <v>924</v>
      </c>
      <c r="N17" s="69" t="n">
        <v>998</v>
      </c>
      <c r="O17" s="74" t="n">
        <v>1211</v>
      </c>
    </row>
    <row r="18">
      <c r="A18" s="71" t="inlineStr">
        <is>
          <t>Source Specifications</t>
        </is>
      </c>
      <c r="F18" t="inlineStr">
        <is>
          <t>Goshen Village</t>
        </is>
      </c>
      <c r="G18" s="74" t="n">
        <v>2583</v>
      </c>
      <c r="H18" s="69" t="n">
        <v>25</v>
      </c>
      <c r="I18" s="69" t="n">
        <v>125</v>
      </c>
      <c r="J18" s="69" t="n">
        <v>197</v>
      </c>
      <c r="K18" s="69" t="n">
        <v>216</v>
      </c>
      <c r="L18" s="69" t="n">
        <v>388</v>
      </c>
      <c r="M18" s="69" t="n">
        <v>375</v>
      </c>
      <c r="N18" s="69" t="n">
        <v>455</v>
      </c>
      <c r="O18" s="69"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t="inlineStr">
        <is>
          <t>Greenville Town</t>
        </is>
      </c>
      <c r="G19" s="74" t="n">
        <v>1775</v>
      </c>
      <c r="H19" s="69" t="n">
        <v>0</v>
      </c>
      <c r="I19" s="69" t="n">
        <v>172</v>
      </c>
      <c r="J19" s="69" t="n">
        <v>380</v>
      </c>
      <c r="K19" s="69" t="n">
        <v>260</v>
      </c>
      <c r="L19" s="69" t="n">
        <v>341</v>
      </c>
      <c r="M19" s="69" t="n">
        <v>188</v>
      </c>
      <c r="N19" s="69" t="n">
        <v>293</v>
      </c>
      <c r="O19" s="69" t="n">
        <v>141</v>
      </c>
    </row>
    <row r="20">
      <c r="F20" s="69" t="inlineStr">
        <is>
          <t>Hamptonburgh Town</t>
        </is>
      </c>
      <c r="G20" s="74" t="n">
        <v>1842</v>
      </c>
      <c r="H20" s="69" t="n">
        <v>0</v>
      </c>
      <c r="I20" s="69" t="n">
        <v>74</v>
      </c>
      <c r="J20" s="69" t="n">
        <v>300</v>
      </c>
      <c r="K20" s="69" t="n">
        <v>296</v>
      </c>
      <c r="L20" s="69" t="n">
        <v>320</v>
      </c>
      <c r="M20" s="69" t="n">
        <v>237</v>
      </c>
      <c r="N20" s="69" t="n">
        <v>270</v>
      </c>
      <c r="O20" s="69" t="n">
        <v>345</v>
      </c>
    </row>
    <row r="21">
      <c r="A21" s="69" t="inlineStr">
        <is>
          <t>Note Specfications</t>
        </is>
      </c>
      <c r="F21" s="69" t="inlineStr">
        <is>
          <t>Highlands Town</t>
        </is>
      </c>
      <c r="G21" s="74" t="n">
        <v>4240</v>
      </c>
      <c r="H21" s="69" t="n">
        <v>0</v>
      </c>
      <c r="I21" s="69" t="n">
        <v>140</v>
      </c>
      <c r="J21" s="69" t="n">
        <v>460</v>
      </c>
      <c r="K21" s="69" t="n">
        <v>327</v>
      </c>
      <c r="L21" s="69" t="n">
        <v>415</v>
      </c>
      <c r="M21" s="69" t="n">
        <v>554</v>
      </c>
      <c r="N21" s="69" t="n">
        <v>809</v>
      </c>
      <c r="O21" s="74" t="n">
        <v>1535</v>
      </c>
    </row>
    <row r="22">
      <c r="A22" t="inlineStr">
        <is>
          <t xml:space="preserve">Note </t>
        </is>
      </c>
      <c r="B22" t="inlineStr">
        <is>
          <t>Note: Town totals include Village totals.</t>
        </is>
      </c>
      <c r="F22" s="69" t="inlineStr">
        <is>
          <t>Highland Falls Village</t>
        </is>
      </c>
      <c r="G22" s="74" t="n">
        <v>1798</v>
      </c>
      <c r="H22" s="69" t="n">
        <v>0</v>
      </c>
      <c r="I22" s="69" t="n">
        <v>23</v>
      </c>
      <c r="J22" s="69" t="n">
        <v>18</v>
      </c>
      <c r="K22" s="69" t="n">
        <v>52</v>
      </c>
      <c r="L22" s="69" t="n">
        <v>123</v>
      </c>
      <c r="M22" s="69" t="n">
        <v>237</v>
      </c>
      <c r="N22" s="69" t="n">
        <v>625</v>
      </c>
      <c r="O22" s="69" t="n">
        <v>720</v>
      </c>
    </row>
    <row r="23">
      <c r="F23" s="69" t="inlineStr">
        <is>
          <t>Middletown City</t>
        </is>
      </c>
      <c r="G23" s="74" t="n">
        <v>11018</v>
      </c>
      <c r="H23" s="69" t="n">
        <v>241</v>
      </c>
      <c r="I23" s="69" t="n">
        <v>824</v>
      </c>
      <c r="J23" s="69" t="n">
        <v>924</v>
      </c>
      <c r="K23" s="69" t="n">
        <v>510</v>
      </c>
      <c r="L23" s="74" t="n">
        <v>1070</v>
      </c>
      <c r="M23" s="74" t="n">
        <v>1215</v>
      </c>
      <c r="N23" s="74" t="n">
        <v>2201</v>
      </c>
      <c r="O23" s="74" t="n">
        <v>4033</v>
      </c>
    </row>
    <row r="24">
      <c r="F24" t="inlineStr">
        <is>
          <t>Minisink Town</t>
        </is>
      </c>
      <c r="G24" s="74" t="n">
        <v>1628</v>
      </c>
      <c r="H24" s="69" t="n">
        <v>7</v>
      </c>
      <c r="I24" s="69" t="n">
        <v>95</v>
      </c>
      <c r="J24" s="69" t="n">
        <v>431</v>
      </c>
      <c r="K24" s="69" t="n">
        <v>206</v>
      </c>
      <c r="L24" s="69" t="n">
        <v>178</v>
      </c>
      <c r="M24" s="69" t="n">
        <v>162</v>
      </c>
      <c r="N24" s="69" t="n">
        <v>219</v>
      </c>
      <c r="O24" s="69" t="n">
        <v>330</v>
      </c>
    </row>
    <row r="25">
      <c r="F25" s="69" t="inlineStr">
        <is>
          <t>Unionville Village</t>
        </is>
      </c>
      <c r="G25" s="69" t="n">
        <v>235</v>
      </c>
      <c r="H25" s="69" t="n">
        <v>0</v>
      </c>
      <c r="I25" s="69" t="n">
        <v>17</v>
      </c>
      <c r="J25" s="69" t="n">
        <v>55</v>
      </c>
      <c r="K25" s="69" t="n">
        <v>6</v>
      </c>
      <c r="L25" s="69" t="n">
        <v>40</v>
      </c>
      <c r="M25" s="69" t="n">
        <v>0</v>
      </c>
      <c r="N25" s="69" t="n">
        <v>37</v>
      </c>
      <c r="O25" s="69" t="n">
        <v>80</v>
      </c>
    </row>
    <row r="26">
      <c r="F26" s="69" t="inlineStr">
        <is>
          <t>Monroe Town</t>
        </is>
      </c>
      <c r="G26" s="74" t="n">
        <v>7395</v>
      </c>
      <c r="H26" s="69" t="n">
        <v>20</v>
      </c>
      <c r="I26" s="69" t="n">
        <v>320</v>
      </c>
      <c r="J26" s="74" t="n">
        <v>1024</v>
      </c>
      <c r="K26" s="69" t="n">
        <v>952</v>
      </c>
      <c r="L26" s="74" t="n">
        <v>1367</v>
      </c>
      <c r="M26" s="69" t="n">
        <v>648</v>
      </c>
      <c r="N26" s="74" t="n">
        <v>1606</v>
      </c>
      <c r="O26" s="74" t="n">
        <v>1458</v>
      </c>
    </row>
    <row r="27">
      <c r="A27" s="69" t="n"/>
      <c r="F27" s="69" t="inlineStr">
        <is>
          <t>Harriman Village (portion)</t>
        </is>
      </c>
      <c r="G27" s="69" t="n">
        <v>878</v>
      </c>
      <c r="H27" s="69" t="n">
        <v>0</v>
      </c>
      <c r="I27" s="69" t="n">
        <v>126</v>
      </c>
      <c r="J27" s="69" t="n">
        <v>63</v>
      </c>
      <c r="K27" s="69" t="n">
        <v>71</v>
      </c>
      <c r="L27" s="69" t="n">
        <v>372</v>
      </c>
      <c r="M27" s="69" t="n">
        <v>34</v>
      </c>
      <c r="N27" s="69" t="n">
        <v>39</v>
      </c>
      <c r="O27" s="69" t="n">
        <v>173</v>
      </c>
    </row>
    <row r="28">
      <c r="F28" s="69" t="inlineStr">
        <is>
          <t>Monroe Village</t>
        </is>
      </c>
      <c r="G28" s="74" t="n">
        <v>2969</v>
      </c>
      <c r="H28" s="69" t="n">
        <v>20</v>
      </c>
      <c r="I28" s="69" t="n">
        <v>138</v>
      </c>
      <c r="J28" s="69" t="n">
        <v>139</v>
      </c>
      <c r="K28" s="69" t="n">
        <v>655</v>
      </c>
      <c r="L28" s="69" t="n">
        <v>408</v>
      </c>
      <c r="M28" s="69" t="n">
        <v>370</v>
      </c>
      <c r="N28" s="69" t="n">
        <v>752</v>
      </c>
      <c r="O28" s="69" t="n">
        <v>487</v>
      </c>
    </row>
    <row r="29">
      <c r="F29" s="69" t="inlineStr">
        <is>
          <t>Montgomery Town</t>
        </is>
      </c>
      <c r="G29" s="74" t="n">
        <v>8972</v>
      </c>
      <c r="H29" s="69" t="n">
        <v>69</v>
      </c>
      <c r="I29" s="69" t="n">
        <v>458</v>
      </c>
      <c r="J29" s="74" t="n">
        <v>1070</v>
      </c>
      <c r="K29" s="74" t="n">
        <v>1034</v>
      </c>
      <c r="L29" s="69" t="n">
        <v>964</v>
      </c>
      <c r="M29" s="74" t="n">
        <v>1211</v>
      </c>
      <c r="N29" s="74" t="n">
        <v>1638</v>
      </c>
      <c r="O29" s="74" t="n">
        <v>2528</v>
      </c>
    </row>
    <row r="30">
      <c r="F30" s="69" t="inlineStr">
        <is>
          <t>Maybrook Village</t>
        </is>
      </c>
      <c r="G30" s="74" t="n">
        <v>1519</v>
      </c>
      <c r="H30" s="69" t="n">
        <v>0</v>
      </c>
      <c r="I30" s="69" t="n">
        <v>116</v>
      </c>
      <c r="J30" s="69" t="n">
        <v>98</v>
      </c>
      <c r="K30" s="69" t="n">
        <v>82</v>
      </c>
      <c r="L30" s="69" t="n">
        <v>287</v>
      </c>
      <c r="M30" s="69" t="n">
        <v>305</v>
      </c>
      <c r="N30" s="69" t="n">
        <v>190</v>
      </c>
      <c r="O30" s="69" t="n">
        <v>441</v>
      </c>
    </row>
    <row r="31">
      <c r="F31" s="69" t="inlineStr">
        <is>
          <t>Montgomery Village</t>
        </is>
      </c>
      <c r="G31" s="74" t="n">
        <v>1600</v>
      </c>
      <c r="H31" s="69" t="n">
        <v>0</v>
      </c>
      <c r="I31" s="69" t="n">
        <v>58</v>
      </c>
      <c r="J31" s="69" t="n">
        <v>312</v>
      </c>
      <c r="K31" s="69" t="n">
        <v>311</v>
      </c>
      <c r="L31" s="69" t="n">
        <v>145</v>
      </c>
      <c r="M31" s="69" t="n">
        <v>336</v>
      </c>
      <c r="N31" s="69" t="n">
        <v>144</v>
      </c>
      <c r="O31" s="69" t="n">
        <v>294</v>
      </c>
    </row>
    <row r="32">
      <c r="F32" t="inlineStr">
        <is>
          <t>Walden Village</t>
        </is>
      </c>
      <c r="G32" s="74" t="n">
        <v>2882</v>
      </c>
      <c r="H32" s="69" t="n">
        <v>13</v>
      </c>
      <c r="I32" s="69" t="n">
        <v>8</v>
      </c>
      <c r="J32" s="69" t="n">
        <v>394</v>
      </c>
      <c r="K32" s="69" t="n">
        <v>417</v>
      </c>
      <c r="L32" s="69" t="n">
        <v>163</v>
      </c>
      <c r="M32" s="69" t="n">
        <v>187</v>
      </c>
      <c r="N32" s="69" t="n">
        <v>463</v>
      </c>
      <c r="O32" s="74" t="n">
        <v>1237</v>
      </c>
    </row>
    <row r="33">
      <c r="F33" s="69" t="inlineStr">
        <is>
          <t>Mount Hope Town</t>
        </is>
      </c>
      <c r="G33" s="74" t="n">
        <v>2289</v>
      </c>
      <c r="H33" s="69" t="n">
        <v>15</v>
      </c>
      <c r="I33" s="69" t="n">
        <v>124</v>
      </c>
      <c r="J33" s="69" t="n">
        <v>394</v>
      </c>
      <c r="K33" s="69" t="n">
        <v>246</v>
      </c>
      <c r="L33" s="69" t="n">
        <v>161</v>
      </c>
      <c r="M33" s="69" t="n">
        <v>485</v>
      </c>
      <c r="N33" s="69" t="n">
        <v>306</v>
      </c>
      <c r="O33" s="69" t="n">
        <v>558</v>
      </c>
    </row>
    <row r="34">
      <c r="F34" s="69" t="inlineStr">
        <is>
          <t>Otisville Village</t>
        </is>
      </c>
      <c r="G34" s="69" t="n">
        <v>468</v>
      </c>
      <c r="H34" s="69" t="n">
        <v>8</v>
      </c>
      <c r="I34" s="68" t="n">
        <v>7</v>
      </c>
      <c r="J34" s="69" t="n">
        <v>39</v>
      </c>
      <c r="K34" s="69" t="n">
        <v>24</v>
      </c>
      <c r="L34" s="69" t="n">
        <v>37</v>
      </c>
      <c r="M34" s="69" t="n">
        <v>66</v>
      </c>
      <c r="N34" s="69" t="n">
        <v>71</v>
      </c>
      <c r="O34" s="69" t="n">
        <v>216</v>
      </c>
    </row>
    <row r="35">
      <c r="F35" s="69" t="inlineStr">
        <is>
          <t>Newburgh City</t>
        </is>
      </c>
      <c r="G35" s="74" t="n">
        <v>11624</v>
      </c>
      <c r="H35" s="69" t="n">
        <v>0</v>
      </c>
      <c r="I35" s="68" t="n">
        <v>185</v>
      </c>
      <c r="J35" s="69" t="n">
        <v>276</v>
      </c>
      <c r="K35" s="69" t="n">
        <v>529</v>
      </c>
      <c r="L35" s="74" t="n">
        <v>1053</v>
      </c>
      <c r="M35" s="69" t="n">
        <v>899</v>
      </c>
      <c r="N35" s="74" t="n">
        <v>2284</v>
      </c>
      <c r="O35" s="74" t="n">
        <v>6398</v>
      </c>
    </row>
    <row r="36">
      <c r="F36" s="69" t="inlineStr">
        <is>
          <t>Newburgh Town</t>
        </is>
      </c>
      <c r="G36" s="74" t="n">
        <v>12352</v>
      </c>
      <c r="H36" s="69" t="n">
        <v>142</v>
      </c>
      <c r="I36" s="68" t="n">
        <v>958</v>
      </c>
      <c r="J36" s="74" t="n">
        <v>1715</v>
      </c>
      <c r="K36" s="74" t="n">
        <v>1563</v>
      </c>
      <c r="L36" s="74" t="n">
        <v>1575</v>
      </c>
      <c r="M36" s="74" t="n">
        <v>1514</v>
      </c>
      <c r="N36" s="74" t="n">
        <v>3340</v>
      </c>
      <c r="O36" s="74" t="n">
        <v>1545</v>
      </c>
    </row>
    <row r="37">
      <c r="F37" s="69" t="inlineStr">
        <is>
          <t>New Windsor Town</t>
        </is>
      </c>
      <c r="G37" s="74" t="n">
        <v>11335</v>
      </c>
      <c r="H37" s="69" t="n">
        <v>48</v>
      </c>
      <c r="I37" s="28" t="n">
        <v>1113</v>
      </c>
      <c r="J37" s="74" t="n">
        <v>1670</v>
      </c>
      <c r="K37" s="69" t="n">
        <v>641</v>
      </c>
      <c r="L37" s="74" t="n">
        <v>1617</v>
      </c>
      <c r="M37" s="74" t="n">
        <v>1631</v>
      </c>
      <c r="N37" s="74" t="n">
        <v>3397</v>
      </c>
      <c r="O37" s="74" t="n">
        <v>1218</v>
      </c>
    </row>
    <row r="38">
      <c r="F38" t="inlineStr">
        <is>
          <t>Palm Tree Town</t>
        </is>
      </c>
      <c r="G38" s="74" t="n">
        <v>7383</v>
      </c>
      <c r="H38" s="69" t="n">
        <v>137</v>
      </c>
      <c r="I38" s="74" t="n">
        <v>2418</v>
      </c>
      <c r="J38" s="74" t="n">
        <v>2147</v>
      </c>
      <c r="K38" s="74" t="n">
        <v>1309</v>
      </c>
      <c r="L38" s="69" t="n">
        <v>851</v>
      </c>
      <c r="M38" s="69" t="n">
        <v>199</v>
      </c>
      <c r="N38" s="69" t="n">
        <v>158</v>
      </c>
      <c r="O38" s="69" t="n">
        <v>164</v>
      </c>
    </row>
    <row r="39">
      <c r="F39" t="inlineStr">
        <is>
          <t>Kiryas Joel Village</t>
        </is>
      </c>
      <c r="G39" s="74" t="n">
        <v>7383</v>
      </c>
      <c r="H39" s="69" t="n">
        <v>137</v>
      </c>
      <c r="I39" s="74" t="n">
        <v>2418</v>
      </c>
      <c r="J39" s="74" t="n">
        <v>2147</v>
      </c>
      <c r="K39" s="74" t="n">
        <v>1309</v>
      </c>
      <c r="L39" s="69" t="n">
        <v>851</v>
      </c>
      <c r="M39" s="69" t="n">
        <v>199</v>
      </c>
      <c r="N39" s="69" t="n">
        <v>158</v>
      </c>
      <c r="O39" s="69" t="n">
        <v>164</v>
      </c>
    </row>
    <row r="40">
      <c r="F40" t="inlineStr">
        <is>
          <t>Port Jervis City</t>
        </is>
      </c>
      <c r="G40" s="74" t="n">
        <v>3896</v>
      </c>
      <c r="H40" s="69" t="n">
        <v>0</v>
      </c>
      <c r="I40" s="69" t="n">
        <v>11</v>
      </c>
      <c r="J40" s="69" t="n">
        <v>322</v>
      </c>
      <c r="K40" s="69" t="n">
        <v>128</v>
      </c>
      <c r="L40" s="69" t="n">
        <v>262</v>
      </c>
      <c r="M40" s="69" t="n">
        <v>340</v>
      </c>
      <c r="N40" s="69" t="n">
        <v>621</v>
      </c>
      <c r="O40" s="74" t="n">
        <v>2212</v>
      </c>
    </row>
    <row r="41">
      <c r="F41" t="inlineStr">
        <is>
          <t>Tuxedo Town</t>
        </is>
      </c>
      <c r="G41" s="74" t="n">
        <v>1766</v>
      </c>
      <c r="H41" s="69" t="n">
        <v>6</v>
      </c>
      <c r="I41" s="69" t="n">
        <v>62</v>
      </c>
      <c r="J41" s="69" t="n">
        <v>248</v>
      </c>
      <c r="K41" s="69" t="n">
        <v>108</v>
      </c>
      <c r="L41" s="69" t="n">
        <v>142</v>
      </c>
      <c r="M41" s="69" t="n">
        <v>141</v>
      </c>
      <c r="N41" s="69" t="n">
        <v>353</v>
      </c>
      <c r="O41" s="69" t="n">
        <v>706</v>
      </c>
    </row>
    <row r="42">
      <c r="F42" t="inlineStr">
        <is>
          <t>Tuxedo Village</t>
        </is>
      </c>
      <c r="G42" s="74" t="n">
        <v>1284</v>
      </c>
      <c r="H42" s="69" t="n">
        <v>6</v>
      </c>
      <c r="I42" s="69" t="n">
        <v>57</v>
      </c>
      <c r="J42" s="69" t="n">
        <v>240</v>
      </c>
      <c r="K42" s="69" t="n">
        <v>100</v>
      </c>
      <c r="L42" s="69" t="n">
        <v>127</v>
      </c>
      <c r="M42" s="69" t="n">
        <v>121</v>
      </c>
      <c r="N42" s="69" t="n">
        <v>330</v>
      </c>
      <c r="O42" s="69" t="n">
        <v>303</v>
      </c>
    </row>
    <row r="43">
      <c r="F43" t="inlineStr">
        <is>
          <t>Tuxedo Park Village</t>
        </is>
      </c>
      <c r="G43" s="69" t="n">
        <v>482</v>
      </c>
      <c r="H43" s="69" t="n">
        <v>0</v>
      </c>
      <c r="I43" s="69" t="n">
        <v>5</v>
      </c>
      <c r="J43" s="69" t="n">
        <v>8</v>
      </c>
      <c r="K43" s="69" t="n">
        <v>8</v>
      </c>
      <c r="L43" s="69" t="n">
        <v>15</v>
      </c>
      <c r="M43" s="69" t="n">
        <v>20</v>
      </c>
      <c r="N43" s="69" t="n">
        <v>23</v>
      </c>
      <c r="O43" s="69" t="n">
        <v>403</v>
      </c>
    </row>
    <row r="44">
      <c r="F44" t="inlineStr">
        <is>
          <t>Wallkill Town</t>
        </is>
      </c>
      <c r="G44" s="74" t="n">
        <v>12287</v>
      </c>
      <c r="H44" s="69" t="n">
        <v>207</v>
      </c>
      <c r="I44" s="74" t="n">
        <v>1331</v>
      </c>
      <c r="J44" s="74" t="n">
        <v>1700</v>
      </c>
      <c r="K44" s="69" t="n">
        <v>909</v>
      </c>
      <c r="L44" s="74" t="n">
        <v>1413</v>
      </c>
      <c r="M44" s="74" t="n">
        <v>2531</v>
      </c>
      <c r="N44" s="74" t="n">
        <v>2154</v>
      </c>
      <c r="O44" s="74" t="n">
        <v>2042</v>
      </c>
    </row>
    <row r="45">
      <c r="F45" t="inlineStr">
        <is>
          <t>Warwick Town</t>
        </is>
      </c>
      <c r="G45" s="74" t="n">
        <v>13046</v>
      </c>
      <c r="H45" s="69" t="n">
        <v>0</v>
      </c>
      <c r="I45" s="69" t="n">
        <v>756</v>
      </c>
      <c r="J45" s="69" t="n">
        <v>965</v>
      </c>
      <c r="K45" s="74" t="n">
        <v>1513</v>
      </c>
      <c r="L45" s="74" t="n">
        <v>1905</v>
      </c>
      <c r="M45" s="74" t="n">
        <v>1853</v>
      </c>
      <c r="N45" s="74" t="n">
        <v>2603</v>
      </c>
      <c r="O45" s="74" t="n">
        <v>3451</v>
      </c>
    </row>
    <row r="46">
      <c r="F46" t="inlineStr">
        <is>
          <t>Florida Village</t>
        </is>
      </c>
      <c r="G46" s="74" t="n">
        <v>1002</v>
      </c>
      <c r="H46" s="69" t="n">
        <v>0</v>
      </c>
      <c r="I46" s="69" t="n">
        <v>43</v>
      </c>
      <c r="J46" s="69" t="n">
        <v>66</v>
      </c>
      <c r="K46" s="69" t="n">
        <v>90</v>
      </c>
      <c r="L46" s="69" t="n">
        <v>166</v>
      </c>
      <c r="M46" s="69" t="n">
        <v>236</v>
      </c>
      <c r="N46" s="69" t="n">
        <v>239</v>
      </c>
      <c r="O46" s="69" t="n">
        <v>162</v>
      </c>
    </row>
    <row r="47">
      <c r="F47" t="inlineStr">
        <is>
          <t>Greenwood Lake Village</t>
        </is>
      </c>
      <c r="G47" s="74" t="n">
        <v>1379</v>
      </c>
      <c r="H47" s="69" t="n">
        <v>0</v>
      </c>
      <c r="I47" s="69" t="n">
        <v>7</v>
      </c>
      <c r="J47" s="69" t="n">
        <v>46</v>
      </c>
      <c r="K47" s="69" t="n">
        <v>72</v>
      </c>
      <c r="L47" s="69" t="n">
        <v>104</v>
      </c>
      <c r="M47" s="69" t="n">
        <v>37</v>
      </c>
      <c r="N47" s="69" t="n">
        <v>529</v>
      </c>
      <c r="O47" s="69" t="n">
        <v>584</v>
      </c>
    </row>
    <row r="48">
      <c r="F48" t="inlineStr">
        <is>
          <t>Warwick Village</t>
        </is>
      </c>
      <c r="G48" s="74" t="n">
        <v>3304</v>
      </c>
      <c r="H48" s="69" t="n">
        <v>0</v>
      </c>
      <c r="I48" s="69" t="n">
        <v>481</v>
      </c>
      <c r="J48" s="69" t="n">
        <v>329</v>
      </c>
      <c r="K48" s="69" t="n">
        <v>344</v>
      </c>
      <c r="L48" s="69" t="n">
        <v>504</v>
      </c>
      <c r="M48" s="69" t="n">
        <v>399</v>
      </c>
      <c r="N48" s="69" t="n">
        <v>241</v>
      </c>
      <c r="O48" s="74" t="n">
        <v>1006</v>
      </c>
    </row>
    <row r="49">
      <c r="F49" t="inlineStr">
        <is>
          <t>Wawayanda Town</t>
        </is>
      </c>
      <c r="G49" s="74" t="n">
        <v>2635</v>
      </c>
      <c r="H49" s="69" t="n">
        <v>37</v>
      </c>
      <c r="I49" s="69" t="n">
        <v>189</v>
      </c>
      <c r="J49" s="69" t="n">
        <v>340</v>
      </c>
      <c r="K49" s="69" t="n">
        <v>314</v>
      </c>
      <c r="L49" s="69" t="n">
        <v>432</v>
      </c>
      <c r="M49" s="69" t="n">
        <v>356</v>
      </c>
      <c r="N49" s="69" t="n">
        <v>512</v>
      </c>
      <c r="O49" s="69" t="n">
        <v>457</v>
      </c>
    </row>
    <row r="50">
      <c r="F50" t="inlineStr">
        <is>
          <t>Woodbury Town</t>
        </is>
      </c>
      <c r="G50" s="74" t="n">
        <v>4193</v>
      </c>
      <c r="H50" s="69" t="n">
        <v>0</v>
      </c>
      <c r="I50" s="69" t="n">
        <v>260</v>
      </c>
      <c r="J50" s="69" t="n">
        <v>495</v>
      </c>
      <c r="K50" s="69" t="n">
        <v>494</v>
      </c>
      <c r="L50" s="69" t="n">
        <v>871</v>
      </c>
      <c r="M50" s="69" t="n">
        <v>506</v>
      </c>
      <c r="N50" s="69" t="n">
        <v>778</v>
      </c>
      <c r="O50" s="69" t="n">
        <v>789</v>
      </c>
    </row>
    <row r="51">
      <c r="F51" t="inlineStr">
        <is>
          <t>Harriman Village (portion)</t>
        </is>
      </c>
      <c r="G51" s="69" t="n">
        <v>259</v>
      </c>
      <c r="H51" s="69" t="n">
        <v>0</v>
      </c>
      <c r="I51" s="69" t="n">
        <v>0</v>
      </c>
      <c r="J51" s="69" t="n">
        <v>37</v>
      </c>
      <c r="K51" s="69" t="n">
        <v>26</v>
      </c>
      <c r="L51" s="69" t="n">
        <v>119</v>
      </c>
      <c r="M51" s="69" t="n">
        <v>71</v>
      </c>
      <c r="N51" s="69" t="n">
        <v>6</v>
      </c>
      <c r="O51" s="69" t="n">
        <v>0</v>
      </c>
    </row>
    <row r="52">
      <c r="F52" t="inlineStr">
        <is>
          <t>Woodbury Village</t>
        </is>
      </c>
      <c r="G52" s="74" t="n">
        <v>3934</v>
      </c>
      <c r="H52" s="69" t="n">
        <v>0</v>
      </c>
      <c r="I52" s="69" t="n">
        <v>260</v>
      </c>
      <c r="J52" s="69" t="n">
        <v>458</v>
      </c>
      <c r="K52" s="69" t="n">
        <v>468</v>
      </c>
      <c r="L52" s="69" t="n">
        <v>752</v>
      </c>
      <c r="M52" s="69" t="n">
        <v>435</v>
      </c>
      <c r="N52" s="69" t="n">
        <v>772</v>
      </c>
      <c r="O52" s="69"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20.7109375" bestFit="1" customWidth="1" style="91" min="11" max="11"/>
    <col width="48.28515625" bestFit="1" customWidth="1" style="91" min="12" max="12"/>
    <col width="40.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Homeowners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Owner-Occupied Housing Units</t>
        </is>
      </c>
      <c r="J6" s="69" t="inlineStr">
        <is>
          <t>% Homeowner Vacancy Rate</t>
        </is>
      </c>
      <c r="K6" s="69" t="inlineStr">
        <is>
          <t>Median Home Value $</t>
        </is>
      </c>
      <c r="L6" s="69" t="inlineStr">
        <is>
          <t>Median Selected Monthly Owner Costs (Mortgage) $</t>
        </is>
      </c>
      <c r="M6" s="69" t="inlineStr">
        <is>
          <t># of Cost-Stressed Homeowner Households</t>
        </is>
      </c>
      <c r="N6" s="69" t="n"/>
      <c r="O6" s="69" t="n"/>
    </row>
    <row r="7" ht="15.75" customHeight="1" s="91">
      <c r="F7" t="inlineStr">
        <is>
          <t>Orange County</t>
        </is>
      </c>
      <c r="G7" s="74" t="n">
        <v>148460</v>
      </c>
      <c r="H7" s="74" t="n">
        <v>137311</v>
      </c>
      <c r="I7" s="74" t="n">
        <v>93959</v>
      </c>
      <c r="J7" s="69" t="n">
        <v>1.1</v>
      </c>
      <c r="K7" s="95" t="n">
        <v>361100</v>
      </c>
      <c r="L7" s="95" t="n">
        <v>2653</v>
      </c>
      <c r="M7" s="74" t="n">
        <v>30065</v>
      </c>
      <c r="N7" s="69" t="n"/>
      <c r="O7" s="69" t="n"/>
    </row>
    <row r="8">
      <c r="F8" t="inlineStr">
        <is>
          <t>Blooming Grove Town</t>
        </is>
      </c>
      <c r="G8" s="74" t="n">
        <v>6844</v>
      </c>
      <c r="H8" s="74" t="n">
        <v>6149</v>
      </c>
      <c r="I8" s="74" t="n">
        <v>5016</v>
      </c>
      <c r="J8" s="69" t="n">
        <v>1.3</v>
      </c>
      <c r="K8" s="95" t="n">
        <v>372900</v>
      </c>
      <c r="L8" s="95" t="n">
        <v>2738</v>
      </c>
      <c r="M8" s="74" t="n">
        <v>2083</v>
      </c>
      <c r="N8" s="69" t="n"/>
      <c r="O8" s="69" t="n"/>
    </row>
    <row r="9">
      <c r="A9" s="71" t="inlineStr">
        <is>
          <t>Figure Rules</t>
        </is>
      </c>
      <c r="F9" t="inlineStr">
        <is>
          <t>South Blooming Grove Village</t>
        </is>
      </c>
      <c r="G9" s="74" t="n">
        <v>1483</v>
      </c>
      <c r="H9" s="74" t="n">
        <v>1261</v>
      </c>
      <c r="I9" s="69" t="n">
        <v>995</v>
      </c>
      <c r="J9" s="69" t="n">
        <v>2.4</v>
      </c>
      <c r="K9" s="95" t="n">
        <v>349800</v>
      </c>
      <c r="L9" s="95" t="n">
        <v>2536</v>
      </c>
      <c r="M9" s="69" t="n">
        <v>500</v>
      </c>
      <c r="N9" s="69" t="n"/>
      <c r="O9" s="69" t="n"/>
    </row>
    <row r="10">
      <c r="A10" t="inlineStr">
        <is>
          <t>Figure Type</t>
        </is>
      </c>
      <c r="F10" t="inlineStr">
        <is>
          <t>Washingtonville Village</t>
        </is>
      </c>
      <c r="G10" s="74" t="n">
        <v>2080</v>
      </c>
      <c r="H10" s="14" t="n">
        <v>2004</v>
      </c>
      <c r="I10" s="14" t="n">
        <v>1575</v>
      </c>
      <c r="J10" t="n">
        <v>1.9</v>
      </c>
      <c r="K10" s="96" t="n">
        <v>268100</v>
      </c>
      <c r="L10" s="96" t="n">
        <v>2464</v>
      </c>
      <c r="M10" t="n">
        <v>507</v>
      </c>
    </row>
    <row r="11">
      <c r="A11" t="inlineStr">
        <is>
          <t>X Column</t>
        </is>
      </c>
      <c r="F11" t="inlineStr">
        <is>
          <t>Chester Town</t>
        </is>
      </c>
      <c r="G11" s="74" t="n">
        <v>4763</v>
      </c>
      <c r="H11" s="74" t="n">
        <v>4458</v>
      </c>
      <c r="I11" s="74" t="n">
        <v>3538</v>
      </c>
      <c r="J11" s="68" t="n">
        <v>1.3</v>
      </c>
      <c r="K11" s="97" t="n">
        <v>399700</v>
      </c>
      <c r="L11" s="97" t="n">
        <v>3094</v>
      </c>
      <c r="M11" s="28" t="n">
        <v>1026</v>
      </c>
      <c r="N11" s="68" t="n"/>
    </row>
    <row r="12">
      <c r="A12" t="inlineStr">
        <is>
          <t>Y Column</t>
        </is>
      </c>
      <c r="F12" s="21" t="inlineStr">
        <is>
          <t>Chester Village</t>
        </is>
      </c>
      <c r="G12" s="28" t="n">
        <v>1735</v>
      </c>
      <c r="H12" s="28" t="n">
        <v>1643</v>
      </c>
      <c r="I12" s="69" t="n">
        <v>922</v>
      </c>
      <c r="J12" s="69" t="n">
        <v>5.1</v>
      </c>
      <c r="K12" s="95" t="n">
        <v>219600</v>
      </c>
      <c r="L12" s="95" t="n">
        <v>2260</v>
      </c>
      <c r="M12" t="n">
        <v>409</v>
      </c>
    </row>
    <row r="13">
      <c r="A13" t="inlineStr">
        <is>
          <t>X Axis Title</t>
        </is>
      </c>
      <c r="F13" t="inlineStr">
        <is>
          <t>Cornwall Town</t>
        </is>
      </c>
      <c r="G13" s="14" t="n">
        <v>5366</v>
      </c>
      <c r="H13" s="14" t="n">
        <v>5023</v>
      </c>
      <c r="I13" s="14" t="n">
        <v>3815</v>
      </c>
      <c r="J13" t="n">
        <v>2.4</v>
      </c>
      <c r="K13" s="96" t="n">
        <v>416500</v>
      </c>
      <c r="L13" s="96" t="n">
        <v>2994</v>
      </c>
      <c r="M13" s="14" t="n">
        <v>1160</v>
      </c>
    </row>
    <row r="14">
      <c r="A14" t="inlineStr">
        <is>
          <t>Y Axis Title</t>
        </is>
      </c>
      <c r="F14" t="inlineStr">
        <is>
          <t>Cornwall-on-Hudson Village</t>
        </is>
      </c>
      <c r="G14" s="14" t="n">
        <v>1250</v>
      </c>
      <c r="H14" s="14" t="n">
        <v>1186</v>
      </c>
      <c r="I14" t="n">
        <v>818</v>
      </c>
      <c r="J14" t="n">
        <v>1.9</v>
      </c>
      <c r="K14" s="96" t="n">
        <v>349800</v>
      </c>
      <c r="L14" s="96" t="n">
        <v>2813</v>
      </c>
      <c r="M14" t="n">
        <v>321</v>
      </c>
    </row>
    <row r="15">
      <c r="A15" t="inlineStr">
        <is>
          <t>Start at Zero</t>
        </is>
      </c>
      <c r="F15" t="inlineStr">
        <is>
          <t>Crawford Town</t>
        </is>
      </c>
      <c r="G15" s="14" t="n">
        <v>3093</v>
      </c>
      <c r="H15" s="14" t="n">
        <v>3001</v>
      </c>
      <c r="I15" s="14" t="n">
        <v>2299</v>
      </c>
      <c r="J15" t="n">
        <v>0</v>
      </c>
      <c r="K15" s="96" t="n">
        <v>384700</v>
      </c>
      <c r="L15" s="96" t="n">
        <v>2490</v>
      </c>
      <c r="M15" t="n">
        <v>399</v>
      </c>
    </row>
    <row r="16">
      <c r="A16" t="inlineStr">
        <is>
          <t>Pivot For Chart</t>
        </is>
      </c>
      <c r="F16" t="inlineStr">
        <is>
          <t>Deerpark Town</t>
        </is>
      </c>
      <c r="G16" s="14" t="n">
        <v>3347</v>
      </c>
      <c r="H16" s="14" t="n">
        <v>2993</v>
      </c>
      <c r="I16" s="14" t="n">
        <v>2254</v>
      </c>
      <c r="J16" t="n">
        <v>0.8</v>
      </c>
      <c r="K16" s="96" t="n">
        <v>223000</v>
      </c>
      <c r="L16" s="96" t="n">
        <v>2023</v>
      </c>
      <c r="M16" t="n">
        <v>611</v>
      </c>
    </row>
    <row r="17">
      <c r="F17" t="inlineStr">
        <is>
          <t>Goshen Town</t>
        </is>
      </c>
      <c r="G17" s="14" t="n">
        <v>5371</v>
      </c>
      <c r="H17" s="14" t="n">
        <v>4861</v>
      </c>
      <c r="I17" s="14" t="n">
        <v>3868</v>
      </c>
      <c r="J17" t="n">
        <v>1.3</v>
      </c>
      <c r="K17" s="96" t="n">
        <v>437900</v>
      </c>
      <c r="L17" s="96" t="n">
        <v>3236</v>
      </c>
      <c r="M17" s="14" t="n">
        <v>1288</v>
      </c>
    </row>
    <row r="18">
      <c r="A18" s="71" t="inlineStr">
        <is>
          <t>Source Specifications</t>
        </is>
      </c>
      <c r="F18" t="inlineStr">
        <is>
          <t>Goshen Village</t>
        </is>
      </c>
      <c r="G18" s="14" t="n">
        <v>2548</v>
      </c>
      <c r="H18" s="14" t="n">
        <v>2307</v>
      </c>
      <c r="I18" s="14" t="n">
        <v>1379</v>
      </c>
      <c r="J18" t="n">
        <v>0</v>
      </c>
      <c r="K18" s="96" t="n">
        <v>357000</v>
      </c>
      <c r="L18" s="96"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t="inlineStr">
        <is>
          <t>Greenville Town</t>
        </is>
      </c>
      <c r="G19" s="14" t="n">
        <v>1775</v>
      </c>
      <c r="H19" s="14" t="n">
        <v>1645</v>
      </c>
      <c r="I19" s="14" t="n">
        <v>1343</v>
      </c>
      <c r="J19" t="n">
        <v>0</v>
      </c>
      <c r="K19" s="96" t="n">
        <v>357000</v>
      </c>
      <c r="L19" s="96" t="n">
        <v>2466</v>
      </c>
      <c r="M19" t="n">
        <v>337</v>
      </c>
    </row>
    <row r="20">
      <c r="F20" s="69" t="inlineStr">
        <is>
          <t>Hamptonburgh Town</t>
        </is>
      </c>
      <c r="G20" s="74" t="n">
        <v>1842</v>
      </c>
      <c r="H20" s="74" t="n">
        <v>1745</v>
      </c>
      <c r="I20" s="14" t="n">
        <v>1625</v>
      </c>
      <c r="J20" t="n">
        <v>0.5</v>
      </c>
      <c r="K20" s="96" t="n">
        <v>481700</v>
      </c>
      <c r="L20" s="96" t="n">
        <v>3084</v>
      </c>
      <c r="M20" t="n">
        <v>596</v>
      </c>
    </row>
    <row r="21">
      <c r="A21" s="69" t="inlineStr">
        <is>
          <t>Note Specfications</t>
        </is>
      </c>
      <c r="F21" s="69" t="inlineStr">
        <is>
          <t>Highlands Town</t>
        </is>
      </c>
      <c r="G21" s="74" t="n">
        <v>4240</v>
      </c>
      <c r="H21" s="74" t="n">
        <v>3938</v>
      </c>
      <c r="I21" s="14" t="n">
        <v>1639</v>
      </c>
      <c r="J21" t="n">
        <v>0</v>
      </c>
      <c r="K21" s="96" t="n">
        <v>324800</v>
      </c>
      <c r="L21" s="96"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t="n">
        <v>853</v>
      </c>
      <c r="J22" t="n">
        <v>0</v>
      </c>
      <c r="K22" s="96" t="n">
        <v>266900</v>
      </c>
      <c r="L22" s="96" t="n">
        <v>2493</v>
      </c>
      <c r="M22" t="n">
        <v>319</v>
      </c>
    </row>
    <row r="23">
      <c r="F23" s="69" t="inlineStr">
        <is>
          <t>Middletown City</t>
        </is>
      </c>
      <c r="G23" s="74" t="n">
        <v>11018</v>
      </c>
      <c r="H23" s="74" t="n">
        <v>10182</v>
      </c>
      <c r="I23" s="14" t="n">
        <v>5341</v>
      </c>
      <c r="J23" t="n">
        <v>0.7</v>
      </c>
      <c r="K23" s="96" t="n">
        <v>271000</v>
      </c>
      <c r="L23" s="96" t="n">
        <v>2272</v>
      </c>
      <c r="M23" s="14" t="n">
        <v>1469</v>
      </c>
    </row>
    <row r="24">
      <c r="F24" t="inlineStr">
        <is>
          <t>Minisink Town</t>
        </is>
      </c>
      <c r="G24" s="14" t="n">
        <v>1697</v>
      </c>
      <c r="H24" s="14" t="n">
        <v>1491</v>
      </c>
      <c r="I24" s="14" t="n">
        <v>1172</v>
      </c>
      <c r="J24" t="n">
        <v>0.9</v>
      </c>
      <c r="K24" s="96" t="n">
        <v>357800</v>
      </c>
      <c r="L24" s="96" t="n">
        <v>2790</v>
      </c>
      <c r="M24" t="n">
        <v>398</v>
      </c>
    </row>
    <row r="25">
      <c r="F25" s="69" t="inlineStr">
        <is>
          <t>Unionville Village</t>
        </is>
      </c>
      <c r="G25" s="69" t="n">
        <v>265</v>
      </c>
      <c r="H25" s="69" t="n">
        <v>229</v>
      </c>
      <c r="I25" t="n">
        <v>138</v>
      </c>
      <c r="J25" t="n">
        <v>7.4</v>
      </c>
      <c r="K25" s="96" t="n">
        <v>261100</v>
      </c>
      <c r="L25" s="96" t="n">
        <v>1989</v>
      </c>
      <c r="M25" t="n">
        <v>30</v>
      </c>
    </row>
    <row r="26">
      <c r="F26" s="69" t="inlineStr">
        <is>
          <t>Monroe Town</t>
        </is>
      </c>
      <c r="G26" s="74" t="n">
        <v>7407</v>
      </c>
      <c r="H26" s="74" t="n">
        <v>6883</v>
      </c>
      <c r="I26" s="14" t="n">
        <v>5588</v>
      </c>
      <c r="J26" t="n">
        <v>2.2</v>
      </c>
      <c r="K26" s="96" t="n">
        <v>353300</v>
      </c>
      <c r="L26" s="96" t="n">
        <v>2834</v>
      </c>
      <c r="M26" s="14" t="n">
        <v>1857</v>
      </c>
    </row>
    <row r="27">
      <c r="A27" s="69" t="n"/>
      <c r="F27" s="69" t="inlineStr">
        <is>
          <t>Harriman Village (total)*</t>
        </is>
      </c>
      <c r="G27" s="74" t="n">
        <v>1233</v>
      </c>
      <c r="H27" s="74" t="n">
        <v>1140</v>
      </c>
      <c r="I27" t="n">
        <v>557</v>
      </c>
      <c r="J27" t="n">
        <v>0</v>
      </c>
      <c r="K27" s="96" t="n">
        <v>232100</v>
      </c>
      <c r="L27" s="96" t="n">
        <v>2411</v>
      </c>
      <c r="M27" t="n">
        <v>214</v>
      </c>
    </row>
    <row r="28">
      <c r="F28" s="69" t="inlineStr">
        <is>
          <t>Monroe Village</t>
        </is>
      </c>
      <c r="G28" s="74" t="n">
        <v>3009</v>
      </c>
      <c r="H28" s="74" t="n">
        <v>2841</v>
      </c>
      <c r="I28" s="14" t="n">
        <v>2373</v>
      </c>
      <c r="J28" t="n">
        <v>0</v>
      </c>
      <c r="K28" s="96" t="n">
        <v>336800</v>
      </c>
      <c r="L28" s="96" t="n">
        <v>2942</v>
      </c>
      <c r="M28" t="n">
        <v>785</v>
      </c>
    </row>
    <row r="29">
      <c r="F29" s="69" t="inlineStr">
        <is>
          <t>Montgomery Town</t>
        </is>
      </c>
      <c r="G29" s="74" t="n">
        <v>9101</v>
      </c>
      <c r="H29" s="74" t="n">
        <v>8330</v>
      </c>
      <c r="I29" s="14" t="n">
        <v>5806</v>
      </c>
      <c r="J29" t="n">
        <v>0.9</v>
      </c>
      <c r="K29" s="96" t="n">
        <v>271700</v>
      </c>
      <c r="L29" s="96" t="n">
        <v>2299</v>
      </c>
      <c r="M29" s="14" t="n">
        <v>1884</v>
      </c>
    </row>
    <row r="30">
      <c r="F30" s="69" t="inlineStr">
        <is>
          <t>Maybrook Village</t>
        </is>
      </c>
      <c r="G30" s="74" t="n">
        <v>1446</v>
      </c>
      <c r="H30" s="74" t="n">
        <v>1286</v>
      </c>
      <c r="I30" t="n">
        <v>705</v>
      </c>
      <c r="J30" t="n">
        <v>7</v>
      </c>
      <c r="K30" s="96" t="n">
        <v>200200</v>
      </c>
      <c r="L30" s="96" t="n">
        <v>1747</v>
      </c>
      <c r="M30" t="n">
        <v>199</v>
      </c>
    </row>
    <row r="31">
      <c r="F31" s="69" t="inlineStr">
        <is>
          <t>Montgomery Village</t>
        </is>
      </c>
      <c r="G31" s="74" t="n">
        <v>1373</v>
      </c>
      <c r="H31" s="74" t="n">
        <v>1346</v>
      </c>
      <c r="I31" t="n">
        <v>859</v>
      </c>
      <c r="J31" t="n">
        <v>0</v>
      </c>
      <c r="K31" s="96" t="n">
        <v>291000</v>
      </c>
      <c r="L31" s="96" t="n">
        <v>2269</v>
      </c>
      <c r="M31" t="n">
        <v>195</v>
      </c>
    </row>
    <row r="32">
      <c r="F32" t="inlineStr">
        <is>
          <t>Walden Village</t>
        </is>
      </c>
      <c r="G32" s="14" t="n">
        <v>3003</v>
      </c>
      <c r="H32" s="14" t="n">
        <v>2790</v>
      </c>
      <c r="I32" s="14" t="n">
        <v>1717</v>
      </c>
      <c r="J32" t="n">
        <v>0</v>
      </c>
      <c r="K32" s="96" t="n">
        <v>257300</v>
      </c>
      <c r="L32" s="96" t="n">
        <v>2309</v>
      </c>
      <c r="M32" t="n">
        <v>699</v>
      </c>
    </row>
    <row r="33">
      <c r="F33" s="69" t="inlineStr">
        <is>
          <t>Mount Hope Town</t>
        </is>
      </c>
      <c r="G33" s="74" t="n">
        <v>2216</v>
      </c>
      <c r="H33" s="74" t="n">
        <v>1906</v>
      </c>
      <c r="I33" s="14" t="n">
        <v>1550</v>
      </c>
      <c r="J33" t="n">
        <v>3.4</v>
      </c>
      <c r="K33" s="96" t="n">
        <v>269900</v>
      </c>
      <c r="L33" s="96" t="n">
        <v>2109</v>
      </c>
      <c r="M33" t="n">
        <v>405</v>
      </c>
    </row>
    <row r="34">
      <c r="F34" s="69" t="inlineStr">
        <is>
          <t>Otisville Village</t>
        </is>
      </c>
      <c r="G34" s="69" t="n">
        <v>524</v>
      </c>
      <c r="H34" s="69" t="n">
        <v>491</v>
      </c>
      <c r="I34" s="68" t="n">
        <v>321</v>
      </c>
      <c r="J34" t="n">
        <v>1.5</v>
      </c>
      <c r="K34" s="96" t="n">
        <v>223100</v>
      </c>
      <c r="L34" s="96" t="n">
        <v>2169</v>
      </c>
      <c r="M34" t="n">
        <v>120</v>
      </c>
    </row>
    <row r="35">
      <c r="F35" s="69" t="inlineStr">
        <is>
          <t>Newburgh City</t>
        </is>
      </c>
      <c r="G35" s="74" t="n">
        <v>11700</v>
      </c>
      <c r="H35" s="74" t="n">
        <v>9951</v>
      </c>
      <c r="I35" s="28" t="n">
        <v>3475</v>
      </c>
      <c r="J35" t="n">
        <v>1.3</v>
      </c>
      <c r="K35" s="96" t="n">
        <v>166000</v>
      </c>
      <c r="L35" s="96" t="n">
        <v>1852</v>
      </c>
      <c r="M35" s="14" t="n">
        <v>1161</v>
      </c>
    </row>
    <row r="36">
      <c r="F36" s="69" t="inlineStr">
        <is>
          <t>Newburgh Town</t>
        </is>
      </c>
      <c r="G36" s="74" t="n">
        <v>12127</v>
      </c>
      <c r="H36" s="74" t="n">
        <v>11228</v>
      </c>
      <c r="I36" s="28" t="n">
        <v>9224</v>
      </c>
      <c r="J36" t="n">
        <v>1.5</v>
      </c>
      <c r="K36" s="96" t="n">
        <v>278500</v>
      </c>
      <c r="L36" s="96" t="n">
        <v>2213</v>
      </c>
      <c r="M36" s="14" t="n">
        <v>2750</v>
      </c>
    </row>
    <row r="37">
      <c r="F37" s="69" t="inlineStr">
        <is>
          <t>New Windsor Town</t>
        </is>
      </c>
      <c r="G37" s="74" t="n">
        <v>10557</v>
      </c>
      <c r="H37" s="74" t="n">
        <v>9899</v>
      </c>
      <c r="I37" s="28" t="n">
        <v>7088</v>
      </c>
      <c r="J37" t="n">
        <v>1.1</v>
      </c>
      <c r="K37" s="96" t="n">
        <v>290000</v>
      </c>
      <c r="L37" s="96" t="n">
        <v>2542</v>
      </c>
      <c r="M37" s="14" t="n">
        <v>2268</v>
      </c>
    </row>
    <row r="38">
      <c r="F38" t="inlineStr">
        <is>
          <t>Palm Tree Town</t>
        </is>
      </c>
      <c r="G38" s="14" t="n">
        <v>6069</v>
      </c>
      <c r="H38" s="14" t="n">
        <v>5781</v>
      </c>
      <c r="I38" s="14" t="n">
        <v>1895</v>
      </c>
      <c r="J38" t="n">
        <v>0</v>
      </c>
      <c r="K38" s="96" t="n">
        <v>566100</v>
      </c>
      <c r="L38" s="96" t="n">
        <v>2610</v>
      </c>
      <c r="M38" s="14" t="n">
        <v>1304</v>
      </c>
    </row>
    <row r="39">
      <c r="F39" t="inlineStr">
        <is>
          <t>Kiryas Joel Village</t>
        </is>
      </c>
      <c r="G39" s="14" t="n">
        <v>6069</v>
      </c>
      <c r="H39" s="14" t="n">
        <v>5781</v>
      </c>
      <c r="I39" s="14" t="n">
        <v>1895</v>
      </c>
      <c r="J39" t="n">
        <v>0</v>
      </c>
      <c r="K39" s="96" t="n">
        <v>566100</v>
      </c>
      <c r="L39" s="96" t="n">
        <v>2610</v>
      </c>
      <c r="M39" s="14" t="n">
        <v>1304</v>
      </c>
    </row>
    <row r="40">
      <c r="F40" t="inlineStr">
        <is>
          <t>Port Jervis City</t>
        </is>
      </c>
      <c r="G40" s="14" t="n">
        <v>4044</v>
      </c>
      <c r="H40" s="14" t="n">
        <v>3566</v>
      </c>
      <c r="I40" s="14" t="n">
        <v>1837</v>
      </c>
      <c r="J40" t="n">
        <v>4.4</v>
      </c>
      <c r="K40" s="96" t="n">
        <v>153300</v>
      </c>
      <c r="L40" s="96" t="n">
        <v>1692</v>
      </c>
      <c r="M40" t="n">
        <v>684</v>
      </c>
    </row>
    <row r="41">
      <c r="F41" t="inlineStr">
        <is>
          <t>Tuxedo Town</t>
        </is>
      </c>
      <c r="G41" s="14" t="n">
        <v>1722</v>
      </c>
      <c r="H41" s="14" t="n">
        <v>1477</v>
      </c>
      <c r="I41" s="14" t="n">
        <v>1235</v>
      </c>
      <c r="J41" t="n">
        <v>3.4</v>
      </c>
      <c r="K41" s="96" t="n">
        <v>528500</v>
      </c>
      <c r="L41" s="96" t="n">
        <v>3296</v>
      </c>
      <c r="M41" t="n">
        <v>359</v>
      </c>
    </row>
    <row r="42">
      <c r="F42" t="inlineStr">
        <is>
          <t>Tuxedo Park Village</t>
        </is>
      </c>
      <c r="G42" t="n">
        <v>457</v>
      </c>
      <c r="H42" t="n">
        <v>360</v>
      </c>
      <c r="I42" t="n">
        <v>324</v>
      </c>
      <c r="J42" t="n">
        <v>2.9</v>
      </c>
      <c r="K42" s="96" t="n">
        <v>2000000</v>
      </c>
      <c r="L42" s="96" t="n">
        <v>3938</v>
      </c>
      <c r="M42" t="n">
        <v>54</v>
      </c>
    </row>
    <row r="43">
      <c r="F43" t="inlineStr">
        <is>
          <t>Wallkill Town</t>
        </is>
      </c>
      <c r="G43" s="14" t="n">
        <v>12140</v>
      </c>
      <c r="H43" s="14" t="n">
        <v>11574</v>
      </c>
      <c r="I43" s="14" t="n">
        <v>7723</v>
      </c>
      <c r="J43" t="n">
        <v>0.7</v>
      </c>
      <c r="K43" s="96" t="n">
        <v>259700</v>
      </c>
      <c r="L43" s="96" t="n">
        <v>2177</v>
      </c>
      <c r="M43" s="14" t="n">
        <v>2582</v>
      </c>
    </row>
    <row r="44">
      <c r="F44" t="inlineStr">
        <is>
          <t>Warwick Town</t>
        </is>
      </c>
      <c r="G44" s="14" t="n">
        <v>13071</v>
      </c>
      <c r="H44" s="14" t="n">
        <v>11739</v>
      </c>
      <c r="I44" s="14" t="n">
        <v>9300</v>
      </c>
      <c r="J44" t="n">
        <v>2</v>
      </c>
      <c r="K44" s="96" t="n">
        <v>347900</v>
      </c>
      <c r="L44" s="96" t="n">
        <v>2682</v>
      </c>
      <c r="M44" s="14" t="n">
        <v>2524</v>
      </c>
    </row>
    <row r="45">
      <c r="F45" t="inlineStr">
        <is>
          <t>Florida Village</t>
        </is>
      </c>
      <c r="G45" s="14" t="n">
        <v>1049</v>
      </c>
      <c r="H45" t="n">
        <v>938</v>
      </c>
      <c r="I45" t="n">
        <v>745</v>
      </c>
      <c r="J45" t="n">
        <v>2.8</v>
      </c>
      <c r="K45" s="96" t="n">
        <v>289300</v>
      </c>
      <c r="L45" s="96" t="n">
        <v>2308</v>
      </c>
      <c r="M45" t="n">
        <v>220</v>
      </c>
    </row>
    <row r="46">
      <c r="F46" t="inlineStr">
        <is>
          <t>Greenwood Lake Village</t>
        </is>
      </c>
      <c r="G46" s="14" t="n">
        <v>1430</v>
      </c>
      <c r="H46" s="14" t="n">
        <v>1114</v>
      </c>
      <c r="I46" t="n">
        <v>857</v>
      </c>
      <c r="J46" t="n">
        <v>3.3</v>
      </c>
      <c r="K46" s="96" t="n">
        <v>259600</v>
      </c>
      <c r="L46" s="96" t="n">
        <v>2123</v>
      </c>
      <c r="M46" t="n">
        <v>237</v>
      </c>
    </row>
    <row r="47">
      <c r="F47" t="inlineStr">
        <is>
          <t>Warwick Village</t>
        </is>
      </c>
      <c r="G47" s="14" t="n">
        <v>3301</v>
      </c>
      <c r="H47" s="14" t="n">
        <v>3130</v>
      </c>
      <c r="I47" s="14" t="n">
        <v>1920</v>
      </c>
      <c r="J47" t="n">
        <v>0</v>
      </c>
      <c r="K47" s="96" t="n">
        <v>349900</v>
      </c>
      <c r="L47" s="96" t="n">
        <v>2612</v>
      </c>
      <c r="M47" t="n">
        <v>420</v>
      </c>
    </row>
    <row r="48">
      <c r="F48" t="inlineStr">
        <is>
          <t>Wawayanda Town</t>
        </is>
      </c>
      <c r="G48" s="14" t="n">
        <v>2872</v>
      </c>
      <c r="H48" s="14" t="n">
        <v>2670</v>
      </c>
      <c r="I48" s="14" t="n">
        <v>2274</v>
      </c>
      <c r="J48" t="n">
        <v>1.1</v>
      </c>
      <c r="K48" s="96" t="n">
        <v>291400</v>
      </c>
      <c r="L48" s="96" t="n">
        <v>2225</v>
      </c>
      <c r="M48" t="n">
        <v>672</v>
      </c>
    </row>
    <row r="49">
      <c r="F49" t="inlineStr">
        <is>
          <t>Woodbury Town</t>
        </is>
      </c>
      <c r="G49" s="14" t="n">
        <v>4261</v>
      </c>
      <c r="H49" s="14" t="n">
        <v>3753</v>
      </c>
      <c r="I49" s="14" t="n">
        <v>3303</v>
      </c>
      <c r="J49" t="n">
        <v>1.5</v>
      </c>
      <c r="K49" s="96" t="n">
        <v>353200</v>
      </c>
      <c r="L49" s="96" t="n">
        <v>2929</v>
      </c>
      <c r="M49" s="14" t="n">
        <v>1154</v>
      </c>
    </row>
    <row r="50">
      <c r="F50" t="inlineStr">
        <is>
          <t>Woodbury Village</t>
        </is>
      </c>
      <c r="G50" s="14" t="n">
        <v>3999</v>
      </c>
      <c r="H50" s="14" t="n">
        <v>3498</v>
      </c>
      <c r="I50" s="14" t="n">
        <v>3206</v>
      </c>
      <c r="J50" t="n">
        <v>1.6</v>
      </c>
      <c r="K50" s="96" t="n">
        <v>355900</v>
      </c>
      <c r="L50" s="96" t="n">
        <v>2951</v>
      </c>
      <c r="M50" s="14"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3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Renters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Renter-Occupied Housing Units</t>
        </is>
      </c>
      <c r="J6" s="69" t="inlineStr">
        <is>
          <t>% Rental Vacancy Rate</t>
        </is>
      </c>
      <c r="K6" s="69" t="inlineStr">
        <is>
          <t>Median Gross Rent $</t>
        </is>
      </c>
      <c r="L6" s="69" t="inlineStr">
        <is>
          <t># of Cost-Stressed Renter Households</t>
        </is>
      </c>
      <c r="M6" s="69" t="n"/>
      <c r="N6" s="69" t="n"/>
      <c r="O6" s="69" t="n"/>
    </row>
    <row r="7" ht="15.75" customHeight="1" s="91">
      <c r="F7" t="inlineStr">
        <is>
          <t>Orange County</t>
        </is>
      </c>
      <c r="G7" s="74" t="n">
        <v>145947</v>
      </c>
      <c r="H7" s="74" t="n">
        <v>132880</v>
      </c>
      <c r="I7" s="74" t="n">
        <v>41346</v>
      </c>
      <c r="J7" s="69" t="n">
        <v>4.2</v>
      </c>
      <c r="K7" s="93" t="n">
        <v>1379</v>
      </c>
      <c r="L7" s="74" t="n">
        <v>24456</v>
      </c>
      <c r="M7" s="69" t="n"/>
      <c r="N7" s="69" t="n"/>
      <c r="O7" s="69" t="n"/>
    </row>
    <row r="8">
      <c r="F8" t="inlineStr">
        <is>
          <t>Blooming Grove Town</t>
        </is>
      </c>
      <c r="G8" s="74" t="n">
        <v>6749</v>
      </c>
      <c r="H8" s="74" t="n">
        <v>6005</v>
      </c>
      <c r="I8" s="74" t="n">
        <v>1117</v>
      </c>
      <c r="J8" s="69" t="n">
        <v>6.6</v>
      </c>
      <c r="K8" s="93" t="n">
        <v>1429</v>
      </c>
      <c r="L8" s="69" t="n">
        <v>558</v>
      </c>
      <c r="M8" s="69" t="n"/>
      <c r="N8" s="69" t="n"/>
      <c r="O8" s="69" t="n"/>
    </row>
    <row r="9">
      <c r="A9" s="71" t="inlineStr">
        <is>
          <t>Figure Rules</t>
        </is>
      </c>
      <c r="F9" t="inlineStr">
        <is>
          <t>South Blooming Grove Village</t>
        </is>
      </c>
      <c r="G9" s="74" t="n">
        <v>1483</v>
      </c>
      <c r="H9" s="74" t="n">
        <v>1261</v>
      </c>
      <c r="I9" s="69" t="n">
        <v>266</v>
      </c>
      <c r="J9" s="69" t="n">
        <v>4.7</v>
      </c>
      <c r="K9" s="93" t="n">
        <v>1415</v>
      </c>
      <c r="L9" s="69" t="n">
        <v>139</v>
      </c>
      <c r="M9" s="69" t="n"/>
      <c r="N9" s="69" t="n"/>
      <c r="O9" s="69" t="n"/>
    </row>
    <row r="10">
      <c r="A10" t="inlineStr">
        <is>
          <t>Figure Type</t>
        </is>
      </c>
      <c r="F10" t="inlineStr">
        <is>
          <t>Washingtonville Village</t>
        </is>
      </c>
      <c r="G10" s="74" t="n">
        <v>2080</v>
      </c>
      <c r="H10" s="74" t="n">
        <v>2004</v>
      </c>
      <c r="I10" s="69" t="n">
        <v>429</v>
      </c>
      <c r="J10" s="69" t="n">
        <v>6.9</v>
      </c>
      <c r="K10" s="93" t="n">
        <v>1088</v>
      </c>
      <c r="L10" s="69" t="n">
        <v>299</v>
      </c>
    </row>
    <row r="11">
      <c r="A11" t="inlineStr">
        <is>
          <t>X Column</t>
        </is>
      </c>
      <c r="F11" t="inlineStr">
        <is>
          <t>Chester Town</t>
        </is>
      </c>
      <c r="G11" s="74" t="n">
        <v>4712</v>
      </c>
      <c r="H11" s="74" t="n">
        <v>4364</v>
      </c>
      <c r="I11" s="69" t="n">
        <v>852</v>
      </c>
      <c r="J11" s="68" t="n">
        <v>0</v>
      </c>
      <c r="K11" s="92" t="n">
        <v>1539</v>
      </c>
      <c r="L11" s="68" t="n">
        <v>294</v>
      </c>
      <c r="M11" s="68" t="n"/>
      <c r="N11" s="68" t="n"/>
    </row>
    <row r="12">
      <c r="A12" t="inlineStr">
        <is>
          <t>Y Column</t>
        </is>
      </c>
      <c r="F12" s="21" t="inlineStr">
        <is>
          <t>Chester Village</t>
        </is>
      </c>
      <c r="G12" s="28" t="n">
        <v>1735</v>
      </c>
      <c r="H12" s="28" t="n">
        <v>1643</v>
      </c>
      <c r="I12" s="69" t="n">
        <v>721</v>
      </c>
      <c r="J12" s="69" t="n">
        <v>0</v>
      </c>
      <c r="K12" s="93" t="n">
        <v>1459</v>
      </c>
      <c r="L12" s="69" t="n">
        <v>247</v>
      </c>
    </row>
    <row r="13">
      <c r="A13" t="inlineStr">
        <is>
          <t>X Axis Title</t>
        </is>
      </c>
      <c r="F13" t="inlineStr">
        <is>
          <t>Cornwall Town</t>
        </is>
      </c>
      <c r="G13" s="74" t="n">
        <v>5250</v>
      </c>
      <c r="H13" s="74" t="n">
        <v>4890</v>
      </c>
      <c r="I13" s="74" t="n">
        <v>1303</v>
      </c>
      <c r="J13" s="69" t="n">
        <v>2.2</v>
      </c>
      <c r="K13" s="93" t="n">
        <v>1577</v>
      </c>
      <c r="L13" s="69" t="n">
        <v>570</v>
      </c>
    </row>
    <row r="14">
      <c r="A14" t="inlineStr">
        <is>
          <t>Y Axis Title</t>
        </is>
      </c>
      <c r="F14" t="inlineStr">
        <is>
          <t>Cornwall-on-Hudson Village</t>
        </is>
      </c>
      <c r="G14" s="74" t="n">
        <v>1250</v>
      </c>
      <c r="H14" s="74" t="n">
        <v>1186</v>
      </c>
      <c r="I14" s="69" t="n">
        <v>368</v>
      </c>
      <c r="J14" s="69" t="n">
        <v>0</v>
      </c>
      <c r="K14" s="93" t="n">
        <v>1277</v>
      </c>
      <c r="L14" s="69" t="n">
        <v>78</v>
      </c>
    </row>
    <row r="15">
      <c r="A15" t="inlineStr">
        <is>
          <t>Start at Zero</t>
        </is>
      </c>
      <c r="F15" t="inlineStr">
        <is>
          <t>Crawford Town</t>
        </is>
      </c>
      <c r="G15" s="74" t="n">
        <v>3103</v>
      </c>
      <c r="H15" s="74" t="n">
        <v>3029</v>
      </c>
      <c r="I15" s="69" t="n">
        <v>665</v>
      </c>
      <c r="J15" s="69" t="n">
        <v>4.6</v>
      </c>
      <c r="K15" s="93" t="n">
        <v>1421</v>
      </c>
      <c r="L15" s="69" t="n">
        <v>307</v>
      </c>
    </row>
    <row r="16">
      <c r="A16" t="inlineStr">
        <is>
          <t>Pivot For Chart</t>
        </is>
      </c>
      <c r="F16" t="inlineStr">
        <is>
          <t>Deerpark Town</t>
        </is>
      </c>
      <c r="G16" s="74" t="n">
        <v>3143</v>
      </c>
      <c r="H16" s="74" t="n">
        <v>2800</v>
      </c>
      <c r="I16" s="69" t="n">
        <v>536</v>
      </c>
      <c r="J16" s="69" t="n">
        <v>8.4</v>
      </c>
      <c r="K16" s="93" t="n">
        <v>1156</v>
      </c>
      <c r="L16" s="69" t="n">
        <v>256</v>
      </c>
    </row>
    <row r="17">
      <c r="F17" t="inlineStr">
        <is>
          <t>Goshen Town</t>
        </is>
      </c>
      <c r="G17" s="74" t="n">
        <v>4862</v>
      </c>
      <c r="H17" s="74" t="n">
        <v>4373</v>
      </c>
      <c r="I17" s="74" t="n">
        <v>1072</v>
      </c>
      <c r="J17" s="69" t="n">
        <v>9.199999999999999</v>
      </c>
      <c r="K17" s="93" t="n">
        <v>1367</v>
      </c>
      <c r="L17" s="69" t="n">
        <v>577</v>
      </c>
    </row>
    <row r="18">
      <c r="A18" s="71" t="inlineStr">
        <is>
          <t>Source Specifications</t>
        </is>
      </c>
      <c r="F18" t="inlineStr">
        <is>
          <t>Goshen Village</t>
        </is>
      </c>
      <c r="G18" s="74" t="n">
        <v>2548</v>
      </c>
      <c r="H18" s="74" t="n">
        <v>2307</v>
      </c>
      <c r="I18" s="69" t="n">
        <v>904</v>
      </c>
      <c r="J18" s="69" t="n">
        <v>10.8</v>
      </c>
      <c r="K18" s="93" t="n">
        <v>1339</v>
      </c>
      <c r="L18" s="69"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74" t="n">
        <v>1678</v>
      </c>
      <c r="H19" s="74" t="n">
        <v>1581</v>
      </c>
      <c r="I19" s="69" t="n">
        <v>238</v>
      </c>
      <c r="J19" s="69" t="n">
        <v>10.2</v>
      </c>
      <c r="K19" s="93" t="n">
        <v>1377</v>
      </c>
      <c r="L19" s="69" t="n">
        <v>93</v>
      </c>
    </row>
    <row r="20">
      <c r="F20" s="69" t="inlineStr">
        <is>
          <t>Hamptonburgh Town</t>
        </is>
      </c>
      <c r="G20" s="74" t="n">
        <v>1844</v>
      </c>
      <c r="H20" s="74" t="n">
        <v>1735</v>
      </c>
      <c r="I20" s="69" t="n">
        <v>97</v>
      </c>
      <c r="J20" s="69" t="n">
        <v>0</v>
      </c>
      <c r="K20" s="93" t="n">
        <v>793</v>
      </c>
      <c r="L20" s="69" t="n">
        <v>0</v>
      </c>
    </row>
    <row r="21">
      <c r="A21" s="69" t="inlineStr">
        <is>
          <t>Note Specfications</t>
        </is>
      </c>
      <c r="F21" s="69" t="inlineStr">
        <is>
          <t>Highlands Town</t>
        </is>
      </c>
      <c r="G21" s="74" t="n">
        <v>3750</v>
      </c>
      <c r="H21" s="74" t="n">
        <v>3251</v>
      </c>
      <c r="I21" s="74" t="n">
        <v>1947</v>
      </c>
      <c r="J21" s="69" t="n">
        <v>7.2</v>
      </c>
      <c r="K21" s="93" t="n">
        <v>2095</v>
      </c>
      <c r="L21" s="69"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s="69" t="n">
        <v>722</v>
      </c>
      <c r="J22" s="69" t="n">
        <v>5.2</v>
      </c>
      <c r="K22" s="93" t="n">
        <v>1459</v>
      </c>
      <c r="L22" s="69" t="n">
        <v>340</v>
      </c>
    </row>
    <row r="23">
      <c r="F23" s="69" t="inlineStr">
        <is>
          <t>Middletown City</t>
        </is>
      </c>
      <c r="G23" s="74" t="n">
        <v>11872</v>
      </c>
      <c r="H23" s="74" t="n">
        <v>10604</v>
      </c>
      <c r="I23" s="74" t="n">
        <v>4741</v>
      </c>
      <c r="J23" s="69" t="n">
        <v>6.4</v>
      </c>
      <c r="K23" s="93" t="n">
        <v>1407</v>
      </c>
      <c r="L23" s="74" t="n">
        <v>3353</v>
      </c>
    </row>
    <row r="24">
      <c r="F24" t="inlineStr">
        <is>
          <t>Minisink Town</t>
        </is>
      </c>
      <c r="G24" s="74" t="n">
        <v>1697</v>
      </c>
      <c r="H24" s="74" t="n">
        <v>1491</v>
      </c>
      <c r="I24" s="69" t="n">
        <v>319</v>
      </c>
      <c r="J24" s="69" t="n">
        <v>20.1</v>
      </c>
      <c r="K24" s="93" t="n">
        <v>1304</v>
      </c>
      <c r="L24" s="69" t="n">
        <v>206</v>
      </c>
    </row>
    <row r="25">
      <c r="F25" s="69" t="inlineStr">
        <is>
          <t>Unionville Village</t>
        </is>
      </c>
      <c r="G25" s="69" t="n">
        <v>265</v>
      </c>
      <c r="H25" s="69" t="n">
        <v>229</v>
      </c>
      <c r="I25" s="69" t="n">
        <v>91</v>
      </c>
      <c r="J25" s="69" t="n">
        <v>0</v>
      </c>
      <c r="K25" s="93" t="n">
        <v>1223</v>
      </c>
      <c r="L25" s="69" t="n">
        <v>8</v>
      </c>
    </row>
    <row r="26">
      <c r="F26" s="69" t="inlineStr">
        <is>
          <t>Monroe Town</t>
        </is>
      </c>
      <c r="G26" s="74" t="n">
        <v>7407</v>
      </c>
      <c r="H26" s="74" t="n">
        <v>6883</v>
      </c>
      <c r="I26" s="74" t="n">
        <v>1295</v>
      </c>
      <c r="J26" s="69" t="n">
        <v>1.7</v>
      </c>
      <c r="K26" s="93" t="n">
        <v>1748</v>
      </c>
      <c r="L26" s="69" t="n">
        <v>572</v>
      </c>
    </row>
    <row r="27">
      <c r="A27" s="69" t="n"/>
      <c r="F27" s="69" t="inlineStr">
        <is>
          <t>Harriman Village (total)*</t>
        </is>
      </c>
      <c r="G27" s="74" t="n">
        <v>1233</v>
      </c>
      <c r="H27" s="74" t="n">
        <v>1140</v>
      </c>
      <c r="I27" s="69" t="n">
        <v>583</v>
      </c>
      <c r="J27" s="69" t="n">
        <v>0</v>
      </c>
      <c r="K27" s="93" t="n">
        <v>1742</v>
      </c>
      <c r="L27" s="69" t="n">
        <v>279</v>
      </c>
    </row>
    <row r="28">
      <c r="F28" s="69" t="inlineStr">
        <is>
          <t>Monroe Village</t>
        </is>
      </c>
      <c r="G28" s="74" t="n">
        <v>3009</v>
      </c>
      <c r="H28" s="74" t="n">
        <v>2841</v>
      </c>
      <c r="I28" s="69" t="n">
        <v>468</v>
      </c>
      <c r="J28" s="69" t="n">
        <v>4.7</v>
      </c>
      <c r="K28" s="93" t="n">
        <v>1670</v>
      </c>
      <c r="L28" s="69" t="n">
        <v>275</v>
      </c>
    </row>
    <row r="29">
      <c r="F29" s="69" t="inlineStr">
        <is>
          <t>Montgomery Town</t>
        </is>
      </c>
      <c r="G29" s="74" t="n">
        <v>9101</v>
      </c>
      <c r="H29" s="74" t="n">
        <v>8330</v>
      </c>
      <c r="I29" s="74" t="n">
        <v>2524</v>
      </c>
      <c r="J29" s="69" t="n">
        <v>0.5</v>
      </c>
      <c r="K29" s="93" t="n">
        <v>1356</v>
      </c>
      <c r="L29" s="74" t="n">
        <v>1589</v>
      </c>
    </row>
    <row r="30">
      <c r="F30" s="69" t="inlineStr">
        <is>
          <t>Maybrook Village</t>
        </is>
      </c>
      <c r="G30" s="74" t="n">
        <v>1446</v>
      </c>
      <c r="H30" s="74" t="n">
        <v>1286</v>
      </c>
      <c r="I30" s="69" t="n">
        <v>581</v>
      </c>
      <c r="J30" s="69" t="n">
        <v>2.1</v>
      </c>
      <c r="K30" s="93" t="n">
        <v>1310</v>
      </c>
      <c r="L30" s="69" t="n">
        <v>239</v>
      </c>
    </row>
    <row r="31">
      <c r="F31" s="69" t="inlineStr">
        <is>
          <t>Montgomery Village</t>
        </is>
      </c>
      <c r="G31" s="74" t="n">
        <v>1373</v>
      </c>
      <c r="H31" s="74" t="n">
        <v>1346</v>
      </c>
      <c r="I31" s="69" t="n">
        <v>487</v>
      </c>
      <c r="J31" s="69" t="n">
        <v>0</v>
      </c>
      <c r="K31" s="93" t="n">
        <v>1425</v>
      </c>
      <c r="L31" s="69" t="n">
        <v>245</v>
      </c>
    </row>
    <row r="32">
      <c r="F32" t="inlineStr">
        <is>
          <t>Walden Village</t>
        </is>
      </c>
      <c r="G32" s="74" t="n">
        <v>3003</v>
      </c>
      <c r="H32" s="74" t="n">
        <v>2790</v>
      </c>
      <c r="I32" s="74" t="n">
        <v>1073</v>
      </c>
      <c r="J32" s="69" t="n">
        <v>0</v>
      </c>
      <c r="K32" s="93" t="n">
        <v>1268</v>
      </c>
      <c r="L32" s="69" t="n">
        <v>791</v>
      </c>
    </row>
    <row r="33">
      <c r="F33" s="69" t="inlineStr">
        <is>
          <t>Mount Hope Town</t>
        </is>
      </c>
      <c r="G33" s="74" t="n">
        <v>2216</v>
      </c>
      <c r="H33" s="74" t="n">
        <v>1906</v>
      </c>
      <c r="I33" s="69" t="n">
        <v>356</v>
      </c>
      <c r="J33" s="69" t="n">
        <v>2.7</v>
      </c>
      <c r="K33" s="93" t="n">
        <v>867</v>
      </c>
      <c r="L33" s="69" t="n">
        <v>123</v>
      </c>
    </row>
    <row r="34">
      <c r="F34" s="69" t="inlineStr">
        <is>
          <t>Otisville Village</t>
        </is>
      </c>
      <c r="G34" s="69" t="n">
        <v>524</v>
      </c>
      <c r="H34" s="69" t="n">
        <v>491</v>
      </c>
      <c r="I34" s="68" t="n">
        <v>170</v>
      </c>
      <c r="J34" s="69" t="n">
        <v>0</v>
      </c>
      <c r="K34" s="93" t="n">
        <v>1188</v>
      </c>
      <c r="L34" s="69" t="n">
        <v>73</v>
      </c>
    </row>
    <row r="35">
      <c r="F35" s="69" t="inlineStr">
        <is>
          <t>Newburgh City</t>
        </is>
      </c>
      <c r="G35" s="74" t="n">
        <v>11700</v>
      </c>
      <c r="H35" s="74" t="n">
        <v>9951</v>
      </c>
      <c r="I35" s="28" t="n">
        <v>6476</v>
      </c>
      <c r="J35" s="69" t="n">
        <v>3.6</v>
      </c>
      <c r="K35" s="93" t="n">
        <v>1188</v>
      </c>
      <c r="L35" s="74" t="n">
        <v>3463</v>
      </c>
    </row>
    <row r="36">
      <c r="F36" s="69" t="inlineStr">
        <is>
          <t>Newburgh Town</t>
        </is>
      </c>
      <c r="G36" s="74" t="n">
        <v>12127</v>
      </c>
      <c r="H36" s="74" t="n">
        <v>11228</v>
      </c>
      <c r="I36" s="28" t="n">
        <v>2004</v>
      </c>
      <c r="J36" s="69" t="n">
        <v>0.5</v>
      </c>
      <c r="K36" s="93" t="n">
        <v>1691</v>
      </c>
      <c r="L36" s="74" t="n">
        <v>1090</v>
      </c>
    </row>
    <row r="37">
      <c r="F37" s="69" t="inlineStr">
        <is>
          <t>New Windsor Town</t>
        </is>
      </c>
      <c r="G37" s="74" t="n">
        <v>10557</v>
      </c>
      <c r="H37" s="74" t="n">
        <v>9899</v>
      </c>
      <c r="I37" s="28" t="n">
        <v>2811</v>
      </c>
      <c r="J37" s="69" t="n">
        <v>4.3</v>
      </c>
      <c r="K37" s="93" t="n">
        <v>1336</v>
      </c>
      <c r="L37" s="74" t="n">
        <v>1551</v>
      </c>
    </row>
    <row r="38">
      <c r="F38" t="inlineStr">
        <is>
          <t>Palm Tree Town</t>
        </is>
      </c>
      <c r="G38" s="74" t="n">
        <v>6069</v>
      </c>
      <c r="H38" s="74" t="n">
        <v>5781</v>
      </c>
      <c r="I38" s="74" t="n">
        <v>3886</v>
      </c>
      <c r="J38" s="69" t="n">
        <v>1.4</v>
      </c>
      <c r="K38" s="93" t="n">
        <v>1295</v>
      </c>
      <c r="L38" s="74" t="n">
        <v>2672</v>
      </c>
    </row>
    <row r="39">
      <c r="F39" t="inlineStr">
        <is>
          <t>Kiryas Joel Village</t>
        </is>
      </c>
      <c r="G39" s="74" t="n">
        <v>6069</v>
      </c>
      <c r="H39" s="74" t="n">
        <v>5781</v>
      </c>
      <c r="I39" s="74" t="n">
        <v>3886</v>
      </c>
      <c r="J39" s="69" t="n">
        <v>1.4</v>
      </c>
      <c r="K39" s="93" t="n">
        <v>1295</v>
      </c>
      <c r="L39" s="74" t="n">
        <v>2672</v>
      </c>
    </row>
    <row r="40">
      <c r="F40" t="inlineStr">
        <is>
          <t>Port Jervis City</t>
        </is>
      </c>
      <c r="G40" s="74" t="n">
        <v>4044</v>
      </c>
      <c r="H40" s="74" t="n">
        <v>3566</v>
      </c>
      <c r="I40" s="74" t="n">
        <v>1729</v>
      </c>
      <c r="J40" s="69" t="n">
        <v>1.5</v>
      </c>
      <c r="K40" s="93" t="n">
        <v>1006</v>
      </c>
      <c r="L40" s="74" t="n">
        <v>1121</v>
      </c>
    </row>
    <row r="41">
      <c r="F41" t="inlineStr">
        <is>
          <t>Tuxedo Town</t>
        </is>
      </c>
      <c r="G41" s="74" t="n">
        <v>1722</v>
      </c>
      <c r="H41" s="74" t="n">
        <v>1477</v>
      </c>
      <c r="I41" s="69" t="n">
        <v>242</v>
      </c>
      <c r="J41" s="69" t="n">
        <v>9.699999999999999</v>
      </c>
      <c r="K41" s="93" t="n">
        <v>1385</v>
      </c>
      <c r="L41" s="69" t="n">
        <v>170</v>
      </c>
    </row>
    <row r="42">
      <c r="F42" t="inlineStr">
        <is>
          <t>Tuxedo Park Village</t>
        </is>
      </c>
      <c r="G42" s="69" t="n">
        <v>457</v>
      </c>
      <c r="H42" s="69" t="n">
        <v>360</v>
      </c>
      <c r="I42" s="69" t="n">
        <v>36</v>
      </c>
      <c r="J42" s="69" t="n">
        <v>5.3</v>
      </c>
      <c r="K42" s="93" t="n">
        <v>1339</v>
      </c>
      <c r="L42" s="69" t="n">
        <v>19</v>
      </c>
    </row>
    <row r="43">
      <c r="F43" t="inlineStr">
        <is>
          <t>Wallkill Town</t>
        </is>
      </c>
      <c r="G43" s="74" t="n">
        <v>12140</v>
      </c>
      <c r="H43" s="74" t="n">
        <v>11574</v>
      </c>
      <c r="I43" s="74" t="n">
        <v>3851</v>
      </c>
      <c r="J43" s="69" t="n">
        <v>3.5</v>
      </c>
      <c r="K43" s="93" t="n">
        <v>1483</v>
      </c>
      <c r="L43" s="74" t="n">
        <v>2012</v>
      </c>
    </row>
    <row r="44">
      <c r="F44" t="inlineStr">
        <is>
          <t>Warwick Town</t>
        </is>
      </c>
      <c r="G44" s="74" t="n">
        <v>13071</v>
      </c>
      <c r="H44" s="74" t="n">
        <v>11739</v>
      </c>
      <c r="I44" s="74" t="n">
        <v>2439</v>
      </c>
      <c r="J44" s="69" t="n">
        <v>3.7</v>
      </c>
      <c r="K44" s="93" t="n">
        <v>1227</v>
      </c>
      <c r="L44" s="74" t="n">
        <v>1419</v>
      </c>
    </row>
    <row r="45">
      <c r="F45" t="inlineStr">
        <is>
          <t>Florida Village</t>
        </is>
      </c>
      <c r="G45" s="74" t="n">
        <v>1049</v>
      </c>
      <c r="H45" s="69" t="n">
        <v>938</v>
      </c>
      <c r="I45" s="69" t="n">
        <v>193</v>
      </c>
      <c r="J45" s="69" t="n">
        <v>7.2</v>
      </c>
      <c r="K45" s="93" t="n">
        <v>2018</v>
      </c>
      <c r="L45" s="69" t="n">
        <v>110</v>
      </c>
    </row>
    <row r="46">
      <c r="F46" t="inlineStr">
        <is>
          <t>Greenwood Lake Village</t>
        </is>
      </c>
      <c r="G46" s="74" t="n">
        <v>1430</v>
      </c>
      <c r="H46" s="74" t="n">
        <v>1114</v>
      </c>
      <c r="I46" s="69" t="n">
        <v>257</v>
      </c>
      <c r="J46" s="69" t="n">
        <v>0</v>
      </c>
      <c r="K46" s="93" t="n">
        <v>1163</v>
      </c>
      <c r="L46" s="69" t="n">
        <v>98</v>
      </c>
    </row>
    <row r="47">
      <c r="F47" t="inlineStr">
        <is>
          <t>Warwick Village</t>
        </is>
      </c>
      <c r="G47" s="74" t="n">
        <v>3301</v>
      </c>
      <c r="H47" s="74" t="n">
        <v>3130</v>
      </c>
      <c r="I47" s="74" t="n">
        <v>1210</v>
      </c>
      <c r="J47" s="69" t="n">
        <v>6.2</v>
      </c>
      <c r="K47" s="93" t="n">
        <v>1134</v>
      </c>
      <c r="L47" s="69" t="n">
        <v>828</v>
      </c>
    </row>
    <row r="48">
      <c r="F48" t="inlineStr">
        <is>
          <t>Wawayanda Town</t>
        </is>
      </c>
      <c r="G48" s="74" t="n">
        <v>2872</v>
      </c>
      <c r="H48" s="74" t="n">
        <v>2670</v>
      </c>
      <c r="I48" s="69" t="n">
        <v>396</v>
      </c>
      <c r="J48" s="69" t="n">
        <v>0</v>
      </c>
      <c r="K48" s="93" t="n">
        <v>1756</v>
      </c>
      <c r="L48" s="69" t="n">
        <v>225</v>
      </c>
    </row>
    <row r="49">
      <c r="F49" t="inlineStr">
        <is>
          <t>Woodbury Town</t>
        </is>
      </c>
      <c r="G49" s="74" t="n">
        <v>4261</v>
      </c>
      <c r="H49" s="74" t="n">
        <v>3753</v>
      </c>
      <c r="I49" s="69" t="n">
        <v>450</v>
      </c>
      <c r="J49" s="69" t="n">
        <v>25.9</v>
      </c>
      <c r="K49" s="93" t="n">
        <v>1748</v>
      </c>
      <c r="L49" s="69" t="n">
        <v>233</v>
      </c>
    </row>
    <row r="50">
      <c r="F50" t="inlineStr">
        <is>
          <t>Woodbury Village</t>
        </is>
      </c>
      <c r="G50" s="74" t="n">
        <v>3999</v>
      </c>
      <c r="H50" s="74" t="n">
        <v>3498</v>
      </c>
      <c r="I50" s="69" t="n">
        <v>292</v>
      </c>
      <c r="J50" s="69" t="n">
        <v>35</v>
      </c>
      <c r="K50" s="93" t="n">
        <v>1745</v>
      </c>
      <c r="L50" s="69"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1.140625" bestFit="1" customWidth="1" style="91" min="7" max="7"/>
    <col width="22" bestFit="1" customWidth="1" style="91" min="8" max="8"/>
    <col width="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Owner versus Renter Occupancy Per Room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s="69" t="inlineStr">
        <is>
          <t>Geographic Area</t>
        </is>
      </c>
      <c r="G5" s="69" t="inlineStr">
        <is>
          <t>Total # of Occupied Housing Units</t>
        </is>
      </c>
      <c r="H5" t="inlineStr">
        <is>
          <t>&gt;1 Occupants Per Room</t>
        </is>
      </c>
    </row>
    <row r="6" ht="15" customHeight="1" s="91">
      <c r="A6" t="inlineStr">
        <is>
          <t>Multilevel Headers</t>
        </is>
      </c>
      <c r="B6" t="b">
        <v>1</v>
      </c>
      <c r="H6" t="inlineStr">
        <is>
          <t>Owner</t>
        </is>
      </c>
      <c r="I6" t="inlineStr">
        <is>
          <t>Renter</t>
        </is>
      </c>
      <c r="J6" s="69" t="n"/>
      <c r="K6" s="69" t="n"/>
      <c r="L6" s="69" t="n"/>
      <c r="M6" s="69" t="n"/>
      <c r="N6" s="69" t="n"/>
      <c r="O6" s="69" t="n"/>
    </row>
    <row r="7" ht="15.75" customHeight="1" s="91">
      <c r="F7" t="inlineStr">
        <is>
          <t>Orange County</t>
        </is>
      </c>
      <c r="G7" s="74" t="n">
        <v>137311</v>
      </c>
      <c r="H7" s="74" t="n">
        <v>2240</v>
      </c>
      <c r="I7" s="74" t="n">
        <v>2859</v>
      </c>
      <c r="J7" s="69" t="n"/>
      <c r="K7" s="69" t="n"/>
      <c r="L7" s="69" t="n"/>
      <c r="M7" s="69" t="n"/>
      <c r="N7" s="69" t="n"/>
      <c r="O7" s="69" t="n"/>
    </row>
    <row r="8">
      <c r="F8" t="inlineStr">
        <is>
          <t>Blooming Grove Town</t>
        </is>
      </c>
      <c r="G8" s="74" t="n">
        <v>6149</v>
      </c>
      <c r="H8" s="69" t="n">
        <v>140</v>
      </c>
      <c r="I8" s="69" t="n">
        <v>39</v>
      </c>
      <c r="J8" s="69" t="n"/>
      <c r="K8" s="69" t="n"/>
      <c r="L8" s="69" t="n"/>
      <c r="M8" s="69" t="n"/>
      <c r="N8" s="69" t="n"/>
      <c r="O8" s="69" t="n"/>
    </row>
    <row r="9">
      <c r="A9" s="71" t="inlineStr">
        <is>
          <t>Figure Rules</t>
        </is>
      </c>
      <c r="F9" t="inlineStr">
        <is>
          <t>South Blooming Grove Village</t>
        </is>
      </c>
      <c r="G9" s="74" t="n">
        <v>1173</v>
      </c>
      <c r="H9" s="69" t="n">
        <v>48</v>
      </c>
      <c r="I9" s="69" t="n">
        <v>30</v>
      </c>
      <c r="J9" s="69" t="n"/>
      <c r="K9" s="69" t="n"/>
      <c r="L9" s="69" t="n"/>
      <c r="M9" s="69" t="n"/>
      <c r="N9" s="69" t="n"/>
      <c r="O9" s="69" t="n"/>
    </row>
    <row r="10">
      <c r="A10" t="inlineStr">
        <is>
          <t>Figure Type</t>
        </is>
      </c>
      <c r="F10" t="inlineStr">
        <is>
          <t>Washingtonville Village</t>
        </is>
      </c>
      <c r="G10" s="74" t="n">
        <v>2106</v>
      </c>
      <c r="H10" t="n">
        <v>12</v>
      </c>
      <c r="I10" t="n">
        <v>9</v>
      </c>
    </row>
    <row r="11">
      <c r="A11" t="inlineStr">
        <is>
          <t>X Column</t>
        </is>
      </c>
      <c r="F11" t="inlineStr">
        <is>
          <t>Chester Town</t>
        </is>
      </c>
      <c r="G11" s="74" t="n">
        <v>4458</v>
      </c>
      <c r="H11" s="69" t="n">
        <v>0</v>
      </c>
      <c r="I11" s="69" t="n">
        <v>0</v>
      </c>
      <c r="J11" s="68" t="n"/>
      <c r="K11" s="68" t="n"/>
      <c r="L11" s="68" t="n"/>
      <c r="M11" s="68" t="n"/>
      <c r="N11" s="68" t="n"/>
    </row>
    <row r="12">
      <c r="A12" t="inlineStr">
        <is>
          <t>Y Column</t>
        </is>
      </c>
      <c r="F12" s="21" t="inlineStr">
        <is>
          <t>Chester Village</t>
        </is>
      </c>
      <c r="G12" s="28" t="n">
        <v>1560</v>
      </c>
      <c r="H12" s="68" t="n">
        <v>0</v>
      </c>
      <c r="I12" s="69" t="n">
        <v>0</v>
      </c>
      <c r="J12" s="69" t="n"/>
      <c r="K12" s="69" t="n"/>
      <c r="L12" s="69" t="n"/>
    </row>
    <row r="13">
      <c r="A13" t="inlineStr">
        <is>
          <t>X Axis Title</t>
        </is>
      </c>
      <c r="F13" t="inlineStr">
        <is>
          <t>Cornwall Town</t>
        </is>
      </c>
      <c r="G13" s="14" t="n">
        <v>5023</v>
      </c>
      <c r="H13" t="n">
        <v>27</v>
      </c>
      <c r="I13" t="n">
        <v>12</v>
      </c>
    </row>
    <row r="14">
      <c r="A14" t="inlineStr">
        <is>
          <t>Y Axis Title</t>
        </is>
      </c>
      <c r="F14" t="inlineStr">
        <is>
          <t>Cornwall-on-Hudson Village</t>
        </is>
      </c>
      <c r="G14" s="14" t="n">
        <v>1230</v>
      </c>
      <c r="H14" t="n">
        <v>0</v>
      </c>
      <c r="I14" t="n">
        <v>0</v>
      </c>
    </row>
    <row r="15">
      <c r="A15" t="inlineStr">
        <is>
          <t>Start at Zero</t>
        </is>
      </c>
      <c r="F15" t="inlineStr">
        <is>
          <t>Crawford Town</t>
        </is>
      </c>
      <c r="G15" s="14" t="n">
        <v>3001</v>
      </c>
      <c r="H15" t="n">
        <v>0</v>
      </c>
      <c r="I15" t="n">
        <v>8</v>
      </c>
    </row>
    <row r="16">
      <c r="A16" t="inlineStr">
        <is>
          <t>Pivot For Chart</t>
        </is>
      </c>
      <c r="F16" t="inlineStr">
        <is>
          <t>Deerpark Town</t>
        </is>
      </c>
      <c r="G16" s="14" t="n">
        <v>2993</v>
      </c>
      <c r="H16" t="n">
        <v>55</v>
      </c>
      <c r="I16" t="n">
        <v>30</v>
      </c>
    </row>
    <row r="17">
      <c r="F17" t="inlineStr">
        <is>
          <t>Goshen Town</t>
        </is>
      </c>
      <c r="G17" s="14" t="n">
        <v>4861</v>
      </c>
      <c r="H17" t="n">
        <v>55</v>
      </c>
      <c r="I17" t="n">
        <v>23</v>
      </c>
    </row>
    <row r="18">
      <c r="A18" s="71" t="inlineStr">
        <is>
          <t>Source Specifications</t>
        </is>
      </c>
      <c r="F18" t="inlineStr">
        <is>
          <t>Goshen Village</t>
        </is>
      </c>
      <c r="G18" s="14"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40</v>
      </c>
      <c r="I19" t="n">
        <v>0</v>
      </c>
    </row>
    <row r="20">
      <c r="F20" s="69" t="inlineStr">
        <is>
          <t>Hamptonburgh Town</t>
        </is>
      </c>
      <c r="G20" s="74" t="n">
        <v>1745</v>
      </c>
      <c r="H20" s="69" t="n">
        <v>11</v>
      </c>
      <c r="I20" t="n">
        <v>0</v>
      </c>
    </row>
    <row r="21">
      <c r="A21" s="69" t="inlineStr">
        <is>
          <t>Note Specfications</t>
        </is>
      </c>
      <c r="F21" s="69" t="inlineStr">
        <is>
          <t>Highlands Town</t>
        </is>
      </c>
      <c r="G21" s="74" t="n">
        <v>3938</v>
      </c>
      <c r="H21" s="69" t="n">
        <v>29</v>
      </c>
      <c r="I21" t="n">
        <v>101</v>
      </c>
    </row>
    <row r="22">
      <c r="A22" t="inlineStr">
        <is>
          <t xml:space="preserve">Note </t>
        </is>
      </c>
      <c r="B22" t="inlineStr">
        <is>
          <t>Note: Town totals include Village totals</t>
        </is>
      </c>
      <c r="F22" s="69" t="inlineStr">
        <is>
          <t>Highland Falls Village</t>
        </is>
      </c>
      <c r="G22" s="74" t="n">
        <v>1648</v>
      </c>
      <c r="H22" s="69" t="n">
        <v>0</v>
      </c>
      <c r="I22" t="n">
        <v>44</v>
      </c>
    </row>
    <row r="23">
      <c r="F23" s="69" t="inlineStr">
        <is>
          <t>Middletown City</t>
        </is>
      </c>
      <c r="G23" s="74" t="n">
        <v>10182</v>
      </c>
      <c r="H23" s="69" t="n">
        <v>145</v>
      </c>
      <c r="I23" t="n">
        <v>184</v>
      </c>
    </row>
    <row r="24">
      <c r="F24" t="inlineStr">
        <is>
          <t>Minisink Town</t>
        </is>
      </c>
      <c r="G24" s="14" t="n">
        <v>1526</v>
      </c>
      <c r="H24" t="n">
        <v>15</v>
      </c>
      <c r="I24" t="n">
        <v>0</v>
      </c>
    </row>
    <row r="25">
      <c r="F25" s="69" t="inlineStr">
        <is>
          <t>Unionville Village</t>
        </is>
      </c>
      <c r="G25" s="69" t="n">
        <v>222</v>
      </c>
      <c r="H25" s="69" t="n">
        <v>0</v>
      </c>
      <c r="I25" t="n">
        <v>0</v>
      </c>
      <c r="K25" t="inlineStr">
        <is>
          <t xml:space="preserve"> </t>
        </is>
      </c>
    </row>
    <row r="26">
      <c r="F26" s="69" t="inlineStr">
        <is>
          <t>Monroe Town</t>
        </is>
      </c>
      <c r="G26" s="74" t="n">
        <v>6855</v>
      </c>
      <c r="H26" s="69" t="n">
        <v>138</v>
      </c>
      <c r="I26" t="n">
        <v>196</v>
      </c>
    </row>
    <row r="27">
      <c r="A27" s="69" t="n"/>
      <c r="F27" s="69" t="inlineStr">
        <is>
          <t>Harriman Village (partial)</t>
        </is>
      </c>
      <c r="G27" s="69" t="n">
        <v>792</v>
      </c>
      <c r="H27" s="69" t="n">
        <v>0</v>
      </c>
      <c r="I27" t="n">
        <v>37</v>
      </c>
    </row>
    <row r="28">
      <c r="F28" s="69" t="inlineStr">
        <is>
          <t>Monroe Village</t>
        </is>
      </c>
      <c r="G28" s="74" t="n">
        <v>2886</v>
      </c>
      <c r="H28" s="69" t="n">
        <v>78</v>
      </c>
      <c r="I28" t="n">
        <v>146</v>
      </c>
    </row>
    <row r="29">
      <c r="F29" s="69" t="inlineStr">
        <is>
          <t>Montgomery Town</t>
        </is>
      </c>
      <c r="G29" s="74" t="n">
        <v>8306</v>
      </c>
      <c r="H29" s="69" t="n">
        <v>203</v>
      </c>
      <c r="I29" t="n">
        <v>237</v>
      </c>
    </row>
    <row r="30">
      <c r="F30" s="69" t="inlineStr">
        <is>
          <t>Maybrook Village</t>
        </is>
      </c>
      <c r="G30" s="74" t="n">
        <v>1401</v>
      </c>
      <c r="H30" s="69" t="n">
        <v>46</v>
      </c>
      <c r="I30" t="n">
        <v>52</v>
      </c>
    </row>
    <row r="31">
      <c r="F31" s="69" t="inlineStr">
        <is>
          <t>Montgomery Village</t>
        </is>
      </c>
      <c r="G31" s="74" t="n">
        <v>1535</v>
      </c>
      <c r="H31" s="69" t="n">
        <v>32</v>
      </c>
      <c r="I31" t="n">
        <v>0</v>
      </c>
      <c r="K31" t="inlineStr">
        <is>
          <t>`</t>
        </is>
      </c>
    </row>
    <row r="32">
      <c r="F32" t="inlineStr">
        <is>
          <t>Walden Village</t>
        </is>
      </c>
      <c r="G32" s="14" t="n">
        <v>2621</v>
      </c>
      <c r="H32" t="n">
        <v>36</v>
      </c>
      <c r="I32" t="n">
        <v>128</v>
      </c>
    </row>
    <row r="33">
      <c r="F33" s="69" t="inlineStr">
        <is>
          <t>Mount Hope Town</t>
        </is>
      </c>
      <c r="G33" s="74" t="n">
        <v>2094</v>
      </c>
      <c r="H33" s="69" t="n">
        <v>33</v>
      </c>
      <c r="I33" t="n">
        <v>0</v>
      </c>
    </row>
    <row r="34">
      <c r="F34" s="69" t="inlineStr">
        <is>
          <t>Otisville Village</t>
        </is>
      </c>
      <c r="G34" s="69" t="n">
        <v>439</v>
      </c>
      <c r="H34" s="69" t="n">
        <v>14</v>
      </c>
      <c r="I34" s="68" t="n">
        <v>0</v>
      </c>
    </row>
    <row r="35">
      <c r="F35" s="69" t="inlineStr">
        <is>
          <t>Newburgh City</t>
        </is>
      </c>
      <c r="G35" s="74" t="n">
        <v>10335</v>
      </c>
      <c r="H35" s="69" t="n">
        <v>99</v>
      </c>
      <c r="I35" s="68" t="n">
        <v>304</v>
      </c>
    </row>
    <row r="36">
      <c r="F36" s="69" t="inlineStr">
        <is>
          <t>Newburgh Town</t>
        </is>
      </c>
      <c r="G36" s="74" t="n">
        <v>11553</v>
      </c>
      <c r="H36" s="69" t="n">
        <v>82</v>
      </c>
      <c r="I36" s="68" t="n">
        <v>90</v>
      </c>
    </row>
    <row r="37">
      <c r="F37" s="69" t="inlineStr">
        <is>
          <t>New Windsor Town</t>
        </is>
      </c>
      <c r="G37" s="74" t="n">
        <v>10763</v>
      </c>
      <c r="H37" s="69" t="n">
        <v>56</v>
      </c>
      <c r="I37" s="68" t="n">
        <v>118</v>
      </c>
    </row>
    <row r="38">
      <c r="F38" t="inlineStr">
        <is>
          <t>Palm Tree Town</t>
        </is>
      </c>
      <c r="G38" s="14" t="n">
        <v>6869</v>
      </c>
      <c r="H38" t="n">
        <v>780</v>
      </c>
      <c r="I38" s="14" t="n">
        <v>1192</v>
      </c>
    </row>
    <row r="39">
      <c r="F39" t="inlineStr">
        <is>
          <t>Kiryas Joel Village</t>
        </is>
      </c>
      <c r="G39" s="14" t="n">
        <v>6869</v>
      </c>
      <c r="H39" t="n">
        <v>780</v>
      </c>
      <c r="I39" s="14" t="n">
        <v>1192</v>
      </c>
    </row>
    <row r="40">
      <c r="F40" t="inlineStr">
        <is>
          <t>Port Jervis City</t>
        </is>
      </c>
      <c r="G40" s="14" t="n">
        <v>3533</v>
      </c>
      <c r="H40" t="n">
        <v>31</v>
      </c>
      <c r="I40" t="n">
        <v>24</v>
      </c>
    </row>
    <row r="41">
      <c r="F41" t="inlineStr">
        <is>
          <t>Tuxedo Town</t>
        </is>
      </c>
      <c r="G41" s="14" t="n">
        <v>1539</v>
      </c>
      <c r="H41" t="n">
        <v>6</v>
      </c>
      <c r="I41" t="n">
        <v>6</v>
      </c>
    </row>
    <row r="42">
      <c r="F42" t="inlineStr">
        <is>
          <t>Tuxedo Village</t>
        </is>
      </c>
      <c r="G42" s="14" t="n">
        <v>1151</v>
      </c>
      <c r="H42" t="n">
        <v>6</v>
      </c>
      <c r="I42" t="n">
        <v>6</v>
      </c>
    </row>
    <row r="43">
      <c r="F43" t="inlineStr">
        <is>
          <t>Tuxedo Park Village</t>
        </is>
      </c>
      <c r="G43" t="n">
        <v>388</v>
      </c>
      <c r="H43" t="n">
        <v>0</v>
      </c>
      <c r="I43" t="n">
        <v>0</v>
      </c>
    </row>
    <row r="44">
      <c r="F44" t="inlineStr">
        <is>
          <t>Wallkill Town</t>
        </is>
      </c>
      <c r="G44" s="14" t="n">
        <v>11910</v>
      </c>
      <c r="H44" t="n">
        <v>97</v>
      </c>
      <c r="I44" t="n">
        <v>203</v>
      </c>
    </row>
    <row r="45">
      <c r="F45" t="inlineStr">
        <is>
          <t>Warwick Town</t>
        </is>
      </c>
      <c r="G45" s="14" t="n">
        <v>11743</v>
      </c>
      <c r="H45" t="n">
        <v>161</v>
      </c>
      <c r="I45" t="n">
        <v>77</v>
      </c>
    </row>
    <row r="46">
      <c r="F46" t="inlineStr">
        <is>
          <t>Florida Village</t>
        </is>
      </c>
      <c r="G46" t="n">
        <v>936</v>
      </c>
      <c r="H46" t="n">
        <v>19</v>
      </c>
      <c r="I46" t="n">
        <v>35</v>
      </c>
    </row>
    <row r="47">
      <c r="F47" t="inlineStr">
        <is>
          <t>Greenwood Lake Village</t>
        </is>
      </c>
      <c r="G47" s="14" t="n">
        <v>1181</v>
      </c>
      <c r="H47" t="n">
        <v>49</v>
      </c>
      <c r="I47" t="n">
        <v>0</v>
      </c>
    </row>
    <row r="48">
      <c r="F48" t="inlineStr">
        <is>
          <t>Warwick Village</t>
        </is>
      </c>
      <c r="G48" s="14" t="n">
        <v>2998</v>
      </c>
      <c r="H48" t="n">
        <v>0</v>
      </c>
      <c r="I48" t="n">
        <v>20</v>
      </c>
    </row>
    <row r="49">
      <c r="F49" t="inlineStr">
        <is>
          <t>Wawayanda Town</t>
        </is>
      </c>
      <c r="G49" s="14" t="n">
        <v>2468</v>
      </c>
      <c r="H49" t="n">
        <v>0</v>
      </c>
      <c r="I49" t="n">
        <v>0</v>
      </c>
    </row>
    <row r="50">
      <c r="F50" t="inlineStr">
        <is>
          <t>Woodbury Town</t>
        </is>
      </c>
      <c r="G50" s="14" t="n">
        <v>3822</v>
      </c>
      <c r="H50" t="n">
        <v>37</v>
      </c>
      <c r="I50" t="n">
        <v>15</v>
      </c>
    </row>
    <row r="51">
      <c r="F51" t="inlineStr">
        <is>
          <t>Harriman Village (partial)</t>
        </is>
      </c>
      <c r="G51" t="n">
        <v>259</v>
      </c>
      <c r="H51" t="n">
        <v>19</v>
      </c>
      <c r="I51" t="n">
        <v>15</v>
      </c>
    </row>
    <row r="52">
      <c r="F52" t="inlineStr">
        <is>
          <t>Woodbury Village</t>
        </is>
      </c>
      <c r="G52" s="14"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Incidence of Confirmed High Blood Lead Level, Rate per 1,000 Tested Children Aged &lt; 72 Months,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4.7</v>
      </c>
      <c r="H6" s="69" t="n">
        <v>5.1</v>
      </c>
      <c r="I6" s="69" t="n">
        <v>4.7</v>
      </c>
      <c r="J6" s="69" t="n">
        <v>3.7</v>
      </c>
      <c r="K6" s="69" t="n"/>
      <c r="L6" s="69" t="n"/>
      <c r="M6" s="69" t="n"/>
      <c r="N6" s="69" t="n"/>
      <c r="O6" s="69" t="n"/>
    </row>
    <row r="7" ht="15.75" customHeight="1" s="91">
      <c r="F7" t="inlineStr">
        <is>
          <t>Mid-Hudson</t>
        </is>
      </c>
      <c r="G7" s="69" t="n">
        <v>3.5</v>
      </c>
      <c r="H7" s="69" t="n">
        <v>3.9</v>
      </c>
      <c r="I7" s="69" t="n">
        <v>3.2</v>
      </c>
      <c r="J7" s="69" t="n">
        <v>2.8</v>
      </c>
      <c r="K7" s="69" t="n"/>
      <c r="L7" s="69" t="n"/>
      <c r="M7" s="69" t="n"/>
      <c r="N7" s="69" t="n"/>
      <c r="O7" s="69" t="n"/>
    </row>
    <row r="8">
      <c r="F8" t="inlineStr">
        <is>
          <t>NYS excl NYC</t>
        </is>
      </c>
      <c r="G8" s="69" t="n">
        <v>6.5</v>
      </c>
      <c r="H8" s="69" t="n">
        <v>6.5</v>
      </c>
      <c r="I8" s="69" t="n">
        <v>5</v>
      </c>
      <c r="J8" s="69" t="n">
        <v>5.1</v>
      </c>
      <c r="K8" s="69" t="n"/>
      <c r="L8" s="69" t="n"/>
      <c r="M8" s="69" t="n"/>
      <c r="N8" s="69" t="n"/>
      <c r="O8" s="69" t="n"/>
    </row>
    <row r="9">
      <c r="A9" s="71" t="inlineStr">
        <is>
          <t>Figure Rules</t>
        </is>
      </c>
      <c r="F9" t="inlineStr">
        <is>
          <t>NYS</t>
        </is>
      </c>
      <c r="G9" s="69" t="n">
        <v>3.6</v>
      </c>
      <c r="H9" s="69" t="n">
        <v>3.8</v>
      </c>
      <c r="I9" s="69" t="n">
        <v>3.2</v>
      </c>
      <c r="J9" s="69" t="n">
        <v>3.3</v>
      </c>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28515625" bestFit="1" customWidth="1" style="91" min="7" max="7"/>
    <col width="8.85546875" bestFit="1" customWidth="1" style="91" min="8" max="8"/>
    <col width="24.85546875"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Type of Internet Access per Household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71" t="inlineStr">
        <is>
          <t>Table Rules</t>
        </is>
      </c>
      <c r="E5" s="70" t="inlineStr">
        <is>
          <t xml:space="preserve">Enter Data </t>
        </is>
      </c>
      <c r="F5" s="69" t="inlineStr">
        <is>
          <t>Geographic Area</t>
        </is>
      </c>
      <c r="G5" s="69" t="inlineStr">
        <is>
          <t>Total # of Households</t>
        </is>
      </c>
      <c r="H5" s="69" t="inlineStr">
        <is>
          <t>Households Without Internet Access</t>
        </is>
      </c>
      <c r="J5" s="69" t="inlineStr">
        <is>
          <t>Households with Internet Subscription</t>
        </is>
      </c>
      <c r="L5" s="69" t="inlineStr">
        <is>
          <t>Households with Access but no Subscription</t>
        </is>
      </c>
      <c r="N5" s="69" t="inlineStr">
        <is>
          <t>Households with Cellular Data Only</t>
        </is>
      </c>
    </row>
    <row r="6" ht="15" customHeight="1" s="91">
      <c r="A6" t="inlineStr">
        <is>
          <t>Multilevel Headers</t>
        </is>
      </c>
      <c r="B6" t="b">
        <v>1</v>
      </c>
      <c r="H6" s="69" t="inlineStr">
        <is>
          <t>#</t>
        </is>
      </c>
      <c r="I6" s="69" t="inlineStr">
        <is>
          <t>%</t>
        </is>
      </c>
      <c r="J6" s="69" t="inlineStr">
        <is>
          <t>#</t>
        </is>
      </c>
      <c r="K6" s="69" t="inlineStr">
        <is>
          <t>%</t>
        </is>
      </c>
      <c r="L6" s="69" t="inlineStr">
        <is>
          <t>#</t>
        </is>
      </c>
      <c r="M6" s="69" t="inlineStr">
        <is>
          <t>%</t>
        </is>
      </c>
      <c r="N6" s="69" t="inlineStr">
        <is>
          <t>#</t>
        </is>
      </c>
      <c r="O6" s="69" t="inlineStr">
        <is>
          <t>%</t>
        </is>
      </c>
    </row>
    <row r="7" ht="15.75" customHeight="1" s="91">
      <c r="F7" t="inlineStr">
        <is>
          <t>Orange County</t>
        </is>
      </c>
      <c r="G7" s="74" t="n">
        <v>137311</v>
      </c>
      <c r="H7" s="74" t="n">
        <v>13355</v>
      </c>
      <c r="I7" s="69" t="n">
        <v>9.699999999999999</v>
      </c>
      <c r="J7" s="74" t="n">
        <v>121963</v>
      </c>
      <c r="K7" s="69" t="n">
        <v>88.8</v>
      </c>
      <c r="L7" s="74" t="n">
        <v>1993</v>
      </c>
      <c r="M7" s="69" t="n">
        <v>145.1</v>
      </c>
      <c r="N7" s="74" t="n">
        <v>12688</v>
      </c>
      <c r="O7" s="69" t="n">
        <v>9.199999999999999</v>
      </c>
    </row>
    <row r="8">
      <c r="F8" t="inlineStr">
        <is>
          <t>Blooming Grove Town</t>
        </is>
      </c>
      <c r="G8" s="74" t="n">
        <v>6149</v>
      </c>
      <c r="H8" s="69" t="n">
        <v>281</v>
      </c>
      <c r="I8" s="69" t="n">
        <v>4.6</v>
      </c>
      <c r="J8" s="74" t="n">
        <v>5768</v>
      </c>
      <c r="K8" s="69" t="n">
        <v>93.8</v>
      </c>
      <c r="L8" s="69" t="n">
        <v>100</v>
      </c>
      <c r="M8" s="69" t="n">
        <v>162.6</v>
      </c>
      <c r="N8" s="69" t="n">
        <v>523</v>
      </c>
      <c r="O8" s="69" t="n">
        <v>8.5</v>
      </c>
    </row>
    <row r="9">
      <c r="A9" s="71" t="inlineStr">
        <is>
          <t>Figure Rules</t>
        </is>
      </c>
      <c r="F9" t="inlineStr">
        <is>
          <t>South Blooming Grove Village</t>
        </is>
      </c>
      <c r="G9" s="74" t="n">
        <v>1173</v>
      </c>
      <c r="H9" s="69" t="n">
        <v>154</v>
      </c>
      <c r="I9" s="69" t="n">
        <v>13.1</v>
      </c>
      <c r="J9" s="74" t="n">
        <v>1019</v>
      </c>
      <c r="K9" s="69" t="n">
        <v>86.90000000000001</v>
      </c>
      <c r="L9" s="69" t="n">
        <v>0</v>
      </c>
      <c r="M9" s="69" t="n">
        <v>0</v>
      </c>
      <c r="N9" s="69" t="n">
        <v>93</v>
      </c>
      <c r="O9" s="69" t="n">
        <v>7.9</v>
      </c>
    </row>
    <row r="10">
      <c r="A10" t="inlineStr">
        <is>
          <t>Figure Type</t>
        </is>
      </c>
      <c r="F10" t="inlineStr">
        <is>
          <t>Washingtonville Village</t>
        </is>
      </c>
      <c r="G10" s="74" t="n">
        <v>2106</v>
      </c>
      <c r="H10" s="69" t="n">
        <v>63</v>
      </c>
      <c r="I10" s="69" t="n">
        <v>3</v>
      </c>
      <c r="J10" s="74" t="n">
        <v>2011</v>
      </c>
      <c r="K10" s="69" t="n">
        <v>95.5</v>
      </c>
      <c r="L10" s="69" t="n">
        <v>32</v>
      </c>
      <c r="M10" s="69" t="n">
        <v>151.9</v>
      </c>
      <c r="N10" s="69" t="n">
        <v>236</v>
      </c>
      <c r="O10" s="69" t="n">
        <v>11.2</v>
      </c>
    </row>
    <row r="11">
      <c r="A11" t="inlineStr">
        <is>
          <t>X Column</t>
        </is>
      </c>
      <c r="F11" t="inlineStr">
        <is>
          <t>Chester Town</t>
        </is>
      </c>
      <c r="G11" s="74" t="n">
        <v>4458</v>
      </c>
      <c r="H11" s="69" t="n">
        <v>282</v>
      </c>
      <c r="I11" s="69" t="n">
        <v>6.3</v>
      </c>
      <c r="J11" s="28" t="n">
        <v>4143</v>
      </c>
      <c r="K11" s="68" t="n">
        <v>92.90000000000001</v>
      </c>
      <c r="L11" s="68" t="n">
        <v>33</v>
      </c>
      <c r="M11" s="68" t="n">
        <v>74</v>
      </c>
      <c r="N11" s="68" t="n">
        <v>380</v>
      </c>
      <c r="O11" s="69" t="n">
        <v>8.5</v>
      </c>
    </row>
    <row r="12">
      <c r="A12" t="inlineStr">
        <is>
          <t>Y Column</t>
        </is>
      </c>
      <c r="F12" s="21" t="inlineStr">
        <is>
          <t>Chester Village</t>
        </is>
      </c>
      <c r="G12" s="28" t="n">
        <v>1560</v>
      </c>
      <c r="H12" s="68" t="n">
        <v>77</v>
      </c>
      <c r="I12" s="69" t="n">
        <v>4.9</v>
      </c>
      <c r="J12" s="74" t="n">
        <v>1483</v>
      </c>
      <c r="K12" s="69" t="n">
        <v>95.09999999999999</v>
      </c>
      <c r="L12" s="69" t="n">
        <v>0</v>
      </c>
      <c r="M12" s="69" t="n">
        <v>0</v>
      </c>
      <c r="N12" s="69" t="n">
        <v>213</v>
      </c>
      <c r="O12" s="69" t="n">
        <v>13.7</v>
      </c>
    </row>
    <row r="13">
      <c r="A13" t="inlineStr">
        <is>
          <t>X Axis Title</t>
        </is>
      </c>
      <c r="F13" t="inlineStr">
        <is>
          <t>Cornwall Town</t>
        </is>
      </c>
      <c r="G13" s="74" t="n">
        <v>5023</v>
      </c>
      <c r="H13" s="69" t="n">
        <v>276</v>
      </c>
      <c r="I13" s="69" t="n">
        <v>5.5</v>
      </c>
      <c r="J13" s="74" t="n">
        <v>4713</v>
      </c>
      <c r="K13" s="69" t="n">
        <v>93.8</v>
      </c>
      <c r="L13" s="69" t="n">
        <v>34</v>
      </c>
      <c r="M13" s="69" t="n">
        <v>67.7</v>
      </c>
      <c r="N13" s="69" t="n">
        <v>546</v>
      </c>
      <c r="O13" s="69" t="n">
        <v>10.9</v>
      </c>
    </row>
    <row r="14">
      <c r="A14" t="inlineStr">
        <is>
          <t>Y Axis Title</t>
        </is>
      </c>
      <c r="F14" t="inlineStr">
        <is>
          <t>Cornwall-on-Hudson Village</t>
        </is>
      </c>
      <c r="G14" s="74" t="n">
        <v>1230</v>
      </c>
      <c r="H14" s="69" t="n">
        <v>56</v>
      </c>
      <c r="I14" s="69" t="n">
        <v>4.6</v>
      </c>
      <c r="J14" s="74" t="n">
        <v>1170</v>
      </c>
      <c r="K14" s="69" t="n">
        <v>95.09999999999999</v>
      </c>
      <c r="L14" s="69" t="n">
        <v>4</v>
      </c>
      <c r="M14" s="69" t="n">
        <v>32.5</v>
      </c>
      <c r="N14" s="69" t="n">
        <v>211</v>
      </c>
      <c r="O14" s="69" t="n">
        <v>17.2</v>
      </c>
    </row>
    <row r="15">
      <c r="A15" t="inlineStr">
        <is>
          <t>Start at Zero</t>
        </is>
      </c>
      <c r="F15" t="inlineStr">
        <is>
          <t>Crawford Town</t>
        </is>
      </c>
      <c r="G15" s="74" t="n">
        <v>3001</v>
      </c>
      <c r="H15" s="69" t="n">
        <v>273</v>
      </c>
      <c r="I15" s="69" t="n">
        <v>9.1</v>
      </c>
      <c r="J15" s="74" t="n">
        <v>2692</v>
      </c>
      <c r="K15" s="69" t="n">
        <v>89.7</v>
      </c>
      <c r="L15" s="69" t="n">
        <v>36</v>
      </c>
      <c r="M15" s="69" t="n">
        <v>120</v>
      </c>
      <c r="N15" s="69" t="n">
        <v>261</v>
      </c>
      <c r="O15" s="69" t="n">
        <v>8.699999999999999</v>
      </c>
    </row>
    <row r="16">
      <c r="A16" t="inlineStr">
        <is>
          <t>Pivot For Chart</t>
        </is>
      </c>
      <c r="F16" t="inlineStr">
        <is>
          <t>Deerpark Town</t>
        </is>
      </c>
      <c r="G16" s="74" t="n">
        <v>2993</v>
      </c>
      <c r="H16" s="69" t="n">
        <v>207</v>
      </c>
      <c r="I16" s="69" t="n">
        <v>6.9</v>
      </c>
      <c r="J16" s="74" t="n">
        <v>2774</v>
      </c>
      <c r="K16" s="69" t="n">
        <v>92.7</v>
      </c>
      <c r="L16" s="69" t="n">
        <v>12</v>
      </c>
      <c r="M16" s="69" t="n">
        <v>40.1</v>
      </c>
      <c r="N16" s="69" t="n">
        <v>338</v>
      </c>
      <c r="O16" s="69" t="n">
        <v>11.3</v>
      </c>
    </row>
    <row r="17">
      <c r="F17" t="inlineStr">
        <is>
          <t>Goshen Town</t>
        </is>
      </c>
      <c r="G17" s="74" t="n">
        <v>4861</v>
      </c>
      <c r="H17" s="69" t="n">
        <v>232</v>
      </c>
      <c r="I17" s="69" t="n">
        <v>4.8</v>
      </c>
      <c r="J17" s="74" t="n">
        <v>4623</v>
      </c>
      <c r="K17" s="69" t="n">
        <v>95.09999999999999</v>
      </c>
      <c r="L17" s="69" t="n">
        <v>6</v>
      </c>
      <c r="M17" s="69" t="n">
        <v>12.3</v>
      </c>
      <c r="N17" s="69" t="n">
        <v>449</v>
      </c>
      <c r="O17" s="69" t="n">
        <v>9.199999999999999</v>
      </c>
    </row>
    <row r="18">
      <c r="A18" s="71" t="inlineStr">
        <is>
          <t>Source Specifications</t>
        </is>
      </c>
      <c r="F18" t="inlineStr">
        <is>
          <t>Goshen Village</t>
        </is>
      </c>
      <c r="G18" s="74" t="n">
        <v>2350</v>
      </c>
      <c r="H18" s="69" t="n">
        <v>208</v>
      </c>
      <c r="I18" s="69" t="n">
        <v>8.9</v>
      </c>
      <c r="J18" s="74" t="n">
        <v>2142</v>
      </c>
      <c r="K18" s="69" t="n">
        <v>91.09999999999999</v>
      </c>
      <c r="L18" s="69" t="n">
        <v>0</v>
      </c>
      <c r="M18" s="69" t="n">
        <v>0</v>
      </c>
      <c r="N18" s="69" t="n">
        <v>228</v>
      </c>
      <c r="O18" s="69"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74" t="n">
        <v>1645</v>
      </c>
      <c r="H19" s="69" t="n">
        <v>52</v>
      </c>
      <c r="I19" s="69" t="n">
        <v>3.2</v>
      </c>
      <c r="J19" s="74" t="n">
        <v>1580</v>
      </c>
      <c r="K19" s="69" t="n">
        <v>96</v>
      </c>
      <c r="L19" s="69" t="n">
        <v>13</v>
      </c>
      <c r="M19" s="69" t="n">
        <v>79</v>
      </c>
      <c r="N19" s="69" t="n">
        <v>163</v>
      </c>
      <c r="O19" s="69" t="n">
        <v>9.9</v>
      </c>
    </row>
    <row r="20">
      <c r="F20" s="69" t="inlineStr">
        <is>
          <t>Hamptonburgh Town</t>
        </is>
      </c>
      <c r="G20" s="74" t="n">
        <v>1745</v>
      </c>
      <c r="H20" s="69" t="n">
        <v>15</v>
      </c>
      <c r="I20" s="69" t="n">
        <v>0.9</v>
      </c>
      <c r="J20" s="74" t="n">
        <v>1723</v>
      </c>
      <c r="K20" s="69" t="n">
        <v>98.7</v>
      </c>
      <c r="L20" s="69" t="n">
        <v>7</v>
      </c>
      <c r="M20" s="69" t="n">
        <v>40.1</v>
      </c>
      <c r="N20" s="69" t="n">
        <v>105</v>
      </c>
      <c r="O20" s="69" t="n">
        <v>6</v>
      </c>
    </row>
    <row r="21">
      <c r="A21" s="69" t="inlineStr">
        <is>
          <t>Note Specfications</t>
        </is>
      </c>
      <c r="F21" s="69" t="inlineStr">
        <is>
          <t>Highlands Town</t>
        </is>
      </c>
      <c r="G21" s="74" t="n">
        <v>3938</v>
      </c>
      <c r="H21" s="69" t="n">
        <v>163</v>
      </c>
      <c r="I21" s="69" t="n">
        <v>4.1</v>
      </c>
      <c r="J21" s="74" t="n">
        <v>3738</v>
      </c>
      <c r="K21" s="69" t="n">
        <v>94.90000000000001</v>
      </c>
      <c r="L21" s="69" t="n">
        <v>37</v>
      </c>
      <c r="M21" s="69" t="n">
        <v>94</v>
      </c>
      <c r="N21" s="69" t="n">
        <v>186</v>
      </c>
      <c r="O21" s="69" t="n">
        <v>4.7</v>
      </c>
    </row>
    <row r="22">
      <c r="A22" t="inlineStr">
        <is>
          <t xml:space="preserve">Note </t>
        </is>
      </c>
      <c r="B22" t="inlineStr">
        <is>
          <t>Note: Town totals include Village totals</t>
        </is>
      </c>
      <c r="F22" s="69" t="inlineStr">
        <is>
          <t>Highland Falls Village</t>
        </is>
      </c>
      <c r="G22" s="74" t="n">
        <v>1648</v>
      </c>
      <c r="H22" s="69" t="n">
        <v>46</v>
      </c>
      <c r="I22" s="69" t="n">
        <v>2.8</v>
      </c>
      <c r="J22" s="74" t="n">
        <v>1587</v>
      </c>
      <c r="K22" s="69" t="n">
        <v>96.3</v>
      </c>
      <c r="L22" s="69" t="n">
        <v>15</v>
      </c>
      <c r="M22" s="69" t="n">
        <v>91</v>
      </c>
      <c r="N22" s="69" t="n">
        <v>71</v>
      </c>
      <c r="O22" s="69" t="n">
        <v>4.3</v>
      </c>
    </row>
    <row r="23">
      <c r="F23" s="69" t="inlineStr">
        <is>
          <t>Middletown City</t>
        </is>
      </c>
      <c r="G23" s="74" t="n">
        <v>10182</v>
      </c>
      <c r="H23" s="69" t="n">
        <v>921</v>
      </c>
      <c r="I23" s="69" t="n">
        <v>9</v>
      </c>
      <c r="J23" s="74" t="n">
        <v>9113</v>
      </c>
      <c r="K23" s="69" t="n">
        <v>89.5</v>
      </c>
      <c r="L23" s="69" t="n">
        <v>148</v>
      </c>
      <c r="M23" s="69" t="n">
        <v>145.4</v>
      </c>
      <c r="N23" s="74" t="n">
        <v>1071</v>
      </c>
      <c r="O23" s="69" t="n">
        <v>10.5</v>
      </c>
    </row>
    <row r="24">
      <c r="F24" t="inlineStr">
        <is>
          <t>Minisink Town</t>
        </is>
      </c>
      <c r="G24" s="74" t="n">
        <v>1526</v>
      </c>
      <c r="H24" s="69" t="n">
        <v>24</v>
      </c>
      <c r="I24" s="69" t="n">
        <v>1.6</v>
      </c>
      <c r="J24" s="74" t="n">
        <v>1483</v>
      </c>
      <c r="K24" s="69" t="n">
        <v>97.2</v>
      </c>
      <c r="L24" s="69" t="n">
        <v>19</v>
      </c>
      <c r="M24" s="69" t="n">
        <v>124.5</v>
      </c>
      <c r="N24" s="69" t="n">
        <v>126</v>
      </c>
      <c r="O24" s="69" t="n">
        <v>8.300000000000001</v>
      </c>
    </row>
    <row r="25">
      <c r="F25" s="69" t="inlineStr">
        <is>
          <t>Unionville Village</t>
        </is>
      </c>
      <c r="G25" s="69" t="n">
        <v>222</v>
      </c>
      <c r="H25" s="69" t="n">
        <v>15</v>
      </c>
      <c r="I25" s="69" t="n">
        <v>6.8</v>
      </c>
      <c r="J25" s="69" t="n">
        <v>201</v>
      </c>
      <c r="K25" s="69" t="n">
        <v>90.5</v>
      </c>
      <c r="L25" s="69" t="n">
        <v>6</v>
      </c>
      <c r="M25" s="69" t="n">
        <v>270.3</v>
      </c>
      <c r="N25" s="69" t="n">
        <v>16</v>
      </c>
      <c r="O25" s="69" t="n">
        <v>7.2</v>
      </c>
    </row>
    <row r="26">
      <c r="F26" s="69" t="inlineStr">
        <is>
          <t>Monroe Town</t>
        </is>
      </c>
      <c r="G26" s="74" t="n">
        <v>6855</v>
      </c>
      <c r="H26" s="69" t="n">
        <v>320</v>
      </c>
      <c r="I26" s="69" t="n">
        <v>4.7</v>
      </c>
      <c r="J26" s="74" t="n">
        <v>6444</v>
      </c>
      <c r="K26" s="69" t="n">
        <v>94</v>
      </c>
      <c r="L26" s="69" t="n">
        <v>91</v>
      </c>
      <c r="M26" s="69" t="n">
        <v>132.7</v>
      </c>
      <c r="N26" s="69" t="n">
        <v>359</v>
      </c>
      <c r="O26" s="69" t="n">
        <v>5.2</v>
      </c>
    </row>
    <row r="27">
      <c r="A27" s="69" t="n"/>
      <c r="F27" s="69" t="inlineStr">
        <is>
          <t>Harriman Village (partial)*</t>
        </is>
      </c>
      <c r="G27" s="69" t="n">
        <v>792</v>
      </c>
      <c r="H27" s="69" t="n">
        <v>45</v>
      </c>
      <c r="I27" s="69" t="n">
        <v>5.7</v>
      </c>
      <c r="J27" s="69" t="n">
        <v>731</v>
      </c>
      <c r="K27" s="69" t="n">
        <v>92.3</v>
      </c>
      <c r="L27" s="69" t="n">
        <v>16</v>
      </c>
      <c r="M27" s="69" t="n">
        <v>202</v>
      </c>
      <c r="N27" s="69" t="n">
        <v>76</v>
      </c>
      <c r="O27" s="69" t="n">
        <v>9.6</v>
      </c>
    </row>
    <row r="28">
      <c r="F28" s="69" t="inlineStr">
        <is>
          <t>Monroe Village</t>
        </is>
      </c>
      <c r="G28" s="74" t="n">
        <v>2886</v>
      </c>
      <c r="H28" s="69" t="n">
        <v>134</v>
      </c>
      <c r="I28" s="69" t="n">
        <v>4.6</v>
      </c>
      <c r="J28" s="74" t="n">
        <v>2711</v>
      </c>
      <c r="K28" s="69" t="n">
        <v>93.90000000000001</v>
      </c>
      <c r="L28" s="69" t="n">
        <v>41</v>
      </c>
      <c r="M28" s="69" t="n">
        <v>142.1</v>
      </c>
      <c r="N28" s="69" t="n">
        <v>185</v>
      </c>
      <c r="O28" s="69" t="n">
        <v>6.4</v>
      </c>
    </row>
    <row r="29">
      <c r="F29" s="69" t="inlineStr">
        <is>
          <t>Montgomery Town</t>
        </is>
      </c>
      <c r="G29" s="74" t="n">
        <v>8306</v>
      </c>
      <c r="H29" s="69" t="n">
        <v>476</v>
      </c>
      <c r="I29" s="69" t="n">
        <v>5.7</v>
      </c>
      <c r="J29" s="74" t="n">
        <v>7753</v>
      </c>
      <c r="K29" s="69" t="n">
        <v>93.3</v>
      </c>
      <c r="L29" s="69" t="n">
        <v>77</v>
      </c>
      <c r="M29" s="69" t="n">
        <v>92.7</v>
      </c>
      <c r="N29" s="69" t="n">
        <v>652</v>
      </c>
      <c r="O29" s="69" t="n">
        <v>7.8</v>
      </c>
    </row>
    <row r="30">
      <c r="F30" s="69" t="inlineStr">
        <is>
          <t>Maybrook Village</t>
        </is>
      </c>
      <c r="G30" s="74" t="n">
        <v>1401</v>
      </c>
      <c r="H30" s="69" t="n">
        <v>58</v>
      </c>
      <c r="I30" s="69" t="n">
        <v>4.1</v>
      </c>
      <c r="J30" s="74" t="n">
        <v>1290</v>
      </c>
      <c r="K30" s="69" t="n">
        <v>92.09999999999999</v>
      </c>
      <c r="L30" s="69" t="n">
        <v>53</v>
      </c>
      <c r="M30" s="69" t="n">
        <v>378.3</v>
      </c>
      <c r="N30" s="69" t="n">
        <v>91</v>
      </c>
      <c r="O30" s="69" t="n">
        <v>6.5</v>
      </c>
    </row>
    <row r="31">
      <c r="F31" s="69" t="inlineStr">
        <is>
          <t>Montgomery Village</t>
        </is>
      </c>
      <c r="G31" s="74" t="n">
        <v>1535</v>
      </c>
      <c r="H31" s="69" t="n">
        <v>43</v>
      </c>
      <c r="I31" s="69" t="n">
        <v>2.8</v>
      </c>
      <c r="J31" s="74" t="n">
        <v>1492</v>
      </c>
      <c r="K31" s="69" t="n">
        <v>97.2</v>
      </c>
      <c r="L31" s="69" t="n">
        <v>0</v>
      </c>
      <c r="M31" s="69" t="n">
        <v>0</v>
      </c>
      <c r="N31" s="69" t="n">
        <v>44</v>
      </c>
      <c r="O31" s="69" t="n">
        <v>2.9</v>
      </c>
    </row>
    <row r="32">
      <c r="F32" t="inlineStr">
        <is>
          <t>Walden Village</t>
        </is>
      </c>
      <c r="G32" s="74" t="n">
        <v>2621</v>
      </c>
      <c r="H32" s="69" t="n">
        <v>320</v>
      </c>
      <c r="I32" s="69" t="n">
        <v>12.2</v>
      </c>
      <c r="J32" s="74" t="n">
        <v>2291</v>
      </c>
      <c r="K32" s="69" t="n">
        <v>87.40000000000001</v>
      </c>
      <c r="L32" s="69" t="n">
        <v>10</v>
      </c>
      <c r="M32" s="69" t="n">
        <v>38.2</v>
      </c>
      <c r="N32" s="69" t="n">
        <v>351</v>
      </c>
      <c r="O32" s="69" t="n">
        <v>13.4</v>
      </c>
    </row>
    <row r="33">
      <c r="F33" s="69" t="inlineStr">
        <is>
          <t>Mount Hope Town</t>
        </is>
      </c>
      <c r="G33" s="74" t="n">
        <v>2094</v>
      </c>
      <c r="H33" s="69" t="n">
        <v>170</v>
      </c>
      <c r="I33" s="69" t="n">
        <v>8.1</v>
      </c>
      <c r="J33" s="74" t="n">
        <v>1910</v>
      </c>
      <c r="K33" s="69" t="n">
        <v>91.2</v>
      </c>
      <c r="L33" s="69" t="n">
        <v>14</v>
      </c>
      <c r="M33" s="69" t="n">
        <v>66.90000000000001</v>
      </c>
      <c r="N33" s="69" t="n">
        <v>218</v>
      </c>
      <c r="O33" s="69" t="n">
        <v>10.4</v>
      </c>
    </row>
    <row r="34">
      <c r="F34" s="69" t="inlineStr">
        <is>
          <t>Otisville Village</t>
        </is>
      </c>
      <c r="G34" s="69" t="n">
        <v>439</v>
      </c>
      <c r="H34" s="69" t="n">
        <v>10</v>
      </c>
      <c r="I34" s="68" t="n">
        <v>2.3</v>
      </c>
      <c r="J34" s="69" t="n">
        <v>426</v>
      </c>
      <c r="K34" s="69" t="n">
        <v>97</v>
      </c>
      <c r="L34" s="69" t="n">
        <v>3</v>
      </c>
      <c r="M34" s="69" t="n">
        <v>68.3</v>
      </c>
      <c r="N34" s="69" t="n">
        <v>18</v>
      </c>
      <c r="O34" s="69" t="n">
        <v>4.1</v>
      </c>
    </row>
    <row r="35">
      <c r="F35" s="69" t="inlineStr">
        <is>
          <t>Newburgh City</t>
        </is>
      </c>
      <c r="G35" s="74" t="n">
        <v>10335</v>
      </c>
      <c r="H35" s="74" t="n">
        <v>1296</v>
      </c>
      <c r="I35" s="68" t="n">
        <v>12.5</v>
      </c>
      <c r="J35" s="74" t="n">
        <v>8880</v>
      </c>
      <c r="K35" s="69" t="n">
        <v>85.90000000000001</v>
      </c>
      <c r="L35" s="69" t="n">
        <v>159</v>
      </c>
      <c r="M35" s="69" t="n">
        <v>153.8</v>
      </c>
      <c r="N35" s="74" t="n">
        <v>1322</v>
      </c>
      <c r="O35" s="69" t="n">
        <v>12.8</v>
      </c>
    </row>
    <row r="36">
      <c r="F36" s="69" t="inlineStr">
        <is>
          <t>Newburgh Town</t>
        </is>
      </c>
      <c r="G36" s="74" t="n">
        <v>11553</v>
      </c>
      <c r="H36" s="69" t="n">
        <v>481</v>
      </c>
      <c r="I36" s="68" t="n">
        <v>4.2</v>
      </c>
      <c r="J36" s="74" t="n">
        <v>10881</v>
      </c>
      <c r="K36" s="69" t="n">
        <v>94.2</v>
      </c>
      <c r="L36" s="69" t="n">
        <v>191</v>
      </c>
      <c r="M36" s="69" t="n">
        <v>165.3</v>
      </c>
      <c r="N36" s="69" t="n">
        <v>965</v>
      </c>
      <c r="O36" s="69" t="n">
        <v>8.4</v>
      </c>
    </row>
    <row r="37">
      <c r="F37" s="69" t="inlineStr">
        <is>
          <t>New Windsor Town</t>
        </is>
      </c>
      <c r="G37" s="74" t="n">
        <v>10763</v>
      </c>
      <c r="H37" s="69" t="n">
        <v>657</v>
      </c>
      <c r="I37" s="68" t="n">
        <v>6.1</v>
      </c>
      <c r="J37" s="74" t="n">
        <v>9963</v>
      </c>
      <c r="K37" s="69" t="n">
        <v>92.59999999999999</v>
      </c>
      <c r="L37" s="69" t="n">
        <v>143</v>
      </c>
      <c r="M37" s="69" t="n">
        <v>132.9</v>
      </c>
      <c r="N37" s="74" t="n">
        <v>1070</v>
      </c>
      <c r="O37" s="69" t="n">
        <v>9.9</v>
      </c>
    </row>
    <row r="38">
      <c r="F38" t="inlineStr">
        <is>
          <t>Palm Tree Town</t>
        </is>
      </c>
      <c r="G38" s="74" t="n">
        <v>6869</v>
      </c>
      <c r="H38" s="74" t="n">
        <v>5130</v>
      </c>
      <c r="I38" s="69" t="n">
        <v>74.7</v>
      </c>
      <c r="J38" s="74" t="n">
        <v>1646</v>
      </c>
      <c r="K38" s="69" t="n">
        <v>24</v>
      </c>
      <c r="L38" s="69" t="n">
        <v>93</v>
      </c>
      <c r="M38" s="69" t="n">
        <v>135.4</v>
      </c>
      <c r="N38" s="69" t="n">
        <v>818</v>
      </c>
      <c r="O38" s="69" t="n">
        <v>11.9</v>
      </c>
    </row>
    <row r="39">
      <c r="F39" t="inlineStr">
        <is>
          <t>Kiryas Joel Village</t>
        </is>
      </c>
      <c r="G39" s="74" t="n">
        <v>6869</v>
      </c>
      <c r="H39" s="74" t="n">
        <v>5130</v>
      </c>
      <c r="I39" s="69" t="n">
        <v>74.7</v>
      </c>
      <c r="J39" s="74" t="n">
        <v>1646</v>
      </c>
      <c r="K39" s="69" t="n">
        <v>24</v>
      </c>
      <c r="L39" s="69" t="n">
        <v>93</v>
      </c>
      <c r="M39" s="69" t="n">
        <v>135.4</v>
      </c>
      <c r="N39" s="69" t="n">
        <v>818</v>
      </c>
      <c r="O39" s="69" t="n">
        <v>11.9</v>
      </c>
    </row>
    <row r="40">
      <c r="F40" t="inlineStr">
        <is>
          <t>Port Jervis City</t>
        </is>
      </c>
      <c r="G40" s="74" t="n">
        <v>3533</v>
      </c>
      <c r="H40" s="69" t="n">
        <v>480</v>
      </c>
      <c r="I40" s="69" t="n">
        <v>13.6</v>
      </c>
      <c r="J40" s="74" t="n">
        <v>2912</v>
      </c>
      <c r="K40" s="69" t="n">
        <v>82.40000000000001</v>
      </c>
      <c r="L40" s="69" t="n">
        <v>141</v>
      </c>
      <c r="M40" s="69" t="n">
        <v>399.1</v>
      </c>
      <c r="N40" s="69" t="n">
        <v>454</v>
      </c>
      <c r="O40" s="69" t="n">
        <v>12.9</v>
      </c>
    </row>
    <row r="41">
      <c r="F41" t="inlineStr">
        <is>
          <t>Tuxedo Town</t>
        </is>
      </c>
      <c r="G41" s="74" t="n">
        <v>1539</v>
      </c>
      <c r="H41" s="69" t="n">
        <v>50</v>
      </c>
      <c r="I41" s="69" t="n">
        <v>3.2</v>
      </c>
      <c r="J41" s="74" t="n">
        <v>1458</v>
      </c>
      <c r="K41" s="69" t="n">
        <v>94.7</v>
      </c>
      <c r="L41" s="69" t="n">
        <v>31</v>
      </c>
      <c r="M41" s="69" t="n">
        <v>201.4</v>
      </c>
      <c r="N41" s="69" t="n">
        <v>122</v>
      </c>
      <c r="O41" s="69" t="n">
        <v>7.9</v>
      </c>
    </row>
    <row r="42">
      <c r="F42" t="inlineStr">
        <is>
          <t>Tuxedo Village</t>
        </is>
      </c>
      <c r="G42" s="74" t="n">
        <v>1151</v>
      </c>
      <c r="H42" s="69" t="n">
        <v>46</v>
      </c>
      <c r="I42" s="69" t="n">
        <v>4</v>
      </c>
      <c r="J42" s="74" t="n">
        <v>1074</v>
      </c>
      <c r="K42" s="69" t="n">
        <v>93.3</v>
      </c>
      <c r="L42" s="69" t="n">
        <v>31</v>
      </c>
      <c r="M42" s="69" t="n">
        <v>269.3</v>
      </c>
      <c r="N42" s="69" t="n">
        <v>102</v>
      </c>
      <c r="O42" s="69" t="n">
        <v>8.9</v>
      </c>
    </row>
    <row r="43">
      <c r="F43" t="inlineStr">
        <is>
          <t>Tuxedo Park Village</t>
        </is>
      </c>
      <c r="G43" s="69" t="n">
        <v>388</v>
      </c>
      <c r="H43" s="69" t="n">
        <v>4</v>
      </c>
      <c r="I43" s="69" t="n">
        <v>1</v>
      </c>
      <c r="J43" s="69" t="n">
        <v>384</v>
      </c>
      <c r="K43" s="69" t="n">
        <v>99</v>
      </c>
      <c r="L43" s="69" t="n">
        <v>0</v>
      </c>
      <c r="M43" s="69" t="n">
        <v>0</v>
      </c>
      <c r="N43" s="69" t="n">
        <v>20</v>
      </c>
      <c r="O43" s="69" t="n">
        <v>5.2</v>
      </c>
    </row>
    <row r="44">
      <c r="F44" t="inlineStr">
        <is>
          <t>Wallkill Town</t>
        </is>
      </c>
      <c r="G44" s="74" t="n">
        <v>11910</v>
      </c>
      <c r="H44" s="69" t="n">
        <v>882</v>
      </c>
      <c r="I44" s="69" t="n">
        <v>7.4</v>
      </c>
      <c r="J44" s="74" t="n">
        <v>10642</v>
      </c>
      <c r="K44" s="69" t="n">
        <v>89.40000000000001</v>
      </c>
      <c r="L44" s="69" t="n">
        <v>386</v>
      </c>
      <c r="M44" s="69" t="n">
        <v>324.1</v>
      </c>
      <c r="N44" s="74" t="n">
        <v>1086</v>
      </c>
      <c r="O44" s="69" t="n">
        <v>9.1</v>
      </c>
    </row>
    <row r="45">
      <c r="F45" t="inlineStr">
        <is>
          <t>Warwick Town</t>
        </is>
      </c>
      <c r="G45" s="74" t="n">
        <v>11743</v>
      </c>
      <c r="H45" s="69" t="n">
        <v>446</v>
      </c>
      <c r="I45" s="69" t="n">
        <v>3.8</v>
      </c>
      <c r="J45" s="74" t="n">
        <v>11132</v>
      </c>
      <c r="K45" s="69" t="n">
        <v>94.8</v>
      </c>
      <c r="L45" s="69" t="n">
        <v>165</v>
      </c>
      <c r="M45" s="69" t="n">
        <v>140.5</v>
      </c>
      <c r="N45" s="69" t="n">
        <v>974</v>
      </c>
      <c r="O45" s="69" t="n">
        <v>8.300000000000001</v>
      </c>
    </row>
    <row r="46">
      <c r="F46" t="inlineStr">
        <is>
          <t>Florida Village</t>
        </is>
      </c>
      <c r="G46" s="69" t="n">
        <v>936</v>
      </c>
      <c r="H46" s="69" t="n">
        <v>21</v>
      </c>
      <c r="I46" s="69" t="n">
        <v>2.2</v>
      </c>
      <c r="J46" s="69" t="n">
        <v>910</v>
      </c>
      <c r="K46" s="69" t="n">
        <v>97.2</v>
      </c>
      <c r="L46" s="69" t="n">
        <v>5</v>
      </c>
      <c r="M46" s="69" t="n">
        <v>53.4</v>
      </c>
      <c r="N46" s="69" t="n">
        <v>107</v>
      </c>
      <c r="O46" s="69" t="n">
        <v>11.4</v>
      </c>
    </row>
    <row r="47">
      <c r="F47" t="inlineStr">
        <is>
          <t>Greenwood Lake Village</t>
        </is>
      </c>
      <c r="G47" s="74" t="n">
        <v>1181</v>
      </c>
      <c r="H47" s="69" t="n">
        <v>123</v>
      </c>
      <c r="I47" s="69" t="n">
        <v>10.4</v>
      </c>
      <c r="J47" s="74" t="n">
        <v>1007</v>
      </c>
      <c r="K47" s="69" t="n">
        <v>85.3</v>
      </c>
      <c r="L47" s="69" t="n">
        <v>51</v>
      </c>
      <c r="M47" s="69" t="n">
        <v>431.8</v>
      </c>
      <c r="N47" s="69" t="n">
        <v>186</v>
      </c>
      <c r="O47" s="69" t="n">
        <v>15.7</v>
      </c>
    </row>
    <row r="48">
      <c r="F48" t="inlineStr">
        <is>
          <t>Warwick Village</t>
        </is>
      </c>
      <c r="G48" s="74" t="n">
        <v>2998</v>
      </c>
      <c r="H48" s="69" t="n">
        <v>175</v>
      </c>
      <c r="I48" s="69" t="n">
        <v>5.8</v>
      </c>
      <c r="J48" s="74" t="n">
        <v>2763</v>
      </c>
      <c r="K48" s="69" t="n">
        <v>92.2</v>
      </c>
      <c r="L48" s="69" t="n">
        <v>60</v>
      </c>
      <c r="M48" s="69" t="n">
        <v>200.1</v>
      </c>
      <c r="N48" s="69" t="n">
        <v>277</v>
      </c>
      <c r="O48" s="69" t="n">
        <v>9.199999999999999</v>
      </c>
    </row>
    <row r="49">
      <c r="F49" t="inlineStr">
        <is>
          <t>Wawayanda Town</t>
        </is>
      </c>
      <c r="G49" s="74" t="n">
        <v>2468</v>
      </c>
      <c r="H49" s="69" t="n">
        <v>114</v>
      </c>
      <c r="I49" s="69" t="n">
        <v>4.6</v>
      </c>
      <c r="J49" s="74" t="n">
        <v>2308</v>
      </c>
      <c r="K49" s="69" t="n">
        <v>93.5</v>
      </c>
      <c r="L49" s="69" t="n">
        <v>46</v>
      </c>
      <c r="M49" s="69" t="n">
        <v>186.4</v>
      </c>
      <c r="N49" s="69" t="n">
        <v>128</v>
      </c>
      <c r="O49" s="69" t="n">
        <v>5.2</v>
      </c>
    </row>
    <row r="50">
      <c r="F50" t="inlineStr">
        <is>
          <t>Woodbury Town</t>
        </is>
      </c>
      <c r="G50" s="74" t="n">
        <v>3822</v>
      </c>
      <c r="H50" s="69" t="n">
        <v>127</v>
      </c>
      <c r="I50" s="69" t="n">
        <v>3.3</v>
      </c>
      <c r="J50" s="74" t="n">
        <v>3684</v>
      </c>
      <c r="K50" s="69" t="n">
        <v>96.40000000000001</v>
      </c>
      <c r="L50" s="69" t="n">
        <v>11</v>
      </c>
      <c r="M50" s="69" t="n">
        <v>28.8</v>
      </c>
      <c r="N50" s="69" t="n">
        <v>372</v>
      </c>
      <c r="O50" s="69" t="n">
        <v>9.699999999999999</v>
      </c>
    </row>
    <row r="51">
      <c r="F51" t="inlineStr">
        <is>
          <t>Harriman Village (partial)*</t>
        </is>
      </c>
      <c r="G51" s="69" t="n">
        <v>259</v>
      </c>
      <c r="H51" s="69" t="n">
        <v>5</v>
      </c>
      <c r="I51" s="69" t="n">
        <v>1.9</v>
      </c>
      <c r="J51" s="69" t="n">
        <v>254</v>
      </c>
      <c r="K51" s="69" t="n">
        <v>98.09999999999999</v>
      </c>
      <c r="L51" s="69" t="n">
        <v>0</v>
      </c>
      <c r="M51" s="69" t="n">
        <v>0</v>
      </c>
      <c r="N51" s="69" t="n">
        <v>16</v>
      </c>
      <c r="O51" s="69" t="n">
        <v>6.2</v>
      </c>
    </row>
    <row r="52">
      <c r="F52" t="inlineStr">
        <is>
          <t>Woodbury Village</t>
        </is>
      </c>
      <c r="G52" s="74" t="n">
        <v>3563</v>
      </c>
      <c r="H52" s="69" t="n">
        <v>122</v>
      </c>
      <c r="I52" s="69" t="n">
        <v>3.4</v>
      </c>
      <c r="J52" s="74" t="n">
        <v>3430</v>
      </c>
      <c r="K52" s="69" t="n">
        <v>96.3</v>
      </c>
      <c r="L52" s="69" t="n">
        <v>11</v>
      </c>
      <c r="M52" s="69" t="n">
        <v>30.9</v>
      </c>
      <c r="N52" s="69" t="n">
        <v>356</v>
      </c>
      <c r="O52" s="69"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20" bestFit="1" customWidth="1" style="91" min="6" max="6"/>
    <col width="38" bestFit="1" customWidth="1" style="91" min="7" max="7"/>
    <col width="24.7109375" customWidth="1" style="91" min="8" max="8"/>
    <col width="3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Served by Orange County Department of Social Services,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t="inlineStr">
        <is>
          <t>Human Services</t>
        </is>
      </c>
      <c r="G5" t="n">
        <v>2022</v>
      </c>
      <c r="H5" t="n">
        <v>2023</v>
      </c>
      <c r="I5" t="n">
        <v>2024</v>
      </c>
    </row>
    <row r="6" ht="15" customHeight="1" s="91">
      <c r="A6" t="inlineStr">
        <is>
          <t>Multilevel Headers</t>
        </is>
      </c>
      <c r="B6" t="b">
        <v>1</v>
      </c>
      <c r="F6" s="77" t="inlineStr">
        <is>
          <t>Number of Children Protective Services reports (children under 18 years)</t>
        </is>
      </c>
      <c r="G6" s="74" t="n">
        <v>3611</v>
      </c>
      <c r="H6" s="74" t="n">
        <v>3831</v>
      </c>
      <c r="I6" s="74" t="n">
        <v>3620</v>
      </c>
      <c r="J6" s="69" t="n"/>
      <c r="K6" s="69" t="n"/>
      <c r="L6" s="69" t="n"/>
      <c r="M6" s="69" t="n"/>
      <c r="N6" s="69" t="n"/>
      <c r="O6" s="69" t="n"/>
    </row>
    <row r="7" ht="15.75" customHeight="1" s="91">
      <c r="F7" s="77" t="inlineStr">
        <is>
          <t>Children in care (monthly average)</t>
        </is>
      </c>
      <c r="G7" s="69" t="n">
        <v>248</v>
      </c>
      <c r="H7" s="69" t="n">
        <v>220</v>
      </c>
      <c r="I7" s="69" t="n">
        <v>201</v>
      </c>
      <c r="J7" s="69" t="n"/>
      <c r="K7" s="69" t="n"/>
      <c r="L7" s="69" t="n"/>
      <c r="M7" s="69" t="n"/>
      <c r="N7" s="69" t="n"/>
      <c r="O7" s="69" t="n"/>
    </row>
    <row r="8">
      <c r="F8" s="77" t="inlineStr">
        <is>
          <t>Number of families receiving preventive services</t>
        </is>
      </c>
      <c r="G8" s="69" t="n">
        <v>120</v>
      </c>
      <c r="H8" s="69" t="n">
        <v>127</v>
      </c>
      <c r="I8" s="69" t="n">
        <v>116</v>
      </c>
      <c r="J8" s="69" t="n"/>
      <c r="K8" s="69" t="n"/>
      <c r="L8" s="69" t="n"/>
      <c r="M8" s="69" t="n"/>
      <c r="N8" s="69" t="n"/>
      <c r="O8" s="69" t="n"/>
    </row>
    <row r="9">
      <c r="A9" s="71" t="inlineStr">
        <is>
          <t>Figure Rules</t>
        </is>
      </c>
      <c r="F9" s="77" t="inlineStr">
        <is>
          <t>Children discharged to adoption total end of year</t>
        </is>
      </c>
      <c r="G9" s="69" t="n">
        <v>28</v>
      </c>
      <c r="H9" t="n">
        <v>23</v>
      </c>
      <c r="I9" t="n">
        <v>25</v>
      </c>
      <c r="J9" s="69" t="n"/>
      <c r="K9" s="69" t="n"/>
      <c r="L9" s="69" t="n"/>
      <c r="M9" s="69" t="n"/>
      <c r="N9" s="69" t="n"/>
      <c r="O9" s="69" t="n"/>
    </row>
    <row r="10">
      <c r="A10" t="inlineStr">
        <is>
          <t>Figure Type</t>
        </is>
      </c>
      <c r="F10" s="77" t="inlineStr">
        <is>
          <t>Average number of youths receiving Persons in Need of Supervision (PINS)/Juvenile Detention (JD) Prevention Services per month</t>
        </is>
      </c>
      <c r="G10" s="69" t="n">
        <v>179</v>
      </c>
      <c r="H10" s="69" t="n">
        <v>188</v>
      </c>
      <c r="I10" s="69" t="n">
        <v>184</v>
      </c>
    </row>
    <row r="11">
      <c r="A11" t="inlineStr">
        <is>
          <t>X Column</t>
        </is>
      </c>
      <c r="F11" s="68" t="inlineStr">
        <is>
          <t>Economic Independence</t>
        </is>
      </c>
      <c r="J11" s="68" t="n"/>
      <c r="K11" s="68" t="n"/>
      <c r="L11" s="68" t="n"/>
      <c r="M11" s="68" t="n"/>
      <c r="N11" s="68" t="n"/>
    </row>
    <row r="12">
      <c r="A12" t="inlineStr">
        <is>
          <t>Y Column</t>
        </is>
      </c>
      <c r="F12" s="77" t="inlineStr">
        <is>
          <t>Temporary Assistance (TA) applications filed total end of year</t>
        </is>
      </c>
      <c r="G12" s="14" t="n">
        <v>3434</v>
      </c>
      <c r="H12" s="14" t="n">
        <v>3855</v>
      </c>
      <c r="I12" s="14" t="n">
        <v>4181</v>
      </c>
      <c r="J12" s="69" t="n"/>
      <c r="K12" s="69" t="n"/>
      <c r="L12" s="69" t="n"/>
    </row>
    <row r="13">
      <c r="A13" t="inlineStr">
        <is>
          <t>X Axis Title</t>
        </is>
      </c>
      <c r="F13" s="77" t="inlineStr">
        <is>
          <t>TA cases (end of year)</t>
        </is>
      </c>
      <c r="G13" s="14" t="n">
        <v>1336</v>
      </c>
      <c r="H13" s="14" t="n">
        <v>1471</v>
      </c>
      <c r="I13" s="14" t="n">
        <v>1605</v>
      </c>
    </row>
    <row r="14">
      <c r="A14" t="inlineStr">
        <is>
          <t>Y Axis Title</t>
        </is>
      </c>
      <c r="F14" s="77" t="inlineStr">
        <is>
          <t>TA recipients (end of year)</t>
        </is>
      </c>
      <c r="G14" s="14" t="n">
        <v>2327</v>
      </c>
      <c r="H14" s="14" t="n">
        <v>2624</v>
      </c>
      <c r="I14" s="14" t="n">
        <v>2873</v>
      </c>
    </row>
    <row r="15">
      <c r="A15" t="inlineStr">
        <is>
          <t>Start at Zero</t>
        </is>
      </c>
      <c r="F15" s="77" t="inlineStr">
        <is>
          <t>-Family Assistance (FA) cases (end of year)</t>
        </is>
      </c>
      <c r="G15" t="n">
        <v>504</v>
      </c>
      <c r="H15" t="n">
        <v>527</v>
      </c>
      <c r="I15" t="n">
        <v>565</v>
      </c>
    </row>
    <row r="16">
      <c r="A16" t="inlineStr">
        <is>
          <t>Pivot For Chart</t>
        </is>
      </c>
      <c r="F16" s="77" t="inlineStr">
        <is>
          <t>-Safety Net Assistance (SNA) cases (end of year)</t>
        </is>
      </c>
      <c r="G16" t="n">
        <v>832</v>
      </c>
      <c r="H16" t="n">
        <v>944</v>
      </c>
      <c r="I16" s="14" t="n">
        <v>1040</v>
      </c>
    </row>
    <row r="17">
      <c r="F17" s="77" t="inlineStr">
        <is>
          <t>Home Energy Assistance Program (HEAP) payments</t>
        </is>
      </c>
      <c r="G17" s="14" t="n">
        <v>23796</v>
      </c>
      <c r="H17" s="14" t="n">
        <v>28602</v>
      </c>
      <c r="I17" s="14" t="n">
        <v>20929</v>
      </c>
    </row>
    <row r="18">
      <c r="A18" s="71" t="inlineStr">
        <is>
          <t>Source Specifications</t>
        </is>
      </c>
      <c r="F18" s="77" t="inlineStr">
        <is>
          <t>Medicaid applications filed total end of year</t>
        </is>
      </c>
      <c r="G18" s="14" t="n">
        <v>1728</v>
      </c>
      <c r="H18" s="14" t="n">
        <v>2572</v>
      </c>
      <c r="I18" s="14" t="n">
        <v>3042</v>
      </c>
    </row>
    <row r="19">
      <c r="A19" t="inlineStr">
        <is>
          <t>Source</t>
        </is>
      </c>
      <c r="B19" t="inlineStr">
        <is>
          <t>Source: Data request from Orange County Department of Social Services, November 2025</t>
        </is>
      </c>
      <c r="F19" s="77" t="inlineStr">
        <is>
          <t>Medicaid only (MA) cases (end of year)</t>
        </is>
      </c>
      <c r="G19" s="74" t="n">
        <v>20975</v>
      </c>
      <c r="H19" s="74" t="n">
        <v>20739</v>
      </c>
      <c r="I19" s="14" t="n">
        <v>19266</v>
      </c>
    </row>
    <row r="20">
      <c r="F20" s="77" t="inlineStr">
        <is>
          <t>Family Health Plus (FHP) cases (end of year) (including in MA only cases)</t>
        </is>
      </c>
      <c r="G20" s="69" t="n">
        <v>0</v>
      </c>
      <c r="H20" s="69" t="n">
        <v>0</v>
      </c>
      <c r="I20" t="n">
        <v>0</v>
      </c>
    </row>
    <row r="21">
      <c r="A21" s="69" t="inlineStr">
        <is>
          <t>Note Specfications</t>
        </is>
      </c>
      <c r="F21" s="77" t="inlineStr">
        <is>
          <t>SNAP applications filed total at end of year</t>
        </is>
      </c>
      <c r="G21" s="74" t="n">
        <v>12584</v>
      </c>
      <c r="H21" s="74" t="n">
        <v>14560</v>
      </c>
      <c r="I21" s="14"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77" t="inlineStr">
        <is>
          <t>SNAP cases (end of year)</t>
        </is>
      </c>
      <c r="G22" s="74" t="n">
        <v>17002</v>
      </c>
      <c r="H22" s="74" t="n">
        <v>17784</v>
      </c>
      <c r="I22" s="14" t="n">
        <v>18923</v>
      </c>
    </row>
    <row r="23">
      <c r="F23" s="77" t="inlineStr">
        <is>
          <t>SNAP Dollars (TA-SNAP and NTA-SNAP) for Orange County only</t>
        </is>
      </c>
      <c r="G23" s="94" t="n">
        <v>20823245</v>
      </c>
      <c r="H23" s="94" t="n">
        <v>98665429</v>
      </c>
      <c r="I23" s="94" t="n">
        <v>119488674</v>
      </c>
    </row>
    <row r="24">
      <c r="F24" s="77" t="inlineStr">
        <is>
          <t>Employment of TA recipients (via Employment &amp; Training Adm.)</t>
        </is>
      </c>
      <c r="G24" s="69" t="n">
        <v>254</v>
      </c>
      <c r="H24" s="69" t="n">
        <v>302</v>
      </c>
      <c r="I24" t="n">
        <v>314</v>
      </c>
    </row>
    <row r="25">
      <c r="F25" s="77" t="inlineStr">
        <is>
          <t>Homeless applicants/cases</t>
        </is>
      </c>
      <c r="G25" s="69" t="inlineStr">
        <is>
          <t>Families: 13 Singles: 45</t>
        </is>
      </c>
      <c r="H25" s="69" t="inlineStr">
        <is>
          <t>Families: 19 Singles: 56</t>
        </is>
      </c>
      <c r="I25" t="inlineStr">
        <is>
          <t>Families: 18 Singles: 58</t>
        </is>
      </c>
      <c r="K25" t="inlineStr">
        <is>
          <t xml:space="preserve"> </t>
        </is>
      </c>
    </row>
    <row r="26">
      <c r="F26" s="77" t="inlineStr">
        <is>
          <t>Cases diverted to other housing remedies or ineligible</t>
        </is>
      </c>
      <c r="G26" s="74" t="n">
        <v>1733</v>
      </c>
      <c r="H26" s="74" t="n">
        <v>2161</v>
      </c>
      <c r="I26" s="14" t="n">
        <v>2668</v>
      </c>
    </row>
    <row r="27">
      <c r="A27" s="69" t="n"/>
      <c r="F27" s="77" t="inlineStr">
        <is>
          <t>Homeless individuals (mo. Average)</t>
        </is>
      </c>
      <c r="G27" s="69" t="n">
        <v>265</v>
      </c>
      <c r="H27" s="69" t="n">
        <v>487</v>
      </c>
      <c r="I27" t="n">
        <v>737</v>
      </c>
    </row>
    <row r="28">
      <c r="F28" s="77" t="inlineStr">
        <is>
          <t>Temporarily housed at emergency housing shelter (monthly average for Families and singles combined)</t>
        </is>
      </c>
      <c r="G28" s="69" t="inlineStr">
        <is>
          <t>HONOR: 48 Other: 63 Total: 111</t>
        </is>
      </c>
      <c r="H28" s="69" t="inlineStr">
        <is>
          <t>HONOR: 55 Other: 56 Total: 111</t>
        </is>
      </c>
      <c r="I28" t="inlineStr">
        <is>
          <t>HONOR: 66 Other: 58 Total: 124</t>
        </is>
      </c>
    </row>
    <row r="29">
      <c r="F29" s="77" t="inlineStr">
        <is>
          <t>Temporarily housed at hotel/motel (mo. average for families and singles combined)</t>
        </is>
      </c>
      <c r="G29" s="69" t="n">
        <v>19</v>
      </c>
      <c r="H29" s="69" t="n">
        <v>90</v>
      </c>
      <c r="I29" t="n">
        <v>230</v>
      </c>
    </row>
    <row r="30">
      <c r="F30" s="77" t="inlineStr">
        <is>
          <t>Temporarily housed in transitional housing-Project Life (mo. average)</t>
        </is>
      </c>
      <c r="G30" s="69" t="n">
        <v>12</v>
      </c>
      <c r="H30" s="69" t="n">
        <v>14</v>
      </c>
      <c r="I30" t="n">
        <v>12</v>
      </c>
    </row>
    <row r="31">
      <c r="F31" s="77" t="inlineStr">
        <is>
          <t>Administrative Division</t>
        </is>
      </c>
      <c r="K31" t="inlineStr">
        <is>
          <t>`</t>
        </is>
      </c>
    </row>
    <row r="32">
      <c r="F32" s="77" t="inlineStr">
        <is>
          <t>Child Support cases (end of year)</t>
        </is>
      </c>
      <c r="G32" s="74" t="n">
        <v>10260</v>
      </c>
      <c r="H32" s="74" t="n">
        <v>9930</v>
      </c>
      <c r="I32" s="14" t="n">
        <v>9724</v>
      </c>
    </row>
    <row r="33">
      <c r="F33" s="77" t="inlineStr">
        <is>
          <t>Child Support total collected</t>
        </is>
      </c>
      <c r="G33" s="93" t="n">
        <v>38251624</v>
      </c>
      <c r="H33" s="93" t="n">
        <v>39675001</v>
      </c>
      <c r="I33" s="92" t="n">
        <v>41707553</v>
      </c>
    </row>
    <row r="34">
      <c r="F34" s="77" t="inlineStr">
        <is>
          <t>DSS cases with substantiated fraud (Special Investigation results)</t>
        </is>
      </c>
      <c r="G34" s="69" t="n">
        <v>407</v>
      </c>
      <c r="H34" s="69" t="n">
        <v>709</v>
      </c>
      <c r="I34" s="68" t="n">
        <v>559</v>
      </c>
    </row>
    <row r="35">
      <c r="F35" s="77" t="inlineStr">
        <is>
          <t>YTD total overpayment amount charged for substantiated fraud cases</t>
        </is>
      </c>
      <c r="G35" s="93" t="n">
        <v>637829</v>
      </c>
      <c r="H35" s="93" t="n">
        <v>1254285</v>
      </c>
      <c r="I35" s="92" t="n">
        <v>371227</v>
      </c>
    </row>
    <row r="36">
      <c r="F36" s="77" t="inlineStr">
        <is>
          <t>Child Care Subsidy Cases (mo. average)</t>
        </is>
      </c>
      <c r="G36" s="69" t="inlineStr">
        <is>
          <t>Low Income: 324 Temp Asst: 26 Total: 351</t>
        </is>
      </c>
      <c r="H36" s="69" t="inlineStr">
        <is>
          <t>Low Income: 486 Temp Asst: 40 Total: 526</t>
        </is>
      </c>
      <c r="I36" s="68" t="inlineStr">
        <is>
          <t>Low Income: 624 Temp Asst: 40 Total: 664</t>
        </is>
      </c>
    </row>
    <row r="37"/>
    <row r="38"/>
    <row r="39"/>
    <row r="40"/>
    <row r="41"/>
    <row r="42"/>
    <row r="43"/>
    <row r="44"/>
    <row r="45"/>
    <row r="46"/>
    <row r="47"/>
    <row r="48"/>
    <row r="49"/>
    <row r="50"/>
    <row r="51"/>
    <row r="52"/>
    <row r="53"/>
    <row r="54"/>
    <row r="55"/>
    <row r="56"/>
    <row r="57"/>
  </sheetData>
  <mergeCells count="8">
    <mergeCell ref="B1:O1"/>
    <mergeCell ref="A21:B2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s="69" t="n">
        <v>15.5</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s="6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row>
    <row r="11">
      <c r="A11" t="inlineStr">
        <is>
          <t>X Column</t>
        </is>
      </c>
      <c r="F11" s="12"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s="69" t="inlineStr">
        <is>
          <t>s</t>
        </is>
      </c>
      <c r="P12" s="69"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s="69" t="inlineStr">
        <is>
          <t>s</t>
        </is>
      </c>
      <c r="N13" s="69" t="inlineStr">
        <is>
          <t>s</t>
        </is>
      </c>
      <c r="O13" s="69" t="n">
        <v>14</v>
      </c>
      <c r="P13" s="69" t="n">
        <v>7.5</v>
      </c>
    </row>
    <row r="14">
      <c r="A14" t="inlineStr">
        <is>
          <t>Y Axis Title</t>
        </is>
      </c>
      <c r="F14"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30</v>
      </c>
      <c r="P14" s="69" t="n">
        <v>15.7</v>
      </c>
    </row>
    <row r="15">
      <c r="A15" t="inlineStr">
        <is>
          <t>Start at Zero</t>
        </is>
      </c>
      <c r="F15" t="inlineStr">
        <is>
          <t>45-54</t>
        </is>
      </c>
      <c r="G15" s="69" t="n">
        <v>28</v>
      </c>
      <c r="H15" s="69" t="n">
        <v>53.5</v>
      </c>
      <c r="I15" s="69" t="n">
        <v>34</v>
      </c>
      <c r="J15" s="69" t="n">
        <v>63.7</v>
      </c>
      <c r="K15" s="69" t="n">
        <v>21</v>
      </c>
      <c r="L15" s="69" t="n">
        <v>40.1</v>
      </c>
      <c r="M15" s="69" t="n">
        <v>32</v>
      </c>
      <c r="N15" s="69" t="n">
        <v>62.1</v>
      </c>
      <c r="O15" s="69" t="n">
        <v>115</v>
      </c>
      <c r="P15" s="69" t="n">
        <v>54.9</v>
      </c>
    </row>
    <row r="16">
      <c r="A16" t="inlineStr">
        <is>
          <t>Pivot For Chart</t>
        </is>
      </c>
      <c r="F16" t="inlineStr">
        <is>
          <t>55-64</t>
        </is>
      </c>
      <c r="G16" s="69" t="n">
        <v>84</v>
      </c>
      <c r="H16" s="69" t="n">
        <v>172.5</v>
      </c>
      <c r="I16" s="69" t="n">
        <v>91</v>
      </c>
      <c r="J16" s="69" t="n">
        <v>177.1</v>
      </c>
      <c r="K16" s="69" t="n">
        <v>99</v>
      </c>
      <c r="L16" s="69" t="n">
        <v>193.4</v>
      </c>
      <c r="M16" s="69" t="n">
        <v>98</v>
      </c>
      <c r="N16" s="69" t="n">
        <v>190.3</v>
      </c>
      <c r="O16" s="69" t="n">
        <v>372</v>
      </c>
      <c r="P16" s="69" t="n">
        <v>183.3</v>
      </c>
    </row>
    <row r="17">
      <c r="F17" t="inlineStr">
        <is>
          <t>65-74</t>
        </is>
      </c>
      <c r="G17" s="69" t="n">
        <v>154</v>
      </c>
      <c r="H17" s="69" t="n">
        <v>488.4</v>
      </c>
      <c r="I17" s="69" t="n">
        <v>147</v>
      </c>
      <c r="J17" s="69" t="n">
        <v>439.2</v>
      </c>
      <c r="K17" s="69" t="n">
        <v>159</v>
      </c>
      <c r="L17" s="69" t="n">
        <v>469.7</v>
      </c>
      <c r="M17" s="69" t="n">
        <v>147</v>
      </c>
      <c r="N17" s="69" t="n">
        <v>421.9</v>
      </c>
      <c r="O17" s="69" t="n">
        <v>607</v>
      </c>
      <c r="P17" s="69" t="n">
        <v>454.8</v>
      </c>
    </row>
    <row r="18">
      <c r="A18" s="71" t="inlineStr">
        <is>
          <t>Source Specifications</t>
        </is>
      </c>
      <c r="F18" t="inlineStr">
        <is>
          <t>75-84</t>
        </is>
      </c>
      <c r="G18" s="69" t="n">
        <v>196</v>
      </c>
      <c r="H18" s="69" t="n">
        <v>1329.3</v>
      </c>
      <c r="I18" s="69" t="n">
        <v>209</v>
      </c>
      <c r="J18" s="69" t="n">
        <v>1369.6</v>
      </c>
      <c r="K18" s="69" t="n">
        <v>230</v>
      </c>
      <c r="L18" s="69" t="n">
        <v>1451.7</v>
      </c>
      <c r="M18" s="69" t="n">
        <v>236</v>
      </c>
      <c r="N18" s="69" t="n">
        <v>1439.3</v>
      </c>
      <c r="O18" s="69" t="n">
        <v>871</v>
      </c>
      <c r="P18" s="69" t="n">
        <v>1397.4</v>
      </c>
    </row>
    <row r="19">
      <c r="A19" t="inlineStr">
        <is>
          <t>Source</t>
        </is>
      </c>
      <c r="B19" t="inlineStr">
        <is>
          <t>Source: Special request from NYSDOH Bureau of Vital Records, July 2025</t>
        </is>
      </c>
      <c r="F19" t="inlineStr">
        <is>
          <t>85+</t>
        </is>
      </c>
      <c r="G19" s="69" t="n">
        <v>365</v>
      </c>
      <c r="H19" s="69" t="n">
        <v>5105.6</v>
      </c>
      <c r="I19" s="69" t="n">
        <v>297</v>
      </c>
      <c r="J19" s="69" t="n">
        <v>4359.3</v>
      </c>
      <c r="K19" s="69" t="n">
        <v>295</v>
      </c>
      <c r="L19" s="69" t="n">
        <v>4202.3</v>
      </c>
      <c r="M19" s="69" t="n">
        <v>313</v>
      </c>
      <c r="N19" s="69" t="n">
        <v>4665.4</v>
      </c>
      <c r="O19" s="69" t="n">
        <v>1270</v>
      </c>
      <c r="P19" s="69" t="n">
        <v>4583.1</v>
      </c>
    </row>
    <row r="20">
      <c r="F20" s="77" t="inlineStr">
        <is>
          <t>Race and Ethnicity</t>
        </is>
      </c>
    </row>
    <row r="21">
      <c r="A21" s="69" t="inlineStr">
        <is>
          <t>Note Specfications</t>
        </is>
      </c>
      <c r="F21" s="69" t="inlineStr">
        <is>
          <t>Non-Hispanic White</t>
        </is>
      </c>
      <c r="G21" s="69" t="n">
        <v>686</v>
      </c>
      <c r="H21" s="69" t="n">
        <v>284.4</v>
      </c>
      <c r="I21" s="69" t="n">
        <v>635</v>
      </c>
      <c r="J21" s="69" t="n">
        <v>256.2</v>
      </c>
      <c r="K21" s="69" t="n">
        <v>656</v>
      </c>
      <c r="L21" s="69" t="n">
        <v>270.4</v>
      </c>
      <c r="M21" s="69" t="n">
        <v>660</v>
      </c>
      <c r="N21" s="69" t="n">
        <v>275.9</v>
      </c>
      <c r="O21" s="69" t="n">
        <v>2637</v>
      </c>
      <c r="P21" s="69"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s="69" t="n">
        <v>72</v>
      </c>
      <c r="J22" s="69" t="n">
        <v>181.2</v>
      </c>
      <c r="K22" s="69" t="n">
        <v>74</v>
      </c>
      <c r="L22" s="69" t="n">
        <v>176.4</v>
      </c>
      <c r="M22" s="69" t="n">
        <v>85</v>
      </c>
      <c r="N22" s="69" t="n">
        <v>200.1</v>
      </c>
      <c r="O22" s="69" t="n">
        <v>297</v>
      </c>
      <c r="P22" s="69" t="n">
        <v>182.3</v>
      </c>
    </row>
    <row r="23">
      <c r="F23" s="69" t="inlineStr">
        <is>
          <t>Hispanic</t>
        </is>
      </c>
      <c r="G23" s="69" t="n">
        <v>63</v>
      </c>
      <c r="H23" s="69" t="n">
        <v>78.5</v>
      </c>
      <c r="I23" s="69" t="n">
        <v>70</v>
      </c>
      <c r="J23" s="69" t="n">
        <v>82</v>
      </c>
      <c r="K23" s="69" t="n">
        <v>61</v>
      </c>
      <c r="L23" s="69" t="n">
        <v>68.2</v>
      </c>
      <c r="M23" s="69" t="n">
        <v>74</v>
      </c>
      <c r="N23" s="69" t="n">
        <v>79.09999999999999</v>
      </c>
      <c r="O23" s="69" t="n">
        <v>268</v>
      </c>
      <c r="P23" s="69" t="n">
        <v>76.90000000000001</v>
      </c>
    </row>
    <row r="24">
      <c r="F24" s="69" t="inlineStr">
        <is>
          <t>Other</t>
        </is>
      </c>
      <c r="G24" s="69" t="n">
        <v>28</v>
      </c>
      <c r="H24" s="69" t="n">
        <v>126.2</v>
      </c>
      <c r="I24" s="69" t="n">
        <v>16</v>
      </c>
      <c r="J24" s="69" t="n">
        <v>63.2</v>
      </c>
      <c r="K24" s="69" t="n">
        <v>24</v>
      </c>
      <c r="L24" s="69" t="n">
        <v>88.40000000000001</v>
      </c>
      <c r="M24" s="69" t="n">
        <v>20</v>
      </c>
      <c r="N24" s="69" t="n">
        <v>70</v>
      </c>
      <c r="O24" s="69" t="n">
        <v>88</v>
      </c>
      <c r="P24" s="69" t="n">
        <v>87</v>
      </c>
    </row>
    <row r="25">
      <c r="F25" s="77" t="inlineStr">
        <is>
          <t>ZIP Code</t>
        </is>
      </c>
    </row>
    <row r="26">
      <c r="F26" s="69" t="n">
        <v>10940</v>
      </c>
      <c r="G26" s="69" t="n">
        <v>111</v>
      </c>
      <c r="H26" s="69" t="n">
        <v>224.6</v>
      </c>
      <c r="I26" s="69" t="n">
        <v>138</v>
      </c>
      <c r="J26" s="69" t="n">
        <v>270.9</v>
      </c>
      <c r="K26" s="69" t="n">
        <v>127</v>
      </c>
      <c r="L26" s="69" t="n">
        <v>244.9</v>
      </c>
      <c r="M26" s="69" t="n">
        <v>125</v>
      </c>
      <c r="N26" s="69" t="n">
        <v>235.4</v>
      </c>
      <c r="O26" s="69" t="n">
        <v>501</v>
      </c>
      <c r="P26" s="69" t="n">
        <v>244</v>
      </c>
    </row>
    <row r="27">
      <c r="A27" s="69" t="n"/>
      <c r="F27" s="69" t="n">
        <v>10950</v>
      </c>
      <c r="G27" s="69" t="n">
        <v>58</v>
      </c>
      <c r="H27" s="69" t="n">
        <v>433.4</v>
      </c>
      <c r="I27" s="69" t="n">
        <v>48</v>
      </c>
      <c r="J27" s="69" t="n">
        <v>333</v>
      </c>
      <c r="K27" s="69" t="n">
        <v>46</v>
      </c>
      <c r="L27" s="69" t="n">
        <v>317.2</v>
      </c>
      <c r="M27" s="69" t="n">
        <v>43</v>
      </c>
      <c r="N27" s="69" t="n">
        <v>291.3</v>
      </c>
      <c r="O27" s="69" t="n">
        <v>195</v>
      </c>
      <c r="P27" s="69" t="n">
        <v>343.7</v>
      </c>
    </row>
    <row r="28">
      <c r="F28" s="69" t="n">
        <v>12550</v>
      </c>
      <c r="G28" s="69" t="n">
        <v>153</v>
      </c>
      <c r="H28" s="69" t="n">
        <v>573.8</v>
      </c>
      <c r="I28" s="69" t="n">
        <v>115</v>
      </c>
      <c r="J28" s="69" t="n">
        <v>429</v>
      </c>
      <c r="K28" s="69" t="n">
        <v>127</v>
      </c>
      <c r="L28" s="69" t="n">
        <v>463.4</v>
      </c>
      <c r="M28" s="69" t="n">
        <v>113</v>
      </c>
      <c r="N28" s="69" t="n">
        <v>413.9</v>
      </c>
      <c r="O28" s="69" t="n">
        <v>508</v>
      </c>
      <c r="P28" s="69" t="n">
        <v>470</v>
      </c>
    </row>
    <row r="29">
      <c r="F29" s="69" t="n">
        <v>12771</v>
      </c>
      <c r="G29" s="69" t="n">
        <v>33</v>
      </c>
      <c r="H29" s="69" t="n">
        <v>229</v>
      </c>
      <c r="I29" s="69" t="n">
        <v>55</v>
      </c>
      <c r="J29" s="69" t="n">
        <v>370.6</v>
      </c>
      <c r="K29" s="69" t="n">
        <v>46</v>
      </c>
      <c r="L29" s="69" t="n">
        <v>318.3</v>
      </c>
      <c r="M29" s="69" t="n">
        <v>52</v>
      </c>
      <c r="N29" s="69" t="n">
        <v>362.5</v>
      </c>
      <c r="O29" s="69" t="n">
        <v>186</v>
      </c>
      <c r="P29" s="69" t="n">
        <v>320.1</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169.2</v>
      </c>
      <c r="J6" s="69" t="n">
        <v>275.9</v>
      </c>
      <c r="K6" s="69" t="n"/>
      <c r="L6" s="69" t="n"/>
      <c r="M6" s="69" t="n"/>
      <c r="N6" s="69" t="n"/>
      <c r="O6" s="69" t="n"/>
    </row>
    <row r="7" ht="15.75" customHeight="1" s="91">
      <c r="F7" t="inlineStr">
        <is>
          <t>Non-Hispanic Black</t>
        </is>
      </c>
      <c r="G7" s="69" t="n">
        <v>171.6</v>
      </c>
      <c r="H7" s="69" t="n">
        <v>181.2</v>
      </c>
      <c r="I7" s="69" t="n">
        <v>217.1</v>
      </c>
      <c r="J7" s="69" t="n">
        <v>200.1</v>
      </c>
      <c r="K7" s="69" t="n"/>
      <c r="L7" s="69" t="n"/>
      <c r="M7" s="69" t="n"/>
      <c r="N7" s="69" t="n"/>
      <c r="O7" s="69" t="n"/>
    </row>
    <row r="8">
      <c r="F8" t="inlineStr">
        <is>
          <t>Non-Hispanic Asian/Pacific Islander</t>
        </is>
      </c>
      <c r="G8" s="69" t="n">
        <v>78.5</v>
      </c>
      <c r="H8" s="69" t="n">
        <v>82</v>
      </c>
      <c r="I8" s="69" t="n">
        <v>103.3</v>
      </c>
      <c r="J8" s="69" t="n">
        <v>79.09999999999999</v>
      </c>
      <c r="K8" s="69" t="n"/>
      <c r="L8" s="69" t="n"/>
      <c r="M8" s="69" t="n"/>
      <c r="N8" s="69" t="n"/>
      <c r="O8" s="69" t="n"/>
    </row>
    <row r="9">
      <c r="A9" s="71" t="inlineStr">
        <is>
          <t>Figure Rules</t>
        </is>
      </c>
      <c r="F9" t="inlineStr">
        <is>
          <t>Hispanic</t>
        </is>
      </c>
      <c r="G9" s="69" t="n">
        <v>126.2</v>
      </c>
      <c r="H9" s="69" t="n">
        <v>63.2</v>
      </c>
      <c r="I9" s="69" t="n">
        <v>135.9</v>
      </c>
      <c r="J9" s="69" t="n">
        <v>70</v>
      </c>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264.8</v>
      </c>
      <c r="H6" s="69" t="n">
        <v>220.2</v>
      </c>
      <c r="I6" s="69" t="n">
        <v>219.7</v>
      </c>
      <c r="J6" s="69" t="n">
        <v>238.7</v>
      </c>
      <c r="K6" s="69" t="n"/>
      <c r="L6" s="69" t="n"/>
      <c r="M6" s="69" t="n"/>
      <c r="N6" s="69" t="n"/>
      <c r="O6" s="69" t="n"/>
    </row>
    <row r="7" ht="15.75" customHeight="1" s="91">
      <c r="F7" t="inlineStr">
        <is>
          <t>Females</t>
        </is>
      </c>
      <c r="G7" s="69" t="n">
        <v>149.1</v>
      </c>
      <c r="H7" s="69" t="n">
        <v>159.2</v>
      </c>
      <c r="I7" s="69" t="n">
        <v>158.6</v>
      </c>
      <c r="J7" s="69" t="n">
        <v>157.7</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Heart Disease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687</v>
      </c>
      <c r="H7" s="69" t="n">
        <v>179.8</v>
      </c>
      <c r="I7" s="69" t="n">
        <v>628</v>
      </c>
      <c r="J7" s="69" t="n">
        <v>157.7</v>
      </c>
      <c r="K7" s="69" t="n">
        <v>632</v>
      </c>
      <c r="L7" s="69" t="n">
        <v>157.5</v>
      </c>
      <c r="M7" s="69" t="n">
        <v>676</v>
      </c>
      <c r="N7" s="69" t="n">
        <v>167.4</v>
      </c>
      <c r="O7" s="69" t="n">
        <v>2623</v>
      </c>
      <c r="P7" t="n">
        <v>165.6</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45" t="n">
        <v>46031</v>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45" t="n">
        <v>46314</v>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t="inlineStr">
        <is>
          <t>45-54</t>
        </is>
      </c>
      <c r="G15" t="n">
        <v>24</v>
      </c>
      <c r="H15" t="n">
        <v>45.8</v>
      </c>
      <c r="I15" t="n">
        <v>27</v>
      </c>
      <c r="J15" t="n">
        <v>50.6</v>
      </c>
      <c r="K15" t="n">
        <v>14</v>
      </c>
      <c r="L15" t="n">
        <v>26.7</v>
      </c>
      <c r="M15" t="n">
        <v>30</v>
      </c>
      <c r="N15" t="n">
        <v>58.2</v>
      </c>
      <c r="O15" t="n">
        <v>95</v>
      </c>
      <c r="P15" t="n">
        <v>45.4</v>
      </c>
    </row>
    <row r="16">
      <c r="A16" t="inlineStr">
        <is>
          <t>Pivot For Chart</t>
        </is>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565</v>
      </c>
      <c r="H21" s="69"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46</v>
      </c>
      <c r="H22" s="69" t="n">
        <v>119.6</v>
      </c>
      <c r="I22" t="n">
        <v>58</v>
      </c>
      <c r="J22" t="n">
        <v>146</v>
      </c>
      <c r="K22" t="n">
        <v>49</v>
      </c>
      <c r="L22" t="n">
        <v>116.8</v>
      </c>
      <c r="M22" t="n">
        <v>65</v>
      </c>
      <c r="N22" t="n">
        <v>153</v>
      </c>
      <c r="O22" t="n">
        <v>218</v>
      </c>
      <c r="P22" t="n">
        <v>133.9</v>
      </c>
    </row>
    <row r="23">
      <c r="F23" s="69" t="inlineStr">
        <is>
          <t>Hispanic</t>
        </is>
      </c>
      <c r="G23" s="69" t="n">
        <v>51</v>
      </c>
      <c r="H23" s="69" t="n">
        <v>63.5</v>
      </c>
      <c r="I23" t="n">
        <v>50</v>
      </c>
      <c r="J23" t="n">
        <v>58.6</v>
      </c>
      <c r="K23" t="n">
        <v>46</v>
      </c>
      <c r="L23" t="n">
        <v>51.4</v>
      </c>
      <c r="M23" t="n">
        <v>61</v>
      </c>
      <c r="N23" t="n">
        <v>65.2</v>
      </c>
      <c r="O23" t="n">
        <v>208</v>
      </c>
      <c r="P23" t="n">
        <v>59.7</v>
      </c>
    </row>
    <row r="24">
      <c r="F24" s="69" t="inlineStr">
        <is>
          <t>Other</t>
        </is>
      </c>
      <c r="G24" s="69" t="n">
        <v>25</v>
      </c>
      <c r="H24" s="69" t="n">
        <v>112.7</v>
      </c>
      <c r="I24" t="n">
        <v>13</v>
      </c>
      <c r="J24" t="n">
        <v>51.4</v>
      </c>
      <c r="K24" t="n">
        <v>19</v>
      </c>
      <c r="L24" t="n">
        <v>70</v>
      </c>
      <c r="M24" t="n">
        <v>18</v>
      </c>
      <c r="N24" t="n">
        <v>63</v>
      </c>
      <c r="O24" t="n">
        <v>75</v>
      </c>
      <c r="P24" t="n">
        <v>74.3</v>
      </c>
    </row>
    <row r="25">
      <c r="F25" s="77" t="inlineStr">
        <is>
          <t>ZIP Code</t>
        </is>
      </c>
    </row>
    <row r="26">
      <c r="F26" s="69" t="n">
        <v>10940</v>
      </c>
      <c r="G26" s="69" t="n">
        <v>88</v>
      </c>
      <c r="H26" s="69" t="n">
        <v>178</v>
      </c>
      <c r="I26" t="n">
        <v>113</v>
      </c>
      <c r="J26" t="n">
        <v>221.9</v>
      </c>
      <c r="K26" t="n">
        <v>95</v>
      </c>
      <c r="L26" t="n">
        <v>183.2</v>
      </c>
      <c r="M26" t="n">
        <v>106</v>
      </c>
      <c r="N26" t="n">
        <v>199.6</v>
      </c>
      <c r="O26" t="n">
        <v>402</v>
      </c>
      <c r="P26" t="n">
        <v>195.7</v>
      </c>
    </row>
    <row r="27">
      <c r="A27" s="69" t="n"/>
      <c r="F27" s="69" t="n">
        <v>10950</v>
      </c>
      <c r="G27" s="69" t="n">
        <v>43</v>
      </c>
      <c r="H27" s="69" t="n">
        <v>321.3</v>
      </c>
      <c r="I27" t="n">
        <v>30</v>
      </c>
      <c r="J27" t="n">
        <v>208.1</v>
      </c>
      <c r="K27" t="n">
        <v>34</v>
      </c>
      <c r="L27" t="n">
        <v>234.5</v>
      </c>
      <c r="M27" t="n">
        <v>36</v>
      </c>
      <c r="N27" t="n">
        <v>243.9</v>
      </c>
      <c r="O27" t="n">
        <v>143</v>
      </c>
      <c r="P27" t="n">
        <v>251.9</v>
      </c>
    </row>
    <row r="28">
      <c r="F28" s="69" t="n">
        <v>12550</v>
      </c>
      <c r="G28" s="69" t="n">
        <v>125</v>
      </c>
      <c r="H28" s="69" t="n">
        <v>468.8</v>
      </c>
      <c r="I28" t="n">
        <v>94</v>
      </c>
      <c r="J28" t="n">
        <v>350.7</v>
      </c>
      <c r="K28" t="n">
        <v>102</v>
      </c>
      <c r="L28" t="n">
        <v>372.1</v>
      </c>
      <c r="M28" t="n">
        <v>86</v>
      </c>
      <c r="N28" t="n">
        <v>315</v>
      </c>
      <c r="O28" t="n">
        <v>407</v>
      </c>
      <c r="P28" t="n">
        <v>376.7</v>
      </c>
    </row>
    <row r="29">
      <c r="F29" s="69" t="n">
        <v>12771</v>
      </c>
      <c r="G29" s="69" t="n">
        <v>29</v>
      </c>
      <c r="H29" s="69" t="n">
        <v>201.3</v>
      </c>
      <c r="I29" t="n">
        <v>46</v>
      </c>
      <c r="J29" t="n">
        <v>310</v>
      </c>
      <c r="K29" t="n">
        <v>33</v>
      </c>
      <c r="L29" t="n">
        <v>228.3</v>
      </c>
      <c r="M29" t="n">
        <v>40</v>
      </c>
      <c r="N29" t="n">
        <v>278.8</v>
      </c>
      <c r="O29" t="n">
        <v>148</v>
      </c>
      <c r="P29" t="n">
        <v>254.6</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161.2</v>
      </c>
      <c r="H6" s="69" t="n">
        <v>147.6</v>
      </c>
      <c r="I6" s="69" t="n">
        <v>144.8</v>
      </c>
      <c r="J6" s="69" t="n">
        <v>155.8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157.6</v>
      </c>
      <c r="H6" s="69" t="n">
        <v>166.8</v>
      </c>
      <c r="I6" s="69" t="n">
        <v>170.6</v>
      </c>
      <c r="J6" s="69" t="n"/>
      <c r="K6" s="69" t="n"/>
      <c r="L6" s="69" t="n"/>
      <c r="M6" s="69" t="n"/>
      <c r="N6" s="69" t="n"/>
      <c r="O6" s="69" t="n"/>
    </row>
    <row r="7" ht="15.75" customHeight="1" s="91">
      <c r="F7" t="inlineStr">
        <is>
          <t>Non-Hispanic White</t>
        </is>
      </c>
      <c r="G7" s="69" t="n">
        <v>163.4</v>
      </c>
      <c r="H7" s="69" t="n">
        <v>168.5</v>
      </c>
      <c r="I7" s="69" t="n">
        <v>169.2</v>
      </c>
      <c r="J7" s="69" t="n"/>
      <c r="K7" s="69" t="n"/>
      <c r="L7" s="69" t="n"/>
      <c r="M7" s="69" t="n"/>
      <c r="N7" s="69" t="n"/>
      <c r="O7" s="69" t="n"/>
    </row>
    <row r="8">
      <c r="F8" t="inlineStr">
        <is>
          <t>Non-Hispanic Black</t>
        </is>
      </c>
      <c r="G8" s="69" t="n">
        <v>156.6</v>
      </c>
      <c r="H8" s="69" t="n">
        <v>200.2</v>
      </c>
      <c r="I8" s="69" t="n">
        <v>217.1</v>
      </c>
      <c r="J8" s="69" t="n"/>
      <c r="K8" s="69" t="n"/>
      <c r="L8" s="69" t="n"/>
      <c r="M8" s="69" t="n"/>
      <c r="N8" s="69" t="n"/>
      <c r="O8" s="69" t="n"/>
    </row>
    <row r="9">
      <c r="A9" s="71" t="inlineStr">
        <is>
          <t>Figure Rules</t>
        </is>
      </c>
      <c r="F9" t="inlineStr">
        <is>
          <t>Non-Hispanic Asian/Pacific Islander</t>
        </is>
      </c>
      <c r="G9" s="69" t="n">
        <v>97.7</v>
      </c>
      <c r="H9" s="69" t="n">
        <v>88</v>
      </c>
      <c r="I9" s="69" t="n">
        <v>103.3</v>
      </c>
      <c r="J9" s="69" t="n"/>
      <c r="K9" s="69" t="n"/>
      <c r="L9" s="69" t="n"/>
      <c r="M9" s="69" t="n"/>
      <c r="N9" s="69" t="n"/>
      <c r="O9" s="69" t="n"/>
    </row>
    <row r="10">
      <c r="A10" t="inlineStr">
        <is>
          <t>Figure Type</t>
        </is>
      </c>
      <c r="B10" t="inlineStr">
        <is>
          <t>Clustered Bar</t>
        </is>
      </c>
      <c r="F10" t="inlineStr">
        <is>
          <t>Hispanic</t>
        </is>
      </c>
      <c r="G10" s="69" t="n">
        <v>112.1</v>
      </c>
      <c r="H10" t="n">
        <v>109.6</v>
      </c>
      <c r="I10" t="n">
        <v>135.9</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t>
        </is>
      </c>
    </row>
    <row r="20">
      <c r="F20" s="69" t="n"/>
      <c r="G20" s="69" t="n"/>
      <c r="H20" s="69" t="n"/>
    </row>
    <row r="21">
      <c r="A21" s="69" t="inlineStr">
        <is>
          <t>Note Specfications</t>
        </is>
      </c>
      <c r="F21" s="69" t="n"/>
      <c r="G21" s="69" t="n"/>
      <c r="H21" s="69"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178</v>
      </c>
      <c r="H6" s="69" t="n">
        <v>221.9</v>
      </c>
      <c r="I6" s="69" t="n">
        <v>183.2</v>
      </c>
      <c r="J6" s="69" t="n">
        <v>199.6</v>
      </c>
      <c r="K6" s="69" t="n"/>
      <c r="L6" s="69" t="n"/>
      <c r="M6" s="69" t="n"/>
      <c r="N6" s="69" t="n"/>
      <c r="O6" s="69" t="n"/>
    </row>
    <row r="7" ht="15.75" customHeight="1" s="91">
      <c r="F7" t="n">
        <v>10950</v>
      </c>
      <c r="G7" s="69" t="n">
        <v>321.3</v>
      </c>
      <c r="H7" s="69" t="n">
        <v>208.1</v>
      </c>
      <c r="I7" s="69" t="n">
        <v>234.5</v>
      </c>
      <c r="J7" s="69" t="n">
        <v>243.9</v>
      </c>
      <c r="K7" s="69" t="n"/>
      <c r="L7" s="69" t="n"/>
      <c r="M7" s="69" t="n"/>
      <c r="N7" s="69" t="n"/>
      <c r="O7" s="69" t="n"/>
    </row>
    <row r="8">
      <c r="F8" t="n">
        <v>12550</v>
      </c>
      <c r="G8" s="69" t="n">
        <v>468.8</v>
      </c>
      <c r="H8" s="69" t="n">
        <v>350.7</v>
      </c>
      <c r="I8" s="69" t="n">
        <v>372.1</v>
      </c>
      <c r="J8" s="69" t="n">
        <v>315</v>
      </c>
      <c r="K8" s="69" t="n"/>
      <c r="L8" s="69" t="n"/>
      <c r="M8" s="69" t="n"/>
      <c r="N8" s="69" t="n"/>
      <c r="O8" s="69" t="n"/>
    </row>
    <row r="9">
      <c r="A9" s="71" t="inlineStr">
        <is>
          <t>Figure Rules</t>
        </is>
      </c>
      <c r="F9" t="n">
        <v>12771</v>
      </c>
      <c r="G9" s="69" t="n">
        <v>201.3</v>
      </c>
      <c r="H9" s="69" t="n">
        <v>310</v>
      </c>
      <c r="I9" s="69" t="n">
        <v>228.3</v>
      </c>
      <c r="J9" s="69" t="n">
        <v>278.8</v>
      </c>
      <c r="K9" s="69" t="n"/>
      <c r="L9" s="69" t="n"/>
      <c r="M9" s="69" t="n"/>
      <c r="N9" s="69" t="n"/>
      <c r="O9" s="69" t="n"/>
    </row>
    <row r="10">
      <c r="A10" t="inlineStr">
        <is>
          <t>Figure Type</t>
        </is>
      </c>
      <c r="B10" t="inlineStr">
        <is>
          <t>Line</t>
        </is>
      </c>
      <c r="G10" s="69" t="n"/>
    </row>
    <row r="11">
      <c r="A11" t="inlineStr">
        <is>
          <t>X Column</t>
        </is>
      </c>
      <c r="B11" t="inlineStr">
        <is>
          <t>Zip Code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222.8</v>
      </c>
      <c r="H6" s="69" t="n">
        <v>178.9</v>
      </c>
      <c r="I6" s="69" t="n">
        <v>178.9</v>
      </c>
      <c r="J6" s="69" t="n">
        <v>202.9</v>
      </c>
      <c r="K6" s="69" t="n"/>
      <c r="L6" s="69" t="n"/>
      <c r="M6" s="69" t="n"/>
      <c r="N6" s="69" t="n"/>
      <c r="O6" s="69" t="n"/>
    </row>
    <row r="7" ht="15.75" customHeight="1" s="91">
      <c r="F7" t="inlineStr">
        <is>
          <t>Females</t>
        </is>
      </c>
      <c r="G7" s="69" t="n">
        <v>116.4</v>
      </c>
      <c r="H7" s="69" t="n">
        <v>122.5</v>
      </c>
      <c r="I7" s="69" t="n">
        <v>116.5</v>
      </c>
      <c r="J7" s="69" t="n">
        <v>119.2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Hospitalizations,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21.9</v>
      </c>
      <c r="H6" s="69" t="n">
        <v>19.6</v>
      </c>
      <c r="I6" s="69" t="n">
        <v>19.8</v>
      </c>
      <c r="J6" s="69" t="n"/>
      <c r="K6" s="69" t="n"/>
      <c r="L6" s="69" t="n"/>
      <c r="M6" s="69" t="n"/>
      <c r="N6" s="69" t="n"/>
      <c r="O6" s="69" t="n"/>
    </row>
    <row r="7" ht="15.75" customHeight="1" s="91">
      <c r="F7" t="inlineStr">
        <is>
          <t>Non-Hispanic White</t>
        </is>
      </c>
      <c r="G7" s="69" t="n">
        <v>17.6</v>
      </c>
      <c r="H7" s="69" t="n">
        <v>16.7</v>
      </c>
      <c r="I7" s="69" t="n">
        <v>15.4</v>
      </c>
      <c r="J7" s="69" t="n"/>
      <c r="K7" s="69" t="n"/>
      <c r="L7" s="69" t="n"/>
      <c r="M7" s="69" t="n"/>
      <c r="N7" s="69" t="n"/>
      <c r="O7" s="69" t="n"/>
    </row>
    <row r="8">
      <c r="F8" t="inlineStr">
        <is>
          <t>Non-Hispanic Black</t>
        </is>
      </c>
      <c r="G8" s="69" t="n">
        <v>29.4</v>
      </c>
      <c r="H8" s="69" t="n">
        <v>33.1</v>
      </c>
      <c r="I8" s="69" t="n">
        <v>27</v>
      </c>
      <c r="J8" s="69" t="n"/>
      <c r="K8" s="69" t="n"/>
      <c r="L8" s="69" t="n"/>
      <c r="M8" s="69" t="n"/>
      <c r="N8" s="69" t="n"/>
      <c r="O8" s="69" t="n"/>
    </row>
    <row r="9">
      <c r="A9" s="71" t="inlineStr">
        <is>
          <t>Figure Rules</t>
        </is>
      </c>
      <c r="F9" t="inlineStr">
        <is>
          <t>Non-Hispanic Asian/Pacific Islander</t>
        </is>
      </c>
      <c r="G9" s="69" t="n">
        <v>16</v>
      </c>
      <c r="H9" s="69" t="n">
        <v>11.2</v>
      </c>
      <c r="I9" s="69" t="n">
        <v>11.2</v>
      </c>
      <c r="J9" s="69" t="n"/>
      <c r="K9" s="69" t="n"/>
      <c r="L9" s="69" t="n"/>
      <c r="M9" s="69" t="n"/>
      <c r="N9" s="69" t="n"/>
      <c r="O9" s="69" t="n"/>
    </row>
    <row r="10">
      <c r="A10" t="inlineStr">
        <is>
          <t>Figure Type</t>
        </is>
      </c>
      <c r="B10" t="inlineStr">
        <is>
          <t>Clustered Bar</t>
        </is>
      </c>
      <c r="F10" t="inlineStr">
        <is>
          <t>Hispanic</t>
        </is>
      </c>
      <c r="G10" s="69" t="n">
        <v>15.4</v>
      </c>
      <c r="H10" t="n">
        <v>15.4</v>
      </c>
      <c r="I10" t="n">
        <v>16.4</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57"/>
  <sheetViews>
    <sheetView topLeftCell="A16"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Case Counts and Rates per 100,000 Population by Age, Sex,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0</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102</v>
      </c>
      <c r="H7" s="69" t="n">
        <v>26.7</v>
      </c>
      <c r="I7" s="69" t="n">
        <v>96</v>
      </c>
      <c r="J7" s="69" t="n">
        <v>24.1</v>
      </c>
      <c r="K7" s="69" t="n">
        <v>122</v>
      </c>
      <c r="L7" s="69" t="n">
        <v>30.4</v>
      </c>
      <c r="M7" s="69" t="n">
        <v>92</v>
      </c>
      <c r="N7" s="69" t="n">
        <v>22.8</v>
      </c>
      <c r="O7" s="69" t="n">
        <v>412</v>
      </c>
      <c r="P7" t="n">
        <v>26</v>
      </c>
    </row>
    <row r="8">
      <c r="F8" s="77" t="inlineStr">
        <is>
          <t>Age Intervals</t>
        </is>
      </c>
    </row>
    <row r="9">
      <c r="A9" s="71" t="inlineStr">
        <is>
          <t>Figure Rules</t>
        </is>
      </c>
      <c r="F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B11" t="inlineStr">
        <is>
          <t>County</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n">
        <v>0</v>
      </c>
      <c r="N13" t="n">
        <v>0</v>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82</v>
      </c>
      <c r="H21" s="69"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inlineStr">
        <is>
          <t>s</t>
        </is>
      </c>
      <c r="H22" s="69" t="inlineStr">
        <is>
          <t>s</t>
        </is>
      </c>
      <c r="I22" t="inlineStr">
        <is>
          <t>s</t>
        </is>
      </c>
      <c r="J22" t="inlineStr">
        <is>
          <t>s</t>
        </is>
      </c>
      <c r="K22" t="n">
        <v>19</v>
      </c>
      <c r="L22" t="n">
        <v>45.3</v>
      </c>
      <c r="M22" t="inlineStr">
        <is>
          <t>s</t>
        </is>
      </c>
      <c r="N22" t="inlineStr">
        <is>
          <t>s</t>
        </is>
      </c>
      <c r="O22" t="n">
        <v>46</v>
      </c>
      <c r="P22" t="n">
        <v>28.1</v>
      </c>
    </row>
    <row r="23">
      <c r="F23" s="69" t="inlineStr">
        <is>
          <t>Hispanic</t>
        </is>
      </c>
      <c r="G23" s="69" t="inlineStr">
        <is>
          <t>s</t>
        </is>
      </c>
      <c r="H23" s="69" t="inlineStr">
        <is>
          <t>s</t>
        </is>
      </c>
      <c r="I23" t="n">
        <v>12</v>
      </c>
      <c r="J23" t="n">
        <v>14.1</v>
      </c>
      <c r="K23" t="inlineStr">
        <is>
          <t>s</t>
        </is>
      </c>
      <c r="L23" t="inlineStr">
        <is>
          <t>s</t>
        </is>
      </c>
      <c r="M23" t="inlineStr">
        <is>
          <t>s</t>
        </is>
      </c>
      <c r="N23" t="inlineStr">
        <is>
          <t>s</t>
        </is>
      </c>
      <c r="O23" t="n">
        <v>36</v>
      </c>
      <c r="P23" t="n">
        <v>10.4</v>
      </c>
    </row>
    <row r="24">
      <c r="F24" s="69" t="inlineStr">
        <is>
          <t>Other</t>
        </is>
      </c>
      <c r="G24" s="69" t="inlineStr">
        <is>
          <t>s</t>
        </is>
      </c>
      <c r="H24" s="69" t="inlineStr">
        <is>
          <t>s</t>
        </is>
      </c>
      <c r="I24" t="inlineStr">
        <is>
          <t>s</t>
        </is>
      </c>
      <c r="J24" t="inlineStr">
        <is>
          <t>s</t>
        </is>
      </c>
      <c r="K24" t="inlineStr">
        <is>
          <t>s</t>
        </is>
      </c>
      <c r="L24" t="inlineStr">
        <is>
          <t>s</t>
        </is>
      </c>
      <c r="M24" t="inlineStr">
        <is>
          <t>s</t>
        </is>
      </c>
      <c r="N24" t="inlineStr">
        <is>
          <t>s</t>
        </is>
      </c>
      <c r="O24" t="n">
        <v>12</v>
      </c>
      <c r="P24" t="n">
        <v>11.7</v>
      </c>
    </row>
    <row r="25">
      <c r="F25" s="77" t="inlineStr">
        <is>
          <t>ZIP Code</t>
        </is>
      </c>
    </row>
    <row r="26">
      <c r="F26" s="69" t="n">
        <v>10940</v>
      </c>
      <c r="G26" s="69" t="n">
        <v>13</v>
      </c>
      <c r="H26" s="69" t="n">
        <v>26.3</v>
      </c>
      <c r="I26" t="n">
        <v>16</v>
      </c>
      <c r="J26" t="n">
        <v>31.4</v>
      </c>
      <c r="K26" t="n">
        <v>18</v>
      </c>
      <c r="L26" t="n">
        <v>34.7</v>
      </c>
      <c r="M26" t="n">
        <v>11</v>
      </c>
      <c r="N26" t="n">
        <v>20.7</v>
      </c>
      <c r="O26" t="n">
        <v>58</v>
      </c>
      <c r="P26" t="n">
        <v>28.3</v>
      </c>
    </row>
    <row r="27">
      <c r="A27" s="69" t="n"/>
      <c r="F27" s="69" t="n">
        <v>10950</v>
      </c>
      <c r="G27" s="69" t="n">
        <v>11</v>
      </c>
      <c r="H27" s="69" t="n">
        <v>82.2</v>
      </c>
      <c r="I27" t="n">
        <v>10</v>
      </c>
      <c r="J27" t="n">
        <v>69.40000000000001</v>
      </c>
      <c r="K27" t="inlineStr">
        <is>
          <t>s</t>
        </is>
      </c>
      <c r="L27" t="inlineStr">
        <is>
          <t>s</t>
        </is>
      </c>
      <c r="M27" t="inlineStr">
        <is>
          <t>s</t>
        </is>
      </c>
      <c r="N27" t="inlineStr">
        <is>
          <t>s</t>
        </is>
      </c>
      <c r="O27" t="n">
        <v>33</v>
      </c>
      <c r="P27" t="n">
        <v>58.5</v>
      </c>
    </row>
    <row r="28">
      <c r="F28" s="69" t="n">
        <v>12550</v>
      </c>
      <c r="G28" s="69" t="n">
        <v>17</v>
      </c>
      <c r="H28" s="69" t="n">
        <v>63.8</v>
      </c>
      <c r="I28" t="n">
        <v>12</v>
      </c>
      <c r="J28" t="n">
        <v>44.8</v>
      </c>
      <c r="K28" t="n">
        <v>18</v>
      </c>
      <c r="L28" t="n">
        <v>65.7</v>
      </c>
      <c r="M28" t="n">
        <v>13</v>
      </c>
      <c r="N28" t="n">
        <v>47.6</v>
      </c>
      <c r="O28" t="n">
        <v>60</v>
      </c>
      <c r="P28" t="n">
        <v>55.5</v>
      </c>
    </row>
    <row r="29">
      <c r="F29" s="69" t="n">
        <v>12771</v>
      </c>
      <c r="G29" s="69" t="inlineStr">
        <is>
          <t>s</t>
        </is>
      </c>
      <c r="H29" s="69" t="inlineStr">
        <is>
          <t>s</t>
        </is>
      </c>
      <c r="I29" t="inlineStr">
        <is>
          <t>s</t>
        </is>
      </c>
      <c r="J29" t="inlineStr">
        <is>
          <t>s</t>
        </is>
      </c>
      <c r="K29" t="inlineStr">
        <is>
          <t>s</t>
        </is>
      </c>
      <c r="L29" t="inlineStr">
        <is>
          <t>s</t>
        </is>
      </c>
      <c r="M29" t="n">
        <v>10</v>
      </c>
      <c r="N29" t="n">
        <v>69.7</v>
      </c>
      <c r="O29" t="n">
        <v>28</v>
      </c>
      <c r="P29" t="n">
        <v>48.3</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24.3</v>
      </c>
      <c r="H6" s="69" t="n">
        <v>22.9</v>
      </c>
      <c r="I6" s="69" t="n">
        <v>28.3</v>
      </c>
      <c r="J6" s="69" t="n">
        <v>21.4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24.7</v>
      </c>
      <c r="H6" s="69" t="n">
        <v>24.3</v>
      </c>
      <c r="I6" s="69" t="n">
        <v>29.3</v>
      </c>
      <c r="J6" s="69" t="n">
        <v>19.3</v>
      </c>
      <c r="K6" s="69" t="n"/>
      <c r="L6" s="69" t="n"/>
      <c r="M6" s="69" t="n"/>
      <c r="N6" s="69" t="n"/>
      <c r="O6" s="69" t="n"/>
    </row>
    <row r="7" ht="15.75" customHeight="1" s="91">
      <c r="F7" t="inlineStr">
        <is>
          <t>Females</t>
        </is>
      </c>
      <c r="G7" s="69" t="n">
        <v>23.5</v>
      </c>
      <c r="H7" s="69" t="n">
        <v>22</v>
      </c>
      <c r="I7" s="69" t="n">
        <v>26.8</v>
      </c>
      <c r="J7" s="69" t="n">
        <v>22.6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P57"/>
  <sheetViews>
    <sheetView workbookViewId="0">
      <selection activeCell="F5" sqref="F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0.7109375" bestFit="1" customWidth="1" style="91" min="16" max="16"/>
  </cols>
  <sheetData>
    <row r="1">
      <c r="A1" s="16" t="inlineStr">
        <is>
          <t>Name</t>
        </is>
      </c>
      <c r="B1" s="66" t="inlineStr">
        <is>
          <t>Other 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t="n">
        <v>15.5</v>
      </c>
    </row>
    <row r="8">
      <c r="F8" s="69"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n">
        <v>14</v>
      </c>
      <c r="P13" t="n">
        <v>7.5</v>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t="inlineStr">
        <is>
          <t>45-54</t>
        </is>
      </c>
      <c r="G15" t="n">
        <v>28</v>
      </c>
      <c r="H15" t="n">
        <v>53.5</v>
      </c>
      <c r="I15" t="n">
        <v>34</v>
      </c>
      <c r="J15" t="n">
        <v>63.7</v>
      </c>
      <c r="K15" t="n">
        <v>21</v>
      </c>
      <c r="L15" t="n">
        <v>40.1</v>
      </c>
      <c r="M15" t="n">
        <v>32</v>
      </c>
      <c r="N15" t="n">
        <v>62.1</v>
      </c>
      <c r="O15" t="n">
        <v>115</v>
      </c>
      <c r="P15" t="n">
        <v>54.9</v>
      </c>
    </row>
    <row r="16">
      <c r="A16" t="inlineStr">
        <is>
          <t>Pivot For Chart</t>
        </is>
      </c>
      <c r="F16" t="inlineStr">
        <is>
          <t>55-64</t>
        </is>
      </c>
      <c r="G16" t="n">
        <v>84</v>
      </c>
      <c r="H16" t="n">
        <v>172.5</v>
      </c>
      <c r="I16" t="n">
        <v>91</v>
      </c>
      <c r="J16" t="n">
        <v>177.1</v>
      </c>
      <c r="K16" t="n">
        <v>99</v>
      </c>
      <c r="L16" t="n">
        <v>193.4</v>
      </c>
      <c r="M16" t="n">
        <v>98</v>
      </c>
      <c r="N16" t="n">
        <v>190.3</v>
      </c>
      <c r="O16" t="n">
        <v>372</v>
      </c>
      <c r="P16" t="n">
        <v>183.3</v>
      </c>
    </row>
    <row r="17">
      <c r="F17" t="inlineStr">
        <is>
          <t>65-74</t>
        </is>
      </c>
      <c r="G17" t="n">
        <v>154</v>
      </c>
      <c r="H17" t="n">
        <v>488.4</v>
      </c>
      <c r="I17" t="n">
        <v>147</v>
      </c>
      <c r="J17" t="n">
        <v>439.2</v>
      </c>
      <c r="K17" t="n">
        <v>159</v>
      </c>
      <c r="L17" t="n">
        <v>469.7</v>
      </c>
      <c r="M17" t="n">
        <v>147</v>
      </c>
      <c r="N17" t="n">
        <v>421.9</v>
      </c>
      <c r="O17" t="n">
        <v>607</v>
      </c>
      <c r="P17" t="n">
        <v>454.8</v>
      </c>
    </row>
    <row r="18">
      <c r="A18" s="71" t="inlineStr">
        <is>
          <t>Source Specifications</t>
        </is>
      </c>
      <c r="F18"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t="inlineStr">
        <is>
          <t>85+</t>
        </is>
      </c>
      <c r="G19" t="n">
        <v>365</v>
      </c>
      <c r="H19" t="n">
        <v>5105.6</v>
      </c>
      <c r="I19" t="n">
        <v>297</v>
      </c>
      <c r="J19" t="n">
        <v>4359.3</v>
      </c>
      <c r="K19" t="n">
        <v>295</v>
      </c>
      <c r="L19" t="n">
        <v>4202.3</v>
      </c>
      <c r="M19" t="n">
        <v>313</v>
      </c>
      <c r="N19" t="n">
        <v>4665.4</v>
      </c>
      <c r="O19" t="n">
        <v>1270</v>
      </c>
      <c r="P19" t="n">
        <v>4583.1</v>
      </c>
    </row>
    <row r="20">
      <c r="F20" s="69" t="inlineStr">
        <is>
          <t>Race and Ethnicity</t>
        </is>
      </c>
    </row>
    <row r="21">
      <c r="A21" s="69" t="inlineStr">
        <is>
          <t>Note Specfications</t>
        </is>
      </c>
      <c r="F21" s="69" t="inlineStr">
        <is>
          <t>Non-Hispanic White</t>
        </is>
      </c>
      <c r="G21" s="69" t="n">
        <v>686</v>
      </c>
      <c r="H21" s="69"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t="n">
        <v>72</v>
      </c>
      <c r="J22" t="n">
        <v>181.2</v>
      </c>
      <c r="K22" t="n">
        <v>74</v>
      </c>
      <c r="L22" t="n">
        <v>176.4</v>
      </c>
      <c r="M22" t="n">
        <v>85</v>
      </c>
      <c r="N22" t="n">
        <v>200.1</v>
      </c>
      <c r="O22" t="n">
        <v>297</v>
      </c>
      <c r="P22" t="n">
        <v>182.3</v>
      </c>
    </row>
    <row r="23">
      <c r="F23" s="69" t="inlineStr">
        <is>
          <t>Hispanic</t>
        </is>
      </c>
      <c r="G23" s="69" t="n">
        <v>63</v>
      </c>
      <c r="H23" s="69" t="n">
        <v>78.5</v>
      </c>
      <c r="I23" t="n">
        <v>70</v>
      </c>
      <c r="J23" t="n">
        <v>82</v>
      </c>
      <c r="K23" t="n">
        <v>61</v>
      </c>
      <c r="L23" t="n">
        <v>68.2</v>
      </c>
      <c r="M23" t="n">
        <v>74</v>
      </c>
      <c r="N23" t="n">
        <v>79.09999999999999</v>
      </c>
      <c r="O23" t="n">
        <v>268</v>
      </c>
      <c r="P23" t="n">
        <v>76.90000000000001</v>
      </c>
    </row>
    <row r="24">
      <c r="F24" s="69" t="inlineStr">
        <is>
          <t>Other</t>
        </is>
      </c>
      <c r="G24" s="69" t="n">
        <v>28</v>
      </c>
      <c r="H24" s="69" t="n">
        <v>126.2</v>
      </c>
      <c r="I24" t="n">
        <v>16</v>
      </c>
      <c r="J24" t="n">
        <v>63.2</v>
      </c>
      <c r="K24" t="n">
        <v>24</v>
      </c>
      <c r="L24" t="n">
        <v>88.40000000000001</v>
      </c>
      <c r="M24" t="n">
        <v>20</v>
      </c>
      <c r="N24" t="n">
        <v>70</v>
      </c>
      <c r="O24" t="n">
        <v>88</v>
      </c>
      <c r="P24" t="n">
        <v>87</v>
      </c>
    </row>
    <row r="25">
      <c r="F25" s="69" t="inlineStr">
        <is>
          <t>ZIP Code</t>
        </is>
      </c>
    </row>
    <row r="26">
      <c r="F26" s="69" t="n">
        <v>10940</v>
      </c>
      <c r="G26" s="69" t="n">
        <v>111</v>
      </c>
      <c r="H26" s="69" t="n">
        <v>224.6</v>
      </c>
      <c r="I26" t="n">
        <v>138</v>
      </c>
      <c r="J26" t="n">
        <v>270.9</v>
      </c>
      <c r="K26" t="n">
        <v>127</v>
      </c>
      <c r="L26" t="n">
        <v>244.9</v>
      </c>
      <c r="M26" t="n">
        <v>125</v>
      </c>
      <c r="N26" t="n">
        <v>235.4</v>
      </c>
      <c r="O26" t="n">
        <v>501</v>
      </c>
      <c r="P26" t="n">
        <v>244</v>
      </c>
    </row>
    <row r="27">
      <c r="A27" s="69" t="n"/>
      <c r="F27" s="69" t="n">
        <v>10950</v>
      </c>
      <c r="G27" s="69" t="n">
        <v>58</v>
      </c>
      <c r="H27" s="69" t="n">
        <v>433.4</v>
      </c>
      <c r="I27" t="n">
        <v>48</v>
      </c>
      <c r="J27" t="n">
        <v>333</v>
      </c>
      <c r="K27" t="n">
        <v>46</v>
      </c>
      <c r="L27" t="n">
        <v>317.2</v>
      </c>
      <c r="M27" t="n">
        <v>43</v>
      </c>
      <c r="N27" t="n">
        <v>291.3</v>
      </c>
      <c r="O27" t="n">
        <v>195</v>
      </c>
      <c r="P27" t="n">
        <v>343.7</v>
      </c>
    </row>
    <row r="28">
      <c r="F28" s="69" t="n">
        <v>12550</v>
      </c>
      <c r="G28" s="69" t="n">
        <v>153</v>
      </c>
      <c r="H28" s="69" t="n">
        <v>573.8</v>
      </c>
      <c r="I28" t="n">
        <v>115</v>
      </c>
      <c r="J28" t="n">
        <v>429</v>
      </c>
      <c r="K28" t="n">
        <v>127</v>
      </c>
      <c r="L28" t="n">
        <v>463.4</v>
      </c>
      <c r="M28" t="n">
        <v>113</v>
      </c>
      <c r="N28" t="n">
        <v>413.9</v>
      </c>
      <c r="O28" t="n">
        <v>508</v>
      </c>
      <c r="P28" t="n">
        <v>470</v>
      </c>
    </row>
    <row r="29">
      <c r="F29" s="69" t="n">
        <v>12771</v>
      </c>
      <c r="G29" s="69" t="n">
        <v>33</v>
      </c>
      <c r="H29" s="69" t="n">
        <v>229</v>
      </c>
      <c r="I29" t="n">
        <v>55</v>
      </c>
      <c r="J29" t="n">
        <v>370.6</v>
      </c>
      <c r="K29" t="n">
        <v>46</v>
      </c>
      <c r="L29" t="n">
        <v>318.3</v>
      </c>
      <c r="M29" t="n">
        <v>52</v>
      </c>
      <c r="N29" t="n">
        <v>362.5</v>
      </c>
      <c r="O29" t="n">
        <v>186</v>
      </c>
      <c r="P29" t="n">
        <v>320.1</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Rate per 100,000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270.4</v>
      </c>
      <c r="J6" s="69" t="n">
        <v>275.9</v>
      </c>
      <c r="K6" s="69" t="n"/>
      <c r="L6" s="69" t="n"/>
      <c r="M6" s="69" t="n"/>
      <c r="N6" s="69" t="n"/>
      <c r="O6" s="69" t="n"/>
    </row>
    <row r="7" ht="15.75" customHeight="1" s="91">
      <c r="F7" t="inlineStr">
        <is>
          <t>Non-Hispanic Black</t>
        </is>
      </c>
      <c r="G7" s="69" t="n">
        <v>171.6</v>
      </c>
      <c r="H7" s="69" t="n">
        <v>181.2</v>
      </c>
      <c r="I7" s="69" t="n">
        <v>176.4</v>
      </c>
      <c r="J7" s="69" t="n">
        <v>200.1</v>
      </c>
      <c r="K7" s="69" t="n"/>
      <c r="L7" s="69" t="n"/>
      <c r="M7" s="69" t="n"/>
      <c r="N7" s="69" t="n"/>
      <c r="O7" s="69" t="n"/>
    </row>
    <row r="8">
      <c r="F8" t="inlineStr">
        <is>
          <t>Hispanic</t>
        </is>
      </c>
      <c r="G8" s="69" t="n">
        <v>78.5</v>
      </c>
      <c r="H8" s="69" t="n">
        <v>82</v>
      </c>
      <c r="I8" s="69" t="n">
        <v>68.2</v>
      </c>
      <c r="J8" s="69" t="n">
        <v>79.09999999999999</v>
      </c>
      <c r="K8" s="69" t="n"/>
      <c r="L8" s="69" t="n"/>
      <c r="M8" s="69" t="n"/>
      <c r="N8" s="69" t="n"/>
      <c r="O8" s="69" t="n"/>
    </row>
    <row r="9">
      <c r="A9" s="71" t="inlineStr">
        <is>
          <t>Figure Rules</t>
        </is>
      </c>
      <c r="F9" t="inlineStr">
        <is>
          <t>Other</t>
        </is>
      </c>
      <c r="G9" s="69" t="n">
        <v>126.2</v>
      </c>
      <c r="H9" s="69" t="n">
        <v>63.2</v>
      </c>
      <c r="I9" s="69" t="n">
        <v>88.40000000000001</v>
      </c>
      <c r="J9" s="69" t="n">
        <v>70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J37" sqref="J37"/>
    </sheetView>
  </sheetViews>
  <sheetFormatPr baseColWidth="8" defaultColWidth="8.7109375" defaultRowHeight="15"/>
  <cols>
    <col width="20" bestFit="1" customWidth="1" style="91" min="1" max="1"/>
    <col width="22.140625" bestFit="1" customWidth="1" style="91" min="2" max="2"/>
    <col width="8.28515625" customWidth="1" style="91" min="3" max="3"/>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Rate per 100,000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ht="15.75" customHeight="1" s="91" thickBot="1">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ht="15.75" customHeight="1" s="91" thickBot="1">
      <c r="A5" s="71" t="inlineStr">
        <is>
          <t>Table Rules</t>
        </is>
      </c>
      <c r="E5" s="70" t="inlineStr">
        <is>
          <t xml:space="preserve">Enter Data </t>
        </is>
      </c>
      <c r="F5" s="53" t="inlineStr">
        <is>
          <t>Sex</t>
        </is>
      </c>
      <c r="G5" s="53" t="n">
        <v>2020</v>
      </c>
      <c r="H5" s="53" t="n">
        <v>2021</v>
      </c>
      <c r="I5" s="53" t="n">
        <v>2022</v>
      </c>
      <c r="J5" s="53" t="n">
        <v>2023</v>
      </c>
      <c r="K5" s="69" t="n"/>
      <c r="L5" s="69" t="n"/>
      <c r="M5" s="69" t="n"/>
    </row>
    <row r="6" ht="15" customHeight="1" s="91" thickBot="1">
      <c r="A6" t="inlineStr">
        <is>
          <t>Multilevel Headers</t>
        </is>
      </c>
      <c r="B6" t="b">
        <v>0</v>
      </c>
      <c r="F6" s="53" t="inlineStr">
        <is>
          <t>Males</t>
        </is>
      </c>
      <c r="G6" s="52" t="n">
        <v>264.8</v>
      </c>
      <c r="H6" s="52" t="n">
        <v>220.2</v>
      </c>
      <c r="I6" s="52" t="n">
        <v>219.7</v>
      </c>
      <c r="J6" s="52" t="n">
        <v>238.7</v>
      </c>
      <c r="K6" s="69" t="n"/>
      <c r="L6" s="69" t="n"/>
      <c r="M6" s="69" t="n"/>
      <c r="N6" s="69" t="n"/>
      <c r="O6" s="69" t="n"/>
    </row>
    <row r="7" ht="15.75" customHeight="1" s="91" thickBot="1">
      <c r="F7" s="53" t="inlineStr">
        <is>
          <t>Females</t>
        </is>
      </c>
      <c r="G7" s="52" t="n">
        <v>149.1</v>
      </c>
      <c r="H7" s="52" t="n">
        <v>159.2</v>
      </c>
      <c r="I7" s="52" t="n">
        <v>158.6</v>
      </c>
      <c r="J7" s="52" t="n">
        <v>157.7</v>
      </c>
      <c r="K7" s="69" t="n"/>
      <c r="L7" s="69" t="n"/>
      <c r="M7" s="69" t="n"/>
      <c r="N7" s="69" t="n"/>
      <c r="O7" s="69" t="n"/>
    </row>
    <row r="8">
      <c r="F8" s="21" t="n"/>
      <c r="K8" s="69" t="n"/>
      <c r="L8" s="69" t="n"/>
      <c r="M8" s="69" t="n"/>
      <c r="N8" s="69" t="n"/>
      <c r="O8" s="69" t="n"/>
    </row>
    <row r="9">
      <c r="A9" s="71" t="inlineStr">
        <is>
          <t>Figure Rules</t>
        </is>
      </c>
      <c r="F9" s="54" t="n"/>
      <c r="N9" s="69" t="n"/>
      <c r="O9" s="69" t="n"/>
    </row>
    <row r="10">
      <c r="A10" t="inlineStr">
        <is>
          <t>Figure Type</t>
        </is>
      </c>
      <c r="B10" t="inlineStr">
        <is>
          <t>Line</t>
        </is>
      </c>
      <c r="G10" s="69" t="n"/>
      <c r="H10" s="69" t="n"/>
      <c r="I10" s="69" t="n"/>
      <c r="J10" s="68" t="n"/>
      <c r="K10" s="68" t="n"/>
      <c r="L10" s="68" t="n"/>
      <c r="M10" s="68" t="n"/>
    </row>
    <row r="11">
      <c r="A11" t="inlineStr">
        <is>
          <t>X Column</t>
        </is>
      </c>
      <c r="B11" t="inlineStr">
        <is>
          <t>Year</t>
        </is>
      </c>
      <c r="F11" s="21" t="n"/>
      <c r="G11" s="68" t="n"/>
      <c r="H11" s="68" t="n"/>
      <c r="I11" s="69" t="n"/>
      <c r="J11" s="69" t="n"/>
      <c r="K11" s="69" t="n"/>
      <c r="L11" s="69" t="n"/>
      <c r="N11" s="68" t="n"/>
    </row>
    <row r="12">
      <c r="A12" t="inlineStr">
        <is>
          <t>Y Column</t>
        </is>
      </c>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F19" s="69" t="n"/>
      <c r="G19" s="69" t="n"/>
      <c r="H19" s="69" t="n"/>
    </row>
    <row r="20">
      <c r="F20" s="69" t="n"/>
      <c r="G20" s="69" t="n"/>
      <c r="H20" s="69" t="n"/>
    </row>
    <row r="21">
      <c r="A21" s="69" t="inlineStr">
        <is>
          <t>Note Specfications</t>
        </is>
      </c>
      <c r="F21" s="69" t="n"/>
      <c r="G21" s="69" t="n"/>
      <c r="H21" s="69" t="n"/>
    </row>
    <row r="22">
      <c r="A22" t="inlineStr">
        <is>
          <t xml:space="preserve">Note </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I23" sqref="I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13.8</v>
      </c>
      <c r="H6" s="69" t="n">
        <v>11.7</v>
      </c>
      <c r="I6" s="69" t="n">
        <v>22.5</v>
      </c>
      <c r="J6" s="69" t="n">
        <v>2.9</v>
      </c>
      <c r="K6" s="69" t="n">
        <v>10.8</v>
      </c>
      <c r="L6" s="69" t="n"/>
      <c r="M6" s="69" t="n"/>
      <c r="N6" s="69" t="n"/>
      <c r="O6" s="69" t="n"/>
    </row>
    <row r="7" ht="15.75" customHeight="1" s="91">
      <c r="F7" t="inlineStr">
        <is>
          <t>NYS excl NYC</t>
        </is>
      </c>
      <c r="G7" s="69" t="n">
        <v>12</v>
      </c>
      <c r="H7" s="69" t="n">
        <v>9.800000000000001</v>
      </c>
      <c r="I7" s="69" t="n">
        <v>24</v>
      </c>
      <c r="J7" s="69" t="n">
        <v>4.1</v>
      </c>
      <c r="K7" s="69" t="n">
        <v>9.9</v>
      </c>
      <c r="L7" s="69" t="n"/>
      <c r="M7" s="69" t="n"/>
      <c r="N7" s="69" t="n"/>
      <c r="O7" s="69" t="n"/>
    </row>
    <row r="8">
      <c r="F8" t="inlineStr">
        <is>
          <t>NYS</t>
        </is>
      </c>
      <c r="G8" s="69" t="n">
        <v>14.3</v>
      </c>
      <c r="H8" s="69" t="n">
        <v>9.1</v>
      </c>
      <c r="I8" s="69" t="n">
        <v>24.5</v>
      </c>
      <c r="J8" s="69" t="n">
        <v>4.4</v>
      </c>
      <c r="K8" s="69" t="n">
        <v>16.6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Q57"/>
  <sheetViews>
    <sheetView topLeftCell="A8"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2.28515625" bestFit="1" customWidth="1" style="91" min="16" max="16"/>
  </cols>
  <sheetData>
    <row r="1">
      <c r="A1" s="16" t="inlineStr">
        <is>
          <t>Name</t>
        </is>
      </c>
      <c r="B1" s="66" t="inlineStr">
        <is>
          <t>Chronic Lower Respiratory Disease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155</v>
      </c>
      <c r="H7" s="69" t="n">
        <v>40.6</v>
      </c>
      <c r="I7" s="69" t="n">
        <v>117</v>
      </c>
      <c r="J7" s="69" t="n">
        <v>29.4</v>
      </c>
      <c r="K7" s="69" t="n">
        <v>122</v>
      </c>
      <c r="L7" s="69" t="n">
        <v>30.4</v>
      </c>
      <c r="M7" s="69" t="n">
        <v>99</v>
      </c>
      <c r="N7" s="69" t="n">
        <v>24.5</v>
      </c>
      <c r="O7" s="69" t="n">
        <v>493</v>
      </c>
      <c r="P7" s="69" t="n">
        <v>31.2</v>
      </c>
    </row>
    <row r="8">
      <c r="F8" s="16" t="inlineStr">
        <is>
          <t>Age Intervals</t>
        </is>
      </c>
      <c r="G8" s="69" t="n"/>
      <c r="H8" s="69" t="n"/>
      <c r="I8" s="69" t="n"/>
      <c r="J8" s="69" t="n"/>
      <c r="K8" s="69" t="n"/>
      <c r="L8" s="69" t="n"/>
      <c r="M8" s="69" t="n"/>
      <c r="N8" s="69" t="n"/>
      <c r="O8" s="69" t="n"/>
      <c r="P8" s="69" t="n"/>
    </row>
    <row r="9">
      <c r="A9" s="71" t="inlineStr">
        <is>
          <t>Figure Rules</t>
        </is>
      </c>
      <c r="F9" s="49" t="inlineStr">
        <is>
          <t>&lt;1</t>
        </is>
      </c>
      <c r="G9" s="69" t="n">
        <v>0</v>
      </c>
      <c r="H9" s="69" t="n">
        <v>0</v>
      </c>
      <c r="I9" s="69" t="n">
        <v>0</v>
      </c>
      <c r="J9" s="69" t="n">
        <v>0</v>
      </c>
      <c r="K9" s="69" t="n">
        <v>0</v>
      </c>
      <c r="L9" s="69" t="n">
        <v>0</v>
      </c>
      <c r="M9" s="69" t="n">
        <v>0</v>
      </c>
      <c r="N9" s="69" t="n">
        <v>0</v>
      </c>
      <c r="O9" s="69" t="n">
        <v>0</v>
      </c>
      <c r="P9" s="6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s="69" t="inlineStr">
        <is>
          <t>s</t>
        </is>
      </c>
      <c r="P10" s="69" t="inlineStr">
        <is>
          <t>s</t>
        </is>
      </c>
    </row>
    <row r="11">
      <c r="A11" t="inlineStr">
        <is>
          <t>X Column</t>
        </is>
      </c>
      <c r="F11" s="49" t="inlineStr">
        <is>
          <t>10-19</t>
        </is>
      </c>
      <c r="G11" s="69" t="n">
        <v>0</v>
      </c>
      <c r="H11" s="69" t="n">
        <v>0</v>
      </c>
      <c r="I11" s="69" t="n">
        <v>0</v>
      </c>
      <c r="J11" s="68" t="n">
        <v>0</v>
      </c>
      <c r="K11" s="68" t="n">
        <v>0</v>
      </c>
      <c r="L11" s="68" t="n">
        <v>0</v>
      </c>
      <c r="M11" s="68" t="n">
        <v>0</v>
      </c>
      <c r="N11" s="68" t="n">
        <v>0</v>
      </c>
      <c r="O11" s="69" t="n">
        <v>0</v>
      </c>
      <c r="P11" s="69" t="n">
        <v>0</v>
      </c>
    </row>
    <row r="12">
      <c r="A12" t="inlineStr">
        <is>
          <t>Y Column</t>
        </is>
      </c>
      <c r="F12" s="55" t="inlineStr">
        <is>
          <t>20-24</t>
        </is>
      </c>
      <c r="G12" s="68" t="n">
        <v>0</v>
      </c>
      <c r="H12" s="68" t="n">
        <v>0</v>
      </c>
      <c r="I12" s="69" t="n">
        <v>0</v>
      </c>
      <c r="J12" s="69" t="n">
        <v>0</v>
      </c>
      <c r="K12" s="69" t="n">
        <v>0</v>
      </c>
      <c r="L12" s="69" t="n">
        <v>0</v>
      </c>
      <c r="M12" s="69" t="inlineStr">
        <is>
          <t>s</t>
        </is>
      </c>
      <c r="N12" s="69" t="inlineStr">
        <is>
          <t>s</t>
        </is>
      </c>
      <c r="O12" s="69" t="inlineStr">
        <is>
          <t>s</t>
        </is>
      </c>
      <c r="P12" s="69" t="inlineStr">
        <is>
          <t>s</t>
        </is>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inlineStr">
        <is>
          <t>s</t>
        </is>
      </c>
      <c r="H14" s="69" t="inlineStr">
        <is>
          <t>s</t>
        </is>
      </c>
      <c r="I14" s="69" t="n">
        <v>0</v>
      </c>
      <c r="J14" s="69" t="n">
        <v>0</v>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12</v>
      </c>
      <c r="P15" s="69" t="n">
        <v>5.7</v>
      </c>
    </row>
    <row r="16">
      <c r="A16" t="inlineStr">
        <is>
          <t>Pivot For Chart</t>
        </is>
      </c>
      <c r="F16" s="49" t="inlineStr">
        <is>
          <t>55-64</t>
        </is>
      </c>
      <c r="G16" s="69" t="inlineStr">
        <is>
          <t>s</t>
        </is>
      </c>
      <c r="H16" s="69" t="inlineStr">
        <is>
          <t>s</t>
        </is>
      </c>
      <c r="I16" s="69" t="n">
        <v>13</v>
      </c>
      <c r="J16" s="69" t="n">
        <v>25.3</v>
      </c>
      <c r="K16" s="69" t="inlineStr">
        <is>
          <t>s</t>
        </is>
      </c>
      <c r="L16" s="69" t="inlineStr">
        <is>
          <t>s</t>
        </is>
      </c>
      <c r="M16" s="69" t="inlineStr">
        <is>
          <t>s</t>
        </is>
      </c>
      <c r="N16" s="69" t="inlineStr">
        <is>
          <t>s</t>
        </is>
      </c>
      <c r="O16" s="69" t="n">
        <v>38</v>
      </c>
      <c r="P16" s="69" t="n">
        <v>18.7</v>
      </c>
    </row>
    <row r="17">
      <c r="F17" s="49" t="inlineStr">
        <is>
          <t>65-74</t>
        </is>
      </c>
      <c r="G17" s="69" t="n">
        <v>30</v>
      </c>
      <c r="H17" s="69" t="n">
        <v>95.09999999999999</v>
      </c>
      <c r="I17" s="69" t="n">
        <v>28</v>
      </c>
      <c r="J17" s="69" t="n">
        <v>83.7</v>
      </c>
      <c r="K17" s="69" t="n">
        <v>22</v>
      </c>
      <c r="L17" s="69" t="n">
        <v>65</v>
      </c>
      <c r="M17" s="69" t="n">
        <v>24</v>
      </c>
      <c r="N17" s="69" t="n">
        <v>68.90000000000001</v>
      </c>
      <c r="O17" s="69" t="n">
        <v>104</v>
      </c>
      <c r="P17" s="69" t="n">
        <v>78.2</v>
      </c>
    </row>
    <row r="18">
      <c r="A18" s="71" t="inlineStr">
        <is>
          <t>Source Specifications</t>
        </is>
      </c>
      <c r="F18" s="49" t="inlineStr">
        <is>
          <t>75-84</t>
        </is>
      </c>
      <c r="G18" s="69" t="n">
        <v>50</v>
      </c>
      <c r="H18" s="69" t="n">
        <v>339.1</v>
      </c>
      <c r="I18" s="69" t="n">
        <v>41</v>
      </c>
      <c r="J18" s="69" t="n">
        <v>268.7</v>
      </c>
      <c r="K18" s="69" t="n">
        <v>44</v>
      </c>
      <c r="L18" s="69" t="n">
        <v>277.7</v>
      </c>
      <c r="M18" s="69" t="n">
        <v>31</v>
      </c>
      <c r="N18" s="69" t="n">
        <v>189.1</v>
      </c>
      <c r="O18" s="69" t="n">
        <v>166</v>
      </c>
      <c r="P18" s="69" t="n">
        <v>268.6</v>
      </c>
    </row>
    <row r="19">
      <c r="A19" t="inlineStr">
        <is>
          <t>Source</t>
        </is>
      </c>
      <c r="B19" t="inlineStr">
        <is>
          <t>Source: Special request from NYSDOH Bureau of Vital Records, July 2025</t>
        </is>
      </c>
      <c r="F19" s="49" t="inlineStr">
        <is>
          <t>85+</t>
        </is>
      </c>
      <c r="G19" s="69" t="n">
        <v>60</v>
      </c>
      <c r="H19" s="69" t="n">
        <v>839.3</v>
      </c>
      <c r="I19" s="69" t="n">
        <v>34</v>
      </c>
      <c r="J19" s="69" t="n">
        <v>499</v>
      </c>
      <c r="K19" s="69" t="n">
        <v>43</v>
      </c>
      <c r="L19" s="69" t="n">
        <v>612.5</v>
      </c>
      <c r="M19" s="69" t="n">
        <v>28</v>
      </c>
      <c r="N19" s="69" t="n">
        <v>417.3</v>
      </c>
      <c r="O19" s="69" t="n">
        <v>165</v>
      </c>
      <c r="P19" s="69" t="n">
        <v>592.1</v>
      </c>
    </row>
    <row r="20">
      <c r="F20" s="78" t="inlineStr">
        <is>
          <t>Race and Ethnicity</t>
        </is>
      </c>
      <c r="G20" s="69" t="n"/>
      <c r="H20" s="69" t="n"/>
      <c r="I20" s="69" t="n"/>
      <c r="J20" s="69" t="n"/>
      <c r="K20" s="69" t="n"/>
      <c r="L20" s="69" t="n"/>
      <c r="M20" s="69" t="n"/>
      <c r="N20" s="69" t="n"/>
      <c r="O20" s="69" t="n"/>
      <c r="P20" s="69" t="n"/>
    </row>
    <row r="21">
      <c r="A21" s="69" t="inlineStr">
        <is>
          <t>Note Specfications</t>
        </is>
      </c>
      <c r="F21" s="47" t="inlineStr">
        <is>
          <t>Non-Hispanic White</t>
        </is>
      </c>
      <c r="G21" s="69" t="n">
        <v>142</v>
      </c>
      <c r="H21" s="69" t="n">
        <v>58.9</v>
      </c>
      <c r="I21" s="69" t="n">
        <v>102</v>
      </c>
      <c r="J21" s="69" t="n">
        <v>41.1</v>
      </c>
      <c r="K21" s="69" t="n">
        <v>104</v>
      </c>
      <c r="L21" s="69" t="n">
        <v>42.9</v>
      </c>
      <c r="M21" s="69" t="n">
        <v>87</v>
      </c>
      <c r="N21" s="69" t="n">
        <v>36.4</v>
      </c>
      <c r="O21" s="69" t="n">
        <v>435</v>
      </c>
      <c r="P21" s="69" t="n">
        <v>44.8</v>
      </c>
    </row>
    <row r="22">
      <c r="A22" t="inlineStr">
        <is>
          <t xml:space="preserve">Note </t>
        </is>
      </c>
      <c r="B22" t="inlineStr">
        <is>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n">
        <v>10</v>
      </c>
      <c r="L22" s="69" t="n">
        <v>23.8</v>
      </c>
      <c r="M22" s="69" t="inlineStr">
        <is>
          <t>s</t>
        </is>
      </c>
      <c r="N22" s="69" t="inlineStr">
        <is>
          <t>s</t>
        </is>
      </c>
      <c r="O22" s="69" t="n">
        <v>26</v>
      </c>
      <c r="P22" s="69" t="n">
        <v>16</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22</v>
      </c>
      <c r="P23" s="69" t="n">
        <v>6.3</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c r="G25" s="69" t="n"/>
      <c r="H25" s="69" t="n"/>
      <c r="I25" s="69" t="n"/>
      <c r="J25" s="69" t="n"/>
      <c r="K25" s="69" t="n"/>
      <c r="L25" s="69" t="n"/>
      <c r="M25" s="69" t="n"/>
      <c r="N25" s="69" t="n"/>
      <c r="O25" s="69" t="n"/>
      <c r="P25" s="69" t="n"/>
    </row>
    <row r="26">
      <c r="F26" s="47" t="n">
        <v>10940</v>
      </c>
      <c r="G26" s="69" t="n">
        <v>23</v>
      </c>
      <c r="H26" s="69" t="n">
        <v>46.5</v>
      </c>
      <c r="I26" s="69" t="n">
        <v>12</v>
      </c>
      <c r="J26" s="69" t="n">
        <v>23.6</v>
      </c>
      <c r="K26" s="69" t="n">
        <v>19</v>
      </c>
      <c r="L26" s="69" t="n">
        <v>36.6</v>
      </c>
      <c r="M26" s="69" t="n">
        <v>12</v>
      </c>
      <c r="N26" s="69" t="n">
        <v>22.6</v>
      </c>
      <c r="O26" s="69" t="n">
        <v>66</v>
      </c>
      <c r="P26" s="69" t="n">
        <v>32.3</v>
      </c>
    </row>
    <row r="27">
      <c r="A27" s="69" t="n"/>
      <c r="F27" s="47" t="n">
        <v>10950</v>
      </c>
      <c r="G27" s="69" t="n">
        <v>14</v>
      </c>
      <c r="H27" s="69" t="n">
        <v>104.6</v>
      </c>
      <c r="I27" s="69" t="inlineStr">
        <is>
          <t>s</t>
        </is>
      </c>
      <c r="J27" s="69" t="inlineStr">
        <is>
          <t>s</t>
        </is>
      </c>
      <c r="K27" s="69" t="inlineStr">
        <is>
          <t>s</t>
        </is>
      </c>
      <c r="L27" s="69" t="inlineStr">
        <is>
          <t>s</t>
        </is>
      </c>
      <c r="M27" s="69" t="inlineStr">
        <is>
          <t>s</t>
        </is>
      </c>
      <c r="N27" s="69" t="inlineStr">
        <is>
          <t>s</t>
        </is>
      </c>
      <c r="O27" s="69" t="n">
        <v>30</v>
      </c>
      <c r="P27" s="69" t="n">
        <v>53.6</v>
      </c>
    </row>
    <row r="28">
      <c r="F28" s="47" t="n">
        <v>12550</v>
      </c>
      <c r="G28" s="69" t="n">
        <v>16</v>
      </c>
      <c r="H28" s="69" t="n">
        <v>60</v>
      </c>
      <c r="I28" s="69" t="n">
        <v>20</v>
      </c>
      <c r="J28" s="69" t="n">
        <v>74.59999999999999</v>
      </c>
      <c r="K28" s="69" t="n">
        <v>14</v>
      </c>
      <c r="L28" s="69" t="n">
        <v>51.1</v>
      </c>
      <c r="M28" s="69" t="inlineStr">
        <is>
          <t>s</t>
        </is>
      </c>
      <c r="N28" s="69" t="inlineStr">
        <is>
          <t>s</t>
        </is>
      </c>
      <c r="O28" s="69" t="n">
        <v>58</v>
      </c>
      <c r="P28" s="69" t="n">
        <v>53.7</v>
      </c>
    </row>
    <row r="29">
      <c r="F29" s="47" t="n">
        <v>12771</v>
      </c>
      <c r="G29" s="69" t="inlineStr">
        <is>
          <t>s</t>
        </is>
      </c>
      <c r="H29" s="69" t="inlineStr">
        <is>
          <t>s</t>
        </is>
      </c>
      <c r="I29" s="69" t="inlineStr">
        <is>
          <t>s</t>
        </is>
      </c>
      <c r="J29" s="69" t="inlineStr">
        <is>
          <t>s</t>
        </is>
      </c>
      <c r="K29" s="69" t="n">
        <v>12</v>
      </c>
      <c r="L29" s="69" t="n">
        <v>83</v>
      </c>
      <c r="M29" s="69" t="inlineStr">
        <is>
          <t>s</t>
        </is>
      </c>
      <c r="N29" s="69" t="inlineStr">
        <is>
          <t>s</t>
        </is>
      </c>
      <c r="O29" s="69" t="n">
        <v>39</v>
      </c>
      <c r="P29" s="69" t="n">
        <v>67.2</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Q57"/>
  <sheetViews>
    <sheetView workbookViewId="0">
      <selection activeCell="F11" sqref="F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37.9</v>
      </c>
      <c r="H6" s="69" t="n">
        <v>26.5</v>
      </c>
      <c r="I6" s="69" t="n">
        <v>29</v>
      </c>
      <c r="J6" s="69" t="n">
        <v>22.9</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Q57"/>
  <sheetViews>
    <sheetView workbookViewId="0">
      <selection activeCell="O36" sqref="O3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40</v>
      </c>
      <c r="H6" s="69" t="n">
        <v>33</v>
      </c>
      <c r="I6" s="69" t="n">
        <v>29</v>
      </c>
      <c r="J6" s="69" t="n">
        <v>25.9</v>
      </c>
      <c r="K6" s="69" t="n"/>
      <c r="L6" s="69" t="n"/>
      <c r="M6" s="69" t="n"/>
      <c r="N6" s="69" t="n"/>
      <c r="O6" s="69" t="n"/>
    </row>
    <row r="7" ht="15.75" customHeight="1" s="91">
      <c r="F7" t="inlineStr">
        <is>
          <t>Females</t>
        </is>
      </c>
      <c r="G7" s="69" t="n">
        <v>37</v>
      </c>
      <c r="H7" s="69" t="n">
        <v>24.2</v>
      </c>
      <c r="I7" s="69" t="n">
        <v>29.5</v>
      </c>
      <c r="J7" s="69" t="n">
        <v>21.5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5.1</v>
      </c>
      <c r="H6" s="69" t="n">
        <v>3.4</v>
      </c>
      <c r="I6" s="69" t="n">
        <v>10.8</v>
      </c>
      <c r="J6" s="69" t="inlineStr">
        <is>
          <t>1.8*</t>
        </is>
      </c>
      <c r="K6" s="69" t="n">
        <v>5.1</v>
      </c>
      <c r="L6" s="69" t="n"/>
      <c r="M6" s="69" t="n"/>
      <c r="N6" s="69" t="n"/>
      <c r="O6" s="69" t="n"/>
    </row>
    <row r="7" ht="15.75" customHeight="1" s="91">
      <c r="F7" t="inlineStr">
        <is>
          <t>NYS excl NYC</t>
        </is>
      </c>
      <c r="G7" s="69" t="n">
        <v>4.2</v>
      </c>
      <c r="H7" s="69" t="n">
        <v>2.4</v>
      </c>
      <c r="I7" s="69" t="n">
        <v>11.9</v>
      </c>
      <c r="J7" s="69" t="n">
        <v>2.4</v>
      </c>
      <c r="K7" s="69" t="n">
        <v>5.4</v>
      </c>
      <c r="L7" s="69" t="n"/>
      <c r="M7" s="69" t="n"/>
      <c r="N7" s="69" t="n"/>
      <c r="O7" s="69" t="n"/>
    </row>
    <row r="8">
      <c r="F8" t="inlineStr">
        <is>
          <t>NYS</t>
        </is>
      </c>
      <c r="G8" s="69" t="n">
        <v>6.6</v>
      </c>
      <c r="H8" s="69" t="n">
        <v>2.3</v>
      </c>
      <c r="I8" s="69" t="n">
        <v>13.8</v>
      </c>
      <c r="J8" s="69" t="n">
        <v>2.4</v>
      </c>
      <c r="K8" s="69" t="n">
        <v>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or percentage is unstable. 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Q57"/>
  <sheetViews>
    <sheetView topLeftCell="A4" workbookViewId="0">
      <selection activeCell="S15" sqref="S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Aged 0–17 Years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9.5</v>
      </c>
      <c r="H6" s="69" t="n">
        <v>6.5</v>
      </c>
      <c r="I6" s="69" t="n">
        <v>17.9</v>
      </c>
      <c r="J6" s="69" t="inlineStr">
        <is>
          <t>s</t>
        </is>
      </c>
      <c r="K6" s="69" t="n">
        <v>8.6</v>
      </c>
      <c r="L6" s="69" t="n"/>
      <c r="M6" s="69" t="n"/>
      <c r="N6" s="69" t="n"/>
      <c r="O6" s="69" t="n"/>
    </row>
    <row r="7" ht="15.75" customHeight="1" s="91">
      <c r="F7" t="inlineStr">
        <is>
          <t>NYS excl NYC</t>
        </is>
      </c>
      <c r="G7" s="69" t="n">
        <v>8.5</v>
      </c>
      <c r="H7" s="69" t="n">
        <v>4.6</v>
      </c>
      <c r="I7" s="69" t="n">
        <v>22.2</v>
      </c>
      <c r="J7" s="69" t="n">
        <v>5.4</v>
      </c>
      <c r="K7" s="69" t="n">
        <v>9.199999999999999</v>
      </c>
      <c r="L7" s="69" t="n"/>
      <c r="M7" s="69" t="n"/>
      <c r="N7" s="69" t="n"/>
      <c r="O7" s="69" t="n"/>
    </row>
    <row r="8">
      <c r="F8" t="inlineStr">
        <is>
          <t>NYS</t>
        </is>
      </c>
      <c r="G8" s="69" t="n">
        <v>13.4</v>
      </c>
      <c r="H8" s="69" t="n">
        <v>4.5</v>
      </c>
      <c r="I8" s="69" t="n">
        <v>26.7</v>
      </c>
      <c r="J8" s="69" t="n">
        <v>5.4</v>
      </c>
      <c r="K8" s="69" t="n">
        <v>16.1</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Asthma Admissions, Crude Rate per 10,000 Children Aged 2–17 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5.6</v>
      </c>
      <c r="H6" s="69" t="n">
        <v>9.4</v>
      </c>
      <c r="I6" s="69" t="n">
        <v>9.5</v>
      </c>
      <c r="J6" s="69" t="n">
        <v>7.1</v>
      </c>
      <c r="K6" s="69" t="n"/>
      <c r="L6" s="69" t="n"/>
      <c r="M6" s="69" t="n"/>
      <c r="N6" s="69" t="n"/>
      <c r="O6" s="69" t="n"/>
    </row>
    <row r="7" ht="15.75" customHeight="1" s="91">
      <c r="F7" t="inlineStr">
        <is>
          <t>Mid-Hudson</t>
        </is>
      </c>
      <c r="G7" s="69" t="n">
        <v>5.9</v>
      </c>
      <c r="H7" s="69" t="n">
        <v>10.3</v>
      </c>
      <c r="I7" s="69" t="n">
        <v>10.2</v>
      </c>
      <c r="J7" s="69" t="n">
        <v>9.300000000000001</v>
      </c>
      <c r="K7" s="69" t="n"/>
      <c r="L7" s="69" t="n"/>
      <c r="M7" s="69" t="n"/>
      <c r="N7" s="69" t="n"/>
      <c r="O7" s="69" t="n"/>
    </row>
    <row r="8">
      <c r="F8" t="inlineStr">
        <is>
          <t>NYS excl NYC</t>
        </is>
      </c>
      <c r="G8" s="69" t="n">
        <v>6.5</v>
      </c>
      <c r="H8" s="69" t="n">
        <v>10</v>
      </c>
      <c r="I8" s="69" t="n">
        <v>10.1</v>
      </c>
      <c r="J8" s="69" t="n">
        <v>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Community Acquired Pneumonia Admissions, Age-Adjusted Rate per 10,000 Adults,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12.2</v>
      </c>
      <c r="H6" s="69" t="n">
        <v>13.9</v>
      </c>
      <c r="I6" s="69" t="n">
        <v>15.7</v>
      </c>
      <c r="J6" s="69" t="n">
        <v>17.4</v>
      </c>
      <c r="K6" s="69" t="n"/>
      <c r="L6" s="69" t="n"/>
      <c r="M6" s="69" t="n"/>
      <c r="N6" s="69" t="n"/>
      <c r="O6" s="69" t="n"/>
    </row>
    <row r="7" ht="15.75" customHeight="1" s="91">
      <c r="F7" t="inlineStr">
        <is>
          <t>Mid-Hudson</t>
        </is>
      </c>
      <c r="G7" s="69" t="n">
        <v>7.9</v>
      </c>
      <c r="H7" s="69" t="n">
        <v>8.6</v>
      </c>
      <c r="I7" s="69" t="n">
        <v>10.4</v>
      </c>
      <c r="J7" s="69" t="n">
        <v>10.6</v>
      </c>
      <c r="K7" s="69" t="n"/>
      <c r="L7" s="69" t="n"/>
      <c r="M7" s="69" t="n"/>
      <c r="N7" s="69" t="n"/>
      <c r="O7" s="69" t="n"/>
    </row>
    <row r="8">
      <c r="F8" t="inlineStr">
        <is>
          <t>NYS excl NYC</t>
        </is>
      </c>
      <c r="G8" s="69" t="n">
        <v>8.800000000000001</v>
      </c>
      <c r="H8" s="69" t="n">
        <v>9.4</v>
      </c>
      <c r="I8" s="69" t="n">
        <v>11.2</v>
      </c>
      <c r="J8" s="69" t="n">
        <v>11.3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U57"/>
  <sheetViews>
    <sheetView topLeftCell="A23"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69" min="7" max="7"/>
    <col width="8.28515625" bestFit="1" customWidth="1" style="69" min="8" max="8"/>
    <col width="8.85546875" bestFit="1" customWidth="1" style="69" min="9" max="9"/>
    <col width="9" bestFit="1" customWidth="1" style="69" min="10" max="10"/>
    <col width="8.85546875" bestFit="1" customWidth="1" style="69" min="11" max="11"/>
    <col width="8.28515625" bestFit="1" customWidth="1" style="69" min="12" max="12"/>
    <col width="12.140625" bestFit="1" customWidth="1" style="69" min="13" max="13"/>
    <col width="12.28515625" bestFit="1" customWidth="1" style="69" min="14" max="14"/>
    <col width="12.42578125" bestFit="1" customWidth="1" style="69" min="15" max="16"/>
  </cols>
  <sheetData>
    <row r="1">
      <c r="A1" s="16" t="inlineStr">
        <is>
          <t>Name</t>
        </is>
      </c>
      <c r="B1" s="66" t="inlineStr">
        <is>
          <t>Pneumonia and Influenza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76" t="inlineStr">
        <is>
          <t>integer</t>
        </is>
      </c>
      <c r="H4" s="76" t="inlineStr">
        <is>
          <t>percent1</t>
        </is>
      </c>
      <c r="I4" s="76" t="inlineStr">
        <is>
          <t>integer</t>
        </is>
      </c>
      <c r="J4" s="76" t="inlineStr">
        <is>
          <t>percent1</t>
        </is>
      </c>
      <c r="K4" s="76" t="inlineStr">
        <is>
          <t>integer</t>
        </is>
      </c>
      <c r="L4" s="76" t="inlineStr">
        <is>
          <t>percent1</t>
        </is>
      </c>
      <c r="M4" s="76" t="inlineStr">
        <is>
          <t>integer</t>
        </is>
      </c>
      <c r="N4" s="76" t="inlineStr">
        <is>
          <t>percent1</t>
        </is>
      </c>
      <c r="O4" s="76" t="inlineStr">
        <is>
          <t>integer</t>
        </is>
      </c>
      <c r="P4" s="76"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68</v>
      </c>
      <c r="H7" s="69" t="n">
        <v>17.8</v>
      </c>
      <c r="I7" s="69" t="n">
        <v>39</v>
      </c>
      <c r="J7" s="69" t="n">
        <v>9.800000000000001</v>
      </c>
      <c r="K7" s="69" t="n">
        <v>65</v>
      </c>
      <c r="L7" s="69" t="n">
        <v>16.2</v>
      </c>
      <c r="M7" s="69" t="n">
        <v>73</v>
      </c>
      <c r="N7" s="69" t="n">
        <v>18.1</v>
      </c>
      <c r="O7" s="69" t="n">
        <v>245</v>
      </c>
      <c r="P7" s="69" t="n">
        <v>15.5</v>
      </c>
    </row>
    <row r="8">
      <c r="F8" s="16" t="inlineStr">
        <is>
          <t>Age Intervals</t>
        </is>
      </c>
    </row>
    <row r="9">
      <c r="A9" s="71" t="inlineStr">
        <is>
          <t>Figure Rules</t>
        </is>
      </c>
      <c r="F9" s="49" t="inlineStr">
        <is>
          <t>&lt;1</t>
        </is>
      </c>
      <c r="G9" s="69" t="inlineStr">
        <is>
          <t>s</t>
        </is>
      </c>
      <c r="H9" s="69" t="n">
        <v>0</v>
      </c>
      <c r="I9" s="69" t="n">
        <v>0</v>
      </c>
      <c r="J9" s="69" t="n">
        <v>0</v>
      </c>
      <c r="K9" s="69" t="n">
        <v>0</v>
      </c>
      <c r="L9" s="69" t="n">
        <v>0</v>
      </c>
      <c r="M9" s="69" t="n">
        <v>0</v>
      </c>
      <c r="N9" s="69" t="n">
        <v>0</v>
      </c>
      <c r="O9" s="69" t="n">
        <v>0</v>
      </c>
      <c r="P9" s="69" t="n">
        <v>0</v>
      </c>
      <c r="U9" s="45" t="n"/>
    </row>
    <row r="10">
      <c r="A10" t="inlineStr">
        <is>
          <t>Figure Type</t>
        </is>
      </c>
      <c r="F10" s="49"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c r="U10" s="45" t="n"/>
    </row>
    <row r="11">
      <c r="A11" t="inlineStr">
        <is>
          <t>X Column</t>
        </is>
      </c>
      <c r="F11" s="49"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s="69" t="n">
        <v>0</v>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n">
        <v>0</v>
      </c>
      <c r="H14" s="69" t="n">
        <v>0</v>
      </c>
      <c r="I14" s="69" t="inlineStr">
        <is>
          <t>s</t>
        </is>
      </c>
      <c r="J14" s="69" t="inlineStr">
        <is>
          <t>s</t>
        </is>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n">
        <v>0</v>
      </c>
      <c r="J15" s="69" t="n">
        <v>0</v>
      </c>
      <c r="K15" s="69" t="inlineStr">
        <is>
          <t>s</t>
        </is>
      </c>
      <c r="L15" s="69" t="inlineStr">
        <is>
          <t>s</t>
        </is>
      </c>
      <c r="M15" s="69" t="inlineStr">
        <is>
          <t>s</t>
        </is>
      </c>
      <c r="N15" s="69" t="inlineStr">
        <is>
          <t>s</t>
        </is>
      </c>
      <c r="O15" s="69" t="inlineStr">
        <is>
          <t>s</t>
        </is>
      </c>
      <c r="P15" s="69" t="inlineStr">
        <is>
          <t>s</t>
        </is>
      </c>
    </row>
    <row r="16">
      <c r="A16" t="inlineStr">
        <is>
          <t>Pivot For Chart</t>
        </is>
      </c>
      <c r="F16" s="49" t="inlineStr">
        <is>
          <t>55-64</t>
        </is>
      </c>
      <c r="G16" s="69" t="inlineStr">
        <is>
          <t>s</t>
        </is>
      </c>
      <c r="H16" s="69" t="inlineStr">
        <is>
          <t>s</t>
        </is>
      </c>
      <c r="I16" s="69" t="inlineStr">
        <is>
          <t>s</t>
        </is>
      </c>
      <c r="J16" s="69" t="inlineStr">
        <is>
          <t>s</t>
        </is>
      </c>
      <c r="K16" s="69" t="inlineStr">
        <is>
          <t>s</t>
        </is>
      </c>
      <c r="L16" s="69" t="inlineStr">
        <is>
          <t>s</t>
        </is>
      </c>
      <c r="M16" s="69" t="inlineStr">
        <is>
          <t>s</t>
        </is>
      </c>
      <c r="N16" s="69" t="inlineStr">
        <is>
          <t>s</t>
        </is>
      </c>
      <c r="O16" s="69" t="n">
        <v>21</v>
      </c>
      <c r="P16" s="69" t="n">
        <v>10.3</v>
      </c>
    </row>
    <row r="17">
      <c r="F17" s="49" t="inlineStr">
        <is>
          <t>65-74</t>
        </is>
      </c>
      <c r="G17" s="69" t="n">
        <v>14</v>
      </c>
      <c r="H17" s="69" t="n">
        <v>44.4</v>
      </c>
      <c r="I17" s="69" t="inlineStr">
        <is>
          <t>s</t>
        </is>
      </c>
      <c r="J17" s="69" t="inlineStr">
        <is>
          <t>s</t>
        </is>
      </c>
      <c r="K17" s="69" t="n">
        <v>16</v>
      </c>
      <c r="L17" s="69" t="n">
        <v>47.3</v>
      </c>
      <c r="M17" s="69" t="inlineStr">
        <is>
          <t>s</t>
        </is>
      </c>
      <c r="N17" s="69" t="inlineStr">
        <is>
          <t>s</t>
        </is>
      </c>
      <c r="O17" s="69" t="n">
        <v>44</v>
      </c>
      <c r="P17" s="69" t="n">
        <v>33.1</v>
      </c>
    </row>
    <row r="18">
      <c r="A18" s="71" t="inlineStr">
        <is>
          <t>Source Specifications</t>
        </is>
      </c>
      <c r="F18" s="49" t="inlineStr">
        <is>
          <t>75-84</t>
        </is>
      </c>
      <c r="G18" s="69" t="n">
        <v>23</v>
      </c>
      <c r="H18" s="69" t="n">
        <v>156</v>
      </c>
      <c r="I18" s="69" t="n">
        <v>13</v>
      </c>
      <c r="J18" s="69" t="n">
        <v>85.2</v>
      </c>
      <c r="K18" s="69" t="n">
        <v>21</v>
      </c>
      <c r="L18" s="69" t="n">
        <v>132.5</v>
      </c>
      <c r="M18" s="69" t="n">
        <v>26</v>
      </c>
      <c r="N18" s="69" t="n">
        <v>158.6</v>
      </c>
      <c r="O18" s="69" t="n">
        <v>83</v>
      </c>
      <c r="P18" s="69" t="n">
        <v>133.1</v>
      </c>
    </row>
    <row r="19">
      <c r="A19" t="inlineStr">
        <is>
          <t>Source</t>
        </is>
      </c>
      <c r="B19" t="inlineStr">
        <is>
          <t>Source: Special request from NYSDOH Bureau of Vital Records, July 2025</t>
        </is>
      </c>
      <c r="F19" s="49" t="inlineStr">
        <is>
          <t>85+</t>
        </is>
      </c>
      <c r="G19" s="69" t="n">
        <v>23</v>
      </c>
      <c r="H19" s="69" t="n">
        <v>321.7</v>
      </c>
      <c r="I19" s="69" t="n">
        <v>13</v>
      </c>
      <c r="J19" s="69" t="n">
        <v>190.8</v>
      </c>
      <c r="K19" s="69" t="n">
        <v>18</v>
      </c>
      <c r="L19" s="69" t="n">
        <v>256.4</v>
      </c>
      <c r="M19" s="69" t="n">
        <v>29</v>
      </c>
      <c r="N19" s="69" t="n">
        <v>432.3</v>
      </c>
      <c r="O19" s="69" t="n">
        <v>83</v>
      </c>
      <c r="P19" s="69" t="n">
        <v>300.3</v>
      </c>
    </row>
    <row r="20">
      <c r="F20" s="78" t="inlineStr">
        <is>
          <t>Race and Ethnicity</t>
        </is>
      </c>
    </row>
    <row r="21">
      <c r="A21" s="69" t="inlineStr">
        <is>
          <t>Note Specfications</t>
        </is>
      </c>
      <c r="F21" s="47" t="inlineStr">
        <is>
          <t>Non-Hispanic White</t>
        </is>
      </c>
      <c r="G21" s="69" t="n">
        <v>56</v>
      </c>
      <c r="H21" s="69" t="n">
        <v>23.2</v>
      </c>
      <c r="I21" s="69" t="n">
        <v>31</v>
      </c>
      <c r="J21" s="69" t="n">
        <v>12.5</v>
      </c>
      <c r="K21" s="69" t="n">
        <v>50</v>
      </c>
      <c r="L21" s="69" t="n">
        <v>20.6</v>
      </c>
      <c r="M21" s="69" t="n">
        <v>59</v>
      </c>
      <c r="N21" s="69" t="n">
        <v>24.7</v>
      </c>
      <c r="O21" s="69" t="n">
        <v>196</v>
      </c>
      <c r="P21" s="69" t="n">
        <v>20.2</v>
      </c>
    </row>
    <row r="22">
      <c r="A22" t="inlineStr">
        <is>
          <t xml:space="preserve">Note </t>
        </is>
      </c>
      <c r="B22" t="inlineStr">
        <is>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inlineStr">
        <is>
          <t>s</t>
        </is>
      </c>
      <c r="L22" s="69" t="inlineStr">
        <is>
          <t>s</t>
        </is>
      </c>
      <c r="M22" s="69" t="inlineStr">
        <is>
          <t>s</t>
        </is>
      </c>
      <c r="N22" s="69" t="inlineStr">
        <is>
          <t>s</t>
        </is>
      </c>
      <c r="O22" s="69" t="n">
        <v>18</v>
      </c>
      <c r="P22" s="69" t="n">
        <v>11</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26</v>
      </c>
      <c r="P23" s="69" t="n">
        <v>7.5</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row>
    <row r="26">
      <c r="F26" s="47" t="n">
        <v>10940</v>
      </c>
      <c r="G26" s="69" t="inlineStr">
        <is>
          <t>s</t>
        </is>
      </c>
      <c r="H26" s="69" t="inlineStr">
        <is>
          <t>s</t>
        </is>
      </c>
      <c r="I26" s="69" t="inlineStr">
        <is>
          <t>s</t>
        </is>
      </c>
      <c r="J26" s="69" t="inlineStr">
        <is>
          <t>s</t>
        </is>
      </c>
      <c r="K26" s="69" t="inlineStr">
        <is>
          <t>s</t>
        </is>
      </c>
      <c r="L26" s="69" t="inlineStr">
        <is>
          <t>s</t>
        </is>
      </c>
      <c r="M26" s="69" t="n">
        <v>11</v>
      </c>
      <c r="N26" s="69" t="n">
        <v>20.7</v>
      </c>
      <c r="O26" s="69" t="n">
        <v>38</v>
      </c>
      <c r="P26" s="69" t="n">
        <v>18.5</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n">
        <v>17</v>
      </c>
      <c r="P27" s="69" t="n">
        <v>29.8</v>
      </c>
    </row>
    <row r="28">
      <c r="F28" s="47" t="n">
        <v>12550</v>
      </c>
      <c r="G28" s="69" t="inlineStr">
        <is>
          <t>s</t>
        </is>
      </c>
      <c r="H28" s="69" t="inlineStr">
        <is>
          <t>s</t>
        </is>
      </c>
      <c r="I28" s="69" t="inlineStr">
        <is>
          <t>s</t>
        </is>
      </c>
      <c r="J28" s="69" t="inlineStr">
        <is>
          <t>s</t>
        </is>
      </c>
      <c r="K28" s="69" t="n">
        <v>14</v>
      </c>
      <c r="L28" s="69" t="n">
        <v>51.1</v>
      </c>
      <c r="M28" s="69" t="inlineStr">
        <is>
          <t>s</t>
        </is>
      </c>
      <c r="N28" s="69" t="inlineStr">
        <is>
          <t>s</t>
        </is>
      </c>
      <c r="O28" s="69" t="n">
        <v>35</v>
      </c>
      <c r="P28" s="69" t="n">
        <v>32.2</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14</v>
      </c>
      <c r="P29" s="69" t="n">
        <v>24.3</v>
      </c>
    </row>
    <row r="30">
      <c r="F30" s="69" t="n"/>
    </row>
    <row r="31">
      <c r="F31" s="69" t="n"/>
    </row>
    <row r="32"/>
    <row r="33">
      <c r="F33" s="69" t="n"/>
    </row>
    <row r="34">
      <c r="F34" s="69" t="n"/>
      <c r="I34" s="68" t="n"/>
    </row>
    <row r="35">
      <c r="F35" s="69" t="n"/>
      <c r="I35" s="68" t="n"/>
    </row>
    <row r="36">
      <c r="F36" s="69" t="n"/>
      <c r="I36" s="68" t="n"/>
    </row>
    <row r="37">
      <c r="F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16.8</v>
      </c>
      <c r="H6" s="69" t="n">
        <v>9.300000000000001</v>
      </c>
      <c r="I6" s="69" t="n">
        <v>15</v>
      </c>
      <c r="J6" s="69" t="n">
        <v>17.4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57"/>
  <sheetViews>
    <sheetView workbookViewId="0">
      <selection activeCell="J27" sqref="J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23.3</v>
      </c>
      <c r="H6" s="69" t="n">
        <v>9.4</v>
      </c>
      <c r="I6" s="69" t="n">
        <v>23.9</v>
      </c>
      <c r="J6" s="69" t="n">
        <v>21.7</v>
      </c>
      <c r="K6" s="69" t="n"/>
      <c r="L6" s="69" t="n"/>
      <c r="M6" s="69" t="n"/>
      <c r="N6" s="69" t="n"/>
      <c r="O6" s="69" t="n"/>
    </row>
    <row r="7" ht="15.75" customHeight="1" s="91">
      <c r="F7" t="inlineStr">
        <is>
          <t>Females</t>
        </is>
      </c>
      <c r="G7" s="69" t="n">
        <v>12.3</v>
      </c>
      <c r="H7" s="69" t="n">
        <v>8.800000000000001</v>
      </c>
      <c r="I7" s="69" t="n">
        <v>9.6</v>
      </c>
      <c r="J7" s="69" t="n">
        <v>14.1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Q57"/>
  <sheetViews>
    <sheetView workbookViewId="0">
      <selection activeCell="J30" sqref="J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Any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195.4</v>
      </c>
      <c r="H6" s="69" t="n">
        <v>176.6</v>
      </c>
      <c r="I6" s="69" t="n">
        <v>196.6</v>
      </c>
      <c r="J6" s="69" t="n"/>
      <c r="K6" s="69" t="n"/>
      <c r="L6" s="69" t="n"/>
      <c r="M6" s="69" t="n"/>
      <c r="N6" s="69" t="n"/>
      <c r="O6" s="69" t="n"/>
    </row>
    <row r="7" ht="15.75" customHeight="1" s="91">
      <c r="F7" t="inlineStr">
        <is>
          <t>Non-Hispanic White</t>
        </is>
      </c>
      <c r="G7" s="69" t="n">
        <v>157.2</v>
      </c>
      <c r="H7" s="69" t="n">
        <v>145.5</v>
      </c>
      <c r="I7" s="69" t="n">
        <v>136.3</v>
      </c>
      <c r="J7" s="69" t="n"/>
      <c r="K7" s="69" t="n"/>
      <c r="L7" s="69" t="n"/>
      <c r="M7" s="69" t="n"/>
      <c r="N7" s="69" t="n"/>
      <c r="O7" s="69" t="n"/>
    </row>
    <row r="8">
      <c r="F8" t="inlineStr">
        <is>
          <t>Non-Hispanic Black</t>
        </is>
      </c>
      <c r="G8" s="69" t="n">
        <v>298.3</v>
      </c>
      <c r="H8" s="69" t="n">
        <v>334.5</v>
      </c>
      <c r="I8" s="69" t="n">
        <v>295.3</v>
      </c>
      <c r="J8" s="69" t="n"/>
      <c r="K8" s="69" t="n"/>
      <c r="L8" s="69" t="n"/>
      <c r="M8" s="69" t="n"/>
      <c r="N8" s="69" t="n"/>
      <c r="O8" s="69" t="n"/>
    </row>
    <row r="9">
      <c r="A9" s="71" t="inlineStr">
        <is>
          <t>Figure Rules</t>
        </is>
      </c>
      <c r="F9" t="inlineStr">
        <is>
          <t>Non-Hispanic Asian/Pacific Islander</t>
        </is>
      </c>
      <c r="G9" s="69" t="n">
        <v>91.09999999999999</v>
      </c>
      <c r="H9" s="69" t="n">
        <v>112</v>
      </c>
      <c r="I9" s="69" t="n">
        <v>110.2</v>
      </c>
      <c r="J9" s="69" t="n"/>
      <c r="K9" s="69" t="n"/>
      <c r="L9" s="69" t="n"/>
      <c r="M9" s="69" t="n"/>
      <c r="N9" s="69" t="n"/>
      <c r="O9" s="69" t="n"/>
    </row>
    <row r="10">
      <c r="A10" t="inlineStr">
        <is>
          <t>Figure Type</t>
        </is>
      </c>
      <c r="B10" t="inlineStr">
        <is>
          <t>Clustered Bar</t>
        </is>
      </c>
      <c r="F10" t="inlineStr">
        <is>
          <t>Hispanic</t>
        </is>
      </c>
      <c r="G10" s="69" t="n">
        <v>185.6</v>
      </c>
      <c r="H10" t="n">
        <v>183.9</v>
      </c>
      <c r="I10" t="n">
        <v>233.8</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diabetes as any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Primary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16.1</v>
      </c>
      <c r="H6" s="69" t="n">
        <v>15.7</v>
      </c>
      <c r="I6" s="69" t="n">
        <v>17.6</v>
      </c>
      <c r="J6" s="69" t="n"/>
      <c r="K6" s="69" t="n"/>
      <c r="L6" s="69" t="n"/>
      <c r="M6" s="69" t="n"/>
      <c r="N6" s="69" t="n"/>
      <c r="O6" s="69" t="n"/>
    </row>
    <row r="7" ht="15.75" customHeight="1" s="91">
      <c r="F7" t="inlineStr">
        <is>
          <t>Non-Hispanic White</t>
        </is>
      </c>
      <c r="G7" s="69" t="n">
        <v>12.7</v>
      </c>
      <c r="H7" s="69" t="n">
        <v>12.3</v>
      </c>
      <c r="I7" s="69" t="n">
        <v>11.1</v>
      </c>
      <c r="J7" s="69" t="n"/>
      <c r="K7" s="69" t="n"/>
      <c r="L7" s="69" t="n"/>
      <c r="M7" s="69" t="n"/>
      <c r="N7" s="69" t="n"/>
      <c r="O7" s="69" t="n"/>
    </row>
    <row r="8">
      <c r="F8" t="inlineStr">
        <is>
          <t>Non-Hispanic Black</t>
        </is>
      </c>
      <c r="G8" s="69" t="n">
        <v>27.1</v>
      </c>
      <c r="H8" s="69" t="n">
        <v>38.4</v>
      </c>
      <c r="I8" s="69" t="n">
        <v>33.4</v>
      </c>
      <c r="J8" s="69" t="n"/>
      <c r="K8" s="69" t="n"/>
      <c r="L8" s="69" t="n"/>
      <c r="M8" s="69" t="n"/>
      <c r="N8" s="69" t="n"/>
      <c r="O8" s="69" t="n"/>
    </row>
    <row r="9">
      <c r="A9" s="71" t="inlineStr">
        <is>
          <t>Figure Rules</t>
        </is>
      </c>
      <c r="F9" t="inlineStr">
        <is>
          <t>Non-Hispanic Asian/Pacific Islander</t>
        </is>
      </c>
      <c r="G9" s="69" t="n">
        <v>6.5</v>
      </c>
      <c r="H9" s="69" t="n">
        <v>5</v>
      </c>
      <c r="I9" s="69" t="n">
        <v>5</v>
      </c>
      <c r="J9" s="69" t="n"/>
      <c r="K9" s="69" t="n"/>
      <c r="L9" s="69" t="n"/>
      <c r="M9" s="69" t="n"/>
      <c r="N9" s="69" t="n"/>
      <c r="O9" s="69" t="n"/>
    </row>
    <row r="10">
      <c r="A10" t="inlineStr">
        <is>
          <t>Figure Type</t>
        </is>
      </c>
      <c r="B10" t="inlineStr">
        <is>
          <t>Clustered Bar</t>
        </is>
      </c>
      <c r="F10" t="inlineStr">
        <is>
          <t>Hispanic</t>
        </is>
      </c>
      <c r="G10" s="69" t="n">
        <v>14.6</v>
      </c>
      <c r="H10" t="n">
        <v>16.4</v>
      </c>
      <c r="I10" t="n">
        <v>21.7</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hospitalizations with diabetes as the primary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Q57"/>
  <sheetViews>
    <sheetView topLeftCell="A21" workbookViewId="0">
      <selection activeCell="F5" sqref="F5:Q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87</v>
      </c>
      <c r="H7" s="69" t="n">
        <v>22.8</v>
      </c>
      <c r="I7" s="69" t="n">
        <v>70</v>
      </c>
      <c r="J7" s="69" t="n">
        <v>17.6</v>
      </c>
      <c r="K7" s="69" t="n">
        <v>75</v>
      </c>
      <c r="L7" s="69" t="n">
        <v>18.7</v>
      </c>
      <c r="M7" s="69" t="n">
        <v>69</v>
      </c>
      <c r="N7" s="69" t="n">
        <v>17.1</v>
      </c>
      <c r="O7" s="69" t="n">
        <v>301</v>
      </c>
      <c r="P7" s="69" t="n">
        <v>19</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F11" s="49" t="inlineStr">
        <is>
          <t>10-19</t>
        </is>
      </c>
      <c r="G11" s="69" t="n">
        <v>0</v>
      </c>
      <c r="H11" s="69" t="n">
        <v>0</v>
      </c>
      <c r="I11" s="68" t="n">
        <v>0</v>
      </c>
      <c r="J11" s="68" t="n">
        <v>0</v>
      </c>
      <c r="K11" s="68" t="n">
        <v>0</v>
      </c>
      <c r="L11" s="68" t="n">
        <v>0</v>
      </c>
      <c r="M11" s="68" t="n">
        <v>0</v>
      </c>
      <c r="N11" s="69" t="n">
        <v>0</v>
      </c>
      <c r="O11" s="69" t="n">
        <v>0</v>
      </c>
      <c r="P11" t="n">
        <v>0</v>
      </c>
    </row>
    <row r="12">
      <c r="A12" t="inlineStr">
        <is>
          <t>Y Column</t>
        </is>
      </c>
      <c r="F12" s="55" t="inlineStr">
        <is>
          <t>20-24</t>
        </is>
      </c>
      <c r="G12" s="68"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15</v>
      </c>
      <c r="P15" t="n">
        <v>7.1</v>
      </c>
    </row>
    <row r="16">
      <c r="A16" t="inlineStr">
        <is>
          <t>Pivot For Chart</t>
        </is>
      </c>
      <c r="F16" s="49" t="inlineStr">
        <is>
          <t>55-64</t>
        </is>
      </c>
      <c r="G16" s="69" t="n">
        <v>15</v>
      </c>
      <c r="H16" s="69" t="n">
        <v>30.8</v>
      </c>
      <c r="I16" s="69" t="n">
        <v>14</v>
      </c>
      <c r="J16" s="69" t="n">
        <v>27.2</v>
      </c>
      <c r="K16" s="69" t="n">
        <v>12</v>
      </c>
      <c r="L16" s="69" t="n">
        <v>23.4</v>
      </c>
      <c r="M16" s="69" t="n">
        <v>8</v>
      </c>
      <c r="N16" s="69" t="n">
        <v>15.5</v>
      </c>
      <c r="O16" s="69" t="n">
        <v>49</v>
      </c>
      <c r="P16" t="n">
        <v>24.3</v>
      </c>
    </row>
    <row r="17">
      <c r="F17" s="49" t="inlineStr">
        <is>
          <t>65-74</t>
        </is>
      </c>
      <c r="G17" s="69" t="n">
        <v>26</v>
      </c>
      <c r="H17" s="69" t="n">
        <v>82.5</v>
      </c>
      <c r="I17" s="69" t="n">
        <v>13</v>
      </c>
      <c r="J17" s="69" t="n">
        <v>38.8</v>
      </c>
      <c r="K17" s="69" t="n">
        <v>22</v>
      </c>
      <c r="L17" s="69" t="n">
        <v>65</v>
      </c>
      <c r="M17" s="69" t="n">
        <v>22</v>
      </c>
      <c r="N17" s="69" t="n">
        <v>63.1</v>
      </c>
      <c r="O17" s="69" t="n">
        <v>83</v>
      </c>
      <c r="P17" t="n">
        <v>62.4</v>
      </c>
    </row>
    <row r="18">
      <c r="A18" s="71" t="inlineStr">
        <is>
          <t>Source Specifications</t>
        </is>
      </c>
      <c r="F18" s="49" t="inlineStr">
        <is>
          <t>75-84</t>
        </is>
      </c>
      <c r="G18" s="69" t="n">
        <v>18</v>
      </c>
      <c r="H18" s="69" t="n">
        <v>122.1</v>
      </c>
      <c r="I18" s="69" t="n">
        <v>20</v>
      </c>
      <c r="J18" s="69" t="n">
        <v>131.1</v>
      </c>
      <c r="K18" s="69" t="n">
        <v>18</v>
      </c>
      <c r="L18" s="69" t="n">
        <v>113.6</v>
      </c>
      <c r="M18" s="69" t="n">
        <v>14</v>
      </c>
      <c r="N18" s="69" t="n">
        <v>85.40000000000001</v>
      </c>
      <c r="O18" s="69" t="n">
        <v>70</v>
      </c>
      <c r="P18" t="n">
        <v>113</v>
      </c>
    </row>
    <row r="19">
      <c r="A19" t="inlineStr">
        <is>
          <t>Source</t>
        </is>
      </c>
      <c r="F19" s="49" t="inlineStr">
        <is>
          <t>85+</t>
        </is>
      </c>
      <c r="G19" s="69" t="n">
        <v>25</v>
      </c>
      <c r="H19" s="69" t="n">
        <v>349.7</v>
      </c>
      <c r="I19" s="69" t="n">
        <v>14</v>
      </c>
      <c r="J19" s="69" t="n">
        <v>205.5</v>
      </c>
      <c r="K19" s="69" t="n">
        <v>15</v>
      </c>
      <c r="L19" s="69" t="n">
        <v>213.7</v>
      </c>
      <c r="M19" s="69" t="n">
        <v>18</v>
      </c>
      <c r="N19" s="69" t="n">
        <v>268.3</v>
      </c>
      <c r="O19" s="69" t="n">
        <v>72</v>
      </c>
      <c r="P19" t="n">
        <v>259.3</v>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t>
        </is>
      </c>
    </row>
    <row r="26">
      <c r="F26" s="47" t="n">
        <v>10940</v>
      </c>
      <c r="G26" s="69" t="n">
        <v>15</v>
      </c>
      <c r="H26" s="69" t="n">
        <v>30.3</v>
      </c>
      <c r="I26" s="69" t="n">
        <v>21</v>
      </c>
      <c r="J26" s="69" t="n">
        <v>41.2</v>
      </c>
      <c r="K26" s="69" t="n">
        <v>20</v>
      </c>
      <c r="L26" s="69" t="n">
        <v>38.6</v>
      </c>
      <c r="M26" s="69" t="inlineStr">
        <is>
          <t>s</t>
        </is>
      </c>
      <c r="N26" s="69" t="inlineStr">
        <is>
          <t>s</t>
        </is>
      </c>
      <c r="O26" s="69" t="n">
        <v>65</v>
      </c>
      <c r="P26" t="n">
        <v>31.8</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n">
        <v>13</v>
      </c>
      <c r="L28" s="69" t="n">
        <v>47.4</v>
      </c>
      <c r="M28" s="69" t="inlineStr">
        <is>
          <t>s</t>
        </is>
      </c>
      <c r="N28" s="69" t="inlineStr">
        <is>
          <t>s</t>
        </is>
      </c>
      <c r="O28" s="69" t="n">
        <v>38</v>
      </c>
      <c r="P28" t="n">
        <v>35</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19</v>
      </c>
      <c r="P29" t="n">
        <v>32.9</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E5:E57"/>
    <mergeCell ref="O5:P5"/>
    <mergeCell ref="A5:B5"/>
    <mergeCell ref="G5:H5"/>
    <mergeCell ref="K5:L5"/>
    <mergeCell ref="I5:J5"/>
    <mergeCell ref="F20:P20"/>
    <mergeCell ref="M5:N5"/>
    <mergeCell ref="F8:Q8"/>
    <mergeCell ref="F25:P25"/>
    <mergeCell ref="A9:B9"/>
    <mergeCell ref="A27:B27"/>
    <mergeCell ref="A18:B1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Q57"/>
  <sheetViews>
    <sheetView workbookViewId="0">
      <selection activeCell="N11" sqref="N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19.9</v>
      </c>
      <c r="H6" s="69" t="n">
        <v>16.5</v>
      </c>
      <c r="I6" s="69" t="n">
        <v>17</v>
      </c>
      <c r="J6" s="69" t="n">
        <v>15.5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24.8</v>
      </c>
      <c r="H6" s="69" t="n">
        <v>20.5</v>
      </c>
      <c r="I6" s="69" t="n">
        <v>22.9</v>
      </c>
      <c r="J6" s="69" t="n">
        <v>13.9</v>
      </c>
      <c r="K6" s="69" t="n"/>
      <c r="L6" s="69" t="n"/>
      <c r="M6" s="69" t="n"/>
      <c r="N6" s="69" t="n"/>
      <c r="O6" s="69" t="n"/>
    </row>
    <row r="7" ht="15.75" customHeight="1" s="91">
      <c r="F7" t="inlineStr">
        <is>
          <t>Females</t>
        </is>
      </c>
      <c r="G7" s="69" t="n">
        <v>16</v>
      </c>
      <c r="H7" s="69" t="n">
        <v>13.5</v>
      </c>
      <c r="I7" s="69" t="n">
        <v>12.2</v>
      </c>
      <c r="J7" s="69" t="n">
        <v>17.2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Overweight or Obese, 2013–2014, 2016, 2018,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63.7</v>
      </c>
      <c r="H6" s="69" t="n">
        <v>67.59999999999999</v>
      </c>
      <c r="I6" s="69" t="n">
        <v>59</v>
      </c>
      <c r="J6" s="69" t="n">
        <v>64.2</v>
      </c>
      <c r="K6" s="69" t="n">
        <v>63</v>
      </c>
      <c r="L6" s="69" t="n">
        <v>59.9</v>
      </c>
      <c r="M6" s="69" t="n">
        <v>58.2</v>
      </c>
      <c r="N6" s="69" t="n">
        <v>62.3</v>
      </c>
      <c r="O6" s="69" t="n">
        <v>62.3</v>
      </c>
    </row>
    <row r="7" ht="15.75" customHeight="1" s="91">
      <c r="F7" t="n">
        <v>2016</v>
      </c>
      <c r="G7" s="69" t="n">
        <v>61.2</v>
      </c>
      <c r="H7" s="69" t="n">
        <v>69.59999999999999</v>
      </c>
      <c r="I7" s="69" t="n">
        <v>52.5</v>
      </c>
      <c r="J7" s="69" t="n">
        <v>55.6</v>
      </c>
      <c r="K7" s="69" t="n">
        <v>64.59999999999999</v>
      </c>
      <c r="L7" s="69" t="n">
        <v>64.40000000000001</v>
      </c>
      <c r="M7" s="69" t="n">
        <v>56.2</v>
      </c>
      <c r="N7" s="69" t="n">
        <v>63.6</v>
      </c>
      <c r="O7" s="69" t="n">
        <v>63.6</v>
      </c>
    </row>
    <row r="8">
      <c r="F8" t="n">
        <v>2018</v>
      </c>
      <c r="G8" s="69" t="n">
        <v>61.6</v>
      </c>
      <c r="H8" s="69" t="n">
        <v>64.7</v>
      </c>
      <c r="I8" s="69" t="n">
        <v>63.7</v>
      </c>
      <c r="J8" s="69" t="n">
        <v>59.4</v>
      </c>
      <c r="K8" s="69" t="n">
        <v>69.90000000000001</v>
      </c>
      <c r="L8" s="69" t="n">
        <v>63.2</v>
      </c>
      <c r="M8" s="69" t="n">
        <v>59.7</v>
      </c>
      <c r="N8" s="69" t="n">
        <v>64.40000000000001</v>
      </c>
      <c r="O8" s="69" t="n">
        <v>64.40000000000001</v>
      </c>
    </row>
    <row r="9">
      <c r="A9" s="71" t="inlineStr">
        <is>
          <t>Figure Rules</t>
        </is>
      </c>
      <c r="F9" t="n">
        <v>2021</v>
      </c>
      <c r="G9" s="69" t="n">
        <v>67.09999999999999</v>
      </c>
      <c r="H9" s="69" t="n">
        <v>75.09999999999999</v>
      </c>
      <c r="I9" s="69" t="n">
        <v>65.09999999999999</v>
      </c>
      <c r="J9" s="69" t="n">
        <v>62.5</v>
      </c>
      <c r="K9" s="69" t="n">
        <v>64.90000000000001</v>
      </c>
      <c r="L9" s="69" t="n">
        <v>62.5</v>
      </c>
      <c r="M9" s="69" t="n">
        <v>59.4</v>
      </c>
      <c r="N9" s="69" t="n">
        <v>66.7</v>
      </c>
      <c r="O9" s="69" t="n">
        <v>66.7</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Obese,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25.5</v>
      </c>
      <c r="H6" s="69" t="n">
        <v>32.5</v>
      </c>
      <c r="I6" s="69" t="n">
        <v>20.5</v>
      </c>
      <c r="J6" s="69" t="n">
        <v>23.1</v>
      </c>
      <c r="K6" s="69" t="n">
        <v>27.7</v>
      </c>
      <c r="L6" s="69" t="n">
        <v>26.4</v>
      </c>
      <c r="M6" s="69" t="n">
        <v>21</v>
      </c>
      <c r="N6" s="69" t="inlineStr">
        <is>
          <t>N/A</t>
        </is>
      </c>
      <c r="O6" s="69" t="n">
        <v>27.4</v>
      </c>
    </row>
    <row r="7" ht="15.75" customHeight="1" s="91">
      <c r="F7" t="n">
        <v>2016</v>
      </c>
      <c r="G7" s="69" t="n">
        <v>27</v>
      </c>
      <c r="H7" s="69" t="n">
        <v>29.7</v>
      </c>
      <c r="I7" s="69" t="n">
        <v>19.2</v>
      </c>
      <c r="J7" s="69" t="n">
        <v>20.7</v>
      </c>
      <c r="K7" s="69" t="n">
        <v>32.9</v>
      </c>
      <c r="L7" s="69" t="n">
        <v>31.8</v>
      </c>
      <c r="M7" s="69" t="n">
        <v>17.7</v>
      </c>
      <c r="N7" s="69" t="n">
        <v>23.1</v>
      </c>
      <c r="O7" s="69" t="n">
        <v>27.5</v>
      </c>
    </row>
    <row r="8">
      <c r="F8" t="n">
        <v>2018</v>
      </c>
      <c r="G8" s="69" t="n">
        <v>27.4</v>
      </c>
      <c r="H8" s="69" t="n">
        <v>24.3</v>
      </c>
      <c r="I8" s="69" t="n">
        <v>27.8</v>
      </c>
      <c r="J8" s="69" t="n">
        <v>27</v>
      </c>
      <c r="K8" s="69" t="n">
        <v>38.9</v>
      </c>
      <c r="L8" s="69" t="n">
        <v>28</v>
      </c>
      <c r="M8" s="69" t="n">
        <v>24.1</v>
      </c>
      <c r="N8" s="69" t="n">
        <v>25.3</v>
      </c>
      <c r="O8" s="69" t="n">
        <v>29.7</v>
      </c>
    </row>
    <row r="9">
      <c r="A9" s="71" t="inlineStr">
        <is>
          <t>Figure Rules</t>
        </is>
      </c>
      <c r="F9" t="n">
        <v>2021</v>
      </c>
      <c r="G9" s="69" t="n">
        <v>31.4</v>
      </c>
      <c r="H9" s="69" t="n">
        <v>38.5</v>
      </c>
      <c r="I9" s="69" t="n">
        <v>31.6</v>
      </c>
      <c r="J9" s="69" t="n">
        <v>23.1</v>
      </c>
      <c r="K9" s="69" t="n">
        <v>33.3</v>
      </c>
      <c r="L9" s="69" t="n">
        <v>32.3</v>
      </c>
      <c r="M9" s="69" t="n">
        <v>26.5</v>
      </c>
      <c r="N9" s="69" t="n">
        <v>29.8</v>
      </c>
      <c r="O9" s="69" t="n">
        <v>32.1</v>
      </c>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Q57"/>
  <sheetViews>
    <sheetView topLeftCell="A4"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Case Counts and Rates per 100,000 Population by Age, and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27</v>
      </c>
      <c r="H7" s="69" t="n">
        <v>7.1</v>
      </c>
      <c r="I7" s="69" t="n">
        <v>36</v>
      </c>
      <c r="J7" s="69" t="n">
        <v>9</v>
      </c>
      <c r="K7" s="69" t="n">
        <v>33</v>
      </c>
      <c r="L7" s="69" t="n">
        <v>8.199999999999999</v>
      </c>
      <c r="M7" s="69" t="n">
        <v>27</v>
      </c>
      <c r="N7" s="69" t="n">
        <v>6.7</v>
      </c>
      <c r="O7" s="69" t="n">
        <v>123</v>
      </c>
      <c r="P7" t="n">
        <v>7.8</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B11" t="inlineStr">
        <is>
          <t>County</t>
        </is>
      </c>
      <c r="F11" s="49" t="inlineStr">
        <is>
          <t>10–19</t>
        </is>
      </c>
      <c r="G11" s="69" t="n">
        <v>0</v>
      </c>
      <c r="H11" s="69" t="n">
        <v>0</v>
      </c>
      <c r="I11" s="69" t="n">
        <v>0</v>
      </c>
      <c r="J11" s="69" t="n">
        <v>0</v>
      </c>
      <c r="K11" s="69" t="n">
        <v>0</v>
      </c>
      <c r="L11" s="69" t="n">
        <v>0</v>
      </c>
      <c r="M11" s="69" t="n">
        <v>0</v>
      </c>
      <c r="N11" s="69" t="n">
        <v>0</v>
      </c>
      <c r="O11" s="69" t="n">
        <v>0</v>
      </c>
      <c r="P11"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B15" t="b">
        <v>1</v>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22</v>
      </c>
      <c r="P15" t="n">
        <v>10.4</v>
      </c>
    </row>
    <row r="16">
      <c r="A16" t="inlineStr">
        <is>
          <t>Pivot For Chart</t>
        </is>
      </c>
      <c r="B16" t="b">
        <v>1</v>
      </c>
      <c r="F16" s="49" t="inlineStr">
        <is>
          <t>55–64</t>
        </is>
      </c>
      <c r="G16" s="69" t="inlineStr">
        <is>
          <t>s</t>
        </is>
      </c>
      <c r="H16" s="69" t="inlineStr">
        <is>
          <t>s</t>
        </is>
      </c>
      <c r="I16" s="69" t="n">
        <v>11</v>
      </c>
      <c r="J16" s="69" t="n">
        <v>21.4</v>
      </c>
      <c r="K16" s="69" t="n">
        <v>13</v>
      </c>
      <c r="L16" s="69" t="n">
        <v>25.4</v>
      </c>
      <c r="M16" s="69" t="n">
        <v>10</v>
      </c>
      <c r="N16" s="69" t="n">
        <v>19.4</v>
      </c>
      <c r="O16" s="69" t="n">
        <v>41</v>
      </c>
      <c r="P16" t="n">
        <v>20.1</v>
      </c>
    </row>
    <row r="17">
      <c r="F17" s="49" t="inlineStr">
        <is>
          <t>65–74</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n">
        <v>28</v>
      </c>
      <c r="P17" t="n">
        <v>20.8</v>
      </c>
    </row>
    <row r="18">
      <c r="A18" s="71" t="inlineStr">
        <is>
          <t>Source Specifications</t>
        </is>
      </c>
      <c r="F18" s="49" t="inlineStr">
        <is>
          <t>75–84</t>
        </is>
      </c>
      <c r="G18" s="69" t="inlineStr">
        <is>
          <t>s</t>
        </is>
      </c>
      <c r="H18" s="69" t="inlineStr">
        <is>
          <t>s</t>
        </is>
      </c>
      <c r="I18" s="69" t="inlineStr">
        <is>
          <t>s</t>
        </is>
      </c>
      <c r="J18" s="69" t="inlineStr">
        <is>
          <t>s</t>
        </is>
      </c>
      <c r="K18" s="69" t="inlineStr">
        <is>
          <t>s</t>
        </is>
      </c>
      <c r="L18" s="69" t="inlineStr">
        <is>
          <t>s</t>
        </is>
      </c>
      <c r="M18" s="69" t="inlineStr">
        <is>
          <t>s</t>
        </is>
      </c>
      <c r="N18" s="69" t="inlineStr">
        <is>
          <t>s</t>
        </is>
      </c>
      <c r="O18" s="69" t="n">
        <v>14</v>
      </c>
      <c r="P18" t="n">
        <v>22.6</v>
      </c>
    </row>
    <row r="19">
      <c r="A19" t="inlineStr">
        <is>
          <t>Source</t>
        </is>
      </c>
      <c r="B19" t="inlineStr">
        <is>
          <t>Source: Special request from NYSDOH Bureau of Vital Records, July 2025</t>
        </is>
      </c>
      <c r="F19" s="49" t="inlineStr">
        <is>
          <t>85+</t>
        </is>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inlineStr">
        <is>
          <t>s</t>
        </is>
      </c>
      <c r="P19" t="inlineStr">
        <is>
          <t>s</t>
        </is>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B22" t="inlineStr">
        <is>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Codes</t>
        </is>
      </c>
    </row>
    <row r="26">
      <c r="F26" s="47" t="n">
        <v>10940</v>
      </c>
      <c r="G26" s="69" t="n">
        <v>21</v>
      </c>
      <c r="H26" s="69" t="n">
        <v>42.5</v>
      </c>
      <c r="I26" s="69" t="n">
        <v>31</v>
      </c>
      <c r="J26" s="69" t="n">
        <v>60.9</v>
      </c>
      <c r="K26" s="69" t="n">
        <v>31</v>
      </c>
      <c r="L26" s="69" t="n">
        <v>59.8</v>
      </c>
      <c r="M26" s="69" t="n">
        <v>21</v>
      </c>
      <c r="N26" s="69" t="n">
        <v>39.5</v>
      </c>
      <c r="O26" s="69" t="n">
        <v>104</v>
      </c>
      <c r="P26" t="n">
        <v>50.7</v>
      </c>
    </row>
    <row r="27">
      <c r="A27" s="69" t="n"/>
      <c r="F27" s="47" t="n">
        <v>10950</v>
      </c>
      <c r="G27" s="69" t="inlineStr">
        <is>
          <t>s</t>
        </is>
      </c>
      <c r="H27" s="69" t="inlineStr">
        <is>
          <t>s</t>
        </is>
      </c>
      <c r="I27" s="69" t="inlineStr">
        <is>
          <t>s</t>
        </is>
      </c>
      <c r="J27" s="69" t="inlineStr">
        <is>
          <t>s</t>
        </is>
      </c>
      <c r="K27" s="69" t="n">
        <v>0</v>
      </c>
      <c r="L27" s="69" t="n">
        <v>0</v>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inlineStr">
        <is>
          <t>s</t>
        </is>
      </c>
      <c r="L28" s="69" t="inlineStr">
        <is>
          <t>s</t>
        </is>
      </c>
      <c r="M28" s="69" t="inlineStr">
        <is>
          <t>s</t>
        </is>
      </c>
      <c r="N28" s="69" t="inlineStr">
        <is>
          <t>s</t>
        </is>
      </c>
      <c r="O28" s="69" t="n">
        <v>11</v>
      </c>
      <c r="P28" t="n">
        <v>10.2</v>
      </c>
    </row>
    <row r="29">
      <c r="F29" s="47" t="n">
        <v>12771</v>
      </c>
      <c r="G29" s="69" t="inlineStr">
        <is>
          <t>s</t>
        </is>
      </c>
      <c r="H29" s="69" t="inlineStr">
        <is>
          <t>s</t>
        </is>
      </c>
      <c r="I29" s="69" t="n">
        <v>0</v>
      </c>
      <c r="J29" s="69" t="n">
        <v>0</v>
      </c>
      <c r="K29" s="69" t="n">
        <v>0</v>
      </c>
      <c r="L29" s="69" t="n">
        <v>0</v>
      </c>
      <c r="M29" s="69" t="inlineStr">
        <is>
          <t>s</t>
        </is>
      </c>
      <c r="N29" s="69" t="inlineStr">
        <is>
          <t>s</t>
        </is>
      </c>
      <c r="O29" s="69" t="inlineStr">
        <is>
          <t>s</t>
        </is>
      </c>
      <c r="P29" t="inlineStr">
        <is>
          <t>s</t>
        </is>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Q57"/>
  <sheetViews>
    <sheetView workbookViewId="0">
      <selection activeCell="F15" sqref="F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6.5</v>
      </c>
      <c r="H6" s="69" t="n">
        <v>8.5</v>
      </c>
      <c r="I6" s="69" t="n">
        <v>7</v>
      </c>
      <c r="J6" s="69" t="n">
        <v>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Q57"/>
  <sheetViews>
    <sheetView workbookViewId="0">
      <selection activeCell="F26" sqref="F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12</v>
      </c>
      <c r="H6" s="69" t="n">
        <v>10.4</v>
      </c>
      <c r="I6" s="69" t="n">
        <v>10.4</v>
      </c>
      <c r="J6" s="69" t="n">
        <v>6.7</v>
      </c>
      <c r="K6" s="69" t="n"/>
      <c r="L6" s="69" t="n"/>
      <c r="M6" s="69" t="n"/>
      <c r="N6" s="69" t="n"/>
      <c r="O6" s="69" t="n"/>
    </row>
    <row r="7" ht="15.75" customHeight="1" s="91">
      <c r="F7" t="inlineStr">
        <is>
          <t>Females</t>
        </is>
      </c>
      <c r="G7" s="69" t="n">
        <v>1.6</v>
      </c>
      <c r="H7" s="69" t="n">
        <v>6.4</v>
      </c>
      <c r="I7" s="69" t="n">
        <v>4.2</v>
      </c>
      <c r="J7" s="69" t="n">
        <v>4.6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Emergency Department Visits, Age-Adjusted Rate per 10,000 Population,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167.5</v>
      </c>
      <c r="H6" s="69" t="n">
        <v>167.2</v>
      </c>
      <c r="I6" s="69" t="n">
        <v>165.2</v>
      </c>
      <c r="J6" s="69" t="n">
        <v>157.3</v>
      </c>
      <c r="K6" s="69" t="n"/>
      <c r="L6" s="69" t="n"/>
      <c r="M6" s="69" t="n"/>
      <c r="N6" s="69" t="n"/>
      <c r="O6" s="69" t="n"/>
    </row>
    <row r="7" ht="15.75" customHeight="1" s="91">
      <c r="F7" t="inlineStr">
        <is>
          <t>Mid-Hudson</t>
        </is>
      </c>
      <c r="G7" s="69" t="n">
        <v>114.1</v>
      </c>
      <c r="H7" s="69" t="n">
        <v>125.9</v>
      </c>
      <c r="I7" s="69" t="n">
        <v>110</v>
      </c>
      <c r="J7" s="69" t="n">
        <v>120.3</v>
      </c>
      <c r="K7" s="69" t="n"/>
      <c r="L7" s="69" t="n"/>
      <c r="M7" s="69" t="n"/>
      <c r="N7" s="69" t="n"/>
      <c r="O7" s="69" t="n"/>
    </row>
    <row r="8">
      <c r="F8" t="inlineStr">
        <is>
          <t>NYS excl NYC</t>
        </is>
      </c>
      <c r="G8" s="69" t="n">
        <v>131.9</v>
      </c>
      <c r="H8" s="69" t="n">
        <v>141.2</v>
      </c>
      <c r="I8" s="69" t="n">
        <v>128.2</v>
      </c>
      <c r="J8" s="69" t="n">
        <v>137.3</v>
      </c>
      <c r="K8" s="69" t="n"/>
      <c r="L8" s="69" t="n"/>
      <c r="M8" s="69" t="n"/>
      <c r="N8" s="69" t="n"/>
      <c r="O8" s="69" t="n"/>
    </row>
    <row r="9">
      <c r="A9" s="71" t="inlineStr">
        <is>
          <t>Figure Rules</t>
        </is>
      </c>
      <c r="F9" t="inlineStr">
        <is>
          <t>NYS</t>
        </is>
      </c>
      <c r="G9" s="69" t="n">
        <v>139.6</v>
      </c>
      <c r="H9" s="69" t="n">
        <v>152</v>
      </c>
      <c r="I9" s="69" t="n">
        <v>136.5</v>
      </c>
      <c r="J9" s="69" t="n">
        <v>143.3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Hospitalization, Rate per 10,000,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137</v>
      </c>
      <c r="H6" s="69" t="n">
        <v>135.6</v>
      </c>
      <c r="I6" s="69" t="n">
        <v>131.3</v>
      </c>
      <c r="J6" s="69" t="n">
        <v>122.5</v>
      </c>
      <c r="K6" s="69" t="n"/>
      <c r="L6" s="69" t="n"/>
      <c r="M6" s="69" t="n"/>
      <c r="N6" s="69" t="n"/>
      <c r="O6" s="69" t="n"/>
    </row>
    <row r="7" ht="15.75" customHeight="1" s="91">
      <c r="F7" t="inlineStr">
        <is>
          <t>Mid-Hudson</t>
        </is>
      </c>
      <c r="G7" s="69" t="n">
        <v>104.1</v>
      </c>
      <c r="H7" s="69" t="n">
        <v>111.7</v>
      </c>
      <c r="I7" s="69" t="n">
        <v>97.8</v>
      </c>
      <c r="J7" s="69" t="n">
        <v>100.9</v>
      </c>
      <c r="K7" s="69" t="n"/>
      <c r="L7" s="69" t="n"/>
      <c r="M7" s="69" t="n"/>
      <c r="N7" s="69" t="n"/>
      <c r="O7" s="69" t="n"/>
    </row>
    <row r="8">
      <c r="F8" t="inlineStr">
        <is>
          <t>NYS excl NYC</t>
        </is>
      </c>
      <c r="G8" s="69" t="n">
        <v>116.6</v>
      </c>
      <c r="H8" s="69" t="n">
        <v>121.3</v>
      </c>
      <c r="I8" s="69" t="n">
        <v>109.3</v>
      </c>
      <c r="J8" s="69" t="n">
        <v>113.9</v>
      </c>
      <c r="K8" s="69" t="n"/>
      <c r="L8" s="69" t="n"/>
      <c r="M8" s="69" t="n"/>
      <c r="N8" s="69" t="n"/>
      <c r="O8" s="69" t="n"/>
    </row>
    <row r="9">
      <c r="A9" s="71" t="inlineStr">
        <is>
          <t>Figure Rules</t>
        </is>
      </c>
      <c r="F9" t="inlineStr">
        <is>
          <t>NYS</t>
        </is>
      </c>
      <c r="G9" s="69" t="n">
        <v>123.1</v>
      </c>
      <c r="H9" s="69" t="n">
        <v>128.9</v>
      </c>
      <c r="I9" s="69" t="n">
        <v>116.6</v>
      </c>
      <c r="J9" s="69" t="n">
        <v>119.3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57"/>
  <sheetViews>
    <sheetView workbookViewId="0">
      <selection activeCell="L24" sqref="L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2018-2022</t>
        </is>
      </c>
      <c r="G6" s="69" t="n">
        <v>470.3</v>
      </c>
      <c r="H6" s="69" t="n">
        <v>499.1</v>
      </c>
      <c r="I6" s="69" t="n">
        <v>466.8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57"/>
  <sheetViews>
    <sheetView workbookViewId="0">
      <selection activeCell="F10" sqref="F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9" bestFit="1" customWidth="1" style="91" min="10" max="10"/>
    <col width="8.85546875"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470.3</v>
      </c>
      <c r="H6" s="69" t="n">
        <v>497.8</v>
      </c>
      <c r="I6" s="69" t="n">
        <v>436.8</v>
      </c>
      <c r="J6" s="69" t="inlineStr">
        <is>
          <t>s</t>
        </is>
      </c>
      <c r="K6" s="69" t="n">
        <v>298.7</v>
      </c>
      <c r="L6" s="69" t="n">
        <v>356</v>
      </c>
      <c r="M6" s="69" t="n"/>
      <c r="N6" s="69" t="n"/>
      <c r="O6" s="69" t="n"/>
    </row>
    <row r="7" ht="15.75" customHeight="1" s="91">
      <c r="F7" t="inlineStr">
        <is>
          <t>NYS excl NYC</t>
        </is>
      </c>
      <c r="G7" s="69" t="n">
        <v>499.1</v>
      </c>
      <c r="H7" s="69" t="n">
        <v>517.1</v>
      </c>
      <c r="I7" s="69" t="n">
        <v>487.1</v>
      </c>
      <c r="J7" s="69" t="n">
        <v>448.8</v>
      </c>
      <c r="K7" s="69" t="n">
        <v>327.1</v>
      </c>
      <c r="L7" s="69" t="n">
        <v>361.8</v>
      </c>
      <c r="M7" s="69" t="n"/>
      <c r="N7" s="69" t="n"/>
      <c r="O7" s="69" t="n"/>
    </row>
    <row r="8">
      <c r="F8" t="inlineStr">
        <is>
          <t>NYS</t>
        </is>
      </c>
      <c r="G8" s="69" t="n">
        <v>466.8</v>
      </c>
      <c r="H8" s="69" t="n">
        <v>505.1</v>
      </c>
      <c r="I8" s="69" t="n">
        <v>441.6</v>
      </c>
      <c r="J8" s="69" t="n">
        <v>448.8</v>
      </c>
      <c r="K8" s="69" t="n">
        <v>341.8</v>
      </c>
      <c r="L8" s="69" t="n">
        <v>350.9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601</v>
      </c>
      <c r="H7" s="69" t="n">
        <v>157.3</v>
      </c>
      <c r="I7" s="69" t="n">
        <v>596</v>
      </c>
      <c r="J7" s="69" t="n">
        <v>149.6</v>
      </c>
      <c r="K7" s="69" t="n">
        <v>561</v>
      </c>
      <c r="L7" s="69" t="n">
        <v>139.8</v>
      </c>
      <c r="M7" s="69" t="n">
        <v>624</v>
      </c>
      <c r="N7" s="69" t="n">
        <v>154.5</v>
      </c>
      <c r="O7" s="69" t="n">
        <v>2382</v>
      </c>
      <c r="P7" t="n">
        <v>150.3</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t="n">
        <v>0</v>
      </c>
      <c r="P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t="inlineStr">
        <is>
          <t>s</t>
        </is>
      </c>
      <c r="P10" t="inlineStr">
        <is>
          <t>s</t>
        </is>
      </c>
    </row>
    <row r="11">
      <c r="A11" t="inlineStr">
        <is>
          <t>X Column</t>
        </is>
      </c>
      <c r="F11" s="49" t="inlineStr">
        <is>
          <t>10–19</t>
        </is>
      </c>
      <c r="G11" s="69" t="inlineStr">
        <is>
          <t>s</t>
        </is>
      </c>
      <c r="H11" s="69" t="inlineStr">
        <is>
          <t>s</t>
        </is>
      </c>
      <c r="I11" s="69" t="n">
        <v>0</v>
      </c>
      <c r="J11" s="69" t="n">
        <v>0</v>
      </c>
      <c r="K11" s="69" t="inlineStr">
        <is>
          <t>s</t>
        </is>
      </c>
      <c r="L11" s="69" t="inlineStr">
        <is>
          <t>s</t>
        </is>
      </c>
      <c r="M11" s="69" t="n">
        <v>0</v>
      </c>
      <c r="N11" s="69" t="n">
        <v>0</v>
      </c>
      <c r="O11" t="inlineStr">
        <is>
          <t>s</t>
        </is>
      </c>
      <c r="P11" t="inlineStr">
        <is>
          <t>s</t>
        </is>
      </c>
    </row>
    <row r="12">
      <c r="A12" t="inlineStr">
        <is>
          <t>Y Column</t>
        </is>
      </c>
      <c r="F12" s="55" t="inlineStr">
        <is>
          <t>20–24</t>
        </is>
      </c>
      <c r="G12" s="69" t="inlineStr">
        <is>
          <t>s</t>
        </is>
      </c>
      <c r="H12" s="69" t="inlineStr">
        <is>
          <t>s</t>
        </is>
      </c>
      <c r="I12" s="69" t="n">
        <v>0</v>
      </c>
      <c r="J12" s="69" t="n">
        <v>0</v>
      </c>
      <c r="K12" s="69" t="n">
        <v>0</v>
      </c>
      <c r="L12" s="69" t="n">
        <v>0</v>
      </c>
      <c r="M12" s="69" t="inlineStr">
        <is>
          <t>s</t>
        </is>
      </c>
      <c r="N12" s="69" t="inlineStr">
        <is>
          <t>s</t>
        </is>
      </c>
      <c r="O12" t="inlineStr">
        <is>
          <t>s</t>
        </is>
      </c>
      <c r="P12" t="inlineStr">
        <is>
          <t>s</t>
        </is>
      </c>
    </row>
    <row r="13">
      <c r="A13" t="inlineStr">
        <is>
          <t>X Axis Title</t>
        </is>
      </c>
      <c r="F13" s="49" t="inlineStr">
        <is>
          <t>25–34</t>
        </is>
      </c>
      <c r="G13" s="69" t="inlineStr">
        <is>
          <t>s</t>
        </is>
      </c>
      <c r="H13" s="69" t="inlineStr">
        <is>
          <t>s</t>
        </is>
      </c>
      <c r="I13" s="69" t="inlineStr">
        <is>
          <t>s</t>
        </is>
      </c>
      <c r="J13" s="69" t="inlineStr">
        <is>
          <t>s</t>
        </is>
      </c>
      <c r="K13" s="69" t="inlineStr">
        <is>
          <t>s</t>
        </is>
      </c>
      <c r="L13" s="69" t="inlineStr">
        <is>
          <t>s</t>
        </is>
      </c>
      <c r="M13" s="69" t="inlineStr">
        <is>
          <t>s</t>
        </is>
      </c>
      <c r="N13" s="69" t="inlineStr">
        <is>
          <t>s</t>
        </is>
      </c>
      <c r="O13"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t="n">
        <v>28</v>
      </c>
      <c r="P14" t="n">
        <v>14.6</v>
      </c>
    </row>
    <row r="15">
      <c r="A15" t="inlineStr">
        <is>
          <t>Start at Zero</t>
        </is>
      </c>
      <c r="F15" s="49" t="inlineStr">
        <is>
          <t>45–54</t>
        </is>
      </c>
      <c r="G15" s="69" t="n">
        <v>37</v>
      </c>
      <c r="H15" s="69" t="n">
        <v>70.7</v>
      </c>
      <c r="I15" s="69" t="n">
        <v>32</v>
      </c>
      <c r="J15" s="69" t="n">
        <v>60</v>
      </c>
      <c r="K15" s="69" t="n">
        <v>28</v>
      </c>
      <c r="L15" s="69" t="n">
        <v>53.5</v>
      </c>
      <c r="M15" s="69" t="n">
        <v>43</v>
      </c>
      <c r="N15" s="69" t="n">
        <v>83.5</v>
      </c>
      <c r="O15" t="n">
        <v>140</v>
      </c>
      <c r="P15" t="n">
        <v>66.90000000000001</v>
      </c>
    </row>
    <row r="16">
      <c r="A16" t="inlineStr">
        <is>
          <t>Pivot For Chart</t>
        </is>
      </c>
      <c r="F16" s="49" t="inlineStr">
        <is>
          <t>55–64</t>
        </is>
      </c>
      <c r="G16" s="69" t="n">
        <v>122</v>
      </c>
      <c r="H16" s="69" t="n">
        <v>250.5</v>
      </c>
      <c r="I16" s="69" t="n">
        <v>109</v>
      </c>
      <c r="J16" s="69" t="n">
        <v>212.1</v>
      </c>
      <c r="K16" s="69" t="n">
        <v>98</v>
      </c>
      <c r="L16" s="69" t="n">
        <v>191.5</v>
      </c>
      <c r="M16" s="69" t="n">
        <v>103</v>
      </c>
      <c r="N16" s="69" t="n">
        <v>200</v>
      </c>
      <c r="O16" t="n">
        <v>432</v>
      </c>
      <c r="P16" t="n">
        <v>213.5</v>
      </c>
    </row>
    <row r="17">
      <c r="F17" s="49" t="inlineStr">
        <is>
          <t>65–74</t>
        </is>
      </c>
      <c r="G17" s="69" t="n">
        <v>150</v>
      </c>
      <c r="H17" s="69" t="n">
        <v>475.7</v>
      </c>
      <c r="I17" s="69" t="n">
        <v>175</v>
      </c>
      <c r="J17" s="69" t="n">
        <v>522.9</v>
      </c>
      <c r="K17" s="69" t="n">
        <v>179</v>
      </c>
      <c r="L17" s="69" t="n">
        <v>528.8</v>
      </c>
      <c r="M17" s="69" t="n">
        <v>185</v>
      </c>
      <c r="N17" s="69" t="n">
        <v>531</v>
      </c>
      <c r="O17" t="n">
        <v>689</v>
      </c>
      <c r="P17" t="n">
        <v>514.6</v>
      </c>
    </row>
    <row r="18">
      <c r="A18" s="71" t="inlineStr">
        <is>
          <t>Source Specifications</t>
        </is>
      </c>
      <c r="F18" s="49" t="inlineStr">
        <is>
          <t>75–84</t>
        </is>
      </c>
      <c r="G18" s="69" t="n">
        <v>164</v>
      </c>
      <c r="H18" s="69" t="n">
        <v>1112.2</v>
      </c>
      <c r="I18" s="69" t="n">
        <v>156</v>
      </c>
      <c r="J18" s="69" t="n">
        <v>1022.3</v>
      </c>
      <c r="K18" s="69" t="n">
        <v>154</v>
      </c>
      <c r="L18" s="69" t="n">
        <v>972</v>
      </c>
      <c r="M18" s="69" t="n">
        <v>186</v>
      </c>
      <c r="N18" s="69" t="n">
        <v>1134.4</v>
      </c>
      <c r="O18" t="n">
        <v>660</v>
      </c>
      <c r="P18" t="n">
        <v>1060.2</v>
      </c>
    </row>
    <row r="19">
      <c r="A19" t="inlineStr">
        <is>
          <t>Source</t>
        </is>
      </c>
      <c r="B19" t="inlineStr">
        <is>
          <t>Source: Special request from NYSDOH Bureau of Vital Records, July 2025</t>
        </is>
      </c>
      <c r="F19" s="49" t="inlineStr">
        <is>
          <t>85+</t>
        </is>
      </c>
      <c r="G19" s="69" t="n">
        <v>116</v>
      </c>
      <c r="H19" s="69" t="n">
        <v>1622.6</v>
      </c>
      <c r="I19" s="69" t="n">
        <v>116</v>
      </c>
      <c r="J19" s="69" t="n">
        <v>1702.6</v>
      </c>
      <c r="K19" s="69" t="n">
        <v>88</v>
      </c>
      <c r="L19" s="69" t="n">
        <v>1253.6</v>
      </c>
      <c r="M19" s="69" t="n">
        <v>96</v>
      </c>
      <c r="N19" s="69" t="n">
        <v>1430.9</v>
      </c>
      <c r="O19" t="n">
        <v>416</v>
      </c>
      <c r="P19" t="n">
        <v>1502.4</v>
      </c>
    </row>
    <row r="20">
      <c r="F20" s="78" t="inlineStr">
        <is>
          <t>Race and Ethnicity</t>
        </is>
      </c>
    </row>
    <row r="21">
      <c r="A21" s="69" t="inlineStr">
        <is>
          <t>Note Specfications</t>
        </is>
      </c>
      <c r="F21" s="47" t="inlineStr">
        <is>
          <t>Non-Hispanic White</t>
        </is>
      </c>
      <c r="G21" s="69" t="n">
        <v>493</v>
      </c>
      <c r="H21" s="69" t="n">
        <v>204.4</v>
      </c>
      <c r="I21" s="69" t="n">
        <v>495</v>
      </c>
      <c r="J21" s="69" t="n">
        <v>199.7</v>
      </c>
      <c r="K21" s="69" t="n">
        <v>451</v>
      </c>
      <c r="L21" s="69" t="n">
        <v>185.9</v>
      </c>
      <c r="M21" s="69" t="n">
        <v>511</v>
      </c>
      <c r="N21" s="69" t="n">
        <v>213.6</v>
      </c>
      <c r="O21" t="n">
        <v>1950</v>
      </c>
      <c r="P21" t="n">
        <v>200.9</v>
      </c>
    </row>
    <row r="22">
      <c r="A22" t="inlineStr">
        <is>
          <t xml:space="preserve">Note </t>
        </is>
      </c>
      <c r="B22" t="inlineStr">
        <is>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n">
        <v>46</v>
      </c>
      <c r="H22" s="69" t="n">
        <v>119.6</v>
      </c>
      <c r="I22" s="69" t="n">
        <v>40</v>
      </c>
      <c r="J22" s="69" t="n">
        <v>100.7</v>
      </c>
      <c r="K22" s="69" t="n">
        <v>38</v>
      </c>
      <c r="L22" s="69" t="n">
        <v>90.59999999999999</v>
      </c>
      <c r="M22" s="69" t="n">
        <v>54</v>
      </c>
      <c r="N22" s="69" t="n">
        <v>127.1</v>
      </c>
      <c r="O22" t="n">
        <v>178</v>
      </c>
      <c r="P22" t="n">
        <v>109.5</v>
      </c>
    </row>
    <row r="23">
      <c r="F23" s="47" t="inlineStr">
        <is>
          <t>Hispanic</t>
        </is>
      </c>
      <c r="G23" s="69" t="n">
        <v>50</v>
      </c>
      <c r="H23" s="69" t="n">
        <v>62.3</v>
      </c>
      <c r="I23" s="69" t="n">
        <v>48</v>
      </c>
      <c r="J23" s="69" t="n">
        <v>56.2</v>
      </c>
      <c r="K23" s="69" t="n">
        <v>52</v>
      </c>
      <c r="L23" s="69" t="n">
        <v>58.1</v>
      </c>
      <c r="M23" s="69" t="n">
        <v>39</v>
      </c>
      <c r="N23" s="69" t="n">
        <v>41.7</v>
      </c>
      <c r="O23" t="n">
        <v>189</v>
      </c>
      <c r="P23" t="n">
        <v>54.6</v>
      </c>
    </row>
    <row r="24">
      <c r="F24" s="47" t="inlineStr">
        <is>
          <t>Other</t>
        </is>
      </c>
      <c r="G24" s="69" t="n">
        <v>12</v>
      </c>
      <c r="H24" s="69" t="n">
        <v>54.1</v>
      </c>
      <c r="I24" s="69" t="n">
        <v>13</v>
      </c>
      <c r="J24" s="69" t="n">
        <v>51.4</v>
      </c>
      <c r="K24" s="69" t="n">
        <v>20</v>
      </c>
      <c r="L24" s="69" t="n">
        <v>73.59999999999999</v>
      </c>
      <c r="M24" s="69" t="n">
        <v>20</v>
      </c>
      <c r="N24" s="69" t="n">
        <v>70</v>
      </c>
      <c r="O24" t="n">
        <v>65</v>
      </c>
      <c r="P24" t="n">
        <v>62.3</v>
      </c>
    </row>
    <row r="25">
      <c r="F25" s="78" t="inlineStr">
        <is>
          <t>ZIP Codes</t>
        </is>
      </c>
    </row>
    <row r="26">
      <c r="F26" s="47" t="n">
        <v>10940</v>
      </c>
      <c r="G26" s="69" t="n">
        <v>85</v>
      </c>
      <c r="H26" s="69" t="n">
        <v>172</v>
      </c>
      <c r="I26" s="69" t="n">
        <v>75</v>
      </c>
      <c r="J26" s="69" t="n">
        <v>147.3</v>
      </c>
      <c r="K26" s="69" t="n">
        <v>82</v>
      </c>
      <c r="L26" s="69" t="n">
        <v>158.1</v>
      </c>
      <c r="M26" s="69" t="n">
        <v>80</v>
      </c>
      <c r="N26" s="69" t="n">
        <v>150.7</v>
      </c>
      <c r="O26" t="n">
        <v>322</v>
      </c>
      <c r="P26" t="n">
        <v>157</v>
      </c>
    </row>
    <row r="27">
      <c r="A27" s="69" t="n"/>
      <c r="F27" s="47" t="n">
        <v>10950</v>
      </c>
      <c r="G27" s="69" t="n">
        <v>41</v>
      </c>
      <c r="H27" s="69" t="n">
        <v>306.3</v>
      </c>
      <c r="I27" s="69" t="n">
        <v>32</v>
      </c>
      <c r="J27" s="69" t="n">
        <v>222</v>
      </c>
      <c r="K27" s="69" t="n">
        <v>37</v>
      </c>
      <c r="L27" s="69" t="n">
        <v>255.1</v>
      </c>
      <c r="M27" s="69" t="n">
        <v>32</v>
      </c>
      <c r="N27" s="69" t="n">
        <v>216.8</v>
      </c>
      <c r="O27" t="n">
        <v>142</v>
      </c>
      <c r="P27" t="n">
        <v>250.1</v>
      </c>
    </row>
    <row r="28">
      <c r="F28" s="47" t="n">
        <v>12550</v>
      </c>
      <c r="G28" s="69" t="n">
        <v>80</v>
      </c>
      <c r="H28" s="69" t="n">
        <v>300</v>
      </c>
      <c r="I28" s="69" t="n">
        <v>79</v>
      </c>
      <c r="J28" s="69" t="n">
        <v>294.7</v>
      </c>
      <c r="K28" s="69" t="n">
        <v>67</v>
      </c>
      <c r="L28" s="69" t="n">
        <v>244.4</v>
      </c>
      <c r="M28" s="69" t="n">
        <v>79</v>
      </c>
      <c r="N28" s="69" t="n">
        <v>289.4</v>
      </c>
      <c r="O28" t="n">
        <v>305</v>
      </c>
      <c r="P28" t="n">
        <v>282.1</v>
      </c>
    </row>
    <row r="29">
      <c r="F29" s="47" t="n">
        <v>12771</v>
      </c>
      <c r="G29" s="69" t="n">
        <v>31</v>
      </c>
      <c r="H29" s="69" t="n">
        <v>215.2</v>
      </c>
      <c r="I29" s="69" t="n">
        <v>30</v>
      </c>
      <c r="J29" s="69" t="n">
        <v>202.2</v>
      </c>
      <c r="K29" s="69" t="n">
        <v>27</v>
      </c>
      <c r="L29" s="69" t="n">
        <v>186.8</v>
      </c>
      <c r="M29" s="69" t="n">
        <v>37</v>
      </c>
      <c r="N29" s="69" t="n">
        <v>257.9</v>
      </c>
      <c r="O29" t="n">
        <v>125</v>
      </c>
      <c r="P29" t="n">
        <v>215</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Q57"/>
  <sheetViews>
    <sheetView workbookViewId="0">
      <selection activeCell="C21" sqref="C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141.7</v>
      </c>
      <c r="H6" s="69" t="n">
        <v>136</v>
      </c>
      <c r="I6" s="69" t="n">
        <v>126.1</v>
      </c>
      <c r="J6" s="69" t="n">
        <v>140.1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s="47" t="inlineStr">
        <is>
          <t>Non-Hispanic White</t>
        </is>
      </c>
      <c r="G7" s="69" t="n">
        <v>204.4</v>
      </c>
      <c r="H7" s="69" t="n">
        <v>199.7</v>
      </c>
      <c r="I7" s="69" t="n">
        <v>185.9</v>
      </c>
      <c r="J7" s="69" t="n">
        <v>213.6</v>
      </c>
      <c r="K7" s="69" t="n"/>
      <c r="L7" s="69" t="n"/>
      <c r="M7" s="69" t="n"/>
      <c r="N7" s="69" t="n"/>
      <c r="O7" s="69" t="n"/>
    </row>
    <row r="8">
      <c r="F8" s="47" t="inlineStr">
        <is>
          <t>Non-Hispanic Black</t>
        </is>
      </c>
      <c r="G8" s="69" t="n">
        <v>119.6</v>
      </c>
      <c r="H8" s="69" t="n">
        <v>100.7</v>
      </c>
      <c r="I8" s="69" t="n">
        <v>90.59999999999999</v>
      </c>
      <c r="J8" s="69" t="n">
        <v>127.1</v>
      </c>
      <c r="K8" s="69" t="n"/>
      <c r="L8" s="69" t="n"/>
      <c r="M8" s="69" t="n"/>
      <c r="N8" s="69" t="n"/>
      <c r="O8" s="69" t="n"/>
    </row>
    <row r="9">
      <c r="A9" s="71" t="inlineStr">
        <is>
          <t>Figure Rules</t>
        </is>
      </c>
      <c r="F9" s="47" t="inlineStr">
        <is>
          <t>Hispanic</t>
        </is>
      </c>
      <c r="G9" s="69" t="n">
        <v>62.3</v>
      </c>
      <c r="H9" s="69" t="n">
        <v>56.2</v>
      </c>
      <c r="I9" s="69" t="n">
        <v>58.1</v>
      </c>
      <c r="J9" s="69" t="n">
        <v>41.7</v>
      </c>
      <c r="K9" s="69" t="n"/>
      <c r="L9" s="69" t="n"/>
      <c r="M9" s="69" t="n"/>
      <c r="N9" s="69" t="n"/>
      <c r="O9" s="69" t="n"/>
    </row>
    <row r="10">
      <c r="A10" t="inlineStr">
        <is>
          <t>Figure Type</t>
        </is>
      </c>
      <c r="B10" t="inlineStr">
        <is>
          <t>Line</t>
        </is>
      </c>
      <c r="F10" s="47" t="inlineStr">
        <is>
          <t>Other</t>
        </is>
      </c>
      <c r="G10" s="69" t="n">
        <v>54.1</v>
      </c>
      <c r="H10" t="n">
        <v>51.4</v>
      </c>
      <c r="I10" t="n">
        <v>73.59999999999999</v>
      </c>
      <c r="J10" t="n">
        <v>70</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Q57"/>
  <sheetViews>
    <sheetView workbookViewId="0">
      <selection activeCell="K24" sqref="K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ZIP Code,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t="n">
        <v>10940</v>
      </c>
      <c r="G7" s="69" t="n">
        <v>172</v>
      </c>
      <c r="H7" s="69" t="n">
        <v>147.3</v>
      </c>
      <c r="I7" s="69" t="n">
        <v>158.1</v>
      </c>
      <c r="J7" s="69" t="n">
        <v>150.7</v>
      </c>
      <c r="K7" s="69" t="n"/>
      <c r="L7" s="69" t="n"/>
      <c r="M7" s="69" t="n"/>
      <c r="N7" s="69" t="n"/>
      <c r="O7" s="69" t="n"/>
    </row>
    <row r="8">
      <c r="F8" t="n">
        <v>10950</v>
      </c>
      <c r="G8" s="69" t="n">
        <v>306.3</v>
      </c>
      <c r="H8" s="69" t="n">
        <v>222</v>
      </c>
      <c r="I8" s="69" t="n">
        <v>255.1</v>
      </c>
      <c r="J8" s="69" t="n">
        <v>216.8</v>
      </c>
      <c r="K8" s="69" t="n"/>
      <c r="L8" s="69" t="n"/>
      <c r="M8" s="69" t="n"/>
      <c r="N8" s="69" t="n"/>
      <c r="O8" s="69" t="n"/>
    </row>
    <row r="9">
      <c r="A9" s="71" t="inlineStr">
        <is>
          <t>Figure Rules</t>
        </is>
      </c>
      <c r="F9" t="n">
        <v>12550</v>
      </c>
      <c r="G9" s="69" t="n">
        <v>300</v>
      </c>
      <c r="H9" s="69" t="n">
        <v>294.7</v>
      </c>
      <c r="I9" s="69" t="n">
        <v>244.4</v>
      </c>
      <c r="J9" s="69" t="n">
        <v>289.4</v>
      </c>
      <c r="K9" s="69" t="n"/>
      <c r="L9" s="69" t="n"/>
      <c r="M9" s="69" t="n"/>
      <c r="N9" s="69" t="n"/>
      <c r="O9" s="69" t="n"/>
    </row>
    <row r="10">
      <c r="A10" t="inlineStr">
        <is>
          <t>Figure Type</t>
        </is>
      </c>
      <c r="B10" t="inlineStr">
        <is>
          <t>Line</t>
        </is>
      </c>
      <c r="F10" t="n">
        <v>12771</v>
      </c>
      <c r="G10" s="69" t="n">
        <v>215.2</v>
      </c>
      <c r="H10" t="n">
        <v>202.2</v>
      </c>
      <c r="I10" t="n">
        <v>186.8</v>
      </c>
      <c r="J10" t="n">
        <v>257.9</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by Sex,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160.7</v>
      </c>
      <c r="H6" s="69" t="n">
        <v>147.2</v>
      </c>
      <c r="I6" s="69" t="n">
        <v>139.9</v>
      </c>
      <c r="J6" s="69" t="n">
        <v>159.6</v>
      </c>
      <c r="K6" s="69" t="n"/>
      <c r="L6" s="69" t="n"/>
      <c r="M6" s="69" t="n"/>
      <c r="N6" s="69" t="n"/>
      <c r="O6" s="69" t="n"/>
    </row>
    <row r="7" ht="15.75" customHeight="1" s="91">
      <c r="F7" t="inlineStr">
        <is>
          <t>Females</t>
        </is>
      </c>
      <c r="G7" s="69" t="n">
        <v>131.5</v>
      </c>
      <c r="H7" s="69" t="n">
        <v>129.5</v>
      </c>
      <c r="I7" s="69" t="n">
        <v>118.1</v>
      </c>
      <c r="J7" s="69" t="n">
        <v>126.1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2017</v>
      </c>
      <c r="H5" t="n">
        <v>2018</v>
      </c>
      <c r="I5" t="n">
        <v>2019</v>
      </c>
      <c r="J5" t="n">
        <v>2020</v>
      </c>
    </row>
    <row r="6" ht="15" customHeight="1" s="91">
      <c r="A6" t="inlineStr">
        <is>
          <t>Multilevel Headers</t>
        </is>
      </c>
      <c r="B6" t="b">
        <v>0</v>
      </c>
      <c r="F6" t="inlineStr">
        <is>
          <t>Orange</t>
        </is>
      </c>
      <c r="G6" s="69" t="n">
        <v>196</v>
      </c>
      <c r="H6" s="69" t="n">
        <v>194.6</v>
      </c>
      <c r="I6" s="69" t="n">
        <v>183.3</v>
      </c>
      <c r="J6" s="69" t="n">
        <v>156.4</v>
      </c>
      <c r="K6" s="69" t="n"/>
      <c r="L6" s="69" t="n"/>
      <c r="M6" s="69" t="n"/>
      <c r="N6" s="69" t="n"/>
      <c r="O6" s="69" t="n"/>
    </row>
    <row r="7" ht="15.75" customHeight="1" s="91">
      <c r="F7" t="inlineStr">
        <is>
          <t>Mid-Hudson</t>
        </is>
      </c>
      <c r="G7" s="69" t="n">
        <v>128.1</v>
      </c>
      <c r="H7" s="69" t="n">
        <v>135.1</v>
      </c>
      <c r="I7" s="69" t="n">
        <v>127.1</v>
      </c>
      <c r="J7" s="69" t="n">
        <v>117</v>
      </c>
      <c r="K7" s="69" t="n"/>
      <c r="L7" s="69" t="n"/>
      <c r="M7" s="69" t="n"/>
      <c r="N7" s="69" t="n"/>
      <c r="O7" s="69" t="n"/>
    </row>
    <row r="8">
      <c r="F8" t="inlineStr">
        <is>
          <t>NYS excl NYC</t>
        </is>
      </c>
      <c r="G8" s="69" t="n">
        <v>146.8</v>
      </c>
      <c r="H8" s="69" t="n">
        <v>144.8</v>
      </c>
      <c r="I8" s="69" t="n">
        <v>138.6</v>
      </c>
      <c r="J8" s="69" t="n">
        <v>135.9</v>
      </c>
      <c r="K8" s="69" t="n"/>
      <c r="L8" s="69" t="n"/>
      <c r="M8" s="69" t="n"/>
      <c r="N8" s="69" t="n"/>
      <c r="O8" s="69" t="n"/>
    </row>
    <row r="9">
      <c r="A9" s="71" t="inlineStr">
        <is>
          <t>Figure Rules</t>
        </is>
      </c>
      <c r="F9" t="inlineStr">
        <is>
          <t>NYS</t>
        </is>
      </c>
      <c r="G9" s="69" t="n">
        <v>138.9</v>
      </c>
      <c r="H9" s="69" t="n">
        <v>134.6</v>
      </c>
      <c r="I9" s="69" t="n">
        <v>129.5</v>
      </c>
      <c r="J9" s="69" t="n">
        <v>123.7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Q57"/>
  <sheetViews>
    <sheetView workbookViewId="0">
      <selection activeCell="G17" sqref="G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Region/County</t>
        </is>
      </c>
      <c r="G5" t="inlineStr">
        <is>
          <t>Orange</t>
        </is>
      </c>
      <c r="H5" t="inlineStr">
        <is>
          <t>NYS excl NYC</t>
        </is>
      </c>
      <c r="I5" t="inlineStr">
        <is>
          <t>NYS</t>
        </is>
      </c>
    </row>
    <row r="6" ht="15" customHeight="1" s="91">
      <c r="A6" t="inlineStr">
        <is>
          <t>Multilevel Headers</t>
        </is>
      </c>
      <c r="B6" t="b">
        <v>0</v>
      </c>
      <c r="F6" t="inlineStr">
        <is>
          <t>2018-2022</t>
        </is>
      </c>
      <c r="G6" s="69" t="n">
        <v>167.1</v>
      </c>
      <c r="H6" s="69" t="n">
        <v>138.6</v>
      </c>
      <c r="I6" s="69" t="n">
        <v>101.2</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167.1</v>
      </c>
      <c r="H6" s="69" t="n">
        <v>169.8</v>
      </c>
      <c r="I6" s="69" t="n">
        <v>189.2</v>
      </c>
      <c r="J6" s="69" t="inlineStr">
        <is>
          <t>s</t>
        </is>
      </c>
      <c r="K6" s="69" t="n">
        <v>206.8</v>
      </c>
      <c r="L6" s="69" t="n">
        <v>114.6</v>
      </c>
      <c r="M6" s="69" t="n"/>
      <c r="N6" s="69" t="n"/>
      <c r="O6" s="69" t="n"/>
    </row>
    <row r="7" ht="15.75" customHeight="1" s="91">
      <c r="F7" t="inlineStr">
        <is>
          <t>NYS excl NYC</t>
        </is>
      </c>
      <c r="G7" s="69" t="n">
        <v>138.6</v>
      </c>
      <c r="H7" s="69" t="n">
        <v>142.6</v>
      </c>
      <c r="I7" s="69" t="n">
        <v>150.5</v>
      </c>
      <c r="J7" s="69" t="n">
        <v>121.1</v>
      </c>
      <c r="K7" s="69" t="n">
        <v>81.2</v>
      </c>
      <c r="L7" s="69" t="n">
        <v>90</v>
      </c>
      <c r="M7" s="69" t="n"/>
      <c r="N7" s="69" t="n"/>
      <c r="O7" s="69" t="n"/>
    </row>
    <row r="8">
      <c r="F8" t="inlineStr">
        <is>
          <t>NYS</t>
        </is>
      </c>
      <c r="G8" s="69" t="n">
        <v>126.6</v>
      </c>
      <c r="H8" s="69" t="n">
        <v>134.3</v>
      </c>
      <c r="I8" s="69" t="n">
        <v>132.3</v>
      </c>
      <c r="J8" s="69" t="n">
        <v>121.1</v>
      </c>
      <c r="K8" s="69" t="n">
        <v>83.7</v>
      </c>
      <c r="L8" s="69" t="n">
        <v>94.09999999999999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Q57"/>
  <sheetViews>
    <sheetView workbookViewId="0">
      <selection activeCell="G22" sqref="G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62.7</v>
      </c>
      <c r="H6" s="69" t="n">
        <v>62.5</v>
      </c>
      <c r="I6" s="69" t="n">
        <v>61.8</v>
      </c>
      <c r="J6" s="69" t="n">
        <v>59.8</v>
      </c>
      <c r="K6" s="69" t="n"/>
      <c r="L6" s="69" t="n"/>
      <c r="M6" s="69" t="n"/>
      <c r="N6" s="69" t="n"/>
      <c r="O6" s="69" t="n"/>
    </row>
    <row r="7" ht="15.75" customHeight="1" s="91">
      <c r="F7" t="inlineStr">
        <is>
          <t>Mid-Hudson</t>
        </is>
      </c>
      <c r="G7" s="69" t="n">
        <v>54.7</v>
      </c>
      <c r="H7" s="69" t="n">
        <v>53.7</v>
      </c>
      <c r="I7" s="69" t="n">
        <v>52.3</v>
      </c>
      <c r="J7" s="69" t="n">
        <v>47</v>
      </c>
      <c r="K7" s="69" t="n"/>
      <c r="L7" s="69" t="n"/>
      <c r="M7" s="69" t="n"/>
      <c r="N7" s="69" t="n"/>
      <c r="O7" s="69" t="n"/>
    </row>
    <row r="8">
      <c r="F8" t="inlineStr">
        <is>
          <t>NYS excl NYC</t>
        </is>
      </c>
      <c r="G8" s="69" t="n">
        <v>66.40000000000001</v>
      </c>
      <c r="H8" s="69" t="n">
        <v>64.2</v>
      </c>
      <c r="I8" s="69" t="n">
        <v>62.3</v>
      </c>
      <c r="J8" s="69" t="n">
        <v>55.5</v>
      </c>
      <c r="K8" s="69" t="n"/>
      <c r="L8" s="69" t="n"/>
      <c r="M8" s="69" t="n"/>
      <c r="N8" s="69" t="n"/>
      <c r="O8" s="69" t="n"/>
    </row>
    <row r="9">
      <c r="A9" s="71" t="inlineStr">
        <is>
          <t>Figure Rules</t>
        </is>
      </c>
      <c r="F9" t="inlineStr">
        <is>
          <t>NYS</t>
        </is>
      </c>
      <c r="G9" s="69" t="n">
        <v>59</v>
      </c>
      <c r="H9" s="69" t="n">
        <v>56.9</v>
      </c>
      <c r="I9" s="69" t="n">
        <v>54.9</v>
      </c>
      <c r="J9" s="69" t="n">
        <v>47.7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59.9</v>
      </c>
      <c r="H6" s="69" t="n">
        <v>59.9</v>
      </c>
      <c r="I6" s="69" t="n">
        <v>52.4</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Q57"/>
  <sheetViews>
    <sheetView workbookViewId="0">
      <selection activeCell="K22" sqref="K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59.9</v>
      </c>
      <c r="H6" s="69" t="n">
        <v>66</v>
      </c>
      <c r="I6" s="69" t="n">
        <v>48.8</v>
      </c>
      <c r="J6" s="69" t="inlineStr">
        <is>
          <t>s</t>
        </is>
      </c>
      <c r="K6" s="69" t="n">
        <v>28.8</v>
      </c>
      <c r="L6" s="69" t="n">
        <v>36.3</v>
      </c>
      <c r="M6" s="69" t="n"/>
      <c r="N6" s="69" t="n"/>
      <c r="O6" s="69" t="n"/>
    </row>
    <row r="7" ht="15.75" customHeight="1" s="91">
      <c r="F7" t="inlineStr">
        <is>
          <t>NYS excl NYC</t>
        </is>
      </c>
      <c r="G7" s="69" t="n">
        <v>59.9</v>
      </c>
      <c r="H7" s="69" t="n">
        <v>63.4</v>
      </c>
      <c r="I7" s="69" t="n">
        <v>54.5</v>
      </c>
      <c r="J7" s="69" t="n">
        <v>70</v>
      </c>
      <c r="K7" s="69" t="n">
        <v>30.9</v>
      </c>
      <c r="L7" s="69" t="n">
        <v>31.7</v>
      </c>
      <c r="M7" s="69" t="n"/>
      <c r="N7" s="69" t="n"/>
      <c r="O7" s="69" t="n"/>
    </row>
    <row r="8">
      <c r="F8" t="inlineStr">
        <is>
          <t>NYS</t>
        </is>
      </c>
      <c r="G8" s="69" t="n">
        <v>52.4</v>
      </c>
      <c r="H8" s="69" t="n">
        <v>59.5</v>
      </c>
      <c r="I8" s="69" t="n">
        <v>43.2</v>
      </c>
      <c r="J8" s="69" t="n">
        <v>70</v>
      </c>
      <c r="K8" s="69" t="n">
        <v>42.4</v>
      </c>
      <c r="L8" s="69" t="n">
        <v>29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44.6</v>
      </c>
      <c r="H6" s="69" t="n">
        <v>42.9</v>
      </c>
      <c r="I6" s="69" t="n">
        <v>39.9</v>
      </c>
      <c r="J6" s="69" t="n">
        <v>35.3</v>
      </c>
      <c r="K6" s="69" t="n"/>
      <c r="L6" s="69" t="n"/>
      <c r="M6" s="69" t="n"/>
      <c r="N6" s="69" t="n"/>
      <c r="O6" s="69" t="n"/>
    </row>
    <row r="7" ht="15.75" customHeight="1" s="91">
      <c r="F7" t="inlineStr">
        <is>
          <t>Mid-Hudson</t>
        </is>
      </c>
      <c r="G7" s="69" t="n">
        <v>27.9</v>
      </c>
      <c r="H7" s="69" t="n">
        <v>28.8</v>
      </c>
      <c r="I7" s="69" t="n">
        <v>26.7</v>
      </c>
      <c r="J7" s="69" t="n">
        <v>23.4</v>
      </c>
      <c r="K7" s="69" t="n"/>
      <c r="L7" s="69" t="n"/>
      <c r="M7" s="69" t="n"/>
      <c r="N7" s="69" t="n"/>
      <c r="O7" s="69" t="n"/>
    </row>
    <row r="8">
      <c r="F8" t="inlineStr">
        <is>
          <t>NYS excl NYC</t>
        </is>
      </c>
      <c r="G8" s="69" t="n">
        <v>35.4</v>
      </c>
      <c r="H8" s="69" t="n">
        <v>34.8</v>
      </c>
      <c r="I8" s="69" t="n">
        <v>32.6</v>
      </c>
      <c r="J8" s="69" t="n">
        <v>30.1</v>
      </c>
      <c r="K8" s="69" t="n"/>
      <c r="L8" s="69" t="n"/>
      <c r="M8" s="69" t="n"/>
      <c r="N8" s="69" t="n"/>
      <c r="O8" s="69" t="n"/>
    </row>
    <row r="9">
      <c r="A9" s="71" t="inlineStr">
        <is>
          <t>Figure Rules</t>
        </is>
      </c>
      <c r="F9" t="inlineStr">
        <is>
          <t>NYS</t>
        </is>
      </c>
      <c r="G9" s="69" t="n">
        <v>30.9</v>
      </c>
      <c r="H9" s="69" t="n">
        <v>30</v>
      </c>
      <c r="I9" s="69" t="n">
        <v>27.8</v>
      </c>
      <c r="J9" s="69" t="n">
        <v>25.5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57"/>
  <sheetViews>
    <sheetView workbookViewId="0">
      <selection activeCell="H29" sqref="H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37.9</v>
      </c>
      <c r="H6" s="69" t="n">
        <v>31.3</v>
      </c>
      <c r="I6" s="69" t="n">
        <v>26.5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57"/>
  <sheetViews>
    <sheetView zoomScaleNormal="100" workbookViewId="0">
      <selection activeCell="D24" sqref="D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7.42578125" bestFit="1" customWidth="1" style="91" min="7" max="7"/>
    <col width="8.140625"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n"/>
      <c r="N4" s="10" t="n"/>
      <c r="O4" s="10" t="n"/>
      <c r="P4" s="10" t="n"/>
      <c r="Q4" s="10" t="n"/>
    </row>
    <row r="5">
      <c r="A5" s="71" t="inlineStr">
        <is>
          <t>Table Rules</t>
        </is>
      </c>
      <c r="E5" s="70" t="inlineStr">
        <is>
          <t xml:space="preserve">Enter Data </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37.9</v>
      </c>
      <c r="H6" s="69" t="n">
        <v>41.9</v>
      </c>
      <c r="I6" s="69" t="n">
        <v>31.7</v>
      </c>
      <c r="J6" s="69" t="inlineStr">
        <is>
          <t>s</t>
        </is>
      </c>
      <c r="K6" s="69" t="inlineStr">
        <is>
          <t>s</t>
        </is>
      </c>
      <c r="L6" s="69" t="n">
        <v>19.6</v>
      </c>
      <c r="M6" s="69" t="n"/>
      <c r="N6" s="69" t="n"/>
      <c r="O6" s="69" t="n"/>
    </row>
    <row r="7" ht="15.75" customHeight="1" s="91">
      <c r="F7" t="inlineStr">
        <is>
          <t>NYS excl NYC</t>
        </is>
      </c>
      <c r="G7" s="69" t="n">
        <v>31.3</v>
      </c>
      <c r="H7" s="69" t="n">
        <v>33.4</v>
      </c>
      <c r="I7" s="69" t="n">
        <v>28.5</v>
      </c>
      <c r="J7" s="69" t="n">
        <v>35.1</v>
      </c>
      <c r="K7" s="69" t="n">
        <v>14.2</v>
      </c>
      <c r="L7" s="69" t="n">
        <v>12.9</v>
      </c>
      <c r="M7" s="69" t="n"/>
      <c r="N7" s="69" t="n"/>
      <c r="O7" s="69" t="n"/>
    </row>
    <row r="8">
      <c r="F8" t="inlineStr">
        <is>
          <t>NYS</t>
        </is>
      </c>
      <c r="G8" s="69" t="n">
        <v>26.5</v>
      </c>
      <c r="H8" s="69" t="n">
        <v>30.5</v>
      </c>
      <c r="I8" s="69" t="n">
        <v>22.2</v>
      </c>
      <c r="J8" s="69" t="n">
        <v>35.1</v>
      </c>
      <c r="K8" s="69" t="n">
        <v>18</v>
      </c>
      <c r="L8" s="69" t="n">
        <v>13.7</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G5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inlineStr">
        <is>
          <t xml:space="preserve">  </t>
        </is>
      </c>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36</v>
      </c>
      <c r="H6" s="69" t="n">
        <v>36.8</v>
      </c>
      <c r="I6" s="69" t="n">
        <v>35.8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36</v>
      </c>
      <c r="H6" s="69" t="n">
        <v>37.8</v>
      </c>
      <c r="I6" s="69" t="n">
        <v>30.3</v>
      </c>
      <c r="J6" s="69" t="inlineStr">
        <is>
          <t>s</t>
        </is>
      </c>
      <c r="K6" s="69" t="n">
        <v>26.2</v>
      </c>
      <c r="L6" s="69" t="n">
        <v>30.2</v>
      </c>
      <c r="M6" s="69" t="n"/>
      <c r="N6" s="69" t="n"/>
      <c r="O6" s="69" t="n"/>
    </row>
    <row r="7" ht="15.75" customHeight="1" s="91">
      <c r="F7" t="inlineStr">
        <is>
          <t>NYS excl NYC</t>
        </is>
      </c>
      <c r="G7" s="69" t="n">
        <v>36.8</v>
      </c>
      <c r="H7" s="69" t="n">
        <v>37.2</v>
      </c>
      <c r="I7" s="69" t="n">
        <v>40.4</v>
      </c>
      <c r="J7" s="69" t="n">
        <v>38.7</v>
      </c>
      <c r="K7" s="69" t="n">
        <v>29.8</v>
      </c>
      <c r="L7" s="69" t="n">
        <v>30.1</v>
      </c>
      <c r="M7" s="69" t="n"/>
      <c r="N7" s="69" t="n"/>
      <c r="O7" s="69" t="n"/>
    </row>
    <row r="8">
      <c r="F8" t="inlineStr">
        <is>
          <t>NYS</t>
        </is>
      </c>
      <c r="G8" s="69" t="n">
        <v>35.8</v>
      </c>
      <c r="H8" s="69" t="n">
        <v>36.8</v>
      </c>
      <c r="I8" s="69" t="n">
        <v>37.3</v>
      </c>
      <c r="J8" s="69" t="n">
        <v>38.7</v>
      </c>
      <c r="K8" s="69" t="n">
        <v>30.1</v>
      </c>
      <c r="L8" s="69" t="n">
        <v>30.1</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57"/>
  <sheetViews>
    <sheetView workbookViewId="0">
      <selection activeCell="B24" sqref="B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14.8</v>
      </c>
      <c r="H6" s="69" t="n">
        <v>11.4</v>
      </c>
      <c r="I6" s="69" t="n">
        <v>10.9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14.8</v>
      </c>
      <c r="H6" s="69" t="n">
        <v>14.3</v>
      </c>
      <c r="I6" s="69" t="n">
        <v>20.8</v>
      </c>
      <c r="J6" s="69" t="inlineStr">
        <is>
          <t>s</t>
        </is>
      </c>
      <c r="K6" s="69" t="n">
        <v>10</v>
      </c>
      <c r="L6" s="69" t="n"/>
      <c r="M6" s="69" t="n"/>
      <c r="N6" s="69" t="n"/>
      <c r="O6" s="69" t="n"/>
    </row>
    <row r="7" ht="15.75" customHeight="1" s="91">
      <c r="F7" t="inlineStr">
        <is>
          <t>NYS excl NYC</t>
        </is>
      </c>
      <c r="G7" s="69" t="n">
        <v>11.4</v>
      </c>
      <c r="H7" s="69" t="n">
        <v>11.5</v>
      </c>
      <c r="I7" s="69" t="n">
        <v>14.5</v>
      </c>
      <c r="J7" s="69" t="n">
        <v>8.699999999999999</v>
      </c>
      <c r="K7" s="69" t="n">
        <v>7.9</v>
      </c>
      <c r="L7" s="69" t="n"/>
      <c r="M7" s="69" t="n"/>
      <c r="N7" s="69" t="n"/>
      <c r="O7" s="69" t="n"/>
    </row>
    <row r="8">
      <c r="F8" t="inlineStr">
        <is>
          <t>NYS</t>
        </is>
      </c>
      <c r="G8" s="69" t="n">
        <v>10.9</v>
      </c>
      <c r="H8" s="69" t="n">
        <v>11.1</v>
      </c>
      <c r="I8" s="69" t="n">
        <v>13.2</v>
      </c>
      <c r="J8" s="69" t="n">
        <v>7.8</v>
      </c>
      <c r="K8" s="69" t="n">
        <v>8.6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57"/>
  <sheetViews>
    <sheetView workbookViewId="0">
      <selection activeCell="I29" sqref="I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139.8</v>
      </c>
      <c r="H6" s="69" t="n">
        <v>134.3</v>
      </c>
      <c r="I6" s="69" t="n">
        <v>127.3</v>
      </c>
      <c r="J6" s="69" t="n">
        <v>125.8</v>
      </c>
      <c r="K6" s="69" t="n"/>
      <c r="L6" s="69" t="n"/>
      <c r="M6" s="69" t="n"/>
      <c r="N6" s="69" t="n"/>
      <c r="O6" s="69" t="n"/>
    </row>
    <row r="7" ht="15.75" customHeight="1" s="91">
      <c r="F7" t="inlineStr">
        <is>
          <t>Mid-Hudson</t>
        </is>
      </c>
      <c r="G7" s="69" t="n">
        <v>141</v>
      </c>
      <c r="H7" s="69" t="n">
        <v>136.7</v>
      </c>
      <c r="I7" s="69" t="n">
        <v>140.7</v>
      </c>
      <c r="J7" s="69" t="n">
        <v>124.8</v>
      </c>
      <c r="K7" s="69" t="n"/>
      <c r="L7" s="69" t="n"/>
      <c r="M7" s="69" t="n"/>
      <c r="N7" s="69" t="n"/>
      <c r="O7" s="69" t="n"/>
    </row>
    <row r="8">
      <c r="F8" t="inlineStr">
        <is>
          <t>NYS excl NYC</t>
        </is>
      </c>
      <c r="G8" s="69" t="n">
        <v>141.1</v>
      </c>
      <c r="H8" s="69" t="n">
        <v>140.5</v>
      </c>
      <c r="I8" s="69" t="n">
        <v>145.9</v>
      </c>
      <c r="J8" s="69" t="n">
        <v>129.7</v>
      </c>
      <c r="K8" s="69" t="n"/>
      <c r="L8" s="69" t="n"/>
      <c r="M8" s="69" t="n"/>
      <c r="N8" s="69" t="n"/>
      <c r="O8" s="69" t="n"/>
    </row>
    <row r="9">
      <c r="A9" s="71" t="inlineStr">
        <is>
          <t>Figure Rules</t>
        </is>
      </c>
      <c r="F9" t="inlineStr">
        <is>
          <t>NYS</t>
        </is>
      </c>
      <c r="G9" s="69" t="n">
        <v>135.6</v>
      </c>
      <c r="H9" s="69" t="n">
        <v>136.6</v>
      </c>
      <c r="I9" s="69" t="n">
        <v>139.5</v>
      </c>
      <c r="J9" s="69" t="n">
        <v>122.5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57"/>
  <sheetViews>
    <sheetView workbookViewId="0">
      <selection activeCell="J18" sqref="J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129.6</v>
      </c>
      <c r="H6" s="69" t="n">
        <v>141.2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57"/>
  <sheetViews>
    <sheetView workbookViewId="0">
      <selection activeCell="K21" sqref="K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129.6</v>
      </c>
      <c r="H6" s="69" t="n">
        <v>137.1</v>
      </c>
      <c r="I6" s="69" t="n">
        <v>129.9</v>
      </c>
      <c r="J6" s="69" t="inlineStr">
        <is>
          <t>s</t>
        </is>
      </c>
      <c r="K6" s="69" t="n">
        <v>111.9</v>
      </c>
      <c r="L6" s="69" t="n">
        <v>95.8</v>
      </c>
      <c r="M6" s="69" t="n"/>
      <c r="N6" s="69" t="n"/>
      <c r="O6" s="69" t="n"/>
    </row>
    <row r="7" ht="15.75" customHeight="1" s="91">
      <c r="F7" t="inlineStr">
        <is>
          <t>NYS excl NYC</t>
        </is>
      </c>
      <c r="G7" s="69" t="n">
        <v>141.2</v>
      </c>
      <c r="H7" s="69" t="n">
        <v>146.6</v>
      </c>
      <c r="I7" s="69" t="n">
        <v>134.1</v>
      </c>
      <c r="J7" s="69" t="n">
        <v>122.8</v>
      </c>
      <c r="K7" s="69" t="n">
        <v>122.5</v>
      </c>
      <c r="L7" s="69" t="n">
        <v>100.6</v>
      </c>
      <c r="M7" s="69" t="n"/>
      <c r="N7" s="69" t="n"/>
      <c r="O7" s="69" t="n"/>
    </row>
    <row r="8">
      <c r="F8" t="inlineStr">
        <is>
          <t>NYS</t>
        </is>
      </c>
      <c r="G8" s="69" t="n">
        <v>135.5</v>
      </c>
      <c r="H8" s="69" t="n">
        <v>147.3</v>
      </c>
      <c r="I8" s="69" t="n">
        <v>128.4</v>
      </c>
      <c r="J8" s="69" t="n">
        <v>122.8</v>
      </c>
      <c r="K8" s="69" t="n">
        <v>116</v>
      </c>
      <c r="L8" s="69" t="n">
        <v>98.59999999999999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57"/>
  <sheetViews>
    <sheetView topLeftCell="A4"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26.8</v>
      </c>
      <c r="H6" s="69" t="n">
        <v>26.2</v>
      </c>
      <c r="I6" s="69" t="n">
        <v>25.2</v>
      </c>
      <c r="J6" s="69" t="n">
        <v>22</v>
      </c>
      <c r="K6" s="69" t="n"/>
      <c r="L6" s="69" t="n"/>
      <c r="M6" s="69" t="n"/>
      <c r="N6" s="69" t="n"/>
      <c r="O6" s="69" t="n"/>
    </row>
    <row r="7" ht="15.75" customHeight="1" s="91">
      <c r="F7" t="inlineStr">
        <is>
          <t>Mid-Hudson</t>
        </is>
      </c>
      <c r="G7" s="69" t="n">
        <v>19.4</v>
      </c>
      <c r="H7" s="69" t="n">
        <v>20.5</v>
      </c>
      <c r="I7" s="69" t="n">
        <v>19</v>
      </c>
      <c r="J7" s="69" t="n">
        <v>17.9</v>
      </c>
      <c r="K7" s="69" t="n"/>
      <c r="L7" s="69" t="n"/>
      <c r="M7" s="69" t="n"/>
      <c r="N7" s="69" t="n"/>
      <c r="O7" s="69" t="n"/>
    </row>
    <row r="8">
      <c r="F8" t="inlineStr">
        <is>
          <t>NYS excl NYC</t>
        </is>
      </c>
      <c r="G8" s="69" t="n">
        <v>17.9</v>
      </c>
      <c r="H8" s="69" t="n">
        <v>19</v>
      </c>
      <c r="I8" s="69" t="n">
        <v>17.7</v>
      </c>
      <c r="J8" s="69" t="n">
        <v>18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23.5</v>
      </c>
      <c r="H6" s="69" t="n">
        <v>17.7</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Q57"/>
  <sheetViews>
    <sheetView workbookViewId="0">
      <selection activeCell="G11" sqref="G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23.5</v>
      </c>
      <c r="H6" s="69" t="n">
        <v>23.3</v>
      </c>
      <c r="I6" s="69" t="n">
        <v>34.6</v>
      </c>
      <c r="J6" s="69" t="inlineStr">
        <is>
          <t>s</t>
        </is>
      </c>
      <c r="K6" s="69" t="inlineStr">
        <is>
          <t>s</t>
        </is>
      </c>
      <c r="L6" s="69" t="n">
        <v>13.7</v>
      </c>
      <c r="M6" s="69" t="n"/>
      <c r="N6" s="69" t="n"/>
      <c r="O6" s="69" t="n"/>
    </row>
    <row r="7" ht="15.75" customHeight="1" s="91">
      <c r="F7" t="inlineStr">
        <is>
          <t>NYS excl NYC</t>
        </is>
      </c>
      <c r="G7" s="69" t="n">
        <v>17.7</v>
      </c>
      <c r="H7" s="69" t="n">
        <v>17.7</v>
      </c>
      <c r="I7" s="69" t="n">
        <v>24.5</v>
      </c>
      <c r="J7" s="69" t="n">
        <v>26.2</v>
      </c>
      <c r="K7" s="69" t="n">
        <v>10.1</v>
      </c>
      <c r="L7" s="69" t="n">
        <v>11.2</v>
      </c>
      <c r="M7" s="69" t="n"/>
      <c r="N7" s="69" t="n"/>
      <c r="O7" s="69" t="n"/>
    </row>
    <row r="8">
      <c r="F8" t="inlineStr">
        <is>
          <t>NYS</t>
        </is>
      </c>
      <c r="G8" s="69" t="n">
        <v>17</v>
      </c>
      <c r="H8" s="69" t="n">
        <v>17.3</v>
      </c>
      <c r="I8" s="69" t="n">
        <v>22.6</v>
      </c>
      <c r="J8" s="69" t="n">
        <v>26.2</v>
      </c>
      <c r="K8" s="69" t="n">
        <v>9.1</v>
      </c>
      <c r="L8" s="69" t="n">
        <v>11.9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10.8</v>
      </c>
      <c r="H6" s="69" t="n">
        <v>9.4</v>
      </c>
      <c r="I6" s="69" t="n">
        <v>7.2</v>
      </c>
      <c r="J6" s="69" t="n">
        <v>7.6</v>
      </c>
      <c r="K6" s="69" t="n"/>
      <c r="L6" s="69" t="n"/>
      <c r="M6" s="69" t="n"/>
      <c r="N6" s="69" t="n"/>
      <c r="O6" s="69" t="n"/>
    </row>
    <row r="7" ht="15.75" customHeight="1" s="91">
      <c r="F7" t="inlineStr">
        <is>
          <t>Mid-Hudson</t>
        </is>
      </c>
      <c r="G7" s="69" t="n">
        <v>7.3</v>
      </c>
      <c r="H7" s="69" t="n">
        <v>6.3</v>
      </c>
      <c r="I7" s="69" t="n">
        <v>6.6</v>
      </c>
      <c r="J7" s="69" t="n">
        <v>6</v>
      </c>
      <c r="K7" s="69" t="n"/>
      <c r="L7" s="69" t="n"/>
      <c r="M7" s="69" t="n"/>
      <c r="N7" s="69" t="n"/>
      <c r="O7" s="69" t="n"/>
    </row>
    <row r="8">
      <c r="F8" t="inlineStr">
        <is>
          <t>NYS excl NYC</t>
        </is>
      </c>
      <c r="G8" s="69" t="n">
        <v>7.3</v>
      </c>
      <c r="H8" s="69" t="n">
        <v>6.3</v>
      </c>
      <c r="I8" s="69" t="n">
        <v>6.6</v>
      </c>
      <c r="J8" s="69" t="n">
        <v>6</v>
      </c>
      <c r="K8" s="69" t="n"/>
      <c r="L8" s="69" t="n"/>
      <c r="M8" s="69" t="n"/>
      <c r="N8" s="69" t="n"/>
      <c r="O8" s="69" t="n"/>
    </row>
    <row r="9">
      <c r="A9" s="71" t="inlineStr">
        <is>
          <t>Figure Rules</t>
        </is>
      </c>
      <c r="F9" t="inlineStr">
        <is>
          <t>NYS</t>
        </is>
      </c>
      <c r="G9" s="69" t="n">
        <v>8.199999999999999</v>
      </c>
      <c r="H9" s="69" t="n">
        <v>7.2</v>
      </c>
      <c r="I9" s="69" t="n">
        <v>7.4</v>
      </c>
      <c r="J9" s="69" t="n">
        <v>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cervix uteri cancer is C53.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Q57"/>
  <sheetViews>
    <sheetView topLeftCell="A4" workbookViewId="0">
      <selection activeCell="J20" sqref="J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7.5</v>
      </c>
      <c r="H6" s="69" t="n">
        <v>6.4</v>
      </c>
      <c r="I6" s="69" t="n">
        <v>6.9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3.3</v>
      </c>
      <c r="H6" s="69" t="n">
        <v>3.6</v>
      </c>
      <c r="I6" s="69" t="n">
        <v>3.3</v>
      </c>
      <c r="J6" s="69" t="n">
        <v>2.9</v>
      </c>
      <c r="K6" s="69" t="n"/>
      <c r="L6" s="69" t="n"/>
      <c r="M6" s="69" t="n"/>
      <c r="N6" s="69" t="n"/>
      <c r="O6" s="69" t="n"/>
    </row>
    <row r="7" ht="15.75" customHeight="1" s="91">
      <c r="F7" t="inlineStr">
        <is>
          <t>Mid-Hudson</t>
        </is>
      </c>
      <c r="G7" s="69" t="n">
        <v>1.9</v>
      </c>
      <c r="H7" s="69" t="n">
        <v>1.5</v>
      </c>
      <c r="I7" s="69" t="n">
        <v>1.2</v>
      </c>
      <c r="J7" s="69" t="n">
        <v>1.5</v>
      </c>
      <c r="K7" s="69" t="n"/>
      <c r="L7" s="69" t="n"/>
      <c r="M7" s="69" t="n"/>
      <c r="N7" s="69" t="n"/>
      <c r="O7" s="69" t="n"/>
    </row>
    <row r="8">
      <c r="F8" t="inlineStr">
        <is>
          <t>NYS excl NYC</t>
        </is>
      </c>
      <c r="G8" s="69" t="n">
        <v>1.9</v>
      </c>
      <c r="H8" s="69" t="n">
        <v>1.5</v>
      </c>
      <c r="I8" s="69" t="n">
        <v>1.9</v>
      </c>
      <c r="J8" s="69" t="n">
        <v>1.4</v>
      </c>
      <c r="K8" s="69" t="n"/>
      <c r="L8" s="69" t="n"/>
      <c r="M8" s="69" t="n"/>
      <c r="N8" s="69" t="n"/>
      <c r="O8" s="69" t="n"/>
    </row>
    <row r="9">
      <c r="A9" s="71" t="inlineStr">
        <is>
          <t>Figure Rules</t>
        </is>
      </c>
      <c r="F9" t="inlineStr">
        <is>
          <t>NYS</t>
        </is>
      </c>
      <c r="G9" s="69" t="n">
        <v>2.1</v>
      </c>
      <c r="H9" s="69" t="n">
        <v>1.8</v>
      </c>
      <c r="I9" s="69" t="n">
        <v>1.7</v>
      </c>
      <c r="J9" s="69" t="n">
        <v>1.6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2.7</v>
      </c>
      <c r="H6" s="69" t="n">
        <v>1.6</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Q57"/>
  <sheetViews>
    <sheetView workbookViewId="0">
      <selection activeCell="D9" sqref="D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114.2</v>
      </c>
      <c r="H6" s="69" t="n">
        <v>123.7</v>
      </c>
      <c r="I6" s="69" t="n">
        <v>118</v>
      </c>
      <c r="J6" s="69" t="n">
        <v>122.1</v>
      </c>
      <c r="K6" s="69" t="n"/>
      <c r="L6" s="69" t="n"/>
      <c r="M6" s="69" t="n"/>
      <c r="N6" s="69" t="n"/>
      <c r="O6" s="69" t="n"/>
    </row>
    <row r="7" ht="15.75" customHeight="1" s="91">
      <c r="F7" t="inlineStr">
        <is>
          <t>Mid-Hudson</t>
        </is>
      </c>
      <c r="G7" s="69" t="n">
        <v>130.5</v>
      </c>
      <c r="H7" s="69" t="n">
        <v>126.6</v>
      </c>
      <c r="I7" s="69" t="n">
        <v>132.8</v>
      </c>
      <c r="J7" s="69" t="n">
        <v>112.9</v>
      </c>
      <c r="K7" s="69" t="n"/>
      <c r="L7" s="69" t="n"/>
      <c r="M7" s="69" t="n"/>
      <c r="N7" s="69" t="n"/>
      <c r="O7" s="69" t="n"/>
    </row>
    <row r="8">
      <c r="F8" t="inlineStr">
        <is>
          <t>NYS excl NYC</t>
        </is>
      </c>
      <c r="G8" s="69" t="n">
        <v>133</v>
      </c>
      <c r="H8" s="69" t="n">
        <v>139.3</v>
      </c>
      <c r="I8" s="69" t="n">
        <v>142.1</v>
      </c>
      <c r="J8" s="69" t="n">
        <v>122.7</v>
      </c>
      <c r="K8" s="69" t="n"/>
      <c r="L8" s="69" t="n"/>
      <c r="M8" s="69" t="n"/>
      <c r="N8" s="69" t="n"/>
      <c r="O8" s="69" t="n"/>
    </row>
    <row r="9">
      <c r="A9" s="71" t="inlineStr">
        <is>
          <t>Figure Rules</t>
        </is>
      </c>
      <c r="F9" t="inlineStr">
        <is>
          <t>NYS</t>
        </is>
      </c>
      <c r="G9" s="69" t="n">
        <v>130.7</v>
      </c>
      <c r="H9" s="69" t="n">
        <v>135</v>
      </c>
      <c r="I9" s="69" t="n">
        <v>138</v>
      </c>
      <c r="J9" s="69" t="n">
        <v>117.7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Q57"/>
  <sheetViews>
    <sheetView workbookViewId="0">
      <selection activeCell="D11" sqref="D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126.9</v>
      </c>
      <c r="H6" s="69" t="n">
        <v>140.2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Q57"/>
  <sheetViews>
    <sheetView workbookViewId="0">
      <selection activeCell="P27" sqref="P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126.9</v>
      </c>
      <c r="H6" s="69" t="n">
        <v>117.1</v>
      </c>
      <c r="I6" s="69" t="n">
        <v>217.7</v>
      </c>
      <c r="J6" s="69" t="inlineStr">
        <is>
          <t>s</t>
        </is>
      </c>
      <c r="K6" s="69" t="inlineStr">
        <is>
          <t>s</t>
        </is>
      </c>
      <c r="L6" s="69" t="n">
        <v>112.9</v>
      </c>
      <c r="M6" s="69" t="n"/>
      <c r="N6" s="69" t="n"/>
      <c r="O6" s="69" t="n"/>
    </row>
    <row r="7" ht="15.75" customHeight="1" s="91">
      <c r="F7" t="inlineStr">
        <is>
          <t>NYS excl NYC</t>
        </is>
      </c>
      <c r="G7" s="69" t="n">
        <v>140.2</v>
      </c>
      <c r="H7" s="69" t="n">
        <v>136.8</v>
      </c>
      <c r="I7" s="69" t="n">
        <v>229.7</v>
      </c>
      <c r="J7" s="69" t="n">
        <v>118.5</v>
      </c>
      <c r="K7" s="69" t="n">
        <v>75.2</v>
      </c>
      <c r="L7" s="69" t="n">
        <v>107.9</v>
      </c>
      <c r="M7" s="69" t="n"/>
      <c r="N7" s="69" t="n"/>
      <c r="O7" s="69" t="n"/>
    </row>
    <row r="8">
      <c r="F8" t="inlineStr">
        <is>
          <t>NYS</t>
        </is>
      </c>
      <c r="G8" s="69" t="n">
        <v>135.5</v>
      </c>
      <c r="H8" s="69" t="n">
        <v>132</v>
      </c>
      <c r="I8" s="69" t="n">
        <v>209.9</v>
      </c>
      <c r="J8" s="69" t="n">
        <v>118.5</v>
      </c>
      <c r="K8" s="69" t="n">
        <v>63.3</v>
      </c>
      <c r="L8" s="69" t="n">
        <v>109.9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23.4</v>
      </c>
      <c r="H6" s="69" t="n">
        <v>20</v>
      </c>
      <c r="I6" s="69" t="n">
        <v>19.9</v>
      </c>
      <c r="J6" s="69" t="n">
        <v>16.6</v>
      </c>
      <c r="K6" s="69" t="n"/>
      <c r="L6" s="69" t="n"/>
      <c r="M6" s="69" t="n"/>
      <c r="N6" s="69" t="n"/>
      <c r="O6" s="69" t="n"/>
    </row>
    <row r="7" ht="15.75" customHeight="1" s="91">
      <c r="F7" t="inlineStr">
        <is>
          <t>Mid-Hudson</t>
        </is>
      </c>
      <c r="G7" s="69" t="n">
        <v>15.5</v>
      </c>
      <c r="H7" s="69" t="n">
        <v>15.9</v>
      </c>
      <c r="I7" s="69" t="n">
        <v>13.2</v>
      </c>
      <c r="J7" s="69" t="n">
        <v>13.8</v>
      </c>
      <c r="K7" s="69" t="n"/>
      <c r="L7" s="69" t="n"/>
      <c r="M7" s="69" t="n"/>
      <c r="N7" s="69" t="n"/>
      <c r="O7" s="69" t="n"/>
    </row>
    <row r="8">
      <c r="F8" t="inlineStr">
        <is>
          <t>NYS excl NYC</t>
        </is>
      </c>
      <c r="G8" s="69" t="n">
        <v>17.2</v>
      </c>
      <c r="H8" s="69" t="n">
        <v>16.2</v>
      </c>
      <c r="I8" s="69" t="n">
        <v>15.2</v>
      </c>
      <c r="J8" s="69" t="n">
        <v>16.2</v>
      </c>
      <c r="K8" s="69" t="n"/>
      <c r="L8" s="69" t="n"/>
      <c r="M8" s="69" t="n"/>
      <c r="N8" s="69" t="n"/>
      <c r="O8" s="69" t="n"/>
    </row>
    <row r="9">
      <c r="A9" s="71" t="inlineStr">
        <is>
          <t>Figure Rules</t>
        </is>
      </c>
      <c r="F9" t="inlineStr">
        <is>
          <t>NYS</t>
        </is>
      </c>
      <c r="G9" s="69" t="n">
        <v>17.8</v>
      </c>
      <c r="H9" s="69" t="n">
        <v>16.6</v>
      </c>
      <c r="I9" s="69" t="n">
        <v>15.9</v>
      </c>
      <c r="J9" s="69" t="n">
        <v>15.4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Q57"/>
  <sheetViews>
    <sheetView workbookViewId="0">
      <selection activeCell="F9" sqref="F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18.2</v>
      </c>
      <c r="H6" s="69" t="n">
        <v>15.9</v>
      </c>
      <c r="I6" s="69" t="n">
        <v>15.5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Q57"/>
  <sheetViews>
    <sheetView workbookViewId="0">
      <selection activeCell="O26" activeCellId="1" sqref="O27 O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18.2</v>
      </c>
      <c r="H6" s="69" t="n">
        <v>17.4</v>
      </c>
      <c r="I6" s="69" t="n">
        <v>37.3</v>
      </c>
      <c r="J6" s="69" t="inlineStr">
        <is>
          <t>s</t>
        </is>
      </c>
      <c r="K6" s="69" t="inlineStr">
        <is>
          <t>s</t>
        </is>
      </c>
      <c r="L6" s="69" t="n"/>
      <c r="M6" s="69" t="n"/>
      <c r="N6" s="69" t="n"/>
      <c r="O6" s="69" t="n"/>
    </row>
    <row r="7" ht="15.75" customHeight="1" s="91">
      <c r="F7" t="inlineStr">
        <is>
          <t>NYS excl NYC</t>
        </is>
      </c>
      <c r="G7" s="69" t="n">
        <v>15.9</v>
      </c>
      <c r="H7" s="69" t="n">
        <v>15.7</v>
      </c>
      <c r="I7" s="69" t="n">
        <v>26.8</v>
      </c>
      <c r="J7" s="69" t="n">
        <v>7.3</v>
      </c>
      <c r="K7" s="69" t="n">
        <v>11.7</v>
      </c>
      <c r="L7" s="69" t="n"/>
      <c r="M7" s="69" t="n"/>
      <c r="N7" s="69" t="n"/>
      <c r="O7" s="69" t="n"/>
    </row>
    <row r="8">
      <c r="F8" t="inlineStr">
        <is>
          <t>NYS</t>
        </is>
      </c>
      <c r="G8" s="69" t="n">
        <v>15.5</v>
      </c>
      <c r="H8" s="69" t="n">
        <v>14.5</v>
      </c>
      <c r="I8" s="69" t="n">
        <v>28.6</v>
      </c>
      <c r="J8" s="69" t="n">
        <v>6.3</v>
      </c>
      <c r="K8" s="69" t="n">
        <v>14.2</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Q57"/>
  <sheetViews>
    <sheetView workbookViewId="0">
      <selection activeCell="B30" sqref="B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General Communicable Diseases, Case Counts and Rates per 100,000 Residents, 2021–2023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F5" s="69" t="inlineStr">
        <is>
          <t>Disease</t>
        </is>
      </c>
      <c r="G5" s="69" t="n">
        <v>2021</v>
      </c>
      <c r="I5" s="69" t="n">
        <v>2022</v>
      </c>
      <c r="K5" s="69" t="n">
        <v>2023</v>
      </c>
      <c r="M5" s="69" t="inlineStr">
        <is>
          <t>Total</t>
        </is>
      </c>
    </row>
    <row r="6">
      <c r="A6" t="inlineStr">
        <is>
          <t>Multilevel Headers</t>
        </is>
      </c>
      <c r="B6" t="b">
        <v>0</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77" t="inlineStr">
        <is>
          <t>Amebiasis</t>
        </is>
      </c>
      <c r="G7" s="68" t="inlineStr">
        <is>
          <t>s</t>
        </is>
      </c>
      <c r="H7" s="68" t="inlineStr">
        <is>
          <t>s</t>
        </is>
      </c>
      <c r="I7" s="68" t="inlineStr">
        <is>
          <t>s</t>
        </is>
      </c>
      <c r="J7" s="68" t="inlineStr">
        <is>
          <t>s</t>
        </is>
      </c>
      <c r="K7" s="68" t="inlineStr">
        <is>
          <t>s</t>
        </is>
      </c>
      <c r="L7" s="68" t="inlineStr">
        <is>
          <t>s</t>
        </is>
      </c>
      <c r="M7" s="68" t="n">
        <v>5</v>
      </c>
      <c r="N7" s="68" t="n">
        <v>0.4</v>
      </c>
      <c r="O7" s="69" t="n"/>
    </row>
    <row r="8">
      <c r="F8" s="77" t="inlineStr">
        <is>
          <t>Anaplasmosis, Anaplasma phagocytophilum</t>
        </is>
      </c>
      <c r="G8" s="68" t="n">
        <v>69</v>
      </c>
      <c r="H8" s="68" t="n">
        <v>17.3</v>
      </c>
      <c r="I8" s="68" t="n">
        <v>38</v>
      </c>
      <c r="J8" s="68" t="n">
        <v>9.5</v>
      </c>
      <c r="K8" s="68" t="n">
        <v>76</v>
      </c>
      <c r="L8" s="68" t="n">
        <v>18.8</v>
      </c>
      <c r="M8" s="68" t="n">
        <v>183</v>
      </c>
      <c r="N8" s="68" t="n">
        <v>15.2</v>
      </c>
      <c r="O8" s="69" t="n"/>
    </row>
    <row r="9">
      <c r="A9" s="71" t="inlineStr">
        <is>
          <t>Figure Rules</t>
        </is>
      </c>
      <c r="F9" s="77" t="inlineStr">
        <is>
          <t>Babesiosis</t>
        </is>
      </c>
      <c r="G9" s="68" t="n">
        <v>66</v>
      </c>
      <c r="H9" s="68" t="n">
        <v>16.6</v>
      </c>
      <c r="I9" s="68" t="n">
        <v>33</v>
      </c>
      <c r="J9" s="68" t="n">
        <v>8.199999999999999</v>
      </c>
      <c r="K9" s="68" t="n">
        <v>82</v>
      </c>
      <c r="L9" s="68" t="n">
        <v>20.3</v>
      </c>
      <c r="M9" s="68" t="n">
        <v>181</v>
      </c>
      <c r="N9" s="68" t="n">
        <v>15</v>
      </c>
      <c r="O9" s="69" t="n"/>
    </row>
    <row r="10">
      <c r="A10" t="inlineStr">
        <is>
          <t>Figure Type</t>
        </is>
      </c>
      <c r="F10" s="77" t="inlineStr">
        <is>
          <t>Campylobacteriosis</t>
        </is>
      </c>
      <c r="G10" s="68" t="n">
        <v>48</v>
      </c>
      <c r="H10" s="68" t="n">
        <v>12.1</v>
      </c>
      <c r="I10" s="68" t="n">
        <v>58</v>
      </c>
      <c r="J10" s="68" t="n">
        <v>14.5</v>
      </c>
      <c r="K10" s="68" t="n">
        <v>74</v>
      </c>
      <c r="L10" s="68" t="n">
        <v>18.3</v>
      </c>
      <c r="M10" s="68" t="n">
        <v>180</v>
      </c>
      <c r="N10" s="68" t="n">
        <v>14.9</v>
      </c>
    </row>
    <row r="11">
      <c r="A11" t="inlineStr">
        <is>
          <t>X Column</t>
        </is>
      </c>
      <c r="F11" s="77" t="inlineStr">
        <is>
          <t>Candida Auris</t>
        </is>
      </c>
      <c r="G11" s="68" t="inlineStr">
        <is>
          <t>s</t>
        </is>
      </c>
      <c r="H11" s="68" t="inlineStr">
        <is>
          <t>s</t>
        </is>
      </c>
      <c r="I11" s="68" t="inlineStr">
        <is>
          <t>s</t>
        </is>
      </c>
      <c r="J11" s="68" t="inlineStr">
        <is>
          <t>s</t>
        </is>
      </c>
      <c r="K11" s="68" t="inlineStr">
        <is>
          <t>s</t>
        </is>
      </c>
      <c r="L11" s="68" t="inlineStr">
        <is>
          <t>s</t>
        </is>
      </c>
      <c r="M11" s="68" t="n">
        <v>7</v>
      </c>
      <c r="N11" s="68" t="n">
        <v>0.6</v>
      </c>
    </row>
    <row r="12">
      <c r="A12" t="inlineStr">
        <is>
          <t>Y Column</t>
        </is>
      </c>
      <c r="F12" s="77" t="inlineStr">
        <is>
          <t>Chlamydia</t>
        </is>
      </c>
      <c r="G12" s="68" t="n">
        <v>1438</v>
      </c>
      <c r="H12" s="68" t="n">
        <v>361.1</v>
      </c>
      <c r="I12" s="68" t="n">
        <v>1381</v>
      </c>
      <c r="J12" s="68" t="n">
        <v>344.2</v>
      </c>
      <c r="K12" s="68" t="n">
        <v>1491</v>
      </c>
      <c r="L12" s="68" t="n">
        <v>369.2</v>
      </c>
      <c r="M12" s="68" t="n">
        <v>4310</v>
      </c>
      <c r="N12" s="68" t="n">
        <v>358.1</v>
      </c>
    </row>
    <row r="13">
      <c r="A13" t="inlineStr">
        <is>
          <t>X Axis Title</t>
        </is>
      </c>
      <c r="F13" s="57" t="inlineStr">
        <is>
          <t>COVID-19</t>
        </is>
      </c>
      <c r="G13" s="68" t="n">
        <v>60495</v>
      </c>
      <c r="H13" s="68" t="n">
        <v>15189.2</v>
      </c>
      <c r="I13" s="68" t="n">
        <v>67448</v>
      </c>
      <c r="J13" s="68" t="n">
        <v>16810</v>
      </c>
      <c r="K13" s="68" t="n">
        <v>20504</v>
      </c>
      <c r="L13" s="68" t="n">
        <v>5077.3</v>
      </c>
      <c r="M13" s="68" t="n">
        <v>148447</v>
      </c>
      <c r="N13" s="68" t="n">
        <v>12358.8</v>
      </c>
    </row>
    <row r="14">
      <c r="A14" t="inlineStr">
        <is>
          <t>Y Axis Title</t>
        </is>
      </c>
      <c r="F14" s="77" t="inlineStr">
        <is>
          <t>Cryptosporidiosis</t>
        </is>
      </c>
      <c r="G14" s="68" t="inlineStr">
        <is>
          <t>s</t>
        </is>
      </c>
      <c r="H14" s="68" t="inlineStr">
        <is>
          <t>s</t>
        </is>
      </c>
      <c r="I14" s="68" t="n">
        <v>23</v>
      </c>
      <c r="J14" s="68" t="n">
        <v>5.7</v>
      </c>
      <c r="K14" s="68" t="n">
        <v>32</v>
      </c>
      <c r="L14" s="68" t="n">
        <v>7.9</v>
      </c>
      <c r="M14" s="68" t="n">
        <v>58</v>
      </c>
      <c r="N14" s="68" t="n">
        <v>4.8</v>
      </c>
    </row>
    <row r="15">
      <c r="A15" t="inlineStr">
        <is>
          <t>Start at Zero</t>
        </is>
      </c>
      <c r="F15" s="77" t="inlineStr">
        <is>
          <t>Cyclospora</t>
        </is>
      </c>
      <c r="G15" s="68" t="inlineStr">
        <is>
          <t>s</t>
        </is>
      </c>
      <c r="H15" s="68" t="inlineStr">
        <is>
          <t>s</t>
        </is>
      </c>
      <c r="I15" s="68" t="inlineStr">
        <is>
          <t>s</t>
        </is>
      </c>
      <c r="J15" s="68" t="inlineStr">
        <is>
          <t>s</t>
        </is>
      </c>
      <c r="K15" s="68" t="inlineStr">
        <is>
          <t>s</t>
        </is>
      </c>
      <c r="L15" s="68" t="inlineStr">
        <is>
          <t>s</t>
        </is>
      </c>
      <c r="M15" s="68" t="n">
        <v>6</v>
      </c>
      <c r="N15" s="68" t="n">
        <v>0.5</v>
      </c>
    </row>
    <row r="16">
      <c r="A16" t="inlineStr">
        <is>
          <t>Pivot For Chart</t>
        </is>
      </c>
      <c r="F16" s="77" t="inlineStr">
        <is>
          <t>Dengue Fever</t>
        </is>
      </c>
      <c r="G16" s="68" t="n">
        <v>0</v>
      </c>
      <c r="H16" s="68" t="n">
        <v>0</v>
      </c>
      <c r="I16" s="68" t="n">
        <v>0</v>
      </c>
      <c r="J16" s="68" t="n">
        <v>0</v>
      </c>
      <c r="K16" s="68" t="inlineStr">
        <is>
          <t>s</t>
        </is>
      </c>
      <c r="L16" s="68" t="inlineStr">
        <is>
          <t>s</t>
        </is>
      </c>
      <c r="M16" s="68" t="n">
        <v>5</v>
      </c>
      <c r="N16" s="68" t="n">
        <v>0.4</v>
      </c>
    </row>
    <row r="17">
      <c r="F17" s="77" t="inlineStr">
        <is>
          <t>E Coli Shiga Toxin</t>
        </is>
      </c>
      <c r="G17" s="68" t="inlineStr">
        <is>
          <t>s</t>
        </is>
      </c>
      <c r="H17" s="68" t="inlineStr">
        <is>
          <t>s</t>
        </is>
      </c>
      <c r="I17" s="68" t="n">
        <v>10</v>
      </c>
      <c r="J17" s="68" t="n">
        <v>2.5</v>
      </c>
      <c r="K17" s="68" t="n">
        <v>19</v>
      </c>
      <c r="L17" s="68" t="n">
        <v>4.7</v>
      </c>
      <c r="M17" s="68" t="n">
        <v>37</v>
      </c>
      <c r="N17" s="68" t="n">
        <v>3.1</v>
      </c>
    </row>
    <row r="18">
      <c r="A18" s="71" t="inlineStr">
        <is>
          <t>Source Specifications</t>
        </is>
      </c>
      <c r="F18" s="77" t="inlineStr">
        <is>
          <t>Ehrlichiosis, Ehrlichia chaffeenis</t>
        </is>
      </c>
      <c r="G18" s="68" t="inlineStr">
        <is>
          <t>s</t>
        </is>
      </c>
      <c r="H18" s="68" t="inlineStr">
        <is>
          <t>s</t>
        </is>
      </c>
      <c r="I18" s="68" t="n">
        <v>10</v>
      </c>
      <c r="J18" s="68" t="n">
        <v>2.5</v>
      </c>
      <c r="K18" s="68" t="n">
        <v>15</v>
      </c>
      <c r="L18" s="68" t="n">
        <v>3.7</v>
      </c>
      <c r="M18" s="68" t="n">
        <v>34</v>
      </c>
      <c r="N18" s="68" t="n">
        <v>2.8</v>
      </c>
    </row>
    <row r="19">
      <c r="A19" t="inlineStr">
        <is>
          <t>Source</t>
        </is>
      </c>
      <c r="B19" t="inlineStr">
        <is>
          <t>Source: NYS Communicable Disease Electronic Surveillance System, July 2025</t>
        </is>
      </c>
      <c r="F19" s="77" t="inlineStr">
        <is>
          <t>Encephalitis</t>
        </is>
      </c>
      <c r="G19" s="68" t="n">
        <v>0</v>
      </c>
      <c r="H19" s="68" t="n">
        <v>0</v>
      </c>
      <c r="I19" s="68" t="n">
        <v>0</v>
      </c>
      <c r="J19" s="68" t="n">
        <v>0</v>
      </c>
      <c r="K19" s="68" t="inlineStr">
        <is>
          <t>s</t>
        </is>
      </c>
      <c r="L19" s="68" t="inlineStr">
        <is>
          <t>s</t>
        </is>
      </c>
      <c r="M19" s="68" t="n">
        <v>4</v>
      </c>
      <c r="N19" s="68" t="n">
        <v>0.3</v>
      </c>
    </row>
    <row r="20">
      <c r="F20" s="77" t="inlineStr">
        <is>
          <t>Giardiasis</t>
        </is>
      </c>
      <c r="G20" s="68" t="n">
        <v>26</v>
      </c>
      <c r="H20" s="68" t="n">
        <v>6.5</v>
      </c>
      <c r="I20" s="68" t="n">
        <v>34</v>
      </c>
      <c r="J20" s="68" t="n">
        <v>8.5</v>
      </c>
      <c r="K20" s="68" t="n">
        <v>27</v>
      </c>
      <c r="L20" s="68" t="n">
        <v>6.7</v>
      </c>
      <c r="M20" s="68" t="n">
        <v>87</v>
      </c>
      <c r="N20" s="68" t="n">
        <v>7.2</v>
      </c>
    </row>
    <row r="21">
      <c r="A21" s="69" t="inlineStr">
        <is>
          <t>Note Specfications</t>
        </is>
      </c>
      <c r="F21" s="77" t="inlineStr">
        <is>
          <t>Gonorrhea</t>
        </is>
      </c>
      <c r="G21" s="68" t="n">
        <v>334</v>
      </c>
      <c r="H21" s="68" t="n">
        <v>83.90000000000001</v>
      </c>
      <c r="I21" s="68" t="n">
        <v>293</v>
      </c>
      <c r="J21" s="68" t="n">
        <v>73</v>
      </c>
      <c r="K21" s="68" t="n">
        <v>354</v>
      </c>
      <c r="L21" s="68" t="n">
        <v>87.7</v>
      </c>
      <c r="M21" s="68" t="n">
        <v>981</v>
      </c>
      <c r="N21" s="68" t="n">
        <v>81.5</v>
      </c>
    </row>
    <row r="22">
      <c r="A22" t="inlineStr">
        <is>
          <t xml:space="preserve">Note </t>
        </is>
      </c>
      <c r="B22" t="inlineStr">
        <is>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is>
      </c>
      <c r="F22" s="77" t="inlineStr">
        <is>
          <t>Haemophilus influenzae</t>
        </is>
      </c>
      <c r="G22" s="68" t="inlineStr">
        <is>
          <t>s</t>
        </is>
      </c>
      <c r="H22" s="68" t="inlineStr">
        <is>
          <t>s</t>
        </is>
      </c>
      <c r="I22" s="68" t="n">
        <v>10</v>
      </c>
      <c r="J22" s="68" t="n">
        <v>2.5</v>
      </c>
      <c r="K22" s="68" t="n">
        <v>15</v>
      </c>
      <c r="L22" s="68" t="n">
        <v>3.7</v>
      </c>
      <c r="M22" s="68" t="n">
        <v>30</v>
      </c>
      <c r="N22" s="68" t="n">
        <v>2.5</v>
      </c>
    </row>
    <row r="23">
      <c r="F23" s="77" t="inlineStr">
        <is>
          <t>Hepatitis A</t>
        </is>
      </c>
      <c r="G23" s="68" t="inlineStr">
        <is>
          <t>s</t>
        </is>
      </c>
      <c r="H23" s="68" t="inlineStr">
        <is>
          <t>s</t>
        </is>
      </c>
      <c r="I23" s="68" t="inlineStr">
        <is>
          <t>s</t>
        </is>
      </c>
      <c r="J23" s="68" t="inlineStr">
        <is>
          <t>s</t>
        </is>
      </c>
      <c r="K23" s="68" t="inlineStr">
        <is>
          <t>s</t>
        </is>
      </c>
      <c r="L23" s="68" t="inlineStr">
        <is>
          <t>s</t>
        </is>
      </c>
      <c r="M23" s="68" t="n">
        <v>3</v>
      </c>
      <c r="N23" s="68" t="n">
        <v>0.2</v>
      </c>
    </row>
    <row r="24">
      <c r="F24" s="77" t="inlineStr">
        <is>
          <t>Hepatitis B, Acute</t>
        </is>
      </c>
      <c r="G24" s="68" t="n">
        <v>0</v>
      </c>
      <c r="H24" s="68" t="n">
        <v>0</v>
      </c>
      <c r="I24" s="68" t="n">
        <v>0</v>
      </c>
      <c r="J24" s="68" t="n">
        <v>0</v>
      </c>
      <c r="K24" s="68" t="n">
        <v>0</v>
      </c>
      <c r="L24" s="68" t="n">
        <v>0</v>
      </c>
      <c r="M24" s="68" t="n">
        <v>0</v>
      </c>
      <c r="N24" s="68" t="n">
        <v>0</v>
      </c>
    </row>
    <row r="25">
      <c r="F25" s="77" t="inlineStr">
        <is>
          <t>Hepatitis B, Chronic</t>
        </is>
      </c>
      <c r="G25" s="68" t="n">
        <v>55</v>
      </c>
      <c r="H25" s="68" t="n">
        <v>13.8</v>
      </c>
      <c r="I25" s="68" t="n">
        <v>68</v>
      </c>
      <c r="J25" s="68" t="n">
        <v>16.9</v>
      </c>
      <c r="K25" s="68" t="n">
        <v>68</v>
      </c>
      <c r="L25" s="68" t="n">
        <v>16.8</v>
      </c>
      <c r="M25" s="68" t="n">
        <v>191</v>
      </c>
      <c r="N25" s="68" t="n">
        <v>15.9</v>
      </c>
    </row>
    <row r="26">
      <c r="F26" s="77" t="inlineStr">
        <is>
          <t>Hepatitis C, Acute</t>
        </is>
      </c>
      <c r="G26" s="68" t="inlineStr">
        <is>
          <t>s</t>
        </is>
      </c>
      <c r="H26" s="68" t="inlineStr">
        <is>
          <t>s</t>
        </is>
      </c>
      <c r="I26" s="68" t="n">
        <v>10</v>
      </c>
      <c r="J26" s="68" t="n">
        <v>2.5</v>
      </c>
      <c r="K26" s="68" t="inlineStr">
        <is>
          <t>s</t>
        </is>
      </c>
      <c r="L26" s="68" t="inlineStr">
        <is>
          <t>s</t>
        </is>
      </c>
      <c r="M26" s="68" t="n">
        <v>23</v>
      </c>
      <c r="N26" s="68" t="n">
        <v>1.9</v>
      </c>
    </row>
    <row r="27">
      <c r="A27" s="69" t="n"/>
      <c r="F27" s="77" t="inlineStr">
        <is>
          <t>Hepatitis C, Chronic</t>
        </is>
      </c>
      <c r="G27" s="68" t="n">
        <v>160</v>
      </c>
      <c r="H27" s="68" t="n">
        <v>40.2</v>
      </c>
      <c r="I27" s="68" t="n">
        <v>109</v>
      </c>
      <c r="J27" s="68" t="n">
        <v>27.2</v>
      </c>
      <c r="K27" s="68" t="n">
        <v>118</v>
      </c>
      <c r="L27" s="68" t="n">
        <v>29.2</v>
      </c>
      <c r="M27" s="68" t="n">
        <v>387</v>
      </c>
      <c r="N27" s="68" t="n">
        <v>32.2</v>
      </c>
    </row>
    <row r="28">
      <c r="F28" s="77" t="inlineStr">
        <is>
          <t>Influenza A</t>
        </is>
      </c>
      <c r="G28" s="68" t="n">
        <v>1311</v>
      </c>
      <c r="H28" s="68" t="n">
        <v>329.2</v>
      </c>
      <c r="I28" s="68" t="n">
        <v>11866</v>
      </c>
      <c r="J28" s="68" t="n">
        <v>2957.4</v>
      </c>
      <c r="K28" s="68" t="n">
        <v>4127</v>
      </c>
      <c r="L28" s="68" t="n">
        <v>1021.9</v>
      </c>
      <c r="M28" s="68" t="n">
        <v>17304</v>
      </c>
      <c r="N28" s="68" t="n">
        <v>1436.2</v>
      </c>
    </row>
    <row r="29">
      <c r="F29" s="77" t="inlineStr">
        <is>
          <t>Influenza B</t>
        </is>
      </c>
      <c r="G29" s="68" t="n">
        <v>71</v>
      </c>
      <c r="H29" s="68" t="n">
        <v>17.8</v>
      </c>
      <c r="I29" s="68" t="n">
        <v>165</v>
      </c>
      <c r="J29" s="68" t="n">
        <v>41.1</v>
      </c>
      <c r="K29" s="68" t="n">
        <v>1660</v>
      </c>
      <c r="L29" s="68" t="n">
        <v>411.1</v>
      </c>
      <c r="M29" s="68" t="n">
        <v>1896</v>
      </c>
      <c r="N29" s="68" t="n">
        <v>156.7</v>
      </c>
    </row>
    <row r="30">
      <c r="F30" s="77" t="inlineStr">
        <is>
          <t>Influenza, Unspecified</t>
        </is>
      </c>
      <c r="G30" s="68" t="n">
        <v>498</v>
      </c>
      <c r="H30" s="68" t="n">
        <v>125</v>
      </c>
      <c r="I30" s="68" t="n">
        <v>1231</v>
      </c>
      <c r="J30" s="68" t="n">
        <v>306.8</v>
      </c>
      <c r="K30" s="68" t="n">
        <v>347</v>
      </c>
      <c r="L30" s="68" t="n">
        <v>85.90000000000001</v>
      </c>
      <c r="M30" s="68" t="n">
        <v>2076</v>
      </c>
      <c r="N30" s="68" t="n">
        <v>172.6</v>
      </c>
    </row>
    <row r="31">
      <c r="F31" s="77" t="inlineStr">
        <is>
          <t>Legionellosis</t>
        </is>
      </c>
      <c r="G31" s="68" t="n">
        <v>12</v>
      </c>
      <c r="H31" s="68" t="n">
        <v>3</v>
      </c>
      <c r="I31" s="68" t="n">
        <v>10</v>
      </c>
      <c r="J31" s="68" t="n">
        <v>2.5</v>
      </c>
      <c r="K31" s="68" t="n">
        <v>14</v>
      </c>
      <c r="L31" s="68" t="n">
        <v>3.5</v>
      </c>
      <c r="M31" s="68" t="n">
        <v>36</v>
      </c>
      <c r="N31" s="68" t="n">
        <v>3</v>
      </c>
    </row>
    <row r="32">
      <c r="F32" s="77" t="inlineStr">
        <is>
          <t>Listeriosis Non-Pregnancy</t>
        </is>
      </c>
      <c r="G32" s="68" t="n">
        <v>0</v>
      </c>
      <c r="H32" s="68" t="n">
        <v>0</v>
      </c>
      <c r="I32" s="68" t="inlineStr">
        <is>
          <t>s</t>
        </is>
      </c>
      <c r="J32" s="68" t="inlineStr">
        <is>
          <t>s</t>
        </is>
      </c>
      <c r="K32" s="68" t="inlineStr">
        <is>
          <t>s</t>
        </is>
      </c>
      <c r="L32" s="68" t="inlineStr">
        <is>
          <t>s</t>
        </is>
      </c>
      <c r="M32" s="68" t="n">
        <v>2</v>
      </c>
      <c r="N32" s="68" t="n">
        <v>0.2</v>
      </c>
    </row>
    <row r="33">
      <c r="F33" s="77" t="inlineStr">
        <is>
          <t>Lyme Disease*</t>
        </is>
      </c>
      <c r="G33" s="68" t="n">
        <v>94</v>
      </c>
      <c r="H33" s="68" t="n">
        <v>23.6</v>
      </c>
      <c r="I33" s="68" t="n">
        <v>939</v>
      </c>
      <c r="J33" s="68" t="n">
        <v>234</v>
      </c>
      <c r="K33" s="68" t="n">
        <v>1208</v>
      </c>
      <c r="L33" s="68" t="n">
        <v>299.1</v>
      </c>
      <c r="M33" s="68" t="n">
        <v>2241</v>
      </c>
      <c r="N33" s="68" t="n">
        <v>185.6</v>
      </c>
    </row>
    <row r="34">
      <c r="F34" s="77" t="inlineStr">
        <is>
          <t>Malaria</t>
        </is>
      </c>
      <c r="G34" s="68" t="n">
        <v>0</v>
      </c>
      <c r="H34" s="68" t="n">
        <v>0</v>
      </c>
      <c r="I34" s="68" t="inlineStr">
        <is>
          <t>s</t>
        </is>
      </c>
      <c r="J34" s="68" t="inlineStr">
        <is>
          <t>s</t>
        </is>
      </c>
      <c r="K34" s="68" t="inlineStr">
        <is>
          <t>s</t>
        </is>
      </c>
      <c r="L34" s="68" t="inlineStr">
        <is>
          <t>s</t>
        </is>
      </c>
      <c r="M34" s="68" t="n">
        <v>4</v>
      </c>
      <c r="N34" s="68" t="n">
        <v>0.3</v>
      </c>
    </row>
    <row r="35">
      <c r="F35" s="77" t="inlineStr">
        <is>
          <t>Measles</t>
        </is>
      </c>
      <c r="G35" s="68" t="n">
        <v>0</v>
      </c>
      <c r="H35" s="68" t="n">
        <v>0</v>
      </c>
      <c r="I35" s="68" t="n">
        <v>0</v>
      </c>
      <c r="J35" s="68" t="n">
        <v>0</v>
      </c>
      <c r="K35" s="68" t="n">
        <v>0</v>
      </c>
      <c r="L35" s="68" t="n">
        <v>0</v>
      </c>
      <c r="M35" s="68" t="n">
        <v>0</v>
      </c>
      <c r="N35" s="68" t="n">
        <v>0</v>
      </c>
    </row>
    <row r="36">
      <c r="F36" s="77" t="inlineStr">
        <is>
          <t>Meningitis</t>
        </is>
      </c>
      <c r="G36" s="68" t="n">
        <v>0</v>
      </c>
      <c r="H36" s="68" t="n">
        <v>0</v>
      </c>
      <c r="I36" s="68" t="inlineStr">
        <is>
          <t>s</t>
        </is>
      </c>
      <c r="J36" s="68" t="inlineStr">
        <is>
          <t>s</t>
        </is>
      </c>
      <c r="K36" s="68" t="inlineStr">
        <is>
          <t>s</t>
        </is>
      </c>
      <c r="L36" s="68" t="inlineStr">
        <is>
          <t>s</t>
        </is>
      </c>
      <c r="M36" s="68" t="n">
        <v>12</v>
      </c>
      <c r="N36" s="68" t="n">
        <v>1</v>
      </c>
    </row>
    <row r="37">
      <c r="F37" s="77" t="inlineStr">
        <is>
          <t>Mumps</t>
        </is>
      </c>
      <c r="G37" s="68" t="n">
        <v>0</v>
      </c>
      <c r="H37" s="68" t="n">
        <v>0</v>
      </c>
      <c r="I37" s="68" t="n">
        <v>0</v>
      </c>
      <c r="J37" s="68" t="n">
        <v>0</v>
      </c>
      <c r="K37" s="68" t="n">
        <v>0</v>
      </c>
      <c r="L37" s="68" t="n">
        <v>0</v>
      </c>
      <c r="M37" s="68" t="n">
        <v>0</v>
      </c>
      <c r="N37" s="68" t="n">
        <v>0</v>
      </c>
    </row>
    <row r="38">
      <c r="F38" s="77" t="inlineStr">
        <is>
          <t>Pertussis</t>
        </is>
      </c>
      <c r="G38" s="68" t="n">
        <v>12</v>
      </c>
      <c r="H38" s="68" t="n">
        <v>3</v>
      </c>
      <c r="I38" s="68" t="n">
        <v>37</v>
      </c>
      <c r="J38" s="68" t="n">
        <v>9.199999999999999</v>
      </c>
      <c r="K38" s="68" t="n">
        <v>110</v>
      </c>
      <c r="L38" s="68" t="n">
        <v>27.2</v>
      </c>
      <c r="M38" s="68" t="n">
        <v>159</v>
      </c>
      <c r="N38" s="68" t="n">
        <v>13.2</v>
      </c>
    </row>
    <row r="39">
      <c r="F39" s="77" t="inlineStr">
        <is>
          <t>Rocky Mountain Spotted Fever</t>
        </is>
      </c>
      <c r="G39" s="68" t="inlineStr">
        <is>
          <t>s</t>
        </is>
      </c>
      <c r="H39" s="68" t="inlineStr">
        <is>
          <t>s</t>
        </is>
      </c>
      <c r="I39" s="68" t="n">
        <v>0</v>
      </c>
      <c r="J39" s="68" t="n">
        <v>0</v>
      </c>
      <c r="K39" s="68" t="n">
        <v>0</v>
      </c>
      <c r="L39" s="68" t="n">
        <v>0</v>
      </c>
      <c r="M39" s="68" t="n">
        <v>1</v>
      </c>
      <c r="N39" s="68" t="n">
        <v>0.1</v>
      </c>
    </row>
    <row r="40">
      <c r="F40" s="77" t="inlineStr">
        <is>
          <t>RSV</t>
        </is>
      </c>
      <c r="G40" s="68" t="n">
        <v>0</v>
      </c>
      <c r="H40" s="68" t="n">
        <v>0</v>
      </c>
      <c r="I40" s="68" t="n">
        <v>422</v>
      </c>
      <c r="J40" s="68" t="n">
        <v>104.5</v>
      </c>
      <c r="K40" s="68" t="n">
        <v>422</v>
      </c>
      <c r="L40" s="68" t="n">
        <v>34.8</v>
      </c>
      <c r="M40" s="68" t="n">
        <v>422</v>
      </c>
      <c r="N40" s="68" t="n">
        <v>34.8</v>
      </c>
    </row>
    <row r="41">
      <c r="F41" s="77" t="inlineStr">
        <is>
          <t>Salmonellosis</t>
        </is>
      </c>
      <c r="G41" s="68" t="n">
        <v>32</v>
      </c>
      <c r="H41" s="68" t="n">
        <v>8</v>
      </c>
      <c r="I41" s="68" t="n">
        <v>42</v>
      </c>
      <c r="J41" s="68" t="n">
        <v>10.5</v>
      </c>
      <c r="K41" s="68" t="n">
        <v>52</v>
      </c>
      <c r="L41" s="68" t="n">
        <v>12.9</v>
      </c>
      <c r="M41" s="68" t="n">
        <v>126</v>
      </c>
      <c r="N41" s="68" t="n">
        <v>10.5</v>
      </c>
    </row>
    <row r="42">
      <c r="F42" s="77" t="inlineStr">
        <is>
          <t>Shigellosis</t>
        </is>
      </c>
      <c r="G42" s="68" t="inlineStr">
        <is>
          <t>s</t>
        </is>
      </c>
      <c r="H42" s="68" t="inlineStr">
        <is>
          <t>s</t>
        </is>
      </c>
      <c r="I42" s="68" t="inlineStr">
        <is>
          <t>s</t>
        </is>
      </c>
      <c r="J42" s="68" t="inlineStr">
        <is>
          <t>s</t>
        </is>
      </c>
      <c r="K42" s="68" t="n">
        <v>184</v>
      </c>
      <c r="L42" s="68" t="n">
        <v>45.6</v>
      </c>
      <c r="M42" s="68" t="n">
        <v>192</v>
      </c>
      <c r="N42" s="68" t="n">
        <v>15.9</v>
      </c>
    </row>
    <row r="43">
      <c r="F43" s="77" t="inlineStr">
        <is>
          <t>Strep Group A</t>
        </is>
      </c>
      <c r="G43" s="68" t="n">
        <v>11</v>
      </c>
      <c r="H43" s="68" t="n">
        <v>2.8</v>
      </c>
      <c r="I43" s="68" t="n">
        <v>15</v>
      </c>
      <c r="J43" s="68" t="n">
        <v>3.7</v>
      </c>
      <c r="K43" s="68" t="n">
        <v>21</v>
      </c>
      <c r="L43" s="68" t="n">
        <v>5.2</v>
      </c>
      <c r="M43" s="68" t="n">
        <v>47</v>
      </c>
      <c r="N43" s="68" t="n">
        <v>3.9</v>
      </c>
    </row>
    <row r="44">
      <c r="F44" s="77" t="inlineStr">
        <is>
          <t>Strep Group B</t>
        </is>
      </c>
      <c r="G44" s="68" t="n">
        <v>40</v>
      </c>
      <c r="H44" s="68" t="n">
        <v>10</v>
      </c>
      <c r="I44" s="68" t="n">
        <v>34</v>
      </c>
      <c r="J44" s="68" t="n">
        <v>8.5</v>
      </c>
      <c r="K44" s="68" t="n">
        <v>39</v>
      </c>
      <c r="L44" s="68" t="n">
        <v>9.699999999999999</v>
      </c>
      <c r="M44" s="68" t="n">
        <v>113</v>
      </c>
      <c r="N44" s="68" t="n">
        <v>9.4</v>
      </c>
    </row>
    <row r="45">
      <c r="F45" s="77" t="inlineStr">
        <is>
          <t>Strep Pneumoniae</t>
        </is>
      </c>
      <c r="G45" s="68" t="n">
        <v>12</v>
      </c>
      <c r="H45" s="68" t="n">
        <v>3</v>
      </c>
      <c r="I45" s="68" t="n">
        <v>23</v>
      </c>
      <c r="J45" s="68" t="n">
        <v>5.7</v>
      </c>
      <c r="K45" s="68" t="n">
        <v>24</v>
      </c>
      <c r="L45" s="68" t="n">
        <v>5.9</v>
      </c>
      <c r="M45" s="68" t="n">
        <v>59</v>
      </c>
      <c r="N45" s="68" t="n">
        <v>4.9</v>
      </c>
    </row>
    <row r="46">
      <c r="F46" t="inlineStr">
        <is>
          <t>Syphilis</t>
        </is>
      </c>
      <c r="G46" s="68" t="n">
        <v>124</v>
      </c>
      <c r="H46" s="68" t="n">
        <v>31.1</v>
      </c>
      <c r="I46" s="68" t="n">
        <v>124</v>
      </c>
      <c r="J46" s="68" t="n">
        <v>30.9</v>
      </c>
      <c r="K46" s="68" t="n">
        <v>131</v>
      </c>
      <c r="L46" s="68" t="n">
        <v>32.4</v>
      </c>
      <c r="M46" s="68" t="n">
        <v>379</v>
      </c>
      <c r="N46" s="68" t="n">
        <v>31.5</v>
      </c>
    </row>
    <row r="47">
      <c r="F47" t="inlineStr">
        <is>
          <t>Tuberculosis</t>
        </is>
      </c>
      <c r="G47" s="68" t="inlineStr">
        <is>
          <t>s</t>
        </is>
      </c>
      <c r="H47" s="68" t="inlineStr">
        <is>
          <t>s</t>
        </is>
      </c>
      <c r="I47" s="68" t="inlineStr">
        <is>
          <t>s</t>
        </is>
      </c>
      <c r="J47" s="68" t="inlineStr">
        <is>
          <t>s</t>
        </is>
      </c>
      <c r="K47" s="68" t="inlineStr">
        <is>
          <t>s</t>
        </is>
      </c>
      <c r="L47" s="68" t="inlineStr">
        <is>
          <t>s</t>
        </is>
      </c>
      <c r="M47" s="68" t="n">
        <v>23</v>
      </c>
      <c r="N47" s="68" t="n">
        <v>1.9</v>
      </c>
    </row>
    <row r="48">
      <c r="F48" t="inlineStr">
        <is>
          <t>Typhoid</t>
        </is>
      </c>
      <c r="G48" s="68" t="n">
        <v>0</v>
      </c>
      <c r="H48" s="68" t="n">
        <v>0</v>
      </c>
      <c r="I48" s="68" t="n">
        <v>0</v>
      </c>
      <c r="J48" s="68" t="n">
        <v>0</v>
      </c>
      <c r="K48" s="68" t="inlineStr">
        <is>
          <t>s</t>
        </is>
      </c>
      <c r="L48" s="68" t="inlineStr">
        <is>
          <t>s</t>
        </is>
      </c>
      <c r="M48" s="68" t="n">
        <v>2</v>
      </c>
      <c r="N48" s="68" t="n">
        <v>0.2</v>
      </c>
    </row>
    <row r="49">
      <c r="F49" t="inlineStr">
        <is>
          <t>Vibriosis</t>
        </is>
      </c>
      <c r="G49" s="68" t="inlineStr">
        <is>
          <t>s</t>
        </is>
      </c>
      <c r="H49" s="68" t="inlineStr">
        <is>
          <t>s</t>
        </is>
      </c>
      <c r="I49" s="68" t="n">
        <v>0</v>
      </c>
      <c r="J49" s="68" t="n">
        <v>0</v>
      </c>
      <c r="K49" s="68" t="inlineStr">
        <is>
          <t>s</t>
        </is>
      </c>
      <c r="L49" s="68" t="inlineStr">
        <is>
          <t>s</t>
        </is>
      </c>
      <c r="M49" s="68" t="n">
        <v>4</v>
      </c>
      <c r="N49" s="68" t="n">
        <v>0.3</v>
      </c>
    </row>
    <row r="50">
      <c r="F50" t="inlineStr">
        <is>
          <t>Yersiniosis</t>
        </is>
      </c>
      <c r="G50" s="68" t="inlineStr">
        <is>
          <t>s</t>
        </is>
      </c>
      <c r="H50" s="68" t="inlineStr">
        <is>
          <t>s</t>
        </is>
      </c>
      <c r="I50" s="68" t="inlineStr">
        <is>
          <t>s</t>
        </is>
      </c>
      <c r="J50" s="68" t="inlineStr">
        <is>
          <t>s</t>
        </is>
      </c>
      <c r="K50" s="68" t="n">
        <v>16</v>
      </c>
      <c r="L50" s="68" t="n">
        <v>4</v>
      </c>
      <c r="M50" s="68" t="n">
        <v>30</v>
      </c>
      <c r="N50" s="68" t="n">
        <v>2</v>
      </c>
    </row>
    <row r="51"/>
    <row r="52"/>
    <row r="53"/>
    <row r="54"/>
    <row r="55"/>
    <row r="56"/>
    <row r="57"/>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Hepatitis A,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1.6</v>
      </c>
      <c r="H6" s="69" t="n">
        <v>0.3</v>
      </c>
      <c r="I6" s="69" t="n">
        <v>0.2</v>
      </c>
      <c r="J6" s="69" t="n">
        <v>0.2</v>
      </c>
      <c r="K6" s="69" t="n"/>
      <c r="L6" s="69" t="n"/>
      <c r="M6" s="69" t="n"/>
      <c r="N6" s="69" t="n"/>
      <c r="O6" s="69" t="n"/>
    </row>
    <row r="7" ht="15.75" customHeight="1" s="91">
      <c r="F7" t="inlineStr">
        <is>
          <t>NYS excl NYC</t>
        </is>
      </c>
      <c r="G7" s="69" t="n">
        <v>2</v>
      </c>
      <c r="H7" s="69" t="n">
        <v>0.9</v>
      </c>
      <c r="I7" s="69" t="n">
        <v>0.3</v>
      </c>
      <c r="J7" s="69" t="n">
        <v>0.3</v>
      </c>
      <c r="K7" s="69" t="n"/>
      <c r="L7" s="69" t="n"/>
      <c r="M7" s="69" t="n"/>
      <c r="N7" s="69" t="n"/>
      <c r="O7" s="69" t="n"/>
    </row>
    <row r="8">
      <c r="F8" t="inlineStr">
        <is>
          <t>NYS</t>
        </is>
      </c>
      <c r="G8" s="69" t="n">
        <v>1.6</v>
      </c>
      <c r="H8" s="69" t="n">
        <v>1</v>
      </c>
      <c r="I8" s="69" t="n">
        <v>0.4</v>
      </c>
      <c r="J8" s="69" t="n">
        <v>0.5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57"/>
  <sheetViews>
    <sheetView workbookViewId="0">
      <selection activeCell="M13" sqref="M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B,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n">
        <v>2020</v>
      </c>
      <c r="G6" s="69" t="n">
        <v>13.8</v>
      </c>
      <c r="H6" s="69" t="n">
        <v>13.6</v>
      </c>
      <c r="I6" s="69" t="n">
        <v>32.4</v>
      </c>
      <c r="J6" s="69" t="n"/>
      <c r="K6" s="69" t="n"/>
      <c r="L6" s="69" t="n"/>
      <c r="M6" s="69" t="n"/>
      <c r="N6" s="69" t="n"/>
      <c r="O6" s="69" t="n"/>
    </row>
    <row r="7" ht="15.75" customHeight="1" s="91">
      <c r="F7" t="n">
        <v>2021</v>
      </c>
      <c r="G7" s="69" t="n">
        <v>14</v>
      </c>
      <c r="H7" s="69" t="n">
        <v>15.7</v>
      </c>
      <c r="I7" s="69" t="n">
        <v>35.6</v>
      </c>
      <c r="J7" s="69" t="n"/>
      <c r="K7" s="69" t="n"/>
      <c r="L7" s="69" t="n"/>
      <c r="M7" s="69" t="n"/>
      <c r="N7" s="69" t="n"/>
      <c r="O7" s="69" t="n"/>
    </row>
    <row r="8">
      <c r="F8" t="n">
        <v>2022</v>
      </c>
      <c r="G8" s="69" t="n">
        <v>16.3</v>
      </c>
      <c r="H8" s="69" t="n">
        <v>17</v>
      </c>
      <c r="I8" s="69" t="n">
        <v>37.1</v>
      </c>
      <c r="J8" s="69" t="n"/>
      <c r="K8" s="69" t="n"/>
      <c r="L8" s="69" t="n"/>
      <c r="M8" s="69" t="n"/>
      <c r="N8" s="69" t="n"/>
      <c r="O8" s="69" t="n"/>
    </row>
    <row r="9">
      <c r="A9" s="71" t="inlineStr">
        <is>
          <t>Figure Rules</t>
        </is>
      </c>
      <c r="F9" t="n">
        <v>2023</v>
      </c>
      <c r="G9" s="69" t="n">
        <v>16.7</v>
      </c>
      <c r="H9" s="69" t="n">
        <v>18.2</v>
      </c>
      <c r="I9" s="69" t="n">
        <v>44.1</v>
      </c>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Acute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0.8</v>
      </c>
      <c r="H6" s="69" t="n">
        <v>2.6</v>
      </c>
      <c r="I6" s="69" t="n">
        <v>2.2</v>
      </c>
      <c r="J6" s="69" t="n">
        <v>1.5</v>
      </c>
      <c r="K6" s="69" t="n"/>
      <c r="L6" s="69" t="n"/>
      <c r="M6" s="69" t="n"/>
      <c r="N6" s="69" t="n"/>
      <c r="O6" s="69" t="n"/>
    </row>
    <row r="7" ht="15.75" customHeight="1" s="91">
      <c r="F7" t="inlineStr">
        <is>
          <t>NYS excl NYC</t>
        </is>
      </c>
      <c r="G7" s="69" t="n">
        <v>1.6</v>
      </c>
      <c r="H7" s="69" t="n">
        <v>2.5</v>
      </c>
      <c r="I7" s="69" t="n">
        <v>2.3</v>
      </c>
      <c r="J7" s="69" t="n">
        <v>1.8</v>
      </c>
      <c r="K7" s="69" t="n"/>
      <c r="L7" s="69" t="n"/>
      <c r="M7" s="69" t="n"/>
      <c r="N7" s="69" t="n"/>
      <c r="O7" s="69" t="n"/>
    </row>
    <row r="8">
      <c r="F8" t="inlineStr">
        <is>
          <t>NYS</t>
        </is>
      </c>
      <c r="G8" s="69" t="n">
        <v>2.2</v>
      </c>
      <c r="H8" s="69" t="n">
        <v>2.1</v>
      </c>
      <c r="I8" s="69" t="n">
        <v>2</v>
      </c>
      <c r="J8" s="69" t="n">
        <v>1.9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Q57"/>
  <sheetViews>
    <sheetView workbookViewId="0">
      <selection activeCell="D21" sqref="D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37.6</v>
      </c>
      <c r="H6" s="69" t="n">
        <v>41</v>
      </c>
      <c r="I6" s="69" t="n">
        <v>24.6</v>
      </c>
      <c r="J6" s="69" t="n">
        <v>24.4</v>
      </c>
      <c r="K6" s="69" t="n"/>
      <c r="L6" s="69" t="n"/>
      <c r="M6" s="69" t="n"/>
      <c r="N6" s="69" t="n"/>
      <c r="O6" s="69" t="n"/>
    </row>
    <row r="7" ht="15.75" customHeight="1" s="91">
      <c r="F7" t="inlineStr">
        <is>
          <t>NYS excl NYC</t>
        </is>
      </c>
      <c r="G7" s="69" t="n">
        <v>34.2</v>
      </c>
      <c r="H7" s="69" t="n">
        <v>31.1</v>
      </c>
      <c r="I7" s="69" t="n">
        <v>25.2</v>
      </c>
      <c r="J7" s="69" t="n">
        <v>22</v>
      </c>
      <c r="K7" s="69" t="n"/>
      <c r="L7" s="69" t="n"/>
      <c r="M7" s="69" t="n"/>
      <c r="N7" s="69" t="n"/>
      <c r="O7" s="69" t="n"/>
    </row>
    <row r="8">
      <c r="F8" t="inlineStr">
        <is>
          <t>NYS</t>
        </is>
      </c>
      <c r="G8" s="69" t="n">
        <v>39.4</v>
      </c>
      <c r="H8" s="69" t="n">
        <v>31.9</v>
      </c>
      <c r="I8" s="69" t="n">
        <v>28.3</v>
      </c>
      <c r="J8" s="69" t="n">
        <v>25.6</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t="inlineStr">
        <is>
          <t>Total</t>
        </is>
      </c>
      <c r="G7" s="69" t="n">
        <v>1438</v>
      </c>
      <c r="H7" s="69" t="n">
        <v>361.1</v>
      </c>
      <c r="I7" s="69" t="n">
        <v>1381</v>
      </c>
      <c r="J7" s="69" t="n">
        <v>344.2</v>
      </c>
      <c r="K7" s="69" t="n">
        <v>1491</v>
      </c>
      <c r="L7" s="69" t="n">
        <v>369.2</v>
      </c>
      <c r="M7" s="69" t="n">
        <v>1375</v>
      </c>
      <c r="N7" s="69" t="n">
        <v>340.5</v>
      </c>
      <c r="O7" s="69" t="n"/>
    </row>
    <row r="8">
      <c r="F8" s="77" t="inlineStr">
        <is>
          <t>Sex</t>
        </is>
      </c>
      <c r="O8" s="69" t="n"/>
    </row>
    <row r="9">
      <c r="A9" s="71" t="inlineStr">
        <is>
          <t>Figure Rules</t>
        </is>
      </c>
      <c r="F9" s="47" t="inlineStr">
        <is>
          <t>Male</t>
        </is>
      </c>
      <c r="G9" s="69" t="n">
        <v>500</v>
      </c>
      <c r="H9" s="69" t="n">
        <v>249.3</v>
      </c>
      <c r="I9" s="69" t="n">
        <v>461</v>
      </c>
      <c r="J9" s="69" t="n">
        <v>229.6</v>
      </c>
      <c r="K9" s="69" t="n">
        <v>534</v>
      </c>
      <c r="L9" s="69" t="n">
        <v>265</v>
      </c>
      <c r="M9" s="69" t="n">
        <v>525</v>
      </c>
      <c r="N9" s="69" t="n">
        <v>260.5</v>
      </c>
      <c r="O9" s="69" t="n"/>
    </row>
    <row r="10">
      <c r="A10" t="inlineStr">
        <is>
          <t>Figure Type</t>
        </is>
      </c>
      <c r="F10" s="47" t="inlineStr">
        <is>
          <t>Female</t>
        </is>
      </c>
      <c r="G10" s="69" t="n">
        <v>938</v>
      </c>
      <c r="H10" s="69" t="n">
        <v>474.4</v>
      </c>
      <c r="I10" s="69" t="n">
        <v>920</v>
      </c>
      <c r="J10" s="69" t="n">
        <v>458.9</v>
      </c>
      <c r="K10" s="69" t="n">
        <v>957</v>
      </c>
      <c r="L10" s="69" t="n">
        <v>473</v>
      </c>
      <c r="M10" s="69" t="n">
        <v>850</v>
      </c>
      <c r="N10" s="69" t="n">
        <v>420.1</v>
      </c>
      <c r="O10" s="69" t="n"/>
    </row>
    <row r="11">
      <c r="A11" t="inlineStr">
        <is>
          <t>X Column</t>
        </is>
      </c>
      <c r="F11" s="77" t="inlineStr">
        <is>
          <t>Race and Ethnicity</t>
        </is>
      </c>
      <c r="O11" s="69" t="n"/>
    </row>
    <row r="12">
      <c r="A12" t="inlineStr">
        <is>
          <t>Y Column</t>
        </is>
      </c>
      <c r="F12" s="47" t="inlineStr">
        <is>
          <t>White Non-Hispanic</t>
        </is>
      </c>
      <c r="G12" s="69" t="n">
        <v>200</v>
      </c>
      <c r="H12" s="69" t="n">
        <v>80.7</v>
      </c>
      <c r="I12" s="69" t="n">
        <v>224</v>
      </c>
      <c r="J12" s="68" t="n">
        <v>92.3</v>
      </c>
      <c r="K12" s="68" t="n">
        <v>216</v>
      </c>
      <c r="L12" s="68" t="n">
        <v>90.3</v>
      </c>
      <c r="M12" s="68" t="n">
        <v>225</v>
      </c>
      <c r="N12" s="68" t="n">
        <v>94.09999999999999</v>
      </c>
      <c r="O12" s="69" t="n"/>
    </row>
    <row r="13">
      <c r="A13" t="inlineStr">
        <is>
          <t>X Axis Title</t>
        </is>
      </c>
      <c r="F13" s="48" t="inlineStr">
        <is>
          <t>Black Non-Hispanic</t>
        </is>
      </c>
      <c r="G13" s="68" t="n">
        <v>278</v>
      </c>
      <c r="H13" s="68" t="n">
        <v>699.8</v>
      </c>
      <c r="I13" s="69" t="n">
        <v>241</v>
      </c>
      <c r="J13" s="69" t="n">
        <v>574.6</v>
      </c>
      <c r="K13" s="69" t="n">
        <v>298</v>
      </c>
      <c r="L13" s="69" t="n">
        <v>701.5</v>
      </c>
      <c r="M13" s="69" t="n">
        <v>296</v>
      </c>
      <c r="N13" s="69" t="n">
        <v>696.8</v>
      </c>
      <c r="O13" s="69" t="n"/>
    </row>
    <row r="14">
      <c r="A14" t="inlineStr">
        <is>
          <t>Y Axis Title</t>
        </is>
      </c>
      <c r="F14" s="47" t="inlineStr">
        <is>
          <t>Hispanic (of any race)</t>
        </is>
      </c>
      <c r="G14" s="69" t="n">
        <v>387</v>
      </c>
      <c r="H14" s="69" t="n">
        <v>453.5</v>
      </c>
      <c r="I14" s="69" t="n">
        <v>428</v>
      </c>
      <c r="J14" s="69" t="n">
        <v>478.2</v>
      </c>
      <c r="K14" s="69" t="n">
        <v>489</v>
      </c>
      <c r="L14" s="69" t="n">
        <v>522.4</v>
      </c>
      <c r="M14" s="69" t="n">
        <v>527</v>
      </c>
      <c r="N14" s="69" t="n">
        <v>563</v>
      </c>
      <c r="O14" s="69" t="n"/>
    </row>
    <row r="15">
      <c r="A15" t="inlineStr">
        <is>
          <t>Start at Zero</t>
        </is>
      </c>
      <c r="F15" s="77" t="inlineStr">
        <is>
          <t>Age</t>
        </is>
      </c>
      <c r="O15" s="69" t="n"/>
    </row>
    <row r="16">
      <c r="A16" t="inlineStr">
        <is>
          <t>Pivot For Chart</t>
        </is>
      </c>
      <c r="F16" s="47" t="inlineStr">
        <is>
          <t>0-14</t>
        </is>
      </c>
      <c r="G16" s="69" t="n">
        <v>11</v>
      </c>
      <c r="H16" s="69" t="n">
        <v>13.1</v>
      </c>
      <c r="I16" s="69" t="inlineStr">
        <is>
          <t>s</t>
        </is>
      </c>
      <c r="J16" s="69" t="inlineStr">
        <is>
          <t>s</t>
        </is>
      </c>
      <c r="K16" s="69" t="n">
        <v>12</v>
      </c>
      <c r="L16" s="69" t="n">
        <v>14.1</v>
      </c>
      <c r="M16" s="69" t="inlineStr">
        <is>
          <t>s</t>
        </is>
      </c>
      <c r="N16" s="69" t="inlineStr">
        <is>
          <t>s</t>
        </is>
      </c>
      <c r="O16" s="69" t="n"/>
    </row>
    <row r="17">
      <c r="F17" s="47" t="inlineStr">
        <is>
          <t>15-19</t>
        </is>
      </c>
      <c r="G17" s="69" t="n">
        <v>335</v>
      </c>
      <c r="H17" s="69" t="n">
        <v>1100.6</v>
      </c>
      <c r="I17" s="69" t="n">
        <v>326</v>
      </c>
      <c r="J17" s="69" t="n">
        <v>1029.1</v>
      </c>
      <c r="K17" s="69" t="n">
        <v>378</v>
      </c>
      <c r="L17" s="69" t="n">
        <v>1197.2</v>
      </c>
      <c r="M17" s="69" t="n">
        <v>335</v>
      </c>
      <c r="N17" s="69" t="n">
        <v>1061</v>
      </c>
      <c r="O17" s="69" t="n"/>
    </row>
    <row r="18">
      <c r="A18" s="71" t="inlineStr">
        <is>
          <t>Source Specifications</t>
        </is>
      </c>
      <c r="F18" s="47" t="inlineStr">
        <is>
          <t>20-24</t>
        </is>
      </c>
      <c r="G18" s="69" t="n">
        <v>534</v>
      </c>
      <c r="H18" s="69" t="n">
        <v>1829.9</v>
      </c>
      <c r="I18" s="69" t="n">
        <v>528</v>
      </c>
      <c r="J18" s="69" t="n">
        <v>1780.1</v>
      </c>
      <c r="K18" s="69" t="n">
        <v>515</v>
      </c>
      <c r="L18" s="69" t="n">
        <v>1796.4</v>
      </c>
      <c r="M18" s="69" t="n">
        <v>466</v>
      </c>
      <c r="N18" s="69" t="n">
        <v>1625.5</v>
      </c>
      <c r="O18" s="69" t="n"/>
    </row>
    <row r="19">
      <c r="A19" t="inlineStr">
        <is>
          <t>Source</t>
        </is>
      </c>
      <c r="B19" t="inlineStr">
        <is>
          <t>Source: NYS Communicable Disease Electronic Surveillance System, August 2025</t>
        </is>
      </c>
      <c r="F19" s="47" t="inlineStr">
        <is>
          <t>25-29</t>
        </is>
      </c>
      <c r="G19" s="69" t="n">
        <v>286</v>
      </c>
      <c r="H19" s="69" t="n">
        <v>1209.7</v>
      </c>
      <c r="I19" s="69" t="n">
        <v>254</v>
      </c>
      <c r="J19" s="69" t="n">
        <v>1061.3</v>
      </c>
      <c r="K19" s="69" t="n">
        <v>254</v>
      </c>
      <c r="L19" s="69" t="n">
        <v>1058.8</v>
      </c>
      <c r="M19" s="69" t="n">
        <v>242</v>
      </c>
      <c r="N19" s="69" t="n">
        <v>1008.8</v>
      </c>
      <c r="O19" s="69" t="n"/>
    </row>
    <row r="20">
      <c r="F20" s="47" t="inlineStr">
        <is>
          <t>30-34</t>
        </is>
      </c>
      <c r="G20" s="69" t="n">
        <v>124</v>
      </c>
      <c r="H20" s="69" t="n">
        <v>540.2</v>
      </c>
      <c r="I20" s="69" t="n">
        <v>139</v>
      </c>
      <c r="J20" s="69" t="n">
        <v>592.4</v>
      </c>
      <c r="K20" s="69" t="n">
        <v>149</v>
      </c>
      <c r="L20" s="69" t="n">
        <v>622.7</v>
      </c>
      <c r="M20" s="69" t="n">
        <v>130</v>
      </c>
      <c r="N20" s="69" t="n">
        <v>543.3</v>
      </c>
      <c r="O20" s="69" t="n"/>
    </row>
    <row r="21">
      <c r="A21" s="69" t="inlineStr">
        <is>
          <t>Note Specfications</t>
        </is>
      </c>
      <c r="F21" s="47" t="inlineStr">
        <is>
          <t>35-39</t>
        </is>
      </c>
      <c r="G21" s="69" t="n">
        <v>70</v>
      </c>
      <c r="H21" s="69" t="n">
        <v>294.6</v>
      </c>
      <c r="I21" s="69" t="n">
        <v>60</v>
      </c>
      <c r="J21" s="69" t="n">
        <v>250.4</v>
      </c>
      <c r="K21" s="69" t="n">
        <v>93</v>
      </c>
      <c r="L21" s="69" t="n">
        <v>379.1</v>
      </c>
      <c r="M21" s="69" t="n">
        <v>86</v>
      </c>
      <c r="N21" s="69" t="n">
        <v>350.6</v>
      </c>
      <c r="O21" s="69" t="n"/>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s="69" t="n">
        <v>42</v>
      </c>
      <c r="H22" s="69" t="n">
        <v>175.2</v>
      </c>
      <c r="I22" s="69" t="n">
        <v>28</v>
      </c>
      <c r="J22" s="69" t="n">
        <v>113.1</v>
      </c>
      <c r="K22" s="69" t="n">
        <v>42</v>
      </c>
      <c r="L22" s="69" t="n">
        <v>166.6</v>
      </c>
      <c r="M22" s="69" t="n">
        <v>46</v>
      </c>
      <c r="N22" s="69" t="n">
        <v>182.5</v>
      </c>
      <c r="O22" s="69" t="n"/>
    </row>
    <row r="23">
      <c r="F23" s="47" t="inlineStr">
        <is>
          <t>45-49</t>
        </is>
      </c>
      <c r="G23" s="69" t="n">
        <v>14</v>
      </c>
      <c r="H23" s="69" t="n">
        <v>54.7</v>
      </c>
      <c r="I23" s="69" t="n">
        <v>17</v>
      </c>
      <c r="J23" s="69" t="n">
        <v>67.90000000000001</v>
      </c>
      <c r="K23" s="69" t="n">
        <v>20</v>
      </c>
      <c r="L23" s="69" t="n">
        <v>81.40000000000001</v>
      </c>
      <c r="M23" s="69" t="n">
        <v>22</v>
      </c>
      <c r="N23" s="69" t="n">
        <v>89.5</v>
      </c>
      <c r="O23" s="69" t="n"/>
    </row>
    <row r="24">
      <c r="F24" s="47" t="inlineStr">
        <is>
          <t>50+</t>
        </is>
      </c>
      <c r="G24" s="69" t="n">
        <v>22</v>
      </c>
      <c r="H24" s="69" t="n">
        <v>16.3</v>
      </c>
      <c r="I24" s="69" t="n">
        <v>20</v>
      </c>
      <c r="J24" s="69" t="n">
        <v>14.8</v>
      </c>
      <c r="K24" s="69" t="n">
        <v>28</v>
      </c>
      <c r="L24" s="69" t="n">
        <v>20.5</v>
      </c>
      <c r="M24" s="69" t="n">
        <v>40</v>
      </c>
      <c r="N24" s="69" t="n">
        <v>29.3</v>
      </c>
      <c r="O24" s="69" t="n"/>
    </row>
    <row r="25">
      <c r="F25" s="77" t="inlineStr">
        <is>
          <t>ZIP Code</t>
        </is>
      </c>
      <c r="O25" s="69" t="n"/>
    </row>
    <row r="26">
      <c r="F26" s="47" t="n">
        <v>10918</v>
      </c>
      <c r="G26" s="69" t="n">
        <v>20</v>
      </c>
      <c r="H26" s="69" t="n">
        <v>156.8</v>
      </c>
      <c r="I26" s="69" t="n">
        <v>35</v>
      </c>
      <c r="J26" s="69" t="n">
        <v>288</v>
      </c>
      <c r="K26" s="69" t="n">
        <v>22</v>
      </c>
      <c r="L26" s="69" t="n">
        <v>184.3</v>
      </c>
      <c r="M26" s="69" t="n">
        <v>26</v>
      </c>
      <c r="N26" s="69" t="n">
        <v>217.8</v>
      </c>
      <c r="O26" s="69" t="n"/>
    </row>
    <row r="27">
      <c r="A27" s="69" t="n"/>
      <c r="F27" s="47" t="n">
        <v>10924</v>
      </c>
      <c r="G27" s="69" t="n">
        <v>39</v>
      </c>
      <c r="H27" s="69" t="n">
        <v>281.4</v>
      </c>
      <c r="I27" s="69" t="n">
        <v>33</v>
      </c>
      <c r="J27" s="69" t="n">
        <v>236.3</v>
      </c>
      <c r="K27" s="69" t="n">
        <v>40</v>
      </c>
      <c r="L27" s="69" t="n">
        <v>293.9</v>
      </c>
      <c r="M27" s="69" t="n">
        <v>39</v>
      </c>
      <c r="N27" s="69" t="n">
        <v>286.5</v>
      </c>
      <c r="O27" s="69" t="n"/>
    </row>
    <row r="28">
      <c r="F28" s="47" t="n">
        <v>10928</v>
      </c>
      <c r="G28" s="69" t="n">
        <v>20</v>
      </c>
      <c r="H28" s="69" t="n">
        <v>408.2</v>
      </c>
      <c r="I28" s="69" t="n">
        <v>18</v>
      </c>
      <c r="J28" s="69" t="n">
        <v>345.6</v>
      </c>
      <c r="K28" s="69" t="n">
        <v>24</v>
      </c>
      <c r="L28" s="69" t="n">
        <v>455.1</v>
      </c>
      <c r="M28" s="69" t="n">
        <v>13</v>
      </c>
      <c r="N28" s="69" t="n">
        <v>246.5</v>
      </c>
      <c r="O28" s="69" t="n"/>
    </row>
    <row r="29">
      <c r="F29" s="47" t="n">
        <v>10930</v>
      </c>
      <c r="G29" s="69" t="n">
        <v>25</v>
      </c>
      <c r="H29" s="69" t="n">
        <v>237.3</v>
      </c>
      <c r="I29" s="69" t="n">
        <v>24</v>
      </c>
      <c r="J29" s="69" t="n">
        <v>232.4</v>
      </c>
      <c r="K29" s="69" t="n">
        <v>18</v>
      </c>
      <c r="L29" s="69" t="n">
        <v>174</v>
      </c>
      <c r="M29" s="69" t="n">
        <v>31</v>
      </c>
      <c r="N29" s="69" t="n">
        <v>299.7</v>
      </c>
      <c r="O29" s="69" t="n"/>
    </row>
    <row r="30">
      <c r="F30" s="47" t="n">
        <v>10940</v>
      </c>
      <c r="G30" s="69" t="n">
        <v>299</v>
      </c>
      <c r="H30" s="69" t="n">
        <v>587.1</v>
      </c>
      <c r="I30" s="69" t="n">
        <v>301</v>
      </c>
      <c r="J30" s="69" t="n">
        <v>580.5</v>
      </c>
      <c r="K30" s="69" t="n">
        <v>314</v>
      </c>
      <c r="L30" s="69" t="n">
        <v>591.3</v>
      </c>
      <c r="M30" s="69" t="n">
        <v>319</v>
      </c>
      <c r="N30" s="69" t="n">
        <v>600.8</v>
      </c>
      <c r="O30" s="69" t="n"/>
    </row>
    <row r="31">
      <c r="F31" s="47" t="n">
        <v>10941</v>
      </c>
      <c r="G31" s="69" t="n">
        <v>44</v>
      </c>
      <c r="H31" s="69" t="n">
        <v>305.2</v>
      </c>
      <c r="I31" s="69" t="n">
        <v>72</v>
      </c>
      <c r="J31" s="69" t="n">
        <v>496.5</v>
      </c>
      <c r="K31" s="69" t="n">
        <v>63</v>
      </c>
      <c r="L31" s="69" t="n">
        <v>426.8</v>
      </c>
      <c r="M31" s="69" t="n">
        <v>48</v>
      </c>
      <c r="N31" s="69" t="n">
        <v>325.2</v>
      </c>
      <c r="O31" s="69" t="n"/>
    </row>
    <row r="32">
      <c r="F32" s="47" t="n">
        <v>10950</v>
      </c>
      <c r="G32" s="69" t="n">
        <v>78</v>
      </c>
      <c r="H32" s="69" t="n">
        <v>126.9</v>
      </c>
      <c r="I32" s="69" t="n">
        <v>93</v>
      </c>
      <c r="J32" s="69" t="n">
        <v>147.6</v>
      </c>
      <c r="K32" s="69" t="n">
        <v>95</v>
      </c>
      <c r="L32" s="69" t="n">
        <v>145.3</v>
      </c>
      <c r="M32" s="69" t="n">
        <v>94</v>
      </c>
      <c r="N32" s="69" t="n">
        <v>143.8</v>
      </c>
      <c r="O32" s="69" t="n"/>
    </row>
    <row r="33">
      <c r="F33" s="47" t="n">
        <v>10990</v>
      </c>
      <c r="G33" s="69" t="n">
        <v>32</v>
      </c>
      <c r="H33" s="69" t="n">
        <v>152.2</v>
      </c>
      <c r="I33" s="69" t="n">
        <v>25</v>
      </c>
      <c r="J33" s="69" t="n">
        <v>121.8</v>
      </c>
      <c r="K33" s="69" t="n">
        <v>27</v>
      </c>
      <c r="L33" s="69" t="n">
        <v>132.5</v>
      </c>
      <c r="M33" s="69" t="n">
        <v>32</v>
      </c>
      <c r="N33" s="69" t="n">
        <v>157.1</v>
      </c>
      <c r="O33" s="69" t="n"/>
    </row>
    <row r="34">
      <c r="F34" s="47" t="n">
        <v>10992</v>
      </c>
      <c r="G34" s="69" t="n">
        <v>28</v>
      </c>
      <c r="H34" s="69" t="n">
        <v>291.9</v>
      </c>
      <c r="I34" s="69" t="n">
        <v>33</v>
      </c>
      <c r="J34" s="69" t="n">
        <v>320.9</v>
      </c>
      <c r="K34" s="69" t="n">
        <v>33</v>
      </c>
      <c r="L34" s="69" t="n">
        <v>316.9</v>
      </c>
      <c r="M34" s="69" t="n">
        <v>30</v>
      </c>
      <c r="N34" s="69" t="n">
        <v>288.1</v>
      </c>
      <c r="O34" s="69" t="n"/>
    </row>
    <row r="35">
      <c r="F35" s="47" t="n">
        <v>12549</v>
      </c>
      <c r="G35" s="69" t="n">
        <v>14</v>
      </c>
      <c r="H35" s="69" t="n">
        <v>130.2</v>
      </c>
      <c r="I35" s="68" t="n">
        <v>21</v>
      </c>
      <c r="J35" s="69" t="n">
        <v>197.5</v>
      </c>
      <c r="K35" s="69" t="n">
        <v>31</v>
      </c>
      <c r="L35" s="69" t="n">
        <v>284.5</v>
      </c>
      <c r="M35" s="69" t="n">
        <v>14</v>
      </c>
      <c r="N35" s="69" t="n">
        <v>128.5</v>
      </c>
      <c r="O35" s="69" t="n"/>
    </row>
    <row r="36">
      <c r="F36" s="47" t="n">
        <v>12550</v>
      </c>
      <c r="G36" s="69" t="n">
        <v>443</v>
      </c>
      <c r="H36" s="69" t="n">
        <v>797.3</v>
      </c>
      <c r="I36" s="68" t="n">
        <v>389</v>
      </c>
      <c r="J36" s="69" t="n">
        <v>702.1</v>
      </c>
      <c r="K36" s="69" t="n">
        <v>405</v>
      </c>
      <c r="L36" s="69" t="n">
        <v>736.4</v>
      </c>
      <c r="M36" s="69" t="n">
        <v>336</v>
      </c>
      <c r="N36" s="69" t="n">
        <v>611</v>
      </c>
      <c r="O36" s="69" t="n"/>
    </row>
    <row r="37">
      <c r="F37" s="47" t="n">
        <v>12553</v>
      </c>
      <c r="G37" s="69" t="n">
        <v>109</v>
      </c>
      <c r="H37" s="69" t="n">
        <v>406.6</v>
      </c>
      <c r="I37" s="68" t="n">
        <v>99</v>
      </c>
      <c r="J37" s="69" t="n">
        <v>361.2</v>
      </c>
      <c r="K37" s="69" t="n">
        <v>116</v>
      </c>
      <c r="L37" s="69" t="n">
        <v>424.9</v>
      </c>
      <c r="M37" s="69" t="n">
        <v>95</v>
      </c>
      <c r="N37" s="69" t="n">
        <v>348</v>
      </c>
      <c r="O37" s="69" t="n"/>
    </row>
    <row r="38">
      <c r="F38" s="47" t="n">
        <v>12566</v>
      </c>
      <c r="G38" s="69" t="n">
        <v>15</v>
      </c>
      <c r="H38" s="69" t="n">
        <v>115.1</v>
      </c>
      <c r="I38" s="68" t="n">
        <v>10</v>
      </c>
      <c r="J38" s="69" t="n">
        <v>80.59999999999999</v>
      </c>
      <c r="K38" s="69" t="n">
        <v>10</v>
      </c>
      <c r="L38" s="69" t="n">
        <v>85.3</v>
      </c>
      <c r="M38" s="69" t="inlineStr">
        <is>
          <t>s</t>
        </is>
      </c>
      <c r="N38" s="69" t="inlineStr">
        <is>
          <t>s</t>
        </is>
      </c>
      <c r="O38" s="69" t="n"/>
    </row>
    <row r="39">
      <c r="F39" s="47" t="n">
        <v>12586</v>
      </c>
      <c r="G39" s="69" t="n">
        <v>27</v>
      </c>
      <c r="H39" s="69" t="n">
        <v>222.3</v>
      </c>
      <c r="I39" s="69" t="n">
        <v>33</v>
      </c>
      <c r="J39" s="69" t="n">
        <v>257.8</v>
      </c>
      <c r="K39" s="69" t="n">
        <v>49</v>
      </c>
      <c r="L39" s="69" t="n">
        <v>380.6</v>
      </c>
      <c r="M39" s="69" t="n">
        <v>43</v>
      </c>
      <c r="N39" s="69" t="n">
        <v>334</v>
      </c>
      <c r="O39" s="69" t="n"/>
    </row>
    <row r="40">
      <c r="F40" s="47" t="n">
        <v>12771</v>
      </c>
      <c r="G40" s="69" t="n">
        <v>38</v>
      </c>
      <c r="H40" s="69" t="n">
        <v>256.1</v>
      </c>
      <c r="I40" s="69" t="n">
        <v>43</v>
      </c>
      <c r="J40" s="69" t="n">
        <v>297.5</v>
      </c>
      <c r="K40" s="69" t="n">
        <v>47</v>
      </c>
      <c r="L40" s="69" t="n">
        <v>327.6</v>
      </c>
      <c r="M40" s="69" t="n">
        <v>47</v>
      </c>
      <c r="N40" s="69" t="n">
        <v>327.6</v>
      </c>
      <c r="O40" s="69" t="n"/>
    </row>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373.3</v>
      </c>
      <c r="H6" s="69" t="n">
        <v>361.3</v>
      </c>
      <c r="I6" s="69" t="n">
        <v>340.4</v>
      </c>
      <c r="J6" s="69" t="n">
        <v>374.8</v>
      </c>
      <c r="K6" s="69" t="n"/>
      <c r="L6" s="69" t="n"/>
      <c r="M6" s="69" t="n"/>
      <c r="N6" s="69" t="n"/>
      <c r="O6" s="69" t="n"/>
    </row>
    <row r="7" ht="15.75" customHeight="1" s="91">
      <c r="F7" t="inlineStr">
        <is>
          <t>Mid-Hudson</t>
        </is>
      </c>
      <c r="G7" s="69" t="n">
        <v>330.8</v>
      </c>
      <c r="H7" s="69" t="n">
        <v>345.8</v>
      </c>
      <c r="I7" s="69" t="n">
        <v>359.8</v>
      </c>
      <c r="J7" s="69" t="n">
        <v>386.9</v>
      </c>
      <c r="K7" s="69" t="n"/>
      <c r="L7" s="69" t="n"/>
      <c r="M7" s="69" t="n"/>
      <c r="N7" s="69" t="n"/>
      <c r="O7" s="69" t="n"/>
    </row>
    <row r="8">
      <c r="F8" t="inlineStr">
        <is>
          <t>NYS excl NYC</t>
        </is>
      </c>
      <c r="G8" s="69" t="n">
        <v>394.2</v>
      </c>
      <c r="H8" s="69" t="n">
        <v>374.2</v>
      </c>
      <c r="I8" s="69" t="n">
        <v>372.5</v>
      </c>
      <c r="J8" s="69" t="n">
        <v>403.7</v>
      </c>
      <c r="K8" s="69" t="n"/>
      <c r="L8" s="69" t="n"/>
      <c r="M8" s="69" t="n"/>
      <c r="N8" s="69" t="n"/>
      <c r="O8" s="69" t="n"/>
    </row>
    <row r="9">
      <c r="A9" s="71" t="inlineStr">
        <is>
          <t>Figure Rules</t>
        </is>
      </c>
      <c r="F9" t="inlineStr">
        <is>
          <t>NYS</t>
        </is>
      </c>
      <c r="G9" s="69" t="n">
        <v>529.6</v>
      </c>
      <c r="H9" s="69" t="n">
        <v>546</v>
      </c>
      <c r="I9" s="69" t="n">
        <v>553.4</v>
      </c>
      <c r="J9" s="69" t="n">
        <v>595.3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80.7</v>
      </c>
      <c r="H6" s="69" t="n">
        <v>92.3</v>
      </c>
      <c r="I6" s="69" t="n">
        <v>90.3</v>
      </c>
      <c r="J6" s="69" t="n">
        <v>94.09999999999999</v>
      </c>
      <c r="K6" s="69" t="n"/>
      <c r="L6" s="69" t="n"/>
      <c r="M6" s="69" t="n"/>
      <c r="N6" s="69" t="n"/>
      <c r="O6" s="69" t="n"/>
    </row>
    <row r="7" ht="15.75" customHeight="1" s="91">
      <c r="F7" t="inlineStr">
        <is>
          <t>Black Non-Hispanic</t>
        </is>
      </c>
      <c r="G7" s="69" t="n">
        <v>699.8</v>
      </c>
      <c r="H7" s="69" t="n">
        <v>574.6</v>
      </c>
      <c r="I7" s="69" t="n">
        <v>701.5</v>
      </c>
      <c r="J7" s="69" t="n">
        <v>696.8</v>
      </c>
      <c r="K7" s="69" t="n"/>
      <c r="L7" s="69" t="n"/>
      <c r="M7" s="69" t="n"/>
      <c r="N7" s="69" t="n"/>
      <c r="O7" s="69" t="n"/>
    </row>
    <row r="8">
      <c r="F8" t="inlineStr">
        <is>
          <t>Hispanic (of any race)</t>
        </is>
      </c>
      <c r="G8" s="69" t="n">
        <v>453.5</v>
      </c>
      <c r="H8" s="69" t="n">
        <v>478.2</v>
      </c>
      <c r="I8" s="69" t="n">
        <v>522.4</v>
      </c>
      <c r="J8" s="69" t="n">
        <v>563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Q57"/>
  <sheetViews>
    <sheetView workbookViewId="0">
      <selection activeCell="O13" activeCellId="1" sqref="R4 O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2020</v>
      </c>
      <c r="I5" s="69" t="n">
        <v>2021</v>
      </c>
      <c r="K5" s="69" t="n">
        <v>2022</v>
      </c>
      <c r="M5" s="69" t="n">
        <v>2023</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c r="P6" s="69" t="n"/>
    </row>
    <row r="7" ht="15.75" customHeight="1" s="91">
      <c r="F7" t="inlineStr">
        <is>
          <t>Total</t>
        </is>
      </c>
      <c r="G7" t="n">
        <v>334</v>
      </c>
      <c r="H7" t="n">
        <v>83.90000000000001</v>
      </c>
      <c r="I7" t="n">
        <v>293</v>
      </c>
      <c r="J7" t="n">
        <v>73</v>
      </c>
      <c r="K7" t="n">
        <v>354</v>
      </c>
      <c r="L7" t="n">
        <v>87.7</v>
      </c>
      <c r="M7" t="n">
        <v>329</v>
      </c>
      <c r="N7" t="n">
        <v>81.5</v>
      </c>
      <c r="O7" s="69" t="n"/>
    </row>
    <row r="8">
      <c r="F8" s="77" t="inlineStr">
        <is>
          <t>Sex</t>
        </is>
      </c>
    </row>
    <row r="9">
      <c r="A9" s="71" t="inlineStr">
        <is>
          <t>Figure Rules</t>
        </is>
      </c>
      <c r="F9" s="49" t="inlineStr">
        <is>
          <t>Male</t>
        </is>
      </c>
      <c r="G9" t="n">
        <v>182</v>
      </c>
      <c r="H9" t="n">
        <v>90.8</v>
      </c>
      <c r="I9" t="n">
        <v>179</v>
      </c>
      <c r="J9" t="n">
        <v>89.2</v>
      </c>
      <c r="K9" t="n">
        <v>222</v>
      </c>
      <c r="L9" t="n">
        <v>110.2</v>
      </c>
      <c r="M9" t="n">
        <v>209</v>
      </c>
      <c r="N9" t="n">
        <v>103.7</v>
      </c>
      <c r="O9" s="69" t="n"/>
    </row>
    <row r="10">
      <c r="A10" t="inlineStr">
        <is>
          <t>Figure Type</t>
        </is>
      </c>
      <c r="F10" s="49" t="inlineStr">
        <is>
          <t>Female</t>
        </is>
      </c>
      <c r="G10" t="n">
        <v>152</v>
      </c>
      <c r="H10" t="n">
        <v>76.90000000000001</v>
      </c>
      <c r="I10" t="n">
        <v>114</v>
      </c>
      <c r="J10" t="n">
        <v>56.9</v>
      </c>
      <c r="K10" t="n">
        <v>132</v>
      </c>
      <c r="L10" t="n">
        <v>65.2</v>
      </c>
      <c r="M10" t="n">
        <v>120</v>
      </c>
      <c r="N10" t="n">
        <v>59.3</v>
      </c>
      <c r="O10" s="69" t="n"/>
    </row>
    <row r="11">
      <c r="A11" t="inlineStr">
        <is>
          <t>X Column</t>
        </is>
      </c>
      <c r="F11" s="77" t="inlineStr">
        <is>
          <t>Race and Ethnicity</t>
        </is>
      </c>
    </row>
    <row r="12">
      <c r="A12" t="inlineStr">
        <is>
          <t>Y Column</t>
        </is>
      </c>
      <c r="F12" s="48" t="inlineStr">
        <is>
          <t>White Non-Hispanic</t>
        </is>
      </c>
      <c r="G12" t="n">
        <v>54</v>
      </c>
      <c r="H12" t="n">
        <v>21.8</v>
      </c>
      <c r="I12" t="n">
        <v>61</v>
      </c>
      <c r="J12" t="n">
        <v>25.1</v>
      </c>
      <c r="K12" t="n">
        <v>62</v>
      </c>
      <c r="L12" t="n">
        <v>25.9</v>
      </c>
      <c r="M12" t="n">
        <v>54</v>
      </c>
      <c r="N12" t="n">
        <v>22.6</v>
      </c>
    </row>
    <row r="13">
      <c r="A13" t="inlineStr">
        <is>
          <t>X Axis Title</t>
        </is>
      </c>
      <c r="F13" s="47" t="inlineStr">
        <is>
          <t>Black Non-Hispanic</t>
        </is>
      </c>
      <c r="G13" t="n">
        <v>126</v>
      </c>
      <c r="H13" t="n">
        <v>317.2</v>
      </c>
      <c r="I13" t="n">
        <v>106</v>
      </c>
      <c r="J13" t="n">
        <v>252.7</v>
      </c>
      <c r="K13" t="n">
        <v>127</v>
      </c>
      <c r="L13" t="n">
        <v>299</v>
      </c>
      <c r="M13" t="n">
        <v>139</v>
      </c>
      <c r="N13" t="n">
        <v>327.2</v>
      </c>
    </row>
    <row r="14">
      <c r="A14" t="inlineStr">
        <is>
          <t>Y Axis Title</t>
        </is>
      </c>
      <c r="F14" s="47" t="inlineStr">
        <is>
          <t>Hispanic (of any race)</t>
        </is>
      </c>
      <c r="G14" t="n">
        <v>79</v>
      </c>
      <c r="H14" t="n">
        <v>92.59999999999999</v>
      </c>
      <c r="I14" t="n">
        <v>64</v>
      </c>
      <c r="J14" t="n">
        <v>71.5</v>
      </c>
      <c r="K14" t="n">
        <v>94</v>
      </c>
      <c r="L14" t="n">
        <v>100.4</v>
      </c>
      <c r="M14" t="n">
        <v>77</v>
      </c>
      <c r="N14" t="n">
        <v>82.3</v>
      </c>
    </row>
    <row r="15">
      <c r="A15" t="inlineStr">
        <is>
          <t>Start at Zero</t>
        </is>
      </c>
      <c r="F15" s="69" t="inlineStr">
        <is>
          <t>Age</t>
        </is>
      </c>
    </row>
    <row r="16">
      <c r="A16" t="inlineStr">
        <is>
          <t>Pivot For Chart</t>
        </is>
      </c>
      <c r="F16" s="47" t="inlineStr">
        <is>
          <t>0-14</t>
        </is>
      </c>
      <c r="G16" t="inlineStr">
        <is>
          <t>s</t>
        </is>
      </c>
      <c r="H16" t="inlineStr">
        <is>
          <t>s</t>
        </is>
      </c>
      <c r="I16" t="inlineStr">
        <is>
          <t>s</t>
        </is>
      </c>
      <c r="J16" t="inlineStr">
        <is>
          <t>s</t>
        </is>
      </c>
      <c r="K16" t="n">
        <v>0</v>
      </c>
      <c r="L16" t="n">
        <v>0</v>
      </c>
      <c r="M16" t="inlineStr">
        <is>
          <t>s</t>
        </is>
      </c>
      <c r="N16" t="inlineStr">
        <is>
          <t>s</t>
        </is>
      </c>
    </row>
    <row r="17">
      <c r="F17" s="47" t="inlineStr">
        <is>
          <t>15-19</t>
        </is>
      </c>
      <c r="G17" t="n">
        <v>51</v>
      </c>
      <c r="H17" t="n">
        <v>167.6</v>
      </c>
      <c r="I17" t="n">
        <v>54</v>
      </c>
      <c r="J17" t="n">
        <v>170.5</v>
      </c>
      <c r="K17" t="n">
        <v>44</v>
      </c>
      <c r="L17" t="n">
        <v>139.4</v>
      </c>
      <c r="M17" t="n">
        <v>35</v>
      </c>
      <c r="N17" t="n">
        <v>110.9</v>
      </c>
    </row>
    <row r="18">
      <c r="A18" s="71" t="inlineStr">
        <is>
          <t>Source Specifications</t>
        </is>
      </c>
      <c r="F18" s="47" t="inlineStr">
        <is>
          <t>20-24</t>
        </is>
      </c>
      <c r="G18" t="n">
        <v>112</v>
      </c>
      <c r="H18" t="n">
        <v>383.8</v>
      </c>
      <c r="I18" t="n">
        <v>78</v>
      </c>
      <c r="J18" t="n">
        <v>263</v>
      </c>
      <c r="K18" t="n">
        <v>86</v>
      </c>
      <c r="L18" t="n">
        <v>300</v>
      </c>
      <c r="M18" t="n">
        <v>83</v>
      </c>
      <c r="N18" t="n">
        <v>289.5</v>
      </c>
    </row>
    <row r="19">
      <c r="A19" t="inlineStr">
        <is>
          <t>Source</t>
        </is>
      </c>
      <c r="B19" t="inlineStr">
        <is>
          <t>Source: NYS Communicable Disease Electronic Surveillance System, August 2025</t>
        </is>
      </c>
      <c r="F19" s="47" t="inlineStr">
        <is>
          <t>25-29</t>
        </is>
      </c>
      <c r="G19" t="n">
        <v>69</v>
      </c>
      <c r="H19" t="n">
        <v>291.8</v>
      </c>
      <c r="I19" t="n">
        <v>57</v>
      </c>
      <c r="J19" t="n">
        <v>238.2</v>
      </c>
      <c r="K19" t="n">
        <v>54</v>
      </c>
      <c r="L19" t="n">
        <v>225.1</v>
      </c>
      <c r="M19" t="n">
        <v>64</v>
      </c>
      <c r="N19" t="n">
        <v>266.8</v>
      </c>
    </row>
    <row r="20">
      <c r="F20" s="47" t="inlineStr">
        <is>
          <t>30-34</t>
        </is>
      </c>
      <c r="G20" t="n">
        <v>50</v>
      </c>
      <c r="H20" t="n">
        <v>217.8</v>
      </c>
      <c r="I20" t="n">
        <v>45</v>
      </c>
      <c r="J20" t="n">
        <v>191.8</v>
      </c>
      <c r="K20" t="n">
        <v>59</v>
      </c>
      <c r="L20" t="n">
        <v>246.6</v>
      </c>
      <c r="M20" t="n">
        <v>39</v>
      </c>
      <c r="N20" t="n">
        <v>163</v>
      </c>
    </row>
    <row r="21">
      <c r="A21" s="69" t="inlineStr">
        <is>
          <t>Note Specfications</t>
        </is>
      </c>
      <c r="F21" s="47" t="inlineStr">
        <is>
          <t>35-39</t>
        </is>
      </c>
      <c r="G21" t="n">
        <v>23</v>
      </c>
      <c r="H21" t="n">
        <v>96.8</v>
      </c>
      <c r="I21" t="n">
        <v>24</v>
      </c>
      <c r="J21" t="n">
        <v>100.1</v>
      </c>
      <c r="K21" t="n">
        <v>45</v>
      </c>
      <c r="L21" t="n">
        <v>183.4</v>
      </c>
      <c r="M21" t="n">
        <v>39</v>
      </c>
      <c r="N21" t="n">
        <v>159</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t="n">
        <v>15</v>
      </c>
      <c r="H22" t="n">
        <v>62.6</v>
      </c>
      <c r="I22" t="inlineStr">
        <is>
          <t>s</t>
        </is>
      </c>
      <c r="J22" t="inlineStr">
        <is>
          <t>s</t>
        </is>
      </c>
      <c r="K22" t="n">
        <v>24</v>
      </c>
      <c r="L22" t="n">
        <v>95.2</v>
      </c>
      <c r="M22" t="n">
        <v>29</v>
      </c>
      <c r="N22" t="n">
        <v>115</v>
      </c>
    </row>
    <row r="23">
      <c r="F23" s="47" t="inlineStr">
        <is>
          <t>45-49</t>
        </is>
      </c>
      <c r="G23" t="inlineStr">
        <is>
          <t>s</t>
        </is>
      </c>
      <c r="H23" t="inlineStr">
        <is>
          <t>s</t>
        </is>
      </c>
      <c r="I23" t="inlineStr">
        <is>
          <t>s</t>
        </is>
      </c>
      <c r="J23" t="inlineStr">
        <is>
          <t>s</t>
        </is>
      </c>
      <c r="K23" t="n">
        <v>14</v>
      </c>
      <c r="L23" t="n">
        <v>57</v>
      </c>
      <c r="M23" t="n">
        <v>14</v>
      </c>
      <c r="N23" t="n">
        <v>57</v>
      </c>
    </row>
    <row r="24">
      <c r="F24" s="47" t="inlineStr">
        <is>
          <t>50+</t>
        </is>
      </c>
      <c r="G24" t="inlineStr">
        <is>
          <t>s</t>
        </is>
      </c>
      <c r="H24" t="inlineStr">
        <is>
          <t>s</t>
        </is>
      </c>
      <c r="I24" t="n">
        <v>20</v>
      </c>
      <c r="J24" t="n">
        <v>14.8</v>
      </c>
      <c r="K24" t="n">
        <v>28</v>
      </c>
      <c r="L24" t="n">
        <v>20.5</v>
      </c>
      <c r="M24" t="n">
        <v>25</v>
      </c>
      <c r="N24" t="n">
        <v>18.3</v>
      </c>
    </row>
    <row r="25">
      <c r="F25" s="77" t="inlineStr">
        <is>
          <t>ZIP Code</t>
        </is>
      </c>
    </row>
    <row r="26">
      <c r="F26" s="47" t="n">
        <v>10924</v>
      </c>
      <c r="G26" t="inlineStr">
        <is>
          <t>s</t>
        </is>
      </c>
      <c r="H26" t="inlineStr">
        <is>
          <t>s</t>
        </is>
      </c>
      <c r="I26" t="inlineStr">
        <is>
          <t>s</t>
        </is>
      </c>
      <c r="J26" t="inlineStr">
        <is>
          <t>s</t>
        </is>
      </c>
      <c r="K26" t="n">
        <v>15</v>
      </c>
      <c r="L26" t="n">
        <v>110.2</v>
      </c>
      <c r="M26" t="inlineStr">
        <is>
          <t>s</t>
        </is>
      </c>
      <c r="N26" t="inlineStr">
        <is>
          <t>s</t>
        </is>
      </c>
    </row>
    <row r="27">
      <c r="A27" s="69" t="n"/>
      <c r="F27" s="47" t="n">
        <v>10940</v>
      </c>
      <c r="G27" t="n">
        <v>73</v>
      </c>
      <c r="H27" t="n">
        <v>143.3</v>
      </c>
      <c r="I27" t="n">
        <v>70</v>
      </c>
      <c r="J27" t="n">
        <v>135</v>
      </c>
      <c r="K27" t="n">
        <v>66</v>
      </c>
      <c r="L27" t="n">
        <v>124.3</v>
      </c>
      <c r="M27" t="n">
        <v>87</v>
      </c>
      <c r="N27" t="n">
        <v>163.8</v>
      </c>
    </row>
    <row r="28">
      <c r="F28" s="47" t="n">
        <v>10950</v>
      </c>
      <c r="G28" t="inlineStr">
        <is>
          <t>s</t>
        </is>
      </c>
      <c r="H28" t="inlineStr">
        <is>
          <t>s</t>
        </is>
      </c>
      <c r="I28" t="n">
        <v>17</v>
      </c>
      <c r="J28" t="n">
        <v>27</v>
      </c>
      <c r="K28" t="n">
        <v>14</v>
      </c>
      <c r="L28" t="n">
        <v>21.4</v>
      </c>
      <c r="M28" t="n">
        <v>14</v>
      </c>
      <c r="N28" t="n">
        <v>21.4</v>
      </c>
    </row>
    <row r="29">
      <c r="F29" s="47" t="n">
        <v>10941</v>
      </c>
      <c r="G29" t="n">
        <v>11</v>
      </c>
      <c r="H29" t="n">
        <v>76.3</v>
      </c>
      <c r="I29" t="n">
        <v>19</v>
      </c>
      <c r="J29" t="n">
        <v>131</v>
      </c>
      <c r="K29" t="n">
        <v>12</v>
      </c>
      <c r="L29" t="n">
        <v>81.3</v>
      </c>
      <c r="M29" t="n">
        <v>16</v>
      </c>
      <c r="N29" t="n">
        <v>108.4</v>
      </c>
    </row>
    <row r="30">
      <c r="F30" s="47" t="n">
        <v>12550</v>
      </c>
      <c r="G30" t="n">
        <v>121</v>
      </c>
      <c r="H30" t="n">
        <v>217.8</v>
      </c>
      <c r="I30" t="n">
        <v>89</v>
      </c>
      <c r="J30" t="n">
        <v>160.6</v>
      </c>
      <c r="K30" t="n">
        <v>129</v>
      </c>
      <c r="L30" t="n">
        <v>234.6</v>
      </c>
      <c r="M30" t="n">
        <v>91</v>
      </c>
      <c r="N30" t="n">
        <v>165.5</v>
      </c>
    </row>
    <row r="31">
      <c r="F31" s="47" t="n">
        <v>12553</v>
      </c>
      <c r="G31" t="n">
        <v>26</v>
      </c>
      <c r="H31" t="n">
        <v>97</v>
      </c>
      <c r="I31" t="n">
        <v>25</v>
      </c>
      <c r="J31" t="n">
        <v>91.2</v>
      </c>
      <c r="K31" t="n">
        <v>28</v>
      </c>
      <c r="L31" t="n">
        <v>102.6</v>
      </c>
      <c r="M31" t="n">
        <v>28</v>
      </c>
      <c r="N31" t="n">
        <v>102.6</v>
      </c>
    </row>
    <row r="32">
      <c r="F32" s="47" t="n">
        <v>12771</v>
      </c>
      <c r="G32" s="69" t="n">
        <v>13</v>
      </c>
      <c r="H32" s="69" t="n">
        <v>87.59999999999999</v>
      </c>
      <c r="I32" t="n">
        <v>11</v>
      </c>
      <c r="J32" t="n">
        <v>76.09999999999999</v>
      </c>
      <c r="K32" t="n">
        <v>11</v>
      </c>
      <c r="L32" t="n">
        <v>76.7</v>
      </c>
      <c r="M32" t="inlineStr">
        <is>
          <t>s</t>
        </is>
      </c>
      <c r="N32" t="inlineStr">
        <is>
          <t>s</t>
        </is>
      </c>
    </row>
    <row r="33"/>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109.3</v>
      </c>
      <c r="H6" s="69" t="n">
        <v>86.5</v>
      </c>
      <c r="I6" s="69" t="n">
        <v>74.2</v>
      </c>
      <c r="J6" s="69" t="n">
        <v>93.7</v>
      </c>
      <c r="K6" s="69" t="n"/>
      <c r="L6" s="69" t="n"/>
      <c r="M6" s="69" t="n"/>
      <c r="N6" s="69" t="n"/>
      <c r="O6" s="69" t="n"/>
    </row>
    <row r="7" ht="15.75" customHeight="1" s="91">
      <c r="F7" t="inlineStr">
        <is>
          <t>Mid-Hudson</t>
        </is>
      </c>
      <c r="G7" s="69" t="n">
        <v>100.5</v>
      </c>
      <c r="H7" s="69" t="n">
        <v>92.3</v>
      </c>
      <c r="I7" s="69" t="n">
        <v>85.90000000000001</v>
      </c>
      <c r="J7" s="69" t="n">
        <v>96.3</v>
      </c>
      <c r="K7" s="69" t="n"/>
      <c r="L7" s="69" t="n"/>
      <c r="M7" s="69" t="n"/>
      <c r="N7" s="69" t="n"/>
      <c r="O7" s="69" t="n"/>
    </row>
    <row r="8">
      <c r="F8" t="inlineStr">
        <is>
          <t>NYS excl NYC</t>
        </is>
      </c>
      <c r="G8" s="69" t="n">
        <v>168.8</v>
      </c>
      <c r="H8" s="69" t="n">
        <v>142.6</v>
      </c>
      <c r="I8" s="69" t="n">
        <v>134.3</v>
      </c>
      <c r="J8" s="69" t="n">
        <v>131.5</v>
      </c>
      <c r="K8" s="69" t="n"/>
      <c r="L8" s="69" t="n"/>
      <c r="M8" s="69" t="n"/>
      <c r="N8" s="69" t="n"/>
      <c r="O8" s="69" t="n"/>
    </row>
    <row r="9">
      <c r="A9" s="71" t="inlineStr">
        <is>
          <t>Figure Rules</t>
        </is>
      </c>
      <c r="F9" t="inlineStr">
        <is>
          <t>NYS</t>
        </is>
      </c>
      <c r="G9" s="69" t="n">
        <v>228.3</v>
      </c>
      <c r="H9" s="69" t="n">
        <v>228.8</v>
      </c>
      <c r="I9" s="69" t="n">
        <v>230.9</v>
      </c>
      <c r="J9" s="69" t="n">
        <v>249.8</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21.8</v>
      </c>
      <c r="H6" s="69" t="n">
        <v>25.1</v>
      </c>
      <c r="I6" s="69" t="n">
        <v>25.9</v>
      </c>
      <c r="J6" s="69" t="n">
        <v>22.6</v>
      </c>
      <c r="K6" s="69" t="n"/>
      <c r="L6" s="69" t="n"/>
      <c r="M6" s="69" t="n"/>
      <c r="N6" s="69" t="n"/>
      <c r="O6" s="69" t="n"/>
    </row>
    <row r="7" ht="15.75" customHeight="1" s="91">
      <c r="F7" t="inlineStr">
        <is>
          <t>Black Non-Hispanic</t>
        </is>
      </c>
      <c r="G7" s="69" t="n">
        <v>317.2</v>
      </c>
      <c r="H7" s="69" t="n">
        <v>252.7</v>
      </c>
      <c r="I7" s="69" t="n">
        <v>299</v>
      </c>
      <c r="J7" s="69" t="n">
        <v>327.2</v>
      </c>
      <c r="K7" s="69" t="n"/>
      <c r="L7" s="69" t="n"/>
      <c r="M7" s="69" t="n"/>
      <c r="N7" s="69" t="n"/>
      <c r="O7" s="69" t="n"/>
    </row>
    <row r="8">
      <c r="F8" t="inlineStr">
        <is>
          <t>Hispanic (of any race)</t>
        </is>
      </c>
      <c r="G8" s="69" t="n">
        <v>92.59999999999999</v>
      </c>
      <c r="H8" s="69" t="n">
        <v>71.5</v>
      </c>
      <c r="I8" s="69" t="n">
        <v>100.4</v>
      </c>
      <c r="J8" s="69" t="n">
        <v>82.3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Rate per 100,000 Population by Race and Ethnicity, Age, and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1</v>
      </c>
      <c r="F6" s="16" t="inlineStr">
        <is>
          <t>Black</t>
        </is>
      </c>
      <c r="K6" s="69" t="n"/>
      <c r="L6" s="69" t="n"/>
      <c r="M6" s="69" t="n"/>
      <c r="N6" s="69" t="n"/>
      <c r="O6" s="69" t="n"/>
    </row>
    <row r="7" ht="15.75" customHeight="1" s="91">
      <c r="F7" s="56" t="inlineStr">
        <is>
          <t>Female</t>
        </is>
      </c>
      <c r="G7" s="69" t="n">
        <v>570.6</v>
      </c>
      <c r="H7" s="69" t="n">
        <v>592.4</v>
      </c>
      <c r="I7" s="69" t="n">
        <v>577.7</v>
      </c>
      <c r="J7" s="69" t="n">
        <v>583.6</v>
      </c>
      <c r="K7" s="69" t="n"/>
      <c r="L7" s="69" t="n"/>
      <c r="M7" s="69" t="n"/>
      <c r="N7" s="69" t="n"/>
      <c r="O7" s="69" t="n"/>
    </row>
    <row r="8">
      <c r="F8" s="56" t="inlineStr">
        <is>
          <t>Male</t>
        </is>
      </c>
      <c r="G8" s="69" t="n">
        <v>772.1</v>
      </c>
      <c r="H8" s="69" t="n">
        <v>740.2</v>
      </c>
      <c r="I8" s="69" t="n">
        <v>749.3</v>
      </c>
      <c r="J8" s="69" t="n">
        <v>762.4</v>
      </c>
      <c r="K8" s="69" t="n"/>
      <c r="L8" s="69" t="n"/>
      <c r="M8" s="69" t="n"/>
      <c r="N8" s="69" t="n"/>
      <c r="O8" s="69" t="n"/>
    </row>
    <row r="9">
      <c r="A9" s="71" t="inlineStr">
        <is>
          <t>Figure Rules</t>
        </is>
      </c>
      <c r="F9" s="58" t="inlineStr">
        <is>
          <t>13-24</t>
        </is>
      </c>
      <c r="G9" s="69" t="n">
        <v>116</v>
      </c>
      <c r="H9" s="69" t="n">
        <v>63.2</v>
      </c>
      <c r="I9" s="69" t="inlineStr">
        <is>
          <t>s</t>
        </is>
      </c>
      <c r="J9" s="69" t="inlineStr">
        <is>
          <t>s</t>
        </is>
      </c>
      <c r="K9" s="69" t="n"/>
      <c r="L9" s="69" t="n"/>
      <c r="M9" s="69" t="n"/>
      <c r="N9" s="69" t="n"/>
      <c r="O9" s="69" t="n"/>
    </row>
    <row r="10">
      <c r="A10" t="inlineStr">
        <is>
          <t>Figure Type</t>
        </is>
      </c>
      <c r="F10" s="58" t="inlineStr">
        <is>
          <t>25-34</t>
        </is>
      </c>
      <c r="G10" s="69" t="n">
        <v>445.8</v>
      </c>
      <c r="H10" s="69" t="n">
        <v>353.1</v>
      </c>
      <c r="I10" s="69" t="n">
        <v>468.2</v>
      </c>
      <c r="J10" s="69" t="n">
        <v>544.1</v>
      </c>
    </row>
    <row r="11">
      <c r="A11" t="inlineStr">
        <is>
          <t>X Column</t>
        </is>
      </c>
      <c r="F11" s="58" t="inlineStr">
        <is>
          <t>35-44</t>
        </is>
      </c>
      <c r="G11" s="69" t="n">
        <v>534.3</v>
      </c>
      <c r="H11" t="n">
        <v>534.2</v>
      </c>
      <c r="I11" t="n">
        <v>433.9</v>
      </c>
      <c r="J11" t="n">
        <v>512.1</v>
      </c>
      <c r="K11" s="68" t="n"/>
      <c r="L11" s="68" t="n"/>
      <c r="M11" s="68" t="n"/>
      <c r="N11" s="68" t="n"/>
    </row>
    <row r="12">
      <c r="A12" t="inlineStr">
        <is>
          <t>Y Column</t>
        </is>
      </c>
      <c r="F12" s="58" t="inlineStr">
        <is>
          <t>45-54</t>
        </is>
      </c>
      <c r="G12" s="69" t="n">
        <v>869</v>
      </c>
      <c r="H12" s="69" t="n">
        <v>860.6</v>
      </c>
      <c r="I12" s="69" t="n">
        <v>764.9</v>
      </c>
      <c r="J12" s="68" t="n">
        <v>679.4</v>
      </c>
      <c r="K12" s="69" t="n"/>
      <c r="L12" s="69" t="n"/>
    </row>
    <row r="13">
      <c r="A13" t="inlineStr">
        <is>
          <t>X Axis Title</t>
        </is>
      </c>
      <c r="F13" s="59" t="inlineStr">
        <is>
          <t>55-64</t>
        </is>
      </c>
      <c r="G13" s="68" t="n">
        <v>1263.8</v>
      </c>
      <c r="H13" s="68" t="n">
        <v>1251.7</v>
      </c>
      <c r="I13" s="69" t="n">
        <v>1276.3</v>
      </c>
      <c r="J13" s="69" t="n">
        <v>1183.8</v>
      </c>
    </row>
    <row r="14">
      <c r="A14" t="inlineStr">
        <is>
          <t>Y Axis Title</t>
        </is>
      </c>
      <c r="F14" s="58" t="inlineStr">
        <is>
          <t>65+</t>
        </is>
      </c>
      <c r="G14" t="n">
        <v>1130.4</v>
      </c>
      <c r="H14" t="n">
        <v>1305.7</v>
      </c>
      <c r="I14" t="n">
        <v>1334.5</v>
      </c>
      <c r="J14" t="n">
        <v>1379.2</v>
      </c>
    </row>
    <row r="15">
      <c r="A15" t="inlineStr">
        <is>
          <t>Start at Zero</t>
        </is>
      </c>
      <c r="F15" s="78" t="inlineStr">
        <is>
          <t>White</t>
        </is>
      </c>
    </row>
    <row r="16">
      <c r="A16" t="inlineStr">
        <is>
          <t>Pivot For Chart</t>
        </is>
      </c>
      <c r="F16" s="56" t="inlineStr">
        <is>
          <t>Female</t>
        </is>
      </c>
      <c r="G16" t="n">
        <v>53.6</v>
      </c>
      <c r="H16" t="n">
        <v>55.8</v>
      </c>
      <c r="I16" t="n">
        <v>57.7</v>
      </c>
      <c r="J16" t="n">
        <v>52.3</v>
      </c>
    </row>
    <row r="17">
      <c r="F17" s="56" t="inlineStr">
        <is>
          <t>Male</t>
        </is>
      </c>
      <c r="G17" t="n">
        <v>150</v>
      </c>
      <c r="H17" t="n">
        <v>154.6</v>
      </c>
      <c r="I17" t="n">
        <v>162.2</v>
      </c>
      <c r="J17" t="n">
        <v>168.3</v>
      </c>
    </row>
    <row r="18">
      <c r="A18" s="71" t="inlineStr">
        <is>
          <t>Source Specifications</t>
        </is>
      </c>
      <c r="F18" s="58" t="inlineStr">
        <is>
          <t>13-24</t>
        </is>
      </c>
      <c r="G18" t="n">
        <v>12.2</v>
      </c>
      <c r="H18" t="n">
        <v>12.2</v>
      </c>
      <c r="I18" t="inlineStr">
        <is>
          <t>s</t>
        </is>
      </c>
      <c r="J18" t="inlineStr">
        <is>
          <t>s</t>
        </is>
      </c>
    </row>
    <row r="19">
      <c r="A19" t="inlineStr">
        <is>
          <t>Source</t>
        </is>
      </c>
      <c r="B19" t="inlineStr">
        <is>
          <t>Source: NYS Communicable Disease Electronic Surveillance System, August 2025</t>
        </is>
      </c>
      <c r="F19" s="58" t="inlineStr">
        <is>
          <t>25-34</t>
        </is>
      </c>
      <c r="G19" t="n">
        <v>41.2</v>
      </c>
      <c r="H19" t="n">
        <v>48.4</v>
      </c>
      <c r="I19" t="n">
        <v>68.5</v>
      </c>
      <c r="J19" t="n">
        <v>76.7</v>
      </c>
    </row>
    <row r="20">
      <c r="F20" s="58" t="inlineStr">
        <is>
          <t>35-44</t>
        </is>
      </c>
      <c r="G20" t="n">
        <v>78.59999999999999</v>
      </c>
      <c r="H20" t="n">
        <v>77.5</v>
      </c>
      <c r="I20" t="n">
        <v>66.7</v>
      </c>
      <c r="J20" t="n">
        <v>59.5</v>
      </c>
    </row>
    <row r="21">
      <c r="A21" s="69" t="inlineStr">
        <is>
          <t>Note Specfications</t>
        </is>
      </c>
      <c r="F21" s="58" t="inlineStr">
        <is>
          <t>45-54</t>
        </is>
      </c>
      <c r="G21" t="n">
        <v>167.2</v>
      </c>
      <c r="H21" t="n">
        <v>134.5</v>
      </c>
      <c r="I21" t="n">
        <v>137.4</v>
      </c>
      <c r="J21" t="n">
        <v>149.6</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59" t="inlineStr">
        <is>
          <t>55-64</t>
        </is>
      </c>
      <c r="G22" s="69" t="n">
        <v>210</v>
      </c>
      <c r="H22" s="69" t="n">
        <v>237.6</v>
      </c>
      <c r="I22" t="n">
        <v>264.4</v>
      </c>
      <c r="J22" t="n">
        <v>241</v>
      </c>
    </row>
    <row r="23">
      <c r="F23" s="58" t="inlineStr">
        <is>
          <t>65+</t>
        </is>
      </c>
      <c r="G23" s="69" t="n">
        <v>97.40000000000001</v>
      </c>
      <c r="H23" s="69" t="n">
        <v>113.4</v>
      </c>
      <c r="I23" t="n">
        <v>113.5</v>
      </c>
      <c r="J23" t="n">
        <v>128.3</v>
      </c>
    </row>
    <row r="24">
      <c r="F24" s="78" t="inlineStr">
        <is>
          <t>Hispanic</t>
        </is>
      </c>
      <c r="G24" s="69" t="n"/>
      <c r="H24" s="69" t="n"/>
    </row>
    <row r="25">
      <c r="F25" s="56" t="inlineStr">
        <is>
          <t>Female</t>
        </is>
      </c>
      <c r="G25" s="69" t="n">
        <v>344.1</v>
      </c>
      <c r="H25" s="69" t="n">
        <v>331.2</v>
      </c>
      <c r="I25" t="n">
        <v>327.7</v>
      </c>
      <c r="J25" t="n">
        <v>337</v>
      </c>
      <c r="K25" t="inlineStr">
        <is>
          <t xml:space="preserve"> </t>
        </is>
      </c>
    </row>
    <row r="26">
      <c r="F26" s="56" t="inlineStr">
        <is>
          <t>Male</t>
        </is>
      </c>
      <c r="G26" s="69" t="n">
        <v>776</v>
      </c>
      <c r="H26" s="69" t="n">
        <v>752.2</v>
      </c>
      <c r="I26" t="n">
        <v>738.1</v>
      </c>
      <c r="J26" t="n">
        <v>801.5</v>
      </c>
    </row>
    <row r="27">
      <c r="A27" s="69" t="n"/>
      <c r="F27" s="58" t="inlineStr">
        <is>
          <t>13-24</t>
        </is>
      </c>
      <c r="G27" t="n">
        <v>53.2</v>
      </c>
      <c r="H27" t="n">
        <v>51.5</v>
      </c>
      <c r="I27" t="n">
        <v>60.3</v>
      </c>
      <c r="J27" t="n">
        <v>63.8</v>
      </c>
    </row>
    <row r="28">
      <c r="F28" s="58" t="inlineStr">
        <is>
          <t>25-34</t>
        </is>
      </c>
      <c r="G28" s="69" t="n">
        <v>517.7</v>
      </c>
      <c r="H28" s="69" t="n">
        <v>524.4</v>
      </c>
      <c r="I28" t="n">
        <v>396.4</v>
      </c>
      <c r="J28" t="n">
        <v>495.9</v>
      </c>
    </row>
    <row r="29">
      <c r="F29" s="58" t="inlineStr">
        <is>
          <t>35-44</t>
        </is>
      </c>
      <c r="G29" s="69" t="n">
        <v>392.2</v>
      </c>
      <c r="H29" s="69" t="n">
        <v>382.2</v>
      </c>
      <c r="I29" t="n">
        <v>471.7</v>
      </c>
      <c r="J29" t="n">
        <v>533.5</v>
      </c>
    </row>
    <row r="30">
      <c r="F30" s="58" t="inlineStr">
        <is>
          <t>45-54</t>
        </is>
      </c>
      <c r="G30" s="69" t="n">
        <v>671.9</v>
      </c>
      <c r="H30" s="69" t="n">
        <v>600.7</v>
      </c>
      <c r="I30" t="n">
        <v>556.9</v>
      </c>
      <c r="J30" t="n">
        <v>527.3</v>
      </c>
    </row>
    <row r="31">
      <c r="F31" s="59" t="inlineStr">
        <is>
          <t>55-64</t>
        </is>
      </c>
      <c r="G31" s="69" t="n">
        <v>1627.7</v>
      </c>
      <c r="H31" s="69" t="n">
        <v>1459</v>
      </c>
      <c r="I31" t="n">
        <v>1474.1</v>
      </c>
      <c r="J31" t="n">
        <v>1457.1</v>
      </c>
    </row>
    <row r="32">
      <c r="F32" s="58" t="inlineStr">
        <is>
          <t>65+</t>
        </is>
      </c>
      <c r="G32" s="69" t="n">
        <v>1017.4</v>
      </c>
      <c r="H32" s="69" t="n">
        <v>1134.3</v>
      </c>
      <c r="I32" t="n">
        <v>1084.8</v>
      </c>
      <c r="J32" t="n">
        <v>1183.1</v>
      </c>
    </row>
    <row r="33">
      <c r="F33" s="69" t="n"/>
      <c r="G33" s="69" t="n"/>
      <c r="H33" s="69" t="n"/>
    </row>
    <row r="34"/>
    <row r="35">
      <c r="F35" s="69" t="n"/>
      <c r="G35" s="69" t="n"/>
      <c r="H35" s="69" t="n"/>
    </row>
    <row r="36">
      <c r="F36" s="69" t="n"/>
      <c r="G36" s="69" t="n"/>
      <c r="H36" s="69" t="n"/>
      <c r="I36" s="68" t="n"/>
    </row>
    <row r="37">
      <c r="F37" s="69" t="n"/>
      <c r="G37" s="69" t="n"/>
      <c r="H37" s="69" t="n"/>
      <c r="I37" s="68" t="n"/>
    </row>
    <row r="38">
      <c r="F38" s="69" t="n"/>
      <c r="G38" s="69" t="n"/>
      <c r="H38" s="69" t="n"/>
      <c r="I38" s="68" t="n"/>
    </row>
    <row r="39">
      <c r="F39" s="69" t="n"/>
      <c r="G39" s="69" t="n"/>
      <c r="H39" s="69" t="n"/>
      <c r="I39" s="68" t="n"/>
    </row>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and AIDS Incidence,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Diagnoses</t>
        </is>
      </c>
      <c r="G5" t="n">
        <v>2020</v>
      </c>
      <c r="H5" t="n">
        <v>2021</v>
      </c>
      <c r="I5" t="n">
        <v>2022</v>
      </c>
      <c r="J5" t="n">
        <v>2023</v>
      </c>
    </row>
    <row r="6" ht="15" customHeight="1" s="91">
      <c r="A6" t="inlineStr">
        <is>
          <t>Multilevel Headers</t>
        </is>
      </c>
      <c r="B6" t="b">
        <v>0</v>
      </c>
      <c r="F6" t="inlineStr">
        <is>
          <t>HIV Diagnoses</t>
        </is>
      </c>
      <c r="G6" s="69" t="n">
        <v>1.6</v>
      </c>
      <c r="H6" s="69" t="n">
        <v>4.4</v>
      </c>
      <c r="I6" s="69" t="n">
        <v>4.9</v>
      </c>
      <c r="J6" s="69" t="n">
        <v>8.9</v>
      </c>
      <c r="K6" s="69" t="n"/>
      <c r="L6" s="69" t="n"/>
      <c r="M6" s="69" t="n"/>
      <c r="N6" s="69" t="n"/>
      <c r="O6" s="69" t="n"/>
    </row>
    <row r="7" ht="15.75" customHeight="1" s="91">
      <c r="F7" t="inlineStr">
        <is>
          <t>AIDS Diagnoses</t>
        </is>
      </c>
      <c r="G7" s="69" t="n">
        <v>0.5</v>
      </c>
      <c r="H7" s="69" t="n">
        <v>2.4</v>
      </c>
      <c r="I7" s="69" t="n">
        <v>3.7</v>
      </c>
      <c r="J7" s="69" t="n">
        <v>1.9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Diagnoses</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HIV/AIDS Annual Surveillance Reports, August 2025 https://www.health.ny.gov/diseases/aids/general/statistics/</t>
        </is>
      </c>
    </row>
    <row r="20">
      <c r="F20" s="69" t="n"/>
      <c r="G20" s="69" t="n"/>
      <c r="H20" s="69" t="n"/>
    </row>
    <row r="21">
      <c r="A21" s="69" t="inlineStr">
        <is>
          <t>Note Specfications</t>
        </is>
      </c>
      <c r="F21" s="69" t="n"/>
      <c r="G21" s="69" t="n"/>
      <c r="H21" s="69" t="n"/>
    </row>
    <row r="22">
      <c r="A22" t="inlineStr">
        <is>
          <t xml:space="preserve">Note </t>
        </is>
      </c>
      <c r="B22" t="inlineStr">
        <is>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by Transmission Category, Count,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Heterosexual Contact</t>
        </is>
      </c>
      <c r="G6" s="69" t="n">
        <v>362</v>
      </c>
      <c r="H6" s="69" t="n">
        <v>369</v>
      </c>
      <c r="I6" s="69" t="n">
        <v>377</v>
      </c>
      <c r="J6" s="69" t="n">
        <v>385</v>
      </c>
      <c r="K6" s="69" t="n"/>
      <c r="L6" s="69" t="n"/>
      <c r="M6" s="69" t="n"/>
      <c r="N6" s="69" t="n"/>
      <c r="O6" s="69" t="n"/>
    </row>
    <row r="7" ht="15.75" customHeight="1" s="91">
      <c r="F7" t="inlineStr">
        <is>
          <t>Injection Drug Use</t>
        </is>
      </c>
      <c r="G7" s="69" t="n">
        <v>214</v>
      </c>
      <c r="H7" s="69" t="n">
        <v>208</v>
      </c>
      <c r="I7" s="69" t="n">
        <v>205</v>
      </c>
      <c r="J7" s="69" t="n">
        <v>199</v>
      </c>
      <c r="K7" s="69" t="n"/>
      <c r="L7" s="69" t="n"/>
      <c r="M7" s="69" t="n"/>
      <c r="N7" s="69" t="n"/>
      <c r="O7" s="69" t="n"/>
    </row>
    <row r="8">
      <c r="F8" t="inlineStr">
        <is>
          <t>Men who have Sex with Men</t>
        </is>
      </c>
      <c r="G8" s="69" t="n">
        <v>328</v>
      </c>
      <c r="H8" s="69" t="n">
        <v>338</v>
      </c>
      <c r="I8" s="69" t="n">
        <v>357</v>
      </c>
      <c r="J8" s="69" t="n">
        <v>407</v>
      </c>
      <c r="K8" s="69" t="n"/>
      <c r="L8" s="69" t="n"/>
      <c r="M8" s="69" t="n"/>
      <c r="N8" s="69" t="n"/>
      <c r="O8" s="69" t="n"/>
    </row>
    <row r="9">
      <c r="A9" s="71" t="inlineStr">
        <is>
          <t>Figure Rules</t>
        </is>
      </c>
      <c r="F9" t="inlineStr">
        <is>
          <t>IDU and MSM</t>
        </is>
      </c>
      <c r="G9" s="69" t="n">
        <v>45</v>
      </c>
      <c r="H9" s="69" t="n">
        <v>50</v>
      </c>
      <c r="I9" s="69" t="n">
        <v>45</v>
      </c>
      <c r="J9" s="69" t="n">
        <v>44</v>
      </c>
      <c r="K9" s="69" t="n"/>
      <c r="L9" s="69" t="n"/>
      <c r="M9" s="69" t="n"/>
      <c r="N9" s="69" t="n"/>
      <c r="O9" s="69" t="n"/>
    </row>
    <row r="10">
      <c r="A10" t="inlineStr">
        <is>
          <t>Figure Type</t>
        </is>
      </c>
      <c r="B10" t="inlineStr">
        <is>
          <t>Line</t>
        </is>
      </c>
      <c r="F10" t="inlineStr">
        <is>
          <t>Other</t>
        </is>
      </c>
      <c r="G10" s="69" t="n">
        <v>33</v>
      </c>
      <c r="H10" t="n">
        <v>32</v>
      </c>
      <c r="I10" t="n">
        <v>31</v>
      </c>
      <c r="J10" t="n">
        <v>32</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Number of Cases</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HIV Linkage to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Black</t>
        </is>
      </c>
      <c r="G6" s="69" t="inlineStr">
        <is>
          <t>s</t>
        </is>
      </c>
      <c r="H6" s="69" t="n">
        <v>87.5</v>
      </c>
      <c r="I6" s="69" t="inlineStr">
        <is>
          <t>s</t>
        </is>
      </c>
      <c r="J6" s="69" t="n">
        <v>77.8</v>
      </c>
      <c r="K6" s="69" t="n"/>
      <c r="L6" s="69" t="n"/>
      <c r="M6" s="69" t="n"/>
      <c r="N6" s="69" t="n"/>
      <c r="O6" s="69" t="n"/>
    </row>
    <row r="7" ht="15.75" customHeight="1" s="91">
      <c r="F7" t="inlineStr">
        <is>
          <t>White</t>
        </is>
      </c>
      <c r="G7" s="69" t="n">
        <v>100</v>
      </c>
      <c r="H7" s="69" t="n">
        <v>80</v>
      </c>
      <c r="I7" s="69" t="n">
        <v>85.7</v>
      </c>
      <c r="J7" s="69" t="n">
        <v>87.5</v>
      </c>
      <c r="K7" s="69" t="n"/>
      <c r="L7" s="69" t="n"/>
      <c r="M7" s="69" t="n"/>
      <c r="N7" s="69" t="n"/>
      <c r="O7" s="69" t="n"/>
    </row>
    <row r="8">
      <c r="F8" t="inlineStr">
        <is>
          <t>Hispanic</t>
        </is>
      </c>
      <c r="G8" s="69" t="n">
        <v>100</v>
      </c>
      <c r="H8" s="69" t="n">
        <v>100</v>
      </c>
      <c r="I8" s="69" t="n">
        <v>100</v>
      </c>
      <c r="J8" s="69" t="n">
        <v>100</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PrEP Coverage,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19.5</v>
      </c>
      <c r="H6" s="69" t="n">
        <v>23.4</v>
      </c>
      <c r="I6" s="69" t="n">
        <v>28.8</v>
      </c>
      <c r="J6" s="69" t="n">
        <v>25.3</v>
      </c>
      <c r="K6" s="69" t="n"/>
      <c r="L6" s="69" t="n"/>
      <c r="M6" s="69" t="n"/>
      <c r="N6" s="69" t="n"/>
      <c r="O6" s="69" t="n"/>
    </row>
    <row r="7" ht="15.75" customHeight="1" s="91">
      <c r="F7" t="inlineStr">
        <is>
          <t>NYS</t>
        </is>
      </c>
      <c r="G7" s="69" t="n">
        <v>47.4</v>
      </c>
      <c r="H7" s="69" t="n">
        <v>54.2</v>
      </c>
      <c r="I7" s="69" t="n">
        <v>63.4</v>
      </c>
      <c r="J7" s="69" t="n">
        <v>55.3</v>
      </c>
      <c r="K7" s="69" t="n"/>
      <c r="L7" s="69" t="n"/>
      <c r="M7" s="69" t="n"/>
      <c r="N7" s="69" t="n"/>
      <c r="O7" s="69" t="n"/>
    </row>
    <row r="8">
      <c r="F8" t="inlineStr">
        <is>
          <t>US</t>
        </is>
      </c>
      <c r="G8" s="69" t="n">
        <v>24.8</v>
      </c>
      <c r="H8" s="69" t="n">
        <v>30.1</v>
      </c>
      <c r="I8" s="69" t="n">
        <v>36</v>
      </c>
      <c r="J8" s="69" t="n">
        <v>31.3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Q57"/>
  <sheetViews>
    <sheetView workbookViewId="0">
      <selection activeCell="G5" sqref="G5:N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16" t="inlineStr">
        <is>
          <t>Total</t>
        </is>
      </c>
      <c r="G7" s="69" t="n">
        <v>124</v>
      </c>
      <c r="H7" s="69" t="n">
        <v>31.1</v>
      </c>
      <c r="I7" s="69" t="n">
        <v>124</v>
      </c>
      <c r="J7" s="69" t="n">
        <v>30.9</v>
      </c>
      <c r="K7" s="69" t="n">
        <v>131</v>
      </c>
      <c r="L7" s="69" t="n">
        <v>32.4</v>
      </c>
      <c r="M7" s="69" t="n">
        <v>93</v>
      </c>
      <c r="N7" s="69" t="n">
        <v>23</v>
      </c>
      <c r="O7" s="69" t="n"/>
    </row>
    <row r="8">
      <c r="F8" s="78" t="inlineStr">
        <is>
          <t>Sex</t>
        </is>
      </c>
      <c r="O8" s="69" t="n"/>
    </row>
    <row r="9">
      <c r="A9" s="71" t="inlineStr">
        <is>
          <t>Figure Rules</t>
        </is>
      </c>
      <c r="F9" s="47" t="inlineStr">
        <is>
          <t>Male</t>
        </is>
      </c>
      <c r="G9" s="69" t="n">
        <v>90</v>
      </c>
      <c r="H9" s="69" t="n">
        <v>44.9</v>
      </c>
      <c r="I9" s="69" t="n">
        <v>94</v>
      </c>
      <c r="J9" s="69" t="n">
        <v>46.8</v>
      </c>
      <c r="K9" s="69" t="n">
        <v>88</v>
      </c>
      <c r="L9" s="69" t="n">
        <v>43.7</v>
      </c>
      <c r="M9" s="69" t="n">
        <v>62</v>
      </c>
      <c r="N9" s="69" t="n">
        <v>30.8</v>
      </c>
      <c r="O9" s="69" t="n"/>
    </row>
    <row r="10">
      <c r="A10" t="inlineStr">
        <is>
          <t>Figure Type</t>
        </is>
      </c>
      <c r="F10" s="47" t="inlineStr">
        <is>
          <t>Female</t>
        </is>
      </c>
      <c r="G10" s="69" t="n">
        <v>34</v>
      </c>
      <c r="H10" s="69" t="n">
        <v>17.2</v>
      </c>
      <c r="I10" s="69" t="n">
        <v>30</v>
      </c>
      <c r="J10" s="69" t="n">
        <v>15</v>
      </c>
      <c r="K10" s="69" t="n">
        <v>43</v>
      </c>
      <c r="L10" s="69" t="n">
        <v>21.3</v>
      </c>
      <c r="M10" s="69" t="n">
        <v>31</v>
      </c>
      <c r="N10" s="69" t="n">
        <v>15.3</v>
      </c>
    </row>
    <row r="11">
      <c r="A11" t="inlineStr">
        <is>
          <t>X Column</t>
        </is>
      </c>
      <c r="F11" s="78" t="inlineStr">
        <is>
          <t>Race and Ethnicity</t>
        </is>
      </c>
    </row>
    <row r="12">
      <c r="A12" t="inlineStr">
        <is>
          <t>Y Column</t>
        </is>
      </c>
      <c r="F12" s="47" t="inlineStr">
        <is>
          <t>White Non-Hispanic</t>
        </is>
      </c>
      <c r="G12" s="69" t="n">
        <v>38</v>
      </c>
      <c r="H12" s="69" t="n">
        <v>15.3</v>
      </c>
      <c r="I12" s="69" t="n">
        <v>31</v>
      </c>
      <c r="J12" s="68" t="n">
        <v>12.8</v>
      </c>
      <c r="K12" s="68" t="n">
        <v>29</v>
      </c>
      <c r="L12" s="68" t="n">
        <v>12.1</v>
      </c>
      <c r="M12" s="68" t="n">
        <v>18</v>
      </c>
      <c r="N12" s="68" t="n">
        <v>7.5</v>
      </c>
    </row>
    <row r="13">
      <c r="A13" t="inlineStr">
        <is>
          <t>X Axis Title</t>
        </is>
      </c>
      <c r="F13" s="48" t="inlineStr">
        <is>
          <t>Black Non-Hispanic</t>
        </is>
      </c>
      <c r="G13" s="68" t="n">
        <v>21</v>
      </c>
      <c r="H13" s="68" t="n">
        <v>52.9</v>
      </c>
      <c r="I13" s="69" t="n">
        <v>19</v>
      </c>
      <c r="J13" s="69" t="n">
        <v>45.3</v>
      </c>
      <c r="K13" s="69" t="n">
        <v>28</v>
      </c>
      <c r="L13" s="69" t="n">
        <v>65.90000000000001</v>
      </c>
      <c r="M13" s="69" t="n">
        <v>21</v>
      </c>
      <c r="N13" s="69" t="n">
        <v>49.4</v>
      </c>
    </row>
    <row r="14">
      <c r="A14" t="inlineStr">
        <is>
          <t>Y Axis Title</t>
        </is>
      </c>
      <c r="F14" s="47" t="inlineStr">
        <is>
          <t>Hispanic (of any race)</t>
        </is>
      </c>
      <c r="G14" s="69" t="n">
        <v>42</v>
      </c>
      <c r="H14" s="69" t="n">
        <v>49.2</v>
      </c>
      <c r="I14" s="69" t="n">
        <v>48</v>
      </c>
      <c r="J14" s="69" t="n">
        <v>53.6</v>
      </c>
      <c r="K14" s="69" t="n">
        <v>60</v>
      </c>
      <c r="L14" s="69" t="n">
        <v>64.09999999999999</v>
      </c>
      <c r="M14" s="69" t="n">
        <v>41</v>
      </c>
      <c r="N14" s="69" t="n">
        <v>43.8</v>
      </c>
    </row>
    <row r="15">
      <c r="A15" t="inlineStr">
        <is>
          <t>Start at Zero</t>
        </is>
      </c>
      <c r="F15" s="78" t="inlineStr">
        <is>
          <t>Age</t>
        </is>
      </c>
    </row>
    <row r="16">
      <c r="A16" t="inlineStr">
        <is>
          <t>Pivot For Chart</t>
        </is>
      </c>
      <c r="F16" s="47" t="inlineStr">
        <is>
          <t>0-19</t>
        </is>
      </c>
      <c r="G16" s="69" t="inlineStr">
        <is>
          <t>s</t>
        </is>
      </c>
      <c r="H16" s="69" t="inlineStr">
        <is>
          <t>s</t>
        </is>
      </c>
      <c r="I16" s="69" t="n">
        <v>0</v>
      </c>
      <c r="J16" s="69" t="n">
        <v>0</v>
      </c>
      <c r="K16" s="69" t="inlineStr">
        <is>
          <t>s</t>
        </is>
      </c>
      <c r="L16" s="69" t="inlineStr">
        <is>
          <t>s</t>
        </is>
      </c>
      <c r="M16" s="69" t="inlineStr">
        <is>
          <t>s</t>
        </is>
      </c>
      <c r="N16" s="69" t="inlineStr">
        <is>
          <t>s</t>
        </is>
      </c>
    </row>
    <row r="17">
      <c r="F17" s="47" t="inlineStr">
        <is>
          <t>20-24</t>
        </is>
      </c>
      <c r="G17" s="69" t="n">
        <v>19</v>
      </c>
      <c r="H17" s="69" t="n">
        <v>65.09999999999999</v>
      </c>
      <c r="I17" s="69" t="n">
        <v>17</v>
      </c>
      <c r="J17" s="69" t="n">
        <v>57.3</v>
      </c>
      <c r="K17" s="69" t="n">
        <v>15</v>
      </c>
      <c r="L17" s="69" t="n">
        <v>52.3</v>
      </c>
      <c r="M17" s="69" t="inlineStr">
        <is>
          <t>s</t>
        </is>
      </c>
      <c r="N17" s="69" t="inlineStr">
        <is>
          <t>s</t>
        </is>
      </c>
    </row>
    <row r="18">
      <c r="A18" s="71" t="inlineStr">
        <is>
          <t>Source Specifications</t>
        </is>
      </c>
      <c r="F18" s="47" t="inlineStr">
        <is>
          <t>25-29</t>
        </is>
      </c>
      <c r="G18" s="69" t="n">
        <v>22</v>
      </c>
      <c r="H18" s="69" t="n">
        <v>93.09999999999999</v>
      </c>
      <c r="I18" s="69" t="n">
        <v>26</v>
      </c>
      <c r="J18" s="69" t="n">
        <v>108.6</v>
      </c>
      <c r="K18" s="69" t="n">
        <v>21</v>
      </c>
      <c r="L18" s="69" t="n">
        <v>87.5</v>
      </c>
      <c r="M18" s="69" t="n">
        <v>13</v>
      </c>
      <c r="N18" s="69" t="n">
        <v>54.2</v>
      </c>
    </row>
    <row r="19">
      <c r="A19" t="inlineStr">
        <is>
          <t>Source</t>
        </is>
      </c>
      <c r="B19" t="inlineStr">
        <is>
          <t>Source: NYS Communicable Disease Electronic Surveillance System, August 2025</t>
        </is>
      </c>
      <c r="F19" s="47" t="inlineStr">
        <is>
          <t>30-34</t>
        </is>
      </c>
      <c r="G19" s="69" t="n">
        <v>18</v>
      </c>
      <c r="H19" s="69" t="n">
        <v>78.40000000000001</v>
      </c>
      <c r="I19" s="69" t="n">
        <v>20</v>
      </c>
      <c r="J19" s="69" t="n">
        <v>85.2</v>
      </c>
      <c r="K19" s="69" t="n">
        <v>26</v>
      </c>
      <c r="L19" s="69" t="n">
        <v>108.7</v>
      </c>
      <c r="M19" s="69" t="n">
        <v>20</v>
      </c>
      <c r="N19" s="69" t="n">
        <v>83.59999999999999</v>
      </c>
    </row>
    <row r="20">
      <c r="F20" s="47" t="inlineStr">
        <is>
          <t>35-39</t>
        </is>
      </c>
      <c r="G20" s="69" t="n">
        <v>18</v>
      </c>
      <c r="H20" s="69" t="n">
        <v>75.8</v>
      </c>
      <c r="I20" s="69" t="n">
        <v>15</v>
      </c>
      <c r="J20" s="69" t="n">
        <v>62.6</v>
      </c>
      <c r="K20" s="69" t="n">
        <v>16</v>
      </c>
      <c r="L20" s="69" t="n">
        <v>65.2</v>
      </c>
      <c r="M20" s="69" t="n">
        <v>14</v>
      </c>
      <c r="N20" s="69" t="n">
        <v>57.1</v>
      </c>
    </row>
    <row r="21">
      <c r="A21" s="69" t="inlineStr">
        <is>
          <t>Note Specfications</t>
        </is>
      </c>
      <c r="F21" s="47" t="inlineStr">
        <is>
          <t>40-44</t>
        </is>
      </c>
      <c r="G21" s="69" t="n">
        <v>15</v>
      </c>
      <c r="H21" s="69" t="n">
        <v>62.6</v>
      </c>
      <c r="I21" s="69" t="n">
        <v>14</v>
      </c>
      <c r="J21" s="69" t="n">
        <v>56.6</v>
      </c>
      <c r="K21" s="69" t="inlineStr">
        <is>
          <t>s</t>
        </is>
      </c>
      <c r="L21" s="69" t="inlineStr">
        <is>
          <t>s</t>
        </is>
      </c>
      <c r="M21" s="69" t="inlineStr">
        <is>
          <t>s</t>
        </is>
      </c>
      <c r="N21" s="69" t="inlineStr">
        <is>
          <t>s</t>
        </is>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45-49</t>
        </is>
      </c>
      <c r="G22" s="69" t="inlineStr">
        <is>
          <t>s</t>
        </is>
      </c>
      <c r="H22" s="69" t="inlineStr">
        <is>
          <t>s</t>
        </is>
      </c>
      <c r="I22" s="69" t="inlineStr">
        <is>
          <t>s</t>
        </is>
      </c>
      <c r="J22" s="69" t="inlineStr">
        <is>
          <t>s</t>
        </is>
      </c>
      <c r="K22" s="69" t="n">
        <v>14</v>
      </c>
      <c r="L22" s="69" t="n">
        <v>57</v>
      </c>
      <c r="M22" s="69" t="inlineStr">
        <is>
          <t>s</t>
        </is>
      </c>
      <c r="N22" s="69" t="inlineStr">
        <is>
          <t>s</t>
        </is>
      </c>
    </row>
    <row r="23">
      <c r="F23" s="47" t="inlineStr">
        <is>
          <t>50+</t>
        </is>
      </c>
      <c r="G23" s="69" t="n">
        <v>21</v>
      </c>
      <c r="H23" s="69" t="n">
        <v>15.6</v>
      </c>
      <c r="I23" s="69" t="n">
        <v>28</v>
      </c>
      <c r="J23" s="69" t="n">
        <v>20.7</v>
      </c>
      <c r="K23" s="69" t="n">
        <v>25</v>
      </c>
      <c r="L23" s="69" t="n">
        <v>18.3</v>
      </c>
      <c r="M23" s="69" t="n">
        <v>22</v>
      </c>
      <c r="N23" s="69" t="n">
        <v>16.1</v>
      </c>
    </row>
    <row r="24">
      <c r="F24" s="78" t="inlineStr">
        <is>
          <t>ZIP Code</t>
        </is>
      </c>
    </row>
    <row r="25">
      <c r="F25" s="47" t="n">
        <v>10940</v>
      </c>
      <c r="G25" s="69" t="n">
        <v>25</v>
      </c>
      <c r="H25" s="69" t="n">
        <v>49.1</v>
      </c>
      <c r="I25" s="69" t="n">
        <v>25</v>
      </c>
      <c r="J25" s="69" t="n">
        <v>48.2</v>
      </c>
      <c r="K25" s="69" t="n">
        <v>29</v>
      </c>
      <c r="L25" s="69" t="n">
        <v>54.6</v>
      </c>
      <c r="M25" s="69" t="n">
        <v>20</v>
      </c>
      <c r="N25" s="69" t="n">
        <v>37.7</v>
      </c>
    </row>
    <row r="26">
      <c r="F26" s="47" t="n">
        <v>12550</v>
      </c>
      <c r="G26" s="69" t="n">
        <v>45</v>
      </c>
      <c r="H26" s="69" t="n">
        <v>81</v>
      </c>
      <c r="I26" s="69" t="n">
        <v>38</v>
      </c>
      <c r="J26" s="69" t="n">
        <v>68.59999999999999</v>
      </c>
      <c r="K26" s="69" t="n">
        <v>42</v>
      </c>
      <c r="L26" s="69" t="n">
        <v>76.40000000000001</v>
      </c>
      <c r="M26" s="69" t="n">
        <v>35</v>
      </c>
      <c r="N26" s="69" t="n">
        <v>63.6</v>
      </c>
    </row>
    <row r="27">
      <c r="A27" s="69" t="n"/>
      <c r="F27" s="47" t="n">
        <v>12553</v>
      </c>
      <c r="G27" s="69" t="n">
        <v>11</v>
      </c>
      <c r="H27" s="69" t="n">
        <v>41</v>
      </c>
      <c r="I27" s="69" t="n">
        <v>11</v>
      </c>
      <c r="J27" s="69" t="n">
        <v>40.1</v>
      </c>
      <c r="K27" s="69" t="n">
        <v>11</v>
      </c>
      <c r="L27" s="69" t="n">
        <v>40.3</v>
      </c>
      <c r="M27" s="69" t="inlineStr">
        <is>
          <t>s</t>
        </is>
      </c>
      <c r="N27" s="69" t="inlineStr">
        <is>
          <t>s</t>
        </is>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Early Syphilis,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26.5</v>
      </c>
      <c r="H6" s="69" t="n">
        <v>29.4</v>
      </c>
      <c r="I6" s="69" t="n">
        <v>26.7</v>
      </c>
      <c r="J6" s="69" t="n">
        <v>21.8</v>
      </c>
      <c r="K6" s="69" t="n"/>
      <c r="L6" s="69" t="n"/>
      <c r="M6" s="69" t="n"/>
      <c r="N6" s="69" t="n"/>
      <c r="O6" s="69" t="n"/>
    </row>
    <row r="7" ht="15.75" customHeight="1" s="91">
      <c r="F7" t="inlineStr">
        <is>
          <t>Mid-Hudson</t>
        </is>
      </c>
      <c r="G7" s="69" t="n">
        <v>19.3</v>
      </c>
      <c r="H7" s="69" t="n">
        <v>22.9</v>
      </c>
      <c r="I7" s="69" t="n">
        <v>22.1</v>
      </c>
      <c r="J7" s="69" t="n">
        <v>19.3</v>
      </c>
      <c r="K7" s="69" t="n"/>
      <c r="L7" s="69" t="n"/>
      <c r="M7" s="69" t="n"/>
      <c r="N7" s="69" t="n"/>
      <c r="O7" s="69" t="n"/>
    </row>
    <row r="8">
      <c r="F8" t="inlineStr">
        <is>
          <t>NYS excl NYC</t>
        </is>
      </c>
      <c r="G8" s="69" t="n">
        <v>14.4</v>
      </c>
      <c r="H8" s="69" t="n">
        <v>21.7</v>
      </c>
      <c r="I8" s="69" t="n">
        <v>23.6</v>
      </c>
      <c r="J8" s="69" t="n">
        <v>20.3</v>
      </c>
      <c r="K8" s="69" t="n"/>
      <c r="L8" s="69" t="n"/>
      <c r="M8" s="69" t="n"/>
      <c r="N8" s="69" t="n"/>
      <c r="O8" s="69" t="n"/>
    </row>
    <row r="9">
      <c r="A9" s="71" t="inlineStr">
        <is>
          <t>Figure Rules</t>
        </is>
      </c>
      <c r="F9" t="inlineStr">
        <is>
          <t>NYS</t>
        </is>
      </c>
      <c r="G9" s="69" t="n">
        <v>41.7</v>
      </c>
      <c r="H9" s="69" t="n">
        <v>48.1</v>
      </c>
      <c r="I9" s="69" t="n">
        <v>49.5</v>
      </c>
      <c r="J9" s="69" t="n">
        <v>40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Q57"/>
  <sheetViews>
    <sheetView workbookViewId="0">
      <selection activeCell="B17" sqref="B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Rate per 100,000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15.3</v>
      </c>
      <c r="H6" s="69" t="n">
        <v>12.8</v>
      </c>
      <c r="I6" s="69" t="n">
        <v>12.1</v>
      </c>
      <c r="J6" s="69" t="n">
        <v>7.5</v>
      </c>
      <c r="K6" s="69" t="n"/>
      <c r="L6" s="69" t="n"/>
      <c r="M6" s="69" t="n"/>
      <c r="N6" s="69" t="n"/>
      <c r="O6" s="69" t="n"/>
    </row>
    <row r="7" ht="15.75" customHeight="1" s="91">
      <c r="F7" t="inlineStr">
        <is>
          <t>Black Non-Hispanic</t>
        </is>
      </c>
      <c r="G7" s="69" t="n">
        <v>52.9</v>
      </c>
      <c r="H7" s="69" t="n">
        <v>45.3</v>
      </c>
      <c r="I7" s="69" t="n">
        <v>65.90000000000001</v>
      </c>
      <c r="J7" s="69" t="n">
        <v>49.4</v>
      </c>
      <c r="K7" s="69" t="n"/>
      <c r="L7" s="69" t="n"/>
      <c r="M7" s="69" t="n"/>
      <c r="N7" s="69" t="n"/>
      <c r="O7" s="69" t="n"/>
    </row>
    <row r="8">
      <c r="F8" t="inlineStr">
        <is>
          <t>Hispanic (of any race)</t>
        </is>
      </c>
      <c r="G8" s="69" t="n">
        <v>49.2</v>
      </c>
      <c r="H8" s="69" t="n">
        <v>53.6</v>
      </c>
      <c r="I8" s="69" t="n">
        <v>64.09999999999999</v>
      </c>
      <c r="J8" s="69" t="n">
        <v>43.8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Rates are calculated using American Community Survey 5-Year Census population estimates. 2023 Census data used for 2024.</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31.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Maternal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16" t="inlineStr">
        <is>
          <t>Births to Females Age 15-44 Years</t>
        </is>
      </c>
      <c r="G7" s="69" t="n">
        <v>4787</v>
      </c>
      <c r="H7" s="69" t="n">
        <v>67.8</v>
      </c>
      <c r="I7" s="69" t="n">
        <v>5109</v>
      </c>
      <c r="J7" s="69" t="n">
        <v>69.40000000000001</v>
      </c>
      <c r="K7" s="69" t="n">
        <v>4948</v>
      </c>
      <c r="L7" s="69" t="n">
        <v>64.40000000000001</v>
      </c>
      <c r="M7" s="69" t="n">
        <v>5235</v>
      </c>
      <c r="N7" s="69" t="n">
        <v>67.59999999999999</v>
      </c>
      <c r="O7" s="69" t="n">
        <v>20079</v>
      </c>
      <c r="P7" s="69" t="n">
        <v>67.3</v>
      </c>
    </row>
    <row r="8">
      <c r="F8" s="78" t="inlineStr">
        <is>
          <t>Age Intervals</t>
        </is>
      </c>
    </row>
    <row r="9">
      <c r="A9" s="71" t="inlineStr">
        <is>
          <t>Figure Rules</t>
        </is>
      </c>
      <c r="F9" s="47" t="inlineStr">
        <is>
          <t>15-19</t>
        </is>
      </c>
      <c r="G9" s="69" t="n">
        <v>125</v>
      </c>
      <c r="H9" s="69" t="n">
        <v>9.199999999999999</v>
      </c>
      <c r="I9" s="69" t="n">
        <v>140</v>
      </c>
      <c r="J9" s="68" t="n">
        <v>9.800000000000001</v>
      </c>
      <c r="K9" s="68" t="n">
        <v>161</v>
      </c>
      <c r="L9" s="68" t="n">
        <v>10.3</v>
      </c>
      <c r="M9" s="68" t="n">
        <v>165</v>
      </c>
      <c r="N9" s="68" t="n">
        <v>10.6</v>
      </c>
      <c r="O9" s="69" t="n">
        <v>591</v>
      </c>
      <c r="P9" s="69" t="n">
        <v>10</v>
      </c>
    </row>
    <row r="10">
      <c r="A10" t="inlineStr">
        <is>
          <t>Figure Type</t>
        </is>
      </c>
      <c r="F10" s="48" t="inlineStr">
        <is>
          <t>20-24</t>
        </is>
      </c>
      <c r="G10" s="68" t="n">
        <v>956</v>
      </c>
      <c r="H10" s="68" t="n">
        <v>77.2</v>
      </c>
      <c r="I10" s="69" t="n">
        <v>990</v>
      </c>
      <c r="J10" s="69" t="n">
        <v>77.90000000000001</v>
      </c>
      <c r="K10" s="69" t="n">
        <v>992</v>
      </c>
      <c r="L10" s="69" t="n">
        <v>70.7</v>
      </c>
      <c r="M10" s="69" t="n">
        <v>1098</v>
      </c>
      <c r="N10" s="69" t="n">
        <v>79.7</v>
      </c>
      <c r="O10" s="69" t="n">
        <v>4036</v>
      </c>
      <c r="P10" s="69" t="n">
        <v>76.40000000000001</v>
      </c>
    </row>
    <row r="11">
      <c r="A11" t="inlineStr">
        <is>
          <t>X Column</t>
        </is>
      </c>
      <c r="F11" s="47" t="inlineStr">
        <is>
          <t>25-44</t>
        </is>
      </c>
      <c r="G11" s="69" t="n">
        <v>3706</v>
      </c>
      <c r="H11" s="69" t="n">
        <v>82.8</v>
      </c>
      <c r="I11" s="69" t="n">
        <v>3979</v>
      </c>
      <c r="J11" s="69" t="n">
        <v>85.3</v>
      </c>
      <c r="K11" s="69" t="n">
        <v>3795</v>
      </c>
      <c r="L11" s="69" t="n">
        <v>80.59999999999999</v>
      </c>
      <c r="M11" s="69" t="n">
        <v>3972</v>
      </c>
      <c r="N11" s="69" t="n">
        <v>82.59999999999999</v>
      </c>
      <c r="O11" s="69" t="n">
        <v>15452</v>
      </c>
      <c r="P11" s="69" t="n">
        <v>82.8</v>
      </c>
    </row>
    <row r="12">
      <c r="A12" t="inlineStr">
        <is>
          <t>Y Column</t>
        </is>
      </c>
      <c r="F12" s="78" t="inlineStr">
        <is>
          <t>Race and Ethnicity</t>
        </is>
      </c>
    </row>
    <row r="13">
      <c r="A13" t="inlineStr">
        <is>
          <t>X Axis Title</t>
        </is>
      </c>
      <c r="F13" s="47" t="inlineStr">
        <is>
          <t>Non-Hispanic White</t>
        </is>
      </c>
      <c r="G13" s="69" t="n">
        <v>3021</v>
      </c>
      <c r="H13" s="69" t="n">
        <v>74.5</v>
      </c>
      <c r="I13" s="69" t="n">
        <v>3095</v>
      </c>
      <c r="J13" s="69" t="n">
        <v>74.3</v>
      </c>
      <c r="K13" s="69" t="n">
        <v>3066</v>
      </c>
      <c r="L13" s="69" t="n">
        <v>71.90000000000001</v>
      </c>
      <c r="M13" s="69" t="n">
        <v>3275</v>
      </c>
      <c r="N13" s="69" t="n">
        <v>77.5</v>
      </c>
      <c r="O13" s="69" t="n">
        <v>12457</v>
      </c>
      <c r="P13" s="69" t="n">
        <v>74.59999999999999</v>
      </c>
    </row>
    <row r="14">
      <c r="A14" t="inlineStr">
        <is>
          <t>Y Axis Title</t>
        </is>
      </c>
      <c r="F14" s="47" t="inlineStr">
        <is>
          <t>Black Alone</t>
        </is>
      </c>
      <c r="G14" s="69" t="n">
        <v>557</v>
      </c>
      <c r="H14" s="69" t="n">
        <v>62.6</v>
      </c>
      <c r="I14" s="69" t="n">
        <v>549</v>
      </c>
      <c r="J14" s="69" t="n">
        <v>60.3</v>
      </c>
      <c r="K14" s="69" t="n">
        <v>558</v>
      </c>
      <c r="L14" s="69" t="n">
        <v>58.6</v>
      </c>
      <c r="M14" s="69" t="n">
        <v>489</v>
      </c>
      <c r="N14" s="69" t="n">
        <v>53.8</v>
      </c>
      <c r="O14" s="69" t="n">
        <v>2153</v>
      </c>
      <c r="P14" s="69" t="n">
        <v>58.8</v>
      </c>
    </row>
    <row r="15">
      <c r="A15" t="inlineStr">
        <is>
          <t>Start at Zero</t>
        </is>
      </c>
      <c r="F15" s="47" t="inlineStr">
        <is>
          <t>Hispanic</t>
        </is>
      </c>
      <c r="G15" s="69" t="n">
        <v>1198</v>
      </c>
      <c r="H15" s="69" t="n">
        <v>67.7</v>
      </c>
      <c r="I15" s="69" t="n">
        <v>1295</v>
      </c>
      <c r="J15" s="69" t="n">
        <v>69.2</v>
      </c>
      <c r="K15" s="69" t="n">
        <v>1296</v>
      </c>
      <c r="L15" s="69" t="n">
        <v>65.5</v>
      </c>
      <c r="M15" s="69" t="n">
        <v>1432</v>
      </c>
      <c r="N15" s="69" t="n">
        <v>69.5</v>
      </c>
      <c r="O15" s="69" t="n">
        <v>5221</v>
      </c>
      <c r="P15" s="69" t="n">
        <v>68</v>
      </c>
    </row>
    <row r="16">
      <c r="A16" t="inlineStr">
        <is>
          <t>Pivot For Chart</t>
        </is>
      </c>
      <c r="F16" s="78" t="inlineStr">
        <is>
          <t>ZIP Code</t>
        </is>
      </c>
    </row>
    <row r="17">
      <c r="F17" s="47" t="n">
        <v>10940</v>
      </c>
      <c r="G17" s="69" t="n">
        <v>568</v>
      </c>
      <c r="H17" s="69" t="n">
        <v>66.2</v>
      </c>
      <c r="I17" s="69" t="n">
        <v>575</v>
      </c>
      <c r="J17" s="69" t="n">
        <v>67.09999999999999</v>
      </c>
      <c r="K17" s="69" t="n">
        <v>546</v>
      </c>
      <c r="L17" s="69" t="n">
        <v>61.7</v>
      </c>
      <c r="M17" s="69" t="n">
        <v>603</v>
      </c>
      <c r="N17" s="69" t="n">
        <v>62.2</v>
      </c>
      <c r="O17" s="69" t="n">
        <v>2292</v>
      </c>
      <c r="P17" s="69" t="n">
        <v>64.3</v>
      </c>
    </row>
    <row r="18">
      <c r="A18" s="71" t="inlineStr">
        <is>
          <t>Source Specifications</t>
        </is>
      </c>
      <c r="F18" s="47" t="n">
        <v>10950</v>
      </c>
      <c r="G18" s="69" t="n">
        <v>1527</v>
      </c>
      <c r="H18" s="69" t="n">
        <v>151.7</v>
      </c>
      <c r="I18" s="69" t="n">
        <v>1693</v>
      </c>
      <c r="J18" s="69" t="n">
        <v>152.3</v>
      </c>
      <c r="K18" s="69" t="n">
        <v>1683</v>
      </c>
      <c r="L18" s="69" t="n">
        <v>135.6</v>
      </c>
      <c r="M18" s="69" t="n">
        <v>1869</v>
      </c>
      <c r="N18" s="69" t="n">
        <v>142.6</v>
      </c>
      <c r="O18" s="69" t="n">
        <v>6772</v>
      </c>
      <c r="P18" s="69" t="n">
        <v>145.6</v>
      </c>
    </row>
    <row r="19">
      <c r="A19" t="inlineStr">
        <is>
          <t>Source</t>
        </is>
      </c>
      <c r="B19" t="inlineStr">
        <is>
          <t>Source: Special request from NYSDOH Bureau of Vital Records, July 2025</t>
        </is>
      </c>
      <c r="F19" s="47" t="n">
        <v>12550</v>
      </c>
      <c r="G19" s="69" t="n">
        <v>666</v>
      </c>
      <c r="H19" s="69" t="n">
        <v>59.3</v>
      </c>
      <c r="I19" s="69" t="n">
        <v>667</v>
      </c>
      <c r="J19" s="69" t="n">
        <v>58.6</v>
      </c>
      <c r="K19" s="69" t="n">
        <v>677</v>
      </c>
      <c r="L19" s="69" t="n">
        <v>58.2</v>
      </c>
      <c r="M19" s="69" t="n">
        <v>688</v>
      </c>
      <c r="N19" s="69" t="n">
        <v>58.6</v>
      </c>
      <c r="O19" s="69" t="n">
        <v>2698</v>
      </c>
      <c r="P19" s="69" t="n">
        <v>58.7</v>
      </c>
    </row>
    <row r="20">
      <c r="F20" s="47" t="n">
        <v>12771</v>
      </c>
      <c r="G20" s="69" t="n">
        <v>156</v>
      </c>
      <c r="H20" s="69" t="n">
        <v>63.5</v>
      </c>
      <c r="I20" s="69" t="n">
        <v>144</v>
      </c>
      <c r="J20" s="69" t="n">
        <v>53.5</v>
      </c>
      <c r="K20" s="69" t="n">
        <v>154</v>
      </c>
      <c r="L20" s="69" t="n">
        <v>53.5</v>
      </c>
      <c r="M20" s="69" t="n">
        <v>134</v>
      </c>
      <c r="N20" s="69" t="n">
        <v>46.3</v>
      </c>
      <c r="O20" s="69" t="n">
        <v>588</v>
      </c>
      <c r="P20" s="69" t="n">
        <v>54.2</v>
      </c>
    </row>
    <row r="21">
      <c r="A21" s="69" t="inlineStr">
        <is>
          <t>Note Specfications</t>
        </is>
      </c>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Q57"/>
  <sheetViews>
    <sheetView workbookViewId="0">
      <selection activeCell="N25" sqref="N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4787</v>
      </c>
      <c r="H6" s="69" t="n">
        <v>5109</v>
      </c>
      <c r="I6" s="69" t="n">
        <v>4948</v>
      </c>
      <c r="J6" s="69" t="n">
        <v>5235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Q57"/>
  <sheetViews>
    <sheetView workbookViewId="0">
      <selection activeCell="M24" sqref="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74.5</v>
      </c>
      <c r="H6" s="69" t="n">
        <v>74.3</v>
      </c>
      <c r="I6" s="69" t="n">
        <v>71.90000000000001</v>
      </c>
      <c r="J6" s="69" t="n">
        <v>77.5</v>
      </c>
      <c r="K6" s="69" t="n"/>
      <c r="L6" s="69" t="n"/>
      <c r="M6" s="69" t="n"/>
      <c r="N6" s="69" t="n"/>
      <c r="O6" s="69" t="n"/>
    </row>
    <row r="7" ht="15.75" customHeight="1" s="91">
      <c r="F7" t="inlineStr">
        <is>
          <t>Black Alone</t>
        </is>
      </c>
      <c r="G7" s="69" t="n">
        <v>62.6</v>
      </c>
      <c r="H7" s="69" t="n">
        <v>60.3</v>
      </c>
      <c r="I7" s="69" t="n">
        <v>58.6</v>
      </c>
      <c r="J7" s="69" t="n">
        <v>53.8</v>
      </c>
      <c r="K7" s="69" t="n"/>
      <c r="L7" s="69" t="n"/>
      <c r="M7" s="69" t="n"/>
      <c r="N7" s="69" t="n"/>
      <c r="O7" s="69" t="n"/>
    </row>
    <row r="8">
      <c r="F8" t="inlineStr">
        <is>
          <t>Hispanic</t>
        </is>
      </c>
      <c r="G8" s="69" t="n">
        <v>67.7</v>
      </c>
      <c r="H8" s="69" t="n">
        <v>69.2</v>
      </c>
      <c r="I8" s="69" t="n">
        <v>65.5</v>
      </c>
      <c r="J8" s="69" t="n">
        <v>69.5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66.2</v>
      </c>
      <c r="H6" s="69" t="n">
        <v>67.09999999999999</v>
      </c>
      <c r="I6" s="69" t="n">
        <v>61.7</v>
      </c>
      <c r="J6" s="69" t="n">
        <v>62.2</v>
      </c>
      <c r="K6" s="69" t="n"/>
      <c r="L6" s="69" t="n"/>
      <c r="M6" s="69" t="n"/>
      <c r="N6" s="69" t="n"/>
      <c r="O6" s="69" t="n"/>
    </row>
    <row r="7" ht="15.75" customHeight="1" s="91">
      <c r="F7" t="n">
        <v>10950</v>
      </c>
      <c r="G7" s="69" t="n">
        <v>151.7</v>
      </c>
      <c r="H7" s="69" t="n">
        <v>152.3</v>
      </c>
      <c r="I7" s="69" t="n">
        <v>135.6</v>
      </c>
      <c r="J7" s="69" t="n">
        <v>142.6</v>
      </c>
      <c r="K7" s="69" t="n"/>
      <c r="L7" s="69" t="n"/>
      <c r="M7" s="69" t="n"/>
      <c r="N7" s="69" t="n"/>
      <c r="O7" s="69" t="n"/>
    </row>
    <row r="8">
      <c r="F8" t="n">
        <v>12550</v>
      </c>
      <c r="G8" s="69" t="n">
        <v>59.3</v>
      </c>
      <c r="H8" s="69" t="n">
        <v>58.6</v>
      </c>
      <c r="I8" s="69" t="n">
        <v>58.2</v>
      </c>
      <c r="J8" s="69" t="n">
        <v>58.6</v>
      </c>
      <c r="K8" s="69" t="n"/>
      <c r="L8" s="69" t="n"/>
      <c r="M8" s="69" t="n"/>
      <c r="N8" s="69" t="n"/>
      <c r="O8" s="69" t="n"/>
    </row>
    <row r="9">
      <c r="A9" s="71" t="inlineStr">
        <is>
          <t>Figure Rules</t>
        </is>
      </c>
      <c r="F9" t="n">
        <v>12771</v>
      </c>
      <c r="G9" s="69" t="n">
        <v>63.5</v>
      </c>
      <c r="H9" s="69" t="n">
        <v>53.5</v>
      </c>
      <c r="I9" s="69" t="n">
        <v>53.5</v>
      </c>
      <c r="J9" s="69" t="n">
        <v>46.3</v>
      </c>
      <c r="K9" s="69" t="n"/>
      <c r="L9" s="69" t="n"/>
      <c r="M9" s="69" t="n"/>
      <c r="N9" s="69" t="n"/>
      <c r="O9" s="69" t="n"/>
    </row>
    <row r="10">
      <c r="A10" t="inlineStr">
        <is>
          <t>Figure Type</t>
        </is>
      </c>
      <c r="B10" t="inlineStr">
        <is>
          <t>Clustered Bar</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Q57"/>
  <sheetViews>
    <sheetView workbookViewId="0">
      <selection activeCell="F10" sqref="F10:F12"/>
    </sheetView>
  </sheetViews>
  <sheetFormatPr baseColWidth="8" defaultColWidth="8.7109375" defaultRowHeight="15"/>
  <cols>
    <col width="20" bestFit="1" customWidth="1" style="91" min="1" max="1"/>
    <col width="22.140625" bestFit="1" customWidth="1" style="91" min="2" max="2"/>
    <col width="6.7109375" customWidth="1" style="91" min="5" max="5"/>
    <col width="30.85546875" bestFit="1" customWidth="1" style="91" min="6" max="6"/>
    <col width="7.42578125"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3.42578125" bestFit="1" customWidth="1" style="91" min="16" max="16"/>
  </cols>
  <sheetData>
    <row r="1">
      <c r="A1" s="16" t="inlineStr">
        <is>
          <t>Name</t>
        </is>
      </c>
      <c r="B1" s="66" t="inlineStr">
        <is>
          <t>All Births to Mothers 17 Years and Younger,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to Mothers 17 and Younger</t>
        </is>
      </c>
      <c r="G8" s="69" t="n">
        <v>22</v>
      </c>
      <c r="H8" s="69" t="n">
        <v>0.5</v>
      </c>
      <c r="I8" s="69" t="n">
        <v>30</v>
      </c>
      <c r="J8" s="69" t="n">
        <v>0.6</v>
      </c>
      <c r="K8" s="69" t="n">
        <v>24</v>
      </c>
      <c r="L8" s="69" t="n">
        <v>0.5</v>
      </c>
      <c r="M8" s="69" t="n">
        <v>38</v>
      </c>
      <c r="N8" s="69" t="n">
        <v>0.7</v>
      </c>
      <c r="O8" s="69" t="n">
        <v>114</v>
      </c>
      <c r="P8" s="69" t="n">
        <v>0.6</v>
      </c>
    </row>
    <row r="9">
      <c r="A9" s="71" t="inlineStr">
        <is>
          <t>Figure Rules</t>
        </is>
      </c>
      <c r="F9" s="78" t="inlineStr">
        <is>
          <t>Age Intervals</t>
        </is>
      </c>
    </row>
    <row r="10">
      <c r="A10" t="inlineStr">
        <is>
          <t>Figure Type</t>
        </is>
      </c>
      <c r="F10" s="49" t="inlineStr">
        <is>
          <t>10-14</t>
        </is>
      </c>
      <c r="G10" s="69" t="inlineStr">
        <is>
          <t>s</t>
        </is>
      </c>
      <c r="H10" s="69" t="inlineStr">
        <is>
          <t>s</t>
        </is>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n">
        <v>21</v>
      </c>
      <c r="H11" s="68" t="n">
        <v>0.4</v>
      </c>
      <c r="I11" s="69" t="n">
        <v>30</v>
      </c>
      <c r="J11" s="69" t="n">
        <v>0.6</v>
      </c>
      <c r="K11" s="69" t="n">
        <v>21</v>
      </c>
      <c r="L11" s="69" t="n">
        <v>0.4</v>
      </c>
      <c r="M11" s="69" t="n">
        <v>35</v>
      </c>
      <c r="N11" s="69" t="n">
        <v>0.7</v>
      </c>
      <c r="O11" s="69" t="n">
        <v>107</v>
      </c>
      <c r="P11" s="69" t="n">
        <v>0.5</v>
      </c>
    </row>
    <row r="12">
      <c r="A12" t="inlineStr">
        <is>
          <t>Y Column</t>
        </is>
      </c>
      <c r="F12" s="47" t="inlineStr">
        <is>
          <t>18+</t>
        </is>
      </c>
      <c r="G12" s="69" t="n">
        <v>4786</v>
      </c>
      <c r="H12" s="69" t="n">
        <v>99.5</v>
      </c>
      <c r="I12" s="69" t="n">
        <v>5095</v>
      </c>
      <c r="J12" s="69" t="n">
        <v>99.40000000000001</v>
      </c>
      <c r="K12" s="69" t="n">
        <v>4941</v>
      </c>
      <c r="L12" s="69" t="n">
        <v>99.5</v>
      </c>
      <c r="M12" s="69" t="n">
        <v>5215</v>
      </c>
      <c r="N12" s="69" t="n">
        <v>99.3</v>
      </c>
      <c r="O12" s="69" t="n">
        <v>20037</v>
      </c>
      <c r="P12" s="69" t="n">
        <v>99.40000000000001</v>
      </c>
    </row>
    <row r="13">
      <c r="A13" t="inlineStr">
        <is>
          <t>X Axis Title</t>
        </is>
      </c>
      <c r="F13" s="78" t="inlineStr">
        <is>
          <t>Race and Ethnicity</t>
        </is>
      </c>
    </row>
    <row r="14">
      <c r="A14" t="inlineStr">
        <is>
          <t>Y Axis Title</t>
        </is>
      </c>
      <c r="F14" s="47" t="inlineStr">
        <is>
          <t>Non-Hispanic White</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16</v>
      </c>
      <c r="P14" s="69" t="n">
        <v>0.1</v>
      </c>
    </row>
    <row r="15">
      <c r="A15" t="inlineStr">
        <is>
          <t>Start at Zero</t>
        </is>
      </c>
      <c r="F15" s="47" t="inlineStr">
        <is>
          <t>Black Alone</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18</v>
      </c>
      <c r="P15" s="69" t="n">
        <v>1.2</v>
      </c>
    </row>
    <row r="16">
      <c r="A16" t="inlineStr">
        <is>
          <t>Pivot For Chart</t>
        </is>
      </c>
      <c r="F16" s="47" t="inlineStr">
        <is>
          <t>Hispanic</t>
        </is>
      </c>
      <c r="G16" s="69" t="n">
        <v>14</v>
      </c>
      <c r="H16" s="69" t="n">
        <v>1.2</v>
      </c>
      <c r="I16" s="69" t="n">
        <v>19</v>
      </c>
      <c r="J16" s="69" t="n">
        <v>1.5</v>
      </c>
      <c r="K16" s="69" t="n">
        <v>15</v>
      </c>
      <c r="L16" s="69" t="n">
        <v>1.2</v>
      </c>
      <c r="M16" s="69" t="n">
        <v>26</v>
      </c>
      <c r="N16" s="69" t="n">
        <v>1.8</v>
      </c>
      <c r="O16" s="69" t="n">
        <v>74</v>
      </c>
      <c r="P16" s="69" t="n">
        <v>1.4</v>
      </c>
    </row>
    <row r="17">
      <c r="F17" s="47" t="inlineStr">
        <is>
          <t>Other</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inlineStr">
        <is>
          <t>s</t>
        </is>
      </c>
      <c r="P17" s="69" t="inlineStr">
        <is>
          <t>s</t>
        </is>
      </c>
    </row>
    <row r="18">
      <c r="A18" s="71" t="inlineStr">
        <is>
          <t>Source Specifications</t>
        </is>
      </c>
      <c r="F18" s="78" t="inlineStr">
        <is>
          <t>ZIP Code</t>
        </is>
      </c>
    </row>
    <row r="19">
      <c r="A19" t="inlineStr">
        <is>
          <t>Source</t>
        </is>
      </c>
      <c r="B19" t="inlineStr">
        <is>
          <t>ource: Special request from NYSDOH Bureau of Vital Records, July 2025</t>
        </is>
      </c>
      <c r="F19" s="47" t="n">
        <v>10940</v>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n">
        <v>25</v>
      </c>
      <c r="P19" s="69" t="n">
        <v>1.1</v>
      </c>
    </row>
    <row r="20">
      <c r="F20" s="47" t="inlineStr">
        <is>
          <t>10950*</t>
        </is>
      </c>
      <c r="G20" s="69" t="inlineStr">
        <is>
          <t>s</t>
        </is>
      </c>
      <c r="H20" s="69" t="inlineStr">
        <is>
          <t>s</t>
        </is>
      </c>
      <c r="I20" s="69" t="inlineStr">
        <is>
          <t>s</t>
        </is>
      </c>
      <c r="J20" s="69" t="inlineStr">
        <is>
          <t>s</t>
        </is>
      </c>
      <c r="K20" s="69" t="inlineStr">
        <is>
          <t>s</t>
        </is>
      </c>
      <c r="L20" s="69" t="inlineStr">
        <is>
          <t>s</t>
        </is>
      </c>
      <c r="M20" s="69" t="inlineStr">
        <is>
          <t>s</t>
        </is>
      </c>
      <c r="N20" s="69" t="inlineStr">
        <is>
          <t>s</t>
        </is>
      </c>
      <c r="O20" s="69" t="n">
        <v>15</v>
      </c>
      <c r="P20" s="69" t="n">
        <v>0.2</v>
      </c>
    </row>
    <row r="21">
      <c r="A21" s="69" t="inlineStr">
        <is>
          <t>Note Specfications</t>
        </is>
      </c>
      <c r="F21" s="47" t="n">
        <v>12550</v>
      </c>
      <c r="G21" s="69" t="inlineStr">
        <is>
          <t>s</t>
        </is>
      </c>
      <c r="H21" s="69" t="inlineStr">
        <is>
          <t>s</t>
        </is>
      </c>
      <c r="I21" s="69" t="n">
        <v>16</v>
      </c>
      <c r="J21" s="69" t="n">
        <v>2.4</v>
      </c>
      <c r="K21" s="69" t="n">
        <v>12</v>
      </c>
      <c r="L21" s="69" t="n">
        <v>1.8</v>
      </c>
      <c r="M21" s="69" t="n">
        <v>17</v>
      </c>
      <c r="N21" s="69" t="n">
        <v>2.5</v>
      </c>
      <c r="O21" s="69" t="n">
        <v>53</v>
      </c>
      <c r="P21" s="69" t="n">
        <v>2</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12771</v>
      </c>
      <c r="G22" s="69" t="n">
        <v>0</v>
      </c>
      <c r="H22" s="69" t="n">
        <v>0</v>
      </c>
      <c r="I22" s="69" t="inlineStr">
        <is>
          <t>s</t>
        </is>
      </c>
      <c r="J22" s="69" t="inlineStr">
        <is>
          <t>s</t>
        </is>
      </c>
      <c r="K22" s="69" t="inlineStr">
        <is>
          <t>s</t>
        </is>
      </c>
      <c r="L22" s="69" t="inlineStr">
        <is>
          <t>s</t>
        </is>
      </c>
      <c r="M22" s="69" t="inlineStr">
        <is>
          <t>s</t>
        </is>
      </c>
      <c r="N22" s="69" t="inlineStr">
        <is>
          <t>s</t>
        </is>
      </c>
      <c r="O22" s="69" t="inlineStr">
        <is>
          <t>s</t>
        </is>
      </c>
      <c r="P22" s="69" t="inlineStr">
        <is>
          <t>s</t>
        </is>
      </c>
    </row>
    <row r="23"/>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Medicaid or Self-Pay,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Births with Medicaid or Self-Pay</t>
        </is>
      </c>
      <c r="G7" s="69" t="n">
        <v>2649</v>
      </c>
      <c r="H7" s="69" t="n">
        <v>55.1</v>
      </c>
      <c r="I7" s="69" t="n">
        <v>2656</v>
      </c>
      <c r="J7" s="69" t="n">
        <v>51.8</v>
      </c>
      <c r="K7" s="69" t="n">
        <v>2768</v>
      </c>
      <c r="L7" s="69" t="n">
        <v>55.8</v>
      </c>
      <c r="M7" s="69" t="n">
        <v>3042</v>
      </c>
      <c r="N7" s="69" t="n">
        <v>57.9</v>
      </c>
      <c r="O7" s="69" t="n">
        <v>11115</v>
      </c>
      <c r="P7" s="69" t="n">
        <v>55.1</v>
      </c>
    </row>
    <row r="8">
      <c r="F8" s="78" t="inlineStr">
        <is>
          <t>Age Intervals</t>
        </is>
      </c>
    </row>
    <row r="9">
      <c r="A9" s="71" t="inlineStr">
        <is>
          <t>Figure Rules</t>
        </is>
      </c>
      <c r="F9" s="49" t="inlineStr">
        <is>
          <t>10-14</t>
        </is>
      </c>
      <c r="G9" s="69" t="n">
        <v>0</v>
      </c>
      <c r="H9" s="69" t="n">
        <v>0</v>
      </c>
      <c r="I9" s="69" t="n">
        <v>0</v>
      </c>
      <c r="J9" s="68" t="n">
        <v>0</v>
      </c>
      <c r="K9" s="68" t="inlineStr">
        <is>
          <t>s</t>
        </is>
      </c>
      <c r="L9" s="68" t="inlineStr">
        <is>
          <t>s</t>
        </is>
      </c>
      <c r="M9" s="68" t="inlineStr">
        <is>
          <t>s</t>
        </is>
      </c>
      <c r="N9" s="68" t="inlineStr">
        <is>
          <t>s</t>
        </is>
      </c>
      <c r="O9" s="69" t="inlineStr">
        <is>
          <t>s</t>
        </is>
      </c>
      <c r="P9" s="69" t="inlineStr">
        <is>
          <t>s</t>
        </is>
      </c>
    </row>
    <row r="10">
      <c r="A10" t="inlineStr">
        <is>
          <t>Figure Type</t>
        </is>
      </c>
      <c r="F10" s="55" t="inlineStr">
        <is>
          <t>15-17</t>
        </is>
      </c>
      <c r="G10" s="68" t="n">
        <v>15</v>
      </c>
      <c r="H10" s="68" t="n">
        <v>71.40000000000001</v>
      </c>
      <c r="I10" s="69" t="n">
        <v>25</v>
      </c>
      <c r="J10" s="69" t="n">
        <v>83.3</v>
      </c>
      <c r="K10" s="69" t="n">
        <v>17</v>
      </c>
      <c r="L10" s="69" t="n">
        <v>81</v>
      </c>
      <c r="M10" s="69" t="n">
        <v>31</v>
      </c>
      <c r="N10" s="69" t="n">
        <v>88.59999999999999</v>
      </c>
      <c r="O10" s="69" t="n">
        <v>88</v>
      </c>
      <c r="P10" s="69" t="n">
        <v>81.09999999999999</v>
      </c>
    </row>
    <row r="11">
      <c r="A11" t="inlineStr">
        <is>
          <t>X Column</t>
        </is>
      </c>
      <c r="F11" s="49" t="inlineStr">
        <is>
          <t>18-19</t>
        </is>
      </c>
      <c r="G11" s="69" t="n">
        <v>85</v>
      </c>
      <c r="H11" s="69" t="n">
        <v>81.7</v>
      </c>
      <c r="I11" s="69" t="n">
        <v>91</v>
      </c>
      <c r="J11" s="69" t="n">
        <v>82.7</v>
      </c>
      <c r="K11" s="69" t="n">
        <v>118</v>
      </c>
      <c r="L11" s="69" t="n">
        <v>84.3</v>
      </c>
      <c r="M11" s="69" t="n">
        <v>110</v>
      </c>
      <c r="N11" s="69" t="n">
        <v>84.59999999999999</v>
      </c>
      <c r="O11" s="69" t="n">
        <v>404</v>
      </c>
      <c r="P11" s="69" t="n">
        <v>83.3</v>
      </c>
    </row>
    <row r="12">
      <c r="A12" t="inlineStr">
        <is>
          <t>Y Column</t>
        </is>
      </c>
      <c r="F12" s="49" t="inlineStr">
        <is>
          <t>20-24</t>
        </is>
      </c>
      <c r="G12" s="69" t="n">
        <v>745</v>
      </c>
      <c r="H12" s="69" t="n">
        <v>77.90000000000001</v>
      </c>
      <c r="I12" s="69" t="n">
        <v>741</v>
      </c>
      <c r="J12" s="69" t="n">
        <v>74.8</v>
      </c>
      <c r="K12" s="69" t="n">
        <v>778</v>
      </c>
      <c r="L12" s="69" t="n">
        <v>78.40000000000001</v>
      </c>
      <c r="M12" s="69" t="n">
        <v>908</v>
      </c>
      <c r="N12" s="69" t="n">
        <v>82.7</v>
      </c>
      <c r="O12" s="69" t="n">
        <v>3172</v>
      </c>
      <c r="P12" s="69" t="n">
        <v>78.5</v>
      </c>
    </row>
    <row r="13">
      <c r="A13" t="inlineStr">
        <is>
          <t>X Axis Title</t>
        </is>
      </c>
      <c r="F13" s="49" t="inlineStr">
        <is>
          <t>25-44</t>
        </is>
      </c>
      <c r="G13" s="69" t="n">
        <v>1796</v>
      </c>
      <c r="H13" s="69" t="n">
        <v>48.5</v>
      </c>
      <c r="I13" s="69" t="n">
        <v>1794</v>
      </c>
      <c r="J13" s="69" t="n">
        <v>45.1</v>
      </c>
      <c r="K13" s="69" t="n">
        <v>1843</v>
      </c>
      <c r="L13" s="69" t="n">
        <v>48.6</v>
      </c>
      <c r="M13" s="69" t="n">
        <v>1985</v>
      </c>
      <c r="N13" s="69" t="n">
        <v>50</v>
      </c>
      <c r="O13" s="69" t="n">
        <v>7418</v>
      </c>
      <c r="P13" s="69" t="n">
        <v>48</v>
      </c>
    </row>
    <row r="14">
      <c r="A14" t="inlineStr">
        <is>
          <t>Y Axis Title</t>
        </is>
      </c>
      <c r="F14" s="49" t="inlineStr">
        <is>
          <t>45+</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28</v>
      </c>
      <c r="P14" s="69" t="n">
        <v>43.9</v>
      </c>
    </row>
    <row r="15">
      <c r="A15" t="inlineStr">
        <is>
          <t>Start at Zero</t>
        </is>
      </c>
      <c r="F15" s="79" t="inlineStr">
        <is>
          <t>Race and Ethnicity</t>
        </is>
      </c>
    </row>
    <row r="16">
      <c r="A16" t="inlineStr">
        <is>
          <t>Pivot For Chart</t>
        </is>
      </c>
      <c r="F16" s="49" t="inlineStr">
        <is>
          <t>Non-Hispanic White</t>
        </is>
      </c>
      <c r="G16" s="69" t="n">
        <v>1607</v>
      </c>
      <c r="H16" s="69" t="n">
        <v>54</v>
      </c>
      <c r="I16" s="69" t="n">
        <v>1587</v>
      </c>
      <c r="J16" s="69" t="n">
        <v>51.7</v>
      </c>
      <c r="K16" s="69" t="n">
        <v>1638</v>
      </c>
      <c r="L16" s="69" t="n">
        <v>54</v>
      </c>
      <c r="M16" s="69" t="n">
        <v>1814</v>
      </c>
      <c r="N16" s="69" t="n">
        <v>55.9</v>
      </c>
      <c r="O16" s="69" t="n">
        <v>6646</v>
      </c>
      <c r="P16" s="69" t="n">
        <v>53.9</v>
      </c>
    </row>
    <row r="17">
      <c r="F17" s="49" t="inlineStr">
        <is>
          <t>Black Alone</t>
        </is>
      </c>
      <c r="G17" s="69" t="n">
        <v>208</v>
      </c>
      <c r="H17" s="69" t="n">
        <v>53.3</v>
      </c>
      <c r="I17" s="69" t="n">
        <v>206</v>
      </c>
      <c r="J17" s="69" t="n">
        <v>52</v>
      </c>
      <c r="K17" s="69" t="n">
        <v>198</v>
      </c>
      <c r="L17" s="69" t="n">
        <v>48.5</v>
      </c>
      <c r="M17" s="69" t="n">
        <v>179</v>
      </c>
      <c r="N17" s="69" t="n">
        <v>51.3</v>
      </c>
      <c r="O17" s="69" t="n">
        <v>791</v>
      </c>
      <c r="P17" s="69" t="n">
        <v>51.3</v>
      </c>
    </row>
    <row r="18">
      <c r="A18" s="71" t="inlineStr">
        <is>
          <t>Source Specifications</t>
        </is>
      </c>
      <c r="F18" s="49" t="inlineStr">
        <is>
          <t>Hispanic</t>
        </is>
      </c>
      <c r="G18" s="69" t="n">
        <v>718</v>
      </c>
      <c r="H18" s="69" t="n">
        <v>59.7</v>
      </c>
      <c r="I18" s="69" t="n">
        <v>771</v>
      </c>
      <c r="J18" s="69" t="n">
        <v>59.4</v>
      </c>
      <c r="K18" s="69" t="n">
        <v>845</v>
      </c>
      <c r="L18" s="69" t="n">
        <v>65.09999999999999</v>
      </c>
      <c r="M18" s="69" t="n">
        <v>945</v>
      </c>
      <c r="N18" s="69" t="n">
        <v>65.7</v>
      </c>
      <c r="O18" s="69" t="n">
        <v>3279</v>
      </c>
      <c r="P18" s="69" t="n">
        <v>62.5</v>
      </c>
    </row>
    <row r="19">
      <c r="A19" t="inlineStr">
        <is>
          <t>Source</t>
        </is>
      </c>
      <c r="B19" t="inlineStr">
        <is>
          <t>Source: Special request from NYSDOH Bureau of Vital Records, July 2025</t>
        </is>
      </c>
      <c r="F19" s="49" t="inlineStr">
        <is>
          <t>Other</t>
        </is>
      </c>
      <c r="G19" s="69" t="n">
        <v>116</v>
      </c>
      <c r="H19" s="69" t="n">
        <v>48.1</v>
      </c>
      <c r="I19" s="69" t="n">
        <v>92</v>
      </c>
      <c r="J19" s="69" t="n">
        <v>25.2</v>
      </c>
      <c r="K19" s="69" t="n">
        <v>87</v>
      </c>
      <c r="L19" s="69" t="n">
        <v>38.5</v>
      </c>
      <c r="M19" s="69" t="n">
        <v>104</v>
      </c>
      <c r="N19" s="69" t="n">
        <v>46.6</v>
      </c>
      <c r="O19" s="69" t="n">
        <v>399</v>
      </c>
      <c r="P19" s="69" t="n">
        <v>39.6</v>
      </c>
    </row>
    <row r="20">
      <c r="F20" s="79" t="inlineStr">
        <is>
          <t>ZIP Code</t>
        </is>
      </c>
    </row>
    <row r="21">
      <c r="A21" s="69" t="inlineStr">
        <is>
          <t>Note Specfications</t>
        </is>
      </c>
      <c r="F21" s="49" t="n">
        <v>10940</v>
      </c>
      <c r="G21" s="69" t="n">
        <v>292</v>
      </c>
      <c r="H21" s="69" t="n">
        <v>50.9</v>
      </c>
      <c r="I21" s="69" t="n">
        <v>310</v>
      </c>
      <c r="J21" s="69" t="n">
        <v>53.8</v>
      </c>
      <c r="K21" s="69" t="n">
        <v>315</v>
      </c>
      <c r="L21" s="69" t="n">
        <v>57.5</v>
      </c>
      <c r="M21" s="69" t="n">
        <v>344</v>
      </c>
      <c r="N21" s="69" t="n">
        <v>57</v>
      </c>
      <c r="O21" s="69" t="n">
        <v>1261</v>
      </c>
      <c r="P21" s="69" t="n">
        <v>54.8</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9" t="inlineStr">
        <is>
          <t>10950*</t>
        </is>
      </c>
      <c r="G22" s="69" t="n">
        <v>1256</v>
      </c>
      <c r="H22" s="69" t="n">
        <v>81.8</v>
      </c>
      <c r="I22" s="69" t="n">
        <v>1263</v>
      </c>
      <c r="J22" s="69" t="n">
        <v>74.2</v>
      </c>
      <c r="K22" s="69" t="n">
        <v>1343</v>
      </c>
      <c r="L22" s="69" t="n">
        <v>79.3</v>
      </c>
      <c r="M22" s="69" t="n">
        <v>1554</v>
      </c>
      <c r="N22" s="69" t="n">
        <v>82.8</v>
      </c>
      <c r="O22" s="69" t="n">
        <v>5416</v>
      </c>
      <c r="P22" s="69" t="n">
        <v>79.5</v>
      </c>
    </row>
    <row r="23">
      <c r="F23" s="49" t="n">
        <v>12550</v>
      </c>
      <c r="G23" s="69" t="n">
        <v>414</v>
      </c>
      <c r="H23" s="69" t="n">
        <v>61.9</v>
      </c>
      <c r="I23" s="69" t="n">
        <v>434</v>
      </c>
      <c r="J23" s="69" t="n">
        <v>65.09999999999999</v>
      </c>
      <c r="K23" s="69" t="n">
        <v>434</v>
      </c>
      <c r="L23" s="69" t="n">
        <v>63.9</v>
      </c>
      <c r="M23" s="69" t="n">
        <v>456</v>
      </c>
      <c r="N23" s="69" t="n">
        <v>66</v>
      </c>
      <c r="O23" s="69" t="n">
        <v>1738</v>
      </c>
      <c r="P23" s="69" t="n">
        <v>64.2</v>
      </c>
    </row>
    <row r="24">
      <c r="F24" s="49" t="n">
        <v>12771</v>
      </c>
      <c r="G24" s="69" t="n">
        <v>90</v>
      </c>
      <c r="H24" s="69" t="n">
        <v>57.7</v>
      </c>
      <c r="I24" s="69" t="n">
        <v>65</v>
      </c>
      <c r="J24" s="69" t="n">
        <v>44.5</v>
      </c>
      <c r="K24" s="69" t="n">
        <v>82</v>
      </c>
      <c r="L24" s="69" t="n">
        <v>52.9</v>
      </c>
      <c r="M24" s="69" t="n">
        <v>66</v>
      </c>
      <c r="N24" s="69" t="n">
        <v>49.3</v>
      </c>
      <c r="O24" s="69" t="n">
        <v>303</v>
      </c>
      <c r="P24" s="69" t="n">
        <v>51.1</v>
      </c>
    </row>
    <row r="25">
      <c r="F25" s="12" t="n"/>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Maternal Mortality, Rate per 100,000 Live Births,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2018</v>
      </c>
      <c r="H5" t="n">
        <v>2019</v>
      </c>
      <c r="I5" t="n">
        <v>2020</v>
      </c>
      <c r="J5" t="n">
        <v>2021</v>
      </c>
    </row>
    <row r="6" ht="15" customHeight="1" s="91">
      <c r="A6" t="inlineStr">
        <is>
          <t>Multilevel Headers</t>
        </is>
      </c>
      <c r="B6" t="b">
        <v>0</v>
      </c>
      <c r="F6" t="inlineStr">
        <is>
          <t>Orange</t>
        </is>
      </c>
      <c r="G6" s="69" t="inlineStr">
        <is>
          <t>39.1*</t>
        </is>
      </c>
      <c r="H6" s="69" t="inlineStr">
        <is>
          <t>32.3*</t>
        </is>
      </c>
      <c r="I6" s="69" t="inlineStr">
        <is>
          <t>24.9*</t>
        </is>
      </c>
      <c r="J6" s="69" t="inlineStr">
        <is>
          <t>12.3*</t>
        </is>
      </c>
      <c r="K6" s="69" t="n"/>
      <c r="L6" s="69" t="n"/>
      <c r="M6" s="69" t="n"/>
      <c r="N6" s="69" t="n"/>
      <c r="O6" s="69" t="n"/>
    </row>
    <row r="7" ht="15.75" customHeight="1" s="91">
      <c r="F7" t="inlineStr">
        <is>
          <t>Mid-Hudson</t>
        </is>
      </c>
      <c r="G7" s="69" t="n">
        <v>17.5</v>
      </c>
      <c r="H7" s="69" t="n">
        <v>17.6</v>
      </c>
      <c r="I7" s="69" t="n">
        <v>18.5</v>
      </c>
      <c r="J7" s="69" t="n">
        <v>20.7</v>
      </c>
      <c r="K7" s="69" t="n"/>
      <c r="L7" s="69" t="n"/>
      <c r="M7" s="69" t="n"/>
      <c r="N7" s="69" t="n"/>
      <c r="O7" s="69" t="n"/>
    </row>
    <row r="8">
      <c r="F8" t="inlineStr">
        <is>
          <t>NYS excl NYC</t>
        </is>
      </c>
      <c r="G8" s="69" t="n">
        <v>18.8</v>
      </c>
      <c r="H8" s="69" t="n">
        <v>19.3</v>
      </c>
      <c r="I8" s="69" t="n">
        <v>21.9</v>
      </c>
      <c r="J8" s="69" t="n">
        <v>22.6</v>
      </c>
      <c r="K8" s="69" t="n"/>
      <c r="L8" s="69" t="n"/>
      <c r="M8" s="69" t="n"/>
      <c r="N8" s="69" t="n"/>
      <c r="O8" s="69" t="n"/>
    </row>
    <row r="9">
      <c r="A9" s="71" t="inlineStr">
        <is>
          <t>Figure Rules</t>
        </is>
      </c>
      <c r="F9" t="inlineStr">
        <is>
          <t>NYS</t>
        </is>
      </c>
      <c r="G9" s="69" t="n">
        <v>19.3</v>
      </c>
      <c r="H9" s="69" t="n">
        <v>19.3</v>
      </c>
      <c r="I9" s="69" t="n">
        <v>20.5</v>
      </c>
      <c r="J9" s="69" t="n">
        <v>21.6</v>
      </c>
      <c r="K9" s="69" t="n"/>
      <c r="L9" s="69" t="n"/>
      <c r="M9" s="69" t="n"/>
      <c r="N9" s="69" t="n"/>
      <c r="O9" s="69" t="n"/>
    </row>
    <row r="10">
      <c r="A10" t="inlineStr">
        <is>
          <t>Figure Type</t>
        </is>
      </c>
      <c r="B10" t="inlineStr">
        <is>
          <t>Line</t>
        </is>
      </c>
      <c r="F10" t="inlineStr">
        <is>
          <t>PA 2024</t>
        </is>
      </c>
      <c r="G10" s="69" t="n">
        <v>16</v>
      </c>
      <c r="H10" s="69" t="n">
        <v>16</v>
      </c>
      <c r="I10" s="69" t="n">
        <v>16</v>
      </c>
      <c r="J10" s="69" t="n">
        <v>16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November 2025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Q57"/>
  <sheetViews>
    <sheetView workbookViewId="0">
      <selection activeCell="M24" sqref="M23: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 and Adolescent Mortality, Rate per 100,000 Population Aged 10–19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17.6</v>
      </c>
      <c r="H6" s="69" t="n">
        <v>21.1</v>
      </c>
      <c r="I6" s="69" t="n">
        <v>16.5</v>
      </c>
      <c r="J6" s="69" t="n">
        <v>18.8</v>
      </c>
      <c r="K6" s="69" t="n"/>
      <c r="L6" s="69" t="n"/>
      <c r="M6" s="69" t="n"/>
      <c r="N6" s="69" t="n"/>
      <c r="O6" s="69" t="n"/>
    </row>
    <row r="7" ht="15.75" customHeight="1" s="91">
      <c r="F7" t="inlineStr">
        <is>
          <t>Mid-Hudson</t>
        </is>
      </c>
      <c r="G7" s="69" t="n">
        <v>20.3</v>
      </c>
      <c r="H7" s="69" t="n">
        <v>20.2</v>
      </c>
      <c r="I7" s="69" t="n">
        <v>20.3</v>
      </c>
      <c r="J7" s="69" t="n">
        <v>21.9</v>
      </c>
      <c r="K7" s="69" t="n"/>
      <c r="L7" s="69" t="n"/>
      <c r="M7" s="69" t="n"/>
      <c r="N7" s="69" t="n"/>
      <c r="O7" s="69" t="n"/>
    </row>
    <row r="8">
      <c r="F8" t="inlineStr">
        <is>
          <t>NYS excl NYC</t>
        </is>
      </c>
      <c r="G8" s="69" t="n">
        <v>22.2</v>
      </c>
      <c r="H8" s="69" t="n">
        <v>22.3</v>
      </c>
      <c r="I8" s="69" t="n">
        <v>22.7</v>
      </c>
      <c r="J8" s="69" t="n">
        <v>24.1</v>
      </c>
      <c r="K8" s="69" t="n"/>
      <c r="L8" s="69" t="n"/>
      <c r="M8" s="69" t="n"/>
      <c r="N8" s="69" t="n"/>
      <c r="O8" s="69" t="n"/>
    </row>
    <row r="9">
      <c r="A9" s="71" t="inlineStr">
        <is>
          <t>Figure Rules</t>
        </is>
      </c>
      <c r="F9" t="inlineStr">
        <is>
          <t>NYS</t>
        </is>
      </c>
      <c r="G9" s="69" t="n">
        <v>21.5</v>
      </c>
      <c r="H9" s="69" t="n">
        <v>21.9</v>
      </c>
      <c r="I9" s="69" t="n">
        <v>22.2</v>
      </c>
      <c r="J9" s="69" t="n">
        <v>23.6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Infant Mortality, Rate per 1,000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3.6</v>
      </c>
      <c r="H6" s="69" t="n">
        <v>3.2</v>
      </c>
      <c r="I6" s="69" t="inlineStr">
        <is>
          <t>5.6*</t>
        </is>
      </c>
      <c r="J6" s="69" t="inlineStr">
        <is>
          <t>2.6*</t>
        </is>
      </c>
      <c r="K6" s="69" t="n">
        <v>3</v>
      </c>
      <c r="L6" s="69" t="n"/>
      <c r="M6" s="69" t="n"/>
      <c r="N6" s="69" t="n"/>
      <c r="O6" s="69" t="n"/>
    </row>
    <row r="7" ht="15.75" customHeight="1" s="91">
      <c r="F7" t="inlineStr">
        <is>
          <t>NYS excl NYC</t>
        </is>
      </c>
      <c r="G7" s="69" t="n">
        <v>4.6</v>
      </c>
      <c r="H7" s="69" t="n">
        <v>3.5</v>
      </c>
      <c r="I7" s="69" t="n">
        <v>9.699999999999999</v>
      </c>
      <c r="J7" s="69" t="n">
        <v>2.8</v>
      </c>
      <c r="K7" s="69" t="n">
        <v>4.6</v>
      </c>
      <c r="L7" s="69" t="n"/>
      <c r="M7" s="69" t="n"/>
      <c r="N7" s="69" t="n"/>
      <c r="O7" s="69" t="n"/>
    </row>
    <row r="8">
      <c r="F8" t="inlineStr">
        <is>
          <t>NYS</t>
        </is>
      </c>
      <c r="G8" s="69" t="n">
        <v>4.2</v>
      </c>
      <c r="H8" s="69" t="n">
        <v>3</v>
      </c>
      <c r="I8" s="69" t="n">
        <v>8.300000000000001</v>
      </c>
      <c r="J8" s="69" t="n">
        <v>2</v>
      </c>
      <c r="K8" s="69" t="n">
        <v>3.8</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is unstable. Note: This includes infant deaths at less than one year of age.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Early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Early Prenatal Care</t>
        </is>
      </c>
      <c r="G8" s="69" t="n">
        <v>3315</v>
      </c>
      <c r="H8" s="69" t="n">
        <v>68.90000000000001</v>
      </c>
      <c r="I8" s="69" t="n">
        <v>3276</v>
      </c>
      <c r="J8" s="69" t="n">
        <v>63.9</v>
      </c>
      <c r="K8" s="69" t="n">
        <v>3290</v>
      </c>
      <c r="L8" s="69" t="n">
        <v>66.3</v>
      </c>
      <c r="M8" s="69" t="n">
        <v>3619</v>
      </c>
      <c r="N8" s="69" t="n">
        <v>68.90000000000001</v>
      </c>
      <c r="O8" s="69" t="n">
        <v>13500</v>
      </c>
      <c r="P8" s="69" t="n">
        <v>67</v>
      </c>
    </row>
    <row r="9">
      <c r="A9" s="71" t="inlineStr">
        <is>
          <t>Figure Rules</t>
        </is>
      </c>
      <c r="F9" s="78" t="inlineStr">
        <is>
          <t>Age Intervals</t>
        </is>
      </c>
    </row>
    <row r="10">
      <c r="A10" t="inlineStr">
        <is>
          <t>Figure Type</t>
        </is>
      </c>
      <c r="F10" s="55" t="inlineStr">
        <is>
          <t>10-14</t>
        </is>
      </c>
      <c r="G10" s="68" t="n">
        <v>0</v>
      </c>
      <c r="H10" s="68" t="n">
        <v>0</v>
      </c>
      <c r="I10" s="69" t="n">
        <v>0</v>
      </c>
      <c r="J10" s="69" t="n">
        <v>0</v>
      </c>
      <c r="K10" s="69" t="n">
        <v>0</v>
      </c>
      <c r="L10" s="69" t="n">
        <v>0</v>
      </c>
      <c r="M10" s="69" t="n">
        <v>0</v>
      </c>
      <c r="N10" s="69" t="n">
        <v>0</v>
      </c>
      <c r="O10" s="69" t="n">
        <v>0</v>
      </c>
      <c r="P10" s="69" t="n">
        <v>0</v>
      </c>
    </row>
    <row r="11">
      <c r="A11" t="inlineStr">
        <is>
          <t>X Column</t>
        </is>
      </c>
      <c r="F11" s="47" t="inlineStr">
        <is>
          <t>15-17</t>
        </is>
      </c>
      <c r="G11" s="69" t="n">
        <v>9</v>
      </c>
      <c r="H11" s="69" t="n">
        <v>42.9</v>
      </c>
      <c r="I11" s="69" t="n">
        <v>9</v>
      </c>
      <c r="J11" s="69" t="n">
        <v>30</v>
      </c>
      <c r="K11" s="69" t="n">
        <v>4</v>
      </c>
      <c r="L11" s="69" t="n">
        <v>19</v>
      </c>
      <c r="M11" s="69" t="n">
        <v>4</v>
      </c>
      <c r="N11" s="69" t="n">
        <v>11.4</v>
      </c>
      <c r="O11" s="69" t="n">
        <v>26</v>
      </c>
      <c r="P11" s="69" t="n">
        <v>25.8</v>
      </c>
    </row>
    <row r="12">
      <c r="A12" t="inlineStr">
        <is>
          <t>Y Column</t>
        </is>
      </c>
      <c r="F12" s="47" t="inlineStr">
        <is>
          <t>18-19</t>
        </is>
      </c>
      <c r="G12" s="69" t="n">
        <v>50</v>
      </c>
      <c r="H12" s="69" t="n">
        <v>48.1</v>
      </c>
      <c r="I12" s="69" t="n">
        <v>61</v>
      </c>
      <c r="J12" s="69" t="n">
        <v>55.5</v>
      </c>
      <c r="K12" s="69" t="n">
        <v>72</v>
      </c>
      <c r="L12" s="69" t="n">
        <v>51.4</v>
      </c>
      <c r="M12" s="69" t="n">
        <v>71</v>
      </c>
      <c r="N12" s="69" t="n">
        <v>54.6</v>
      </c>
      <c r="O12" s="69" t="n">
        <v>254</v>
      </c>
      <c r="P12" s="69" t="n">
        <v>52.4</v>
      </c>
    </row>
    <row r="13">
      <c r="A13" t="inlineStr">
        <is>
          <t>X Axis Title</t>
        </is>
      </c>
      <c r="F13" s="47" t="inlineStr">
        <is>
          <t>20-24</t>
        </is>
      </c>
      <c r="G13" s="69" t="n">
        <v>640</v>
      </c>
      <c r="H13" s="69" t="n">
        <v>66.90000000000001</v>
      </c>
      <c r="I13" s="69" t="n">
        <v>606</v>
      </c>
      <c r="J13" s="69" t="n">
        <v>61.2</v>
      </c>
      <c r="K13" s="69" t="n">
        <v>608</v>
      </c>
      <c r="L13" s="69" t="n">
        <v>61.3</v>
      </c>
      <c r="M13" s="69" t="n">
        <v>756</v>
      </c>
      <c r="N13" s="69" t="n">
        <v>68.90000000000001</v>
      </c>
      <c r="O13" s="69" t="n">
        <v>2610</v>
      </c>
      <c r="P13" s="69" t="n">
        <v>64.59999999999999</v>
      </c>
    </row>
    <row r="14">
      <c r="A14" t="inlineStr">
        <is>
          <t>Y Axis Title</t>
        </is>
      </c>
      <c r="F14" s="47" t="inlineStr">
        <is>
          <t>25-44</t>
        </is>
      </c>
      <c r="G14" s="69" t="n">
        <v>2602</v>
      </c>
      <c r="H14" s="69" t="n">
        <v>70.2</v>
      </c>
      <c r="I14" s="69" t="n">
        <v>2592</v>
      </c>
      <c r="J14" s="69" t="n">
        <v>65.09999999999999</v>
      </c>
      <c r="K14" s="69" t="n">
        <v>2595</v>
      </c>
      <c r="L14" s="69" t="n">
        <v>68.40000000000001</v>
      </c>
      <c r="M14" s="69" t="n">
        <v>2777</v>
      </c>
      <c r="N14" s="69" t="n">
        <v>69.90000000000001</v>
      </c>
      <c r="O14" s="69" t="n">
        <v>10566</v>
      </c>
      <c r="P14" s="69" t="n">
        <v>68.40000000000001</v>
      </c>
    </row>
    <row r="15">
      <c r="A15" t="inlineStr">
        <is>
          <t>Start at Zero</t>
        </is>
      </c>
      <c r="F15" s="47" t="inlineStr">
        <is>
          <t>45+</t>
        </is>
      </c>
      <c r="G15" s="69" t="n">
        <v>14</v>
      </c>
      <c r="H15" s="69" t="n">
        <v>70</v>
      </c>
      <c r="I15" s="69" t="n">
        <v>8</v>
      </c>
      <c r="J15" s="69" t="n">
        <v>50</v>
      </c>
      <c r="K15" s="69" t="n">
        <v>11</v>
      </c>
      <c r="L15" s="69" t="n">
        <v>78.59999999999999</v>
      </c>
      <c r="M15" s="69" t="n">
        <v>11</v>
      </c>
      <c r="N15" s="69" t="n">
        <v>73.3</v>
      </c>
      <c r="O15" s="69" t="n">
        <v>44</v>
      </c>
      <c r="P15" s="69" t="n">
        <v>68</v>
      </c>
    </row>
    <row r="16">
      <c r="A16" t="inlineStr">
        <is>
          <t>Pivot For Chart</t>
        </is>
      </c>
      <c r="F16" s="78" t="inlineStr">
        <is>
          <t>Race and Ethnicity</t>
        </is>
      </c>
    </row>
    <row r="17">
      <c r="F17" s="47" t="inlineStr">
        <is>
          <t>Non-Hispanic White</t>
        </is>
      </c>
      <c r="G17" s="69" t="n">
        <v>2199</v>
      </c>
      <c r="H17" s="69" t="n">
        <v>73.90000000000001</v>
      </c>
      <c r="I17" s="69" t="n">
        <v>2138</v>
      </c>
      <c r="J17" s="69" t="n">
        <v>69.7</v>
      </c>
      <c r="K17" s="69" t="n">
        <v>2160</v>
      </c>
      <c r="L17" s="69" t="n">
        <v>71.2</v>
      </c>
      <c r="M17" s="69" t="n">
        <v>2438</v>
      </c>
      <c r="N17" s="69" t="n">
        <v>75.2</v>
      </c>
      <c r="O17" s="69" t="n">
        <v>8935</v>
      </c>
      <c r="P17" s="69" t="n">
        <v>72.5</v>
      </c>
    </row>
    <row r="18">
      <c r="A18" s="71" t="inlineStr">
        <is>
          <t>Source Specifications</t>
        </is>
      </c>
      <c r="F18" s="47" t="inlineStr">
        <is>
          <t>Black Alone</t>
        </is>
      </c>
      <c r="G18" s="69" t="n">
        <v>242</v>
      </c>
      <c r="H18" s="69" t="n">
        <v>62.1</v>
      </c>
      <c r="I18" s="69" t="n">
        <v>238</v>
      </c>
      <c r="J18" s="69" t="n">
        <v>60.1</v>
      </c>
      <c r="K18" s="69" t="n">
        <v>232</v>
      </c>
      <c r="L18" s="69" t="n">
        <v>56.9</v>
      </c>
      <c r="M18" s="69" t="n">
        <v>219</v>
      </c>
      <c r="N18" s="69" t="n">
        <v>62.8</v>
      </c>
      <c r="O18" s="69" t="n">
        <v>931</v>
      </c>
      <c r="P18" s="69" t="n">
        <v>60.4</v>
      </c>
    </row>
    <row r="19">
      <c r="A19" t="inlineStr">
        <is>
          <t>Source</t>
        </is>
      </c>
      <c r="B19" t="inlineStr">
        <is>
          <t>Source: Special request from NYSDOH Bureau of Vital Records, July 2025</t>
        </is>
      </c>
      <c r="F19" s="47" t="inlineStr">
        <is>
          <t>Hispanic</t>
        </is>
      </c>
      <c r="G19" s="69" t="n">
        <v>734</v>
      </c>
      <c r="H19" s="69" t="n">
        <v>61</v>
      </c>
      <c r="I19" s="69" t="n">
        <v>780</v>
      </c>
      <c r="J19" s="69" t="n">
        <v>60.1</v>
      </c>
      <c r="K19" s="69" t="n">
        <v>745</v>
      </c>
      <c r="L19" s="69" t="n">
        <v>57.4</v>
      </c>
      <c r="M19" s="69" t="n">
        <v>834</v>
      </c>
      <c r="N19" s="69" t="n">
        <v>58</v>
      </c>
      <c r="O19" s="69" t="n">
        <v>3093</v>
      </c>
      <c r="P19" s="69" t="n">
        <v>59.1</v>
      </c>
    </row>
    <row r="20">
      <c r="F20" s="47" t="inlineStr">
        <is>
          <t>Other</t>
        </is>
      </c>
      <c r="G20" s="69" t="n">
        <v>140</v>
      </c>
      <c r="H20" s="69" t="n">
        <v>58.1</v>
      </c>
      <c r="I20" s="69" t="n">
        <v>120</v>
      </c>
      <c r="J20" s="69" t="n">
        <v>32.9</v>
      </c>
      <c r="K20" s="69" t="n">
        <v>153</v>
      </c>
      <c r="L20" s="69" t="n">
        <v>67.7</v>
      </c>
      <c r="M20" s="69" t="n">
        <v>128</v>
      </c>
      <c r="N20" s="69" t="n">
        <v>57.4</v>
      </c>
      <c r="O20" s="69" t="n">
        <v>541</v>
      </c>
      <c r="P20" s="69" t="n">
        <v>54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is>
      </c>
      <c r="F22" s="47" t="n">
        <v>10940</v>
      </c>
      <c r="G22" s="69" t="n">
        <v>376</v>
      </c>
      <c r="H22" s="69" t="n">
        <v>65.5</v>
      </c>
      <c r="I22" s="69" t="n">
        <v>322</v>
      </c>
      <c r="J22" s="69" t="n">
        <v>55.9</v>
      </c>
      <c r="K22" s="69" t="n">
        <v>325</v>
      </c>
      <c r="L22" s="69" t="n">
        <v>59.3</v>
      </c>
      <c r="M22" s="69" t="n">
        <v>373</v>
      </c>
      <c r="N22" s="69" t="n">
        <v>61.8</v>
      </c>
      <c r="O22" s="69" t="n">
        <v>1396</v>
      </c>
      <c r="P22" s="69" t="n">
        <v>60.6</v>
      </c>
    </row>
    <row r="23">
      <c r="F23" s="47" t="inlineStr">
        <is>
          <t>10950*</t>
        </is>
      </c>
      <c r="G23" s="69" t="n">
        <v>1055</v>
      </c>
      <c r="H23" s="69" t="n">
        <v>68.7</v>
      </c>
      <c r="I23" s="69" t="n">
        <v>1056</v>
      </c>
      <c r="J23" s="69" t="n">
        <v>62</v>
      </c>
      <c r="K23" s="69" t="n">
        <v>1117</v>
      </c>
      <c r="L23" s="69" t="n">
        <v>66</v>
      </c>
      <c r="M23" s="69" t="n">
        <v>1344</v>
      </c>
      <c r="N23" s="69" t="n">
        <v>71.59999999999999</v>
      </c>
      <c r="O23" s="69" t="n">
        <v>4572</v>
      </c>
      <c r="P23" s="69" t="n">
        <v>67.09999999999999</v>
      </c>
    </row>
    <row r="24">
      <c r="F24" s="47" t="n">
        <v>12550</v>
      </c>
      <c r="G24" s="69" t="n">
        <v>396</v>
      </c>
      <c r="H24" s="69" t="n">
        <v>59.2</v>
      </c>
      <c r="I24" s="69" t="n">
        <v>416</v>
      </c>
      <c r="J24" s="69" t="n">
        <v>62.4</v>
      </c>
      <c r="K24" s="69" t="n">
        <v>402</v>
      </c>
      <c r="L24" s="69" t="n">
        <v>59.2</v>
      </c>
      <c r="M24" s="69" t="n">
        <v>407</v>
      </c>
      <c r="N24" s="69" t="n">
        <v>58.9</v>
      </c>
      <c r="O24" s="69" t="n">
        <v>1621</v>
      </c>
      <c r="P24" s="69" t="n">
        <v>59.9</v>
      </c>
    </row>
    <row r="25">
      <c r="F25" s="47" t="n">
        <v>12771</v>
      </c>
      <c r="G25" s="69" t="n">
        <v>101</v>
      </c>
      <c r="H25" s="69" t="n">
        <v>64.7</v>
      </c>
      <c r="I25" s="69" t="n">
        <v>82</v>
      </c>
      <c r="J25" s="69" t="n">
        <v>56.2</v>
      </c>
      <c r="K25" s="69" t="n">
        <v>87</v>
      </c>
      <c r="L25" s="69" t="n">
        <v>56.1</v>
      </c>
      <c r="M25" s="69" t="n">
        <v>90</v>
      </c>
      <c r="N25" s="69" t="n">
        <v>67.2</v>
      </c>
      <c r="O25" s="69" t="n">
        <v>360</v>
      </c>
      <c r="P25" s="69" t="n">
        <v>61.1</v>
      </c>
    </row>
    <row r="26"/>
    <row r="27">
      <c r="A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68.90000000000001</v>
      </c>
      <c r="H6" s="69" t="n">
        <v>63.9</v>
      </c>
      <c r="I6" s="69" t="n">
        <v>66.3</v>
      </c>
      <c r="J6" s="69" t="n">
        <v>68.90000000000001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Non-Hispanic White</t>
        </is>
      </c>
      <c r="G6" s="69" t="n">
        <v>73.90000000000001</v>
      </c>
      <c r="H6" s="69" t="n">
        <v>69.7</v>
      </c>
      <c r="I6" s="69" t="n">
        <v>71.2</v>
      </c>
      <c r="J6" s="69" t="n">
        <v>75.2</v>
      </c>
      <c r="K6" s="69" t="n"/>
      <c r="L6" s="69" t="n"/>
      <c r="M6" s="69" t="n"/>
      <c r="N6" s="69" t="n"/>
      <c r="O6" s="69" t="n"/>
    </row>
    <row r="7" ht="15.75" customHeight="1" s="91">
      <c r="F7" t="inlineStr">
        <is>
          <t>Black Alone</t>
        </is>
      </c>
      <c r="G7" s="69" t="n">
        <v>62.1</v>
      </c>
      <c r="H7" s="69" t="n">
        <v>60.1</v>
      </c>
      <c r="I7" s="69" t="n">
        <v>56.9</v>
      </c>
      <c r="J7" s="69" t="n">
        <v>62.8</v>
      </c>
      <c r="K7" s="69" t="n"/>
      <c r="L7" s="69" t="n"/>
      <c r="M7" s="69" t="n"/>
      <c r="N7" s="69" t="n"/>
      <c r="O7" s="69" t="n"/>
    </row>
    <row r="8">
      <c r="F8" t="inlineStr">
        <is>
          <t>Hispanic</t>
        </is>
      </c>
      <c r="G8" s="69" t="n">
        <v>61</v>
      </c>
      <c r="H8" s="69" t="n">
        <v>60.1</v>
      </c>
      <c r="I8" s="69" t="n">
        <v>57.4</v>
      </c>
      <c r="J8" s="69" t="n">
        <v>58</v>
      </c>
      <c r="K8" s="69" t="n"/>
      <c r="L8" s="69" t="n"/>
      <c r="M8" s="69" t="n"/>
      <c r="N8" s="69" t="n"/>
      <c r="O8" s="69" t="n"/>
    </row>
    <row r="9">
      <c r="A9" s="71" t="inlineStr">
        <is>
          <t>Figure Rules</t>
        </is>
      </c>
      <c r="F9" t="inlineStr">
        <is>
          <t>Other</t>
        </is>
      </c>
      <c r="G9" s="69" t="n">
        <v>58.1</v>
      </c>
      <c r="H9" s="69" t="n">
        <v>32.9</v>
      </c>
      <c r="I9" s="69" t="n">
        <v>67.7</v>
      </c>
      <c r="J9" s="69" t="n">
        <v>57.4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 of All Births with Early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65.5</v>
      </c>
      <c r="H6" s="69" t="n">
        <v>55.9</v>
      </c>
      <c r="I6" s="69" t="n">
        <v>59.3</v>
      </c>
      <c r="J6" s="69" t="n">
        <v>61.8</v>
      </c>
      <c r="K6" s="69" t="n"/>
      <c r="L6" s="69" t="n"/>
      <c r="M6" s="69" t="n"/>
      <c r="N6" s="69" t="n"/>
      <c r="O6" s="69" t="n"/>
    </row>
    <row r="7" ht="15.75" customHeight="1" s="91">
      <c r="F7" s="77" t="inlineStr">
        <is>
          <t>10950*</t>
        </is>
      </c>
      <c r="G7" s="69" t="n">
        <v>68.7</v>
      </c>
      <c r="H7" s="69" t="n">
        <v>62</v>
      </c>
      <c r="I7" s="69" t="n">
        <v>66</v>
      </c>
      <c r="J7" s="69" t="n">
        <v>71.59999999999999</v>
      </c>
      <c r="K7" s="69" t="n"/>
      <c r="L7" s="69" t="n"/>
      <c r="M7" s="69" t="n"/>
      <c r="N7" s="69" t="n"/>
      <c r="O7" s="69" t="n"/>
    </row>
    <row r="8">
      <c r="F8" s="77" t="n">
        <v>12550</v>
      </c>
      <c r="G8" s="69" t="n">
        <v>59.2</v>
      </c>
      <c r="H8" s="69" t="n">
        <v>62.4</v>
      </c>
      <c r="I8" s="69" t="n">
        <v>59.2</v>
      </c>
      <c r="J8" s="69" t="n">
        <v>58.9</v>
      </c>
      <c r="K8" s="69" t="n"/>
      <c r="L8" s="69" t="n"/>
      <c r="M8" s="69" t="n"/>
      <c r="N8" s="69" t="n"/>
      <c r="O8" s="69" t="n"/>
    </row>
    <row r="9">
      <c r="A9" s="71" t="inlineStr">
        <is>
          <t>Figure Rules</t>
        </is>
      </c>
      <c r="F9" s="77" t="n">
        <v>12771</v>
      </c>
      <c r="G9" s="69" t="n">
        <v>64.7</v>
      </c>
      <c r="H9" s="69" t="n">
        <v>56.2</v>
      </c>
      <c r="I9" s="69" t="n">
        <v>56.1</v>
      </c>
      <c r="J9" s="69" t="n">
        <v>67.2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Late or No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Late or No Prenatal Care</t>
        </is>
      </c>
      <c r="G8" s="69" t="n">
        <v>241</v>
      </c>
      <c r="H8" s="69" t="n">
        <v>5</v>
      </c>
      <c r="I8" s="69" t="n">
        <v>302</v>
      </c>
      <c r="J8" s="69" t="n">
        <v>5.9</v>
      </c>
      <c r="K8" s="69" t="n">
        <v>362</v>
      </c>
      <c r="L8" s="69" t="n">
        <v>7.3</v>
      </c>
      <c r="M8" s="69" t="n">
        <v>345</v>
      </c>
      <c r="N8" s="69" t="n">
        <v>6.6</v>
      </c>
      <c r="O8" s="69" t="n">
        <v>1250</v>
      </c>
      <c r="P8" s="69" t="n">
        <v>6.2</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n">
        <v>21</v>
      </c>
      <c r="P11" s="69" t="n">
        <v>19</v>
      </c>
    </row>
    <row r="12">
      <c r="A12" t="inlineStr">
        <is>
          <t>Y Column</t>
        </is>
      </c>
      <c r="F12" s="47" t="inlineStr">
        <is>
          <t>18-19</t>
        </is>
      </c>
      <c r="G12" s="69" t="inlineStr">
        <is>
          <t>s</t>
        </is>
      </c>
      <c r="H12" s="69" t="inlineStr">
        <is>
          <t>s</t>
        </is>
      </c>
      <c r="I12" s="69" t="n">
        <v>10</v>
      </c>
      <c r="J12" s="69" t="n">
        <v>9.1</v>
      </c>
      <c r="K12" s="69" t="n">
        <v>19</v>
      </c>
      <c r="L12" s="69" t="n">
        <v>13.6</v>
      </c>
      <c r="M12" s="69" t="n">
        <v>13</v>
      </c>
      <c r="N12" s="69" t="n">
        <v>10</v>
      </c>
      <c r="O12" s="69" t="n">
        <v>50</v>
      </c>
      <c r="P12" s="69" t="n">
        <v>10.1</v>
      </c>
    </row>
    <row r="13">
      <c r="A13" t="inlineStr">
        <is>
          <t>X Axis Title</t>
        </is>
      </c>
      <c r="F13" s="47" t="inlineStr">
        <is>
          <t>20-24</t>
        </is>
      </c>
      <c r="G13" s="69" t="n">
        <v>41</v>
      </c>
      <c r="H13" s="69" t="n">
        <v>4.3</v>
      </c>
      <c r="I13" s="69" t="n">
        <v>67</v>
      </c>
      <c r="J13" s="69" t="n">
        <v>6.8</v>
      </c>
      <c r="K13" s="69" t="n">
        <v>77</v>
      </c>
      <c r="L13" s="69" t="n">
        <v>7.8</v>
      </c>
      <c r="M13" s="69" t="n">
        <v>74</v>
      </c>
      <c r="N13" s="69" t="n">
        <v>10</v>
      </c>
      <c r="O13" s="69" t="n">
        <v>259</v>
      </c>
      <c r="P13" s="69" t="n">
        <v>10.1</v>
      </c>
    </row>
    <row r="14">
      <c r="A14" t="inlineStr">
        <is>
          <t>Y Axis Title</t>
        </is>
      </c>
      <c r="F14" s="47" t="inlineStr">
        <is>
          <t>25-44</t>
        </is>
      </c>
      <c r="G14" s="69" t="n">
        <v>188</v>
      </c>
      <c r="H14" s="69" t="n">
        <v>5.1</v>
      </c>
      <c r="I14" s="69" t="n">
        <v>219</v>
      </c>
      <c r="J14" s="69" t="n">
        <v>5.5</v>
      </c>
      <c r="K14" s="69" t="n">
        <v>260</v>
      </c>
      <c r="L14" s="69" t="n">
        <v>6.9</v>
      </c>
      <c r="M14" s="69" t="n">
        <v>248</v>
      </c>
      <c r="N14" s="69" t="n">
        <v>6.2</v>
      </c>
      <c r="O14" s="69" t="n">
        <v>915</v>
      </c>
      <c r="P14" s="69" t="n">
        <v>5.9</v>
      </c>
    </row>
    <row r="15">
      <c r="A15" t="inlineStr">
        <is>
          <t>Start at Zero</t>
        </is>
      </c>
      <c r="F15" s="47" t="inlineStr">
        <is>
          <t>45+</t>
        </is>
      </c>
      <c r="G15" s="69" t="n">
        <v>0</v>
      </c>
      <c r="H15" s="69" t="n">
        <v>0</v>
      </c>
      <c r="I15" s="69" t="n">
        <v>0</v>
      </c>
      <c r="J15" s="69" t="n">
        <v>0</v>
      </c>
      <c r="K15" s="69" t="inlineStr">
        <is>
          <t>s</t>
        </is>
      </c>
      <c r="L15" s="69" t="inlineStr">
        <is>
          <t>s</t>
        </is>
      </c>
      <c r="M15" s="69" t="n">
        <v>0</v>
      </c>
      <c r="N15" s="69" t="n">
        <v>0</v>
      </c>
      <c r="O15" s="69" t="inlineStr">
        <is>
          <t>s</t>
        </is>
      </c>
      <c r="P15" s="69" t="inlineStr">
        <is>
          <t>s</t>
        </is>
      </c>
    </row>
    <row r="16">
      <c r="A16" t="inlineStr">
        <is>
          <t>Pivot For Chart</t>
        </is>
      </c>
      <c r="F16" s="78" t="inlineStr">
        <is>
          <t>Race and Ethnicity</t>
        </is>
      </c>
    </row>
    <row r="17">
      <c r="F17" s="47" t="inlineStr">
        <is>
          <t>Non-Hispanic White</t>
        </is>
      </c>
      <c r="G17" s="69" t="n">
        <v>118</v>
      </c>
      <c r="H17" s="69" t="n">
        <v>4</v>
      </c>
      <c r="I17" s="69" t="n">
        <v>110</v>
      </c>
      <c r="J17" s="69" t="n">
        <v>3.6</v>
      </c>
      <c r="K17" s="69" t="n">
        <v>139</v>
      </c>
      <c r="L17" s="69" t="n">
        <v>4.6</v>
      </c>
      <c r="M17" s="69" t="n">
        <v>132</v>
      </c>
      <c r="N17" s="69" t="n">
        <v>4.1</v>
      </c>
      <c r="O17" s="69" t="n">
        <v>499</v>
      </c>
      <c r="P17" s="69" t="n">
        <v>4.1</v>
      </c>
    </row>
    <row r="18">
      <c r="A18" s="71" t="inlineStr">
        <is>
          <t>Source Specifications</t>
        </is>
      </c>
      <c r="F18" s="47" t="inlineStr">
        <is>
          <t>Black Alone</t>
        </is>
      </c>
      <c r="G18" s="69" t="n">
        <v>31</v>
      </c>
      <c r="H18" s="69" t="n">
        <v>7.9</v>
      </c>
      <c r="I18" s="69" t="n">
        <v>36</v>
      </c>
      <c r="J18" s="69" t="n">
        <v>9.1</v>
      </c>
      <c r="K18" s="69" t="n">
        <v>50</v>
      </c>
      <c r="L18" s="69" t="n">
        <v>12.3</v>
      </c>
      <c r="M18" s="69" t="n">
        <v>40</v>
      </c>
      <c r="N18" s="69" t="n">
        <v>11.5</v>
      </c>
      <c r="O18" s="69" t="n">
        <v>157</v>
      </c>
      <c r="P18" s="69" t="n">
        <v>10.2</v>
      </c>
    </row>
    <row r="19">
      <c r="A19" t="inlineStr">
        <is>
          <t>Source</t>
        </is>
      </c>
      <c r="B19" t="inlineStr">
        <is>
          <t>Source: Special request from NYSDOH Bureau of Vital Records, July 2025</t>
        </is>
      </c>
      <c r="F19" s="47" t="inlineStr">
        <is>
          <t>Hispanic</t>
        </is>
      </c>
      <c r="G19" s="69" t="n">
        <v>70</v>
      </c>
      <c r="H19" s="69" t="n">
        <v>5.8</v>
      </c>
      <c r="I19" s="69" t="n">
        <v>133</v>
      </c>
      <c r="J19" s="69" t="n">
        <v>10.3</v>
      </c>
      <c r="K19" s="69" t="n">
        <v>149</v>
      </c>
      <c r="L19" s="69" t="n">
        <v>11.5</v>
      </c>
      <c r="M19" s="69" t="n">
        <v>145</v>
      </c>
      <c r="N19" s="69" t="n">
        <v>10.1</v>
      </c>
      <c r="O19" s="69" t="n">
        <v>497</v>
      </c>
      <c r="P19" s="69" t="n">
        <v>9.4</v>
      </c>
    </row>
    <row r="20">
      <c r="F20" s="47" t="inlineStr">
        <is>
          <t>Other</t>
        </is>
      </c>
      <c r="G20" s="69" t="n">
        <v>22</v>
      </c>
      <c r="H20" s="69" t="n">
        <v>9.1</v>
      </c>
      <c r="I20" s="69" t="n">
        <v>23</v>
      </c>
      <c r="J20" s="69" t="n">
        <v>6.3</v>
      </c>
      <c r="K20" s="69" t="n">
        <v>24</v>
      </c>
      <c r="L20" s="69" t="n">
        <v>10.6</v>
      </c>
      <c r="M20" s="69" t="n">
        <v>28</v>
      </c>
      <c r="N20" s="69" t="n">
        <v>12.6</v>
      </c>
      <c r="O20" s="69" t="n">
        <v>97</v>
      </c>
      <c r="P20" s="69" t="n">
        <v>9.699999999999999</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34</v>
      </c>
      <c r="H22" s="69" t="n">
        <v>5.9</v>
      </c>
      <c r="I22" s="69" t="n">
        <v>71</v>
      </c>
      <c r="J22" s="69" t="n">
        <v>12.3</v>
      </c>
      <c r="K22" s="69" t="n">
        <v>80</v>
      </c>
      <c r="L22" s="69" t="n">
        <v>14.6</v>
      </c>
      <c r="M22" s="69" t="n">
        <v>51</v>
      </c>
      <c r="N22" s="69" t="n">
        <v>8.4</v>
      </c>
      <c r="O22" s="69" t="n">
        <v>236</v>
      </c>
      <c r="P22" s="69" t="n">
        <v>10.3</v>
      </c>
    </row>
    <row r="23">
      <c r="F23" s="47" t="inlineStr">
        <is>
          <t>10950*</t>
        </is>
      </c>
      <c r="G23" s="69" t="n">
        <v>54</v>
      </c>
      <c r="H23" s="69" t="n">
        <v>3.5</v>
      </c>
      <c r="I23" s="69" t="n">
        <v>32</v>
      </c>
      <c r="J23" s="69" t="n">
        <v>1.9</v>
      </c>
      <c r="K23" s="69" t="n">
        <v>56</v>
      </c>
      <c r="L23" s="69" t="n">
        <v>3.3</v>
      </c>
      <c r="M23" s="69" t="n">
        <v>57</v>
      </c>
      <c r="N23" s="69" t="n">
        <v>3</v>
      </c>
      <c r="O23" s="69" t="n">
        <v>199</v>
      </c>
      <c r="P23" s="69" t="n">
        <v>2.9</v>
      </c>
    </row>
    <row r="24">
      <c r="F24" s="47" t="n">
        <v>12550</v>
      </c>
      <c r="G24" s="69" t="n">
        <v>43</v>
      </c>
      <c r="H24" s="69" t="n">
        <v>6.4</v>
      </c>
      <c r="I24" s="69" t="n">
        <v>52</v>
      </c>
      <c r="J24" s="69" t="n">
        <v>7.8</v>
      </c>
      <c r="K24" s="69" t="n">
        <v>66</v>
      </c>
      <c r="L24" s="69" t="n">
        <v>9.699999999999999</v>
      </c>
      <c r="M24" s="69" t="n">
        <v>84</v>
      </c>
      <c r="N24" s="69" t="n">
        <v>12.2</v>
      </c>
      <c r="O24" s="69" t="n">
        <v>245</v>
      </c>
      <c r="P24" s="69" t="n">
        <v>9</v>
      </c>
    </row>
    <row r="25">
      <c r="F25" s="47" t="n">
        <v>12771</v>
      </c>
      <c r="G25" s="69" t="n">
        <v>13</v>
      </c>
      <c r="H25" s="69" t="n">
        <v>8.300000000000001</v>
      </c>
      <c r="I25" s="69" t="n">
        <v>19</v>
      </c>
      <c r="J25" s="69" t="n">
        <v>13</v>
      </c>
      <c r="K25" s="69" t="n">
        <v>27</v>
      </c>
      <c r="L25" s="69" t="n">
        <v>17.4</v>
      </c>
      <c r="M25" s="69" t="inlineStr">
        <is>
          <t>s</t>
        </is>
      </c>
      <c r="N25" s="69" t="inlineStr">
        <is>
          <t>s</t>
        </is>
      </c>
      <c r="O25" s="69" t="n">
        <v>66</v>
      </c>
      <c r="P25" s="69" t="n">
        <v>11</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5</v>
      </c>
      <c r="H6" s="69" t="n">
        <v>5.9</v>
      </c>
      <c r="I6" s="69" t="n">
        <v>7.3</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4</v>
      </c>
      <c r="H6" s="69" t="n">
        <v>3.6</v>
      </c>
      <c r="I6" s="69" t="n">
        <v>4.6</v>
      </c>
      <c r="J6" s="69" t="n">
        <v>4.1</v>
      </c>
      <c r="K6" s="69" t="n"/>
      <c r="L6" s="69" t="n"/>
      <c r="M6" s="69" t="n"/>
      <c r="N6" s="69" t="n"/>
      <c r="O6" s="69" t="n"/>
    </row>
    <row r="7" ht="15.75" customHeight="1" s="91">
      <c r="F7" t="inlineStr">
        <is>
          <t>Black Alone</t>
        </is>
      </c>
      <c r="G7" s="69" t="n">
        <v>7.9</v>
      </c>
      <c r="H7" s="69" t="n">
        <v>9.1</v>
      </c>
      <c r="I7" s="69" t="n">
        <v>12.3</v>
      </c>
      <c r="J7" s="69" t="n">
        <v>11.5</v>
      </c>
      <c r="K7" s="69" t="n"/>
      <c r="L7" s="69" t="n"/>
      <c r="M7" s="69" t="n"/>
      <c r="N7" s="69" t="n"/>
      <c r="O7" s="69" t="n"/>
    </row>
    <row r="8">
      <c r="F8" t="inlineStr">
        <is>
          <t>Hispanic</t>
        </is>
      </c>
      <c r="G8" s="69" t="n">
        <v>5.8</v>
      </c>
      <c r="H8" s="69" t="n">
        <v>10.3</v>
      </c>
      <c r="I8" s="69" t="n">
        <v>11.5</v>
      </c>
      <c r="J8" s="69" t="n">
        <v>10.1</v>
      </c>
      <c r="K8" s="69" t="n"/>
      <c r="L8" s="69" t="n"/>
      <c r="M8" s="69" t="n"/>
      <c r="N8" s="69" t="n"/>
      <c r="O8" s="69" t="n"/>
    </row>
    <row r="9">
      <c r="A9" s="71" t="inlineStr">
        <is>
          <t>Figure Rules</t>
        </is>
      </c>
      <c r="F9" t="inlineStr">
        <is>
          <t>Other</t>
        </is>
      </c>
      <c r="G9" s="69" t="n">
        <v>9.1</v>
      </c>
      <c r="H9" s="69" t="n">
        <v>6.3</v>
      </c>
      <c r="I9" s="69" t="n">
        <v>10.6</v>
      </c>
      <c r="J9" s="69" t="n">
        <v>12.6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5.9</v>
      </c>
      <c r="H6" s="69" t="n">
        <v>12.3</v>
      </c>
      <c r="I6" s="69" t="n">
        <v>14.6</v>
      </c>
      <c r="J6" s="69" t="n">
        <v>8.4</v>
      </c>
      <c r="K6" s="69" t="n"/>
      <c r="L6" s="69" t="n"/>
      <c r="M6" s="69" t="n"/>
      <c r="N6" s="69" t="n"/>
      <c r="O6" s="69" t="n"/>
    </row>
    <row r="7" ht="15.75" customHeight="1" s="91">
      <c r="F7" s="77" t="inlineStr">
        <is>
          <t>10950*</t>
        </is>
      </c>
      <c r="G7" s="69" t="n">
        <v>3.5</v>
      </c>
      <c r="H7" s="69" t="n">
        <v>1.9</v>
      </c>
      <c r="I7" s="69" t="n">
        <v>3.3</v>
      </c>
      <c r="J7" s="69" t="n">
        <v>3</v>
      </c>
      <c r="K7" s="69" t="n"/>
      <c r="L7" s="69" t="n"/>
      <c r="M7" s="69" t="n"/>
      <c r="N7" s="69" t="n"/>
      <c r="O7" s="69" t="n"/>
    </row>
    <row r="8">
      <c r="F8" s="77" t="n">
        <v>12550</v>
      </c>
      <c r="G8" s="69" t="n">
        <v>6.4</v>
      </c>
      <c r="H8" s="69" t="n">
        <v>7.8</v>
      </c>
      <c r="I8" s="69" t="n">
        <v>9.699999999999999</v>
      </c>
      <c r="J8" s="69" t="n">
        <v>12.2</v>
      </c>
      <c r="K8" s="69" t="n"/>
      <c r="L8" s="69" t="n"/>
      <c r="M8" s="69" t="n"/>
      <c r="N8" s="69" t="n"/>
      <c r="O8" s="69" t="n"/>
    </row>
    <row r="9">
      <c r="A9" s="71" t="inlineStr">
        <is>
          <t>Figure Rules</t>
        </is>
      </c>
      <c r="F9" s="77" t="n">
        <v>12771</v>
      </c>
      <c r="G9" s="69" t="n">
        <v>8.300000000000001</v>
      </c>
      <c r="H9" s="69" t="n">
        <v>13</v>
      </c>
      <c r="I9" s="69" t="n">
        <v>17.4</v>
      </c>
      <c r="J9" s="69" t="n">
        <v>5.2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Births with Adequate Prenatal Care,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63.2</v>
      </c>
      <c r="H6" s="69" t="n">
        <v>65.5</v>
      </c>
      <c r="I6" s="69" t="n">
        <v>67.40000000000001</v>
      </c>
      <c r="J6" s="69" t="n">
        <v>66.09999999999999</v>
      </c>
      <c r="K6" s="69" t="n"/>
      <c r="L6" s="69" t="n"/>
      <c r="M6" s="69" t="n"/>
      <c r="N6" s="69" t="n"/>
      <c r="O6" s="69" t="n"/>
    </row>
    <row r="7" ht="15.75" customHeight="1" s="91">
      <c r="F7" t="inlineStr">
        <is>
          <t>Mid-Hudson</t>
        </is>
      </c>
      <c r="G7" s="69" t="n">
        <v>73.8</v>
      </c>
      <c r="H7" s="69" t="n">
        <v>74.3</v>
      </c>
      <c r="I7" s="69" t="n">
        <v>72.8</v>
      </c>
      <c r="J7" s="69" t="n">
        <v>72.2</v>
      </c>
      <c r="K7" s="69" t="n"/>
      <c r="L7" s="69" t="n"/>
      <c r="M7" s="69" t="n"/>
      <c r="N7" s="69" t="n"/>
      <c r="O7" s="69" t="n"/>
    </row>
    <row r="8">
      <c r="F8" t="inlineStr">
        <is>
          <t>NYS excl NYC</t>
        </is>
      </c>
      <c r="G8" s="69" t="n">
        <v>77.3</v>
      </c>
      <c r="H8" s="69" t="n">
        <v>78.2</v>
      </c>
      <c r="I8" s="69" t="n">
        <v>76.90000000000001</v>
      </c>
      <c r="J8" s="69" t="n">
        <v>78.2</v>
      </c>
      <c r="K8" s="69" t="n"/>
      <c r="L8" s="69" t="n"/>
      <c r="M8" s="69" t="n"/>
      <c r="N8" s="69" t="n"/>
      <c r="O8" s="69" t="n"/>
    </row>
    <row r="9">
      <c r="A9" s="71" t="inlineStr">
        <is>
          <t>Figure Rules</t>
        </is>
      </c>
      <c r="F9" t="inlineStr">
        <is>
          <t>NYS</t>
        </is>
      </c>
      <c r="G9" s="69" t="n">
        <v>75.2</v>
      </c>
      <c r="H9" s="69" t="n">
        <v>76</v>
      </c>
      <c r="I9" s="69" t="n">
        <v>74.09999999999999</v>
      </c>
      <c r="J9" s="69" t="n">
        <v>75.3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Premature Births, per 100 Live Births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Premature Births</t>
        </is>
      </c>
      <c r="G8" s="69" t="n">
        <v>409</v>
      </c>
      <c r="H8" s="69" t="n">
        <v>8.5</v>
      </c>
      <c r="I8" s="69" t="n">
        <v>375</v>
      </c>
      <c r="J8" s="69" t="n">
        <v>7.3</v>
      </c>
      <c r="K8" s="69" t="n">
        <v>387</v>
      </c>
      <c r="L8" s="69" t="n">
        <v>7.8</v>
      </c>
      <c r="M8" s="69" t="n">
        <v>420</v>
      </c>
      <c r="N8" s="69" t="n">
        <v>8</v>
      </c>
      <c r="O8" s="69" t="n">
        <v>1591</v>
      </c>
      <c r="P8" s="69" t="n">
        <v>7.9</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n">
        <v>0</v>
      </c>
      <c r="L10" s="68" t="n">
        <v>0</v>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inlineStr">
        <is>
          <t>s</t>
        </is>
      </c>
      <c r="L12" s="69" t="inlineStr">
        <is>
          <t>s</t>
        </is>
      </c>
      <c r="M12" s="69" t="n">
        <v>13</v>
      </c>
      <c r="N12" s="69" t="n">
        <v>10</v>
      </c>
      <c r="O12" s="69" t="n">
        <v>36</v>
      </c>
      <c r="P12" s="69" t="n">
        <v>7.4</v>
      </c>
    </row>
    <row r="13">
      <c r="A13" t="inlineStr">
        <is>
          <t>X Axis Title</t>
        </is>
      </c>
      <c r="F13" s="47" t="inlineStr">
        <is>
          <t>20-24</t>
        </is>
      </c>
      <c r="G13" s="69" t="n">
        <v>64</v>
      </c>
      <c r="H13" s="69" t="n">
        <v>6.7</v>
      </c>
      <c r="I13" s="69" t="n">
        <v>53</v>
      </c>
      <c r="J13" s="69" t="n">
        <v>5.4</v>
      </c>
      <c r="K13" s="69" t="n">
        <v>60</v>
      </c>
      <c r="L13" s="69" t="n">
        <v>6</v>
      </c>
      <c r="M13" s="69" t="n">
        <v>67</v>
      </c>
      <c r="N13" s="69" t="n">
        <v>6.1</v>
      </c>
      <c r="O13" s="69" t="n">
        <v>244</v>
      </c>
      <c r="P13" s="69" t="n">
        <v>6.1</v>
      </c>
    </row>
    <row r="14">
      <c r="A14" t="inlineStr">
        <is>
          <t>Y Axis Title</t>
        </is>
      </c>
      <c r="F14" s="47" t="inlineStr">
        <is>
          <t>25-44</t>
        </is>
      </c>
      <c r="G14" s="69" t="n">
        <v>333</v>
      </c>
      <c r="H14" s="69" t="n">
        <v>9</v>
      </c>
      <c r="I14" s="69" t="n">
        <v>313</v>
      </c>
      <c r="J14" s="69" t="n">
        <v>7.9</v>
      </c>
      <c r="K14" s="69" t="n">
        <v>317</v>
      </c>
      <c r="L14" s="69" t="n">
        <v>8.4</v>
      </c>
      <c r="M14" s="69" t="n">
        <v>333</v>
      </c>
      <c r="N14" s="69" t="n">
        <v>8.4</v>
      </c>
      <c r="O14" s="69" t="n">
        <v>1296</v>
      </c>
      <c r="P14" s="69" t="n">
        <v>8.4</v>
      </c>
    </row>
    <row r="15">
      <c r="A15" t="inlineStr">
        <is>
          <t>Start at Zero</t>
        </is>
      </c>
      <c r="F15" s="47" t="inlineStr">
        <is>
          <t>45+</t>
        </is>
      </c>
      <c r="G15" s="69" t="inlineStr">
        <is>
          <t>s</t>
        </is>
      </c>
      <c r="H15" s="69" t="inlineStr">
        <is>
          <t>s</t>
        </is>
      </c>
      <c r="I15" s="69" t="inlineStr">
        <is>
          <t>s</t>
        </is>
      </c>
      <c r="J15" s="69" t="inlineStr">
        <is>
          <t>s</t>
        </is>
      </c>
      <c r="K15" s="69" t="n">
        <v>0</v>
      </c>
      <c r="L15" s="69" t="n">
        <v>0</v>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183</v>
      </c>
      <c r="H17" s="69" t="n">
        <v>6.2</v>
      </c>
      <c r="I17" s="69" t="n">
        <v>185</v>
      </c>
      <c r="J17" s="69" t="n">
        <v>6</v>
      </c>
      <c r="K17" s="69" t="n">
        <v>189</v>
      </c>
      <c r="L17" s="69" t="n">
        <v>6.2</v>
      </c>
      <c r="M17" s="69" t="n">
        <v>199</v>
      </c>
      <c r="N17" s="69" t="n">
        <v>6.1</v>
      </c>
      <c r="O17" s="69" t="n">
        <v>756</v>
      </c>
      <c r="P17" s="69" t="n">
        <v>6.1</v>
      </c>
    </row>
    <row r="18">
      <c r="A18" s="71" t="inlineStr">
        <is>
          <t>Source Specifications</t>
        </is>
      </c>
      <c r="F18" s="47" t="inlineStr">
        <is>
          <t>Black Alone</t>
        </is>
      </c>
      <c r="G18" s="69" t="n">
        <v>56</v>
      </c>
      <c r="H18" s="69" t="n">
        <v>14.4</v>
      </c>
      <c r="I18" s="69" t="n">
        <v>59</v>
      </c>
      <c r="J18" s="69" t="n">
        <v>14.9</v>
      </c>
      <c r="K18" s="69" t="n">
        <v>48</v>
      </c>
      <c r="L18" s="69" t="n">
        <v>11.8</v>
      </c>
      <c r="M18" s="69" t="n">
        <v>48</v>
      </c>
      <c r="N18" s="69" t="n">
        <v>13.8</v>
      </c>
      <c r="O18" s="69" t="n">
        <v>211</v>
      </c>
      <c r="P18" s="69" t="n">
        <v>13.7</v>
      </c>
    </row>
    <row r="19">
      <c r="A19" t="inlineStr">
        <is>
          <t>Source</t>
        </is>
      </c>
      <c r="B19" t="inlineStr">
        <is>
          <t>Source: Special request from NYSDOH Bureau of Vital Records, July 2025</t>
        </is>
      </c>
      <c r="F19" s="47" t="inlineStr">
        <is>
          <t>Hispanic</t>
        </is>
      </c>
      <c r="G19" s="69" t="n">
        <v>144</v>
      </c>
      <c r="H19" s="69" t="n">
        <v>12</v>
      </c>
      <c r="I19" s="69" t="n">
        <v>116</v>
      </c>
      <c r="J19" s="69" t="n">
        <v>8.9</v>
      </c>
      <c r="K19" s="69" t="n">
        <v>131</v>
      </c>
      <c r="L19" s="69" t="n">
        <v>10.1</v>
      </c>
      <c r="M19" s="69" t="n">
        <v>150</v>
      </c>
      <c r="N19" s="69" t="n">
        <v>10.4</v>
      </c>
      <c r="O19" s="69" t="n">
        <v>541</v>
      </c>
      <c r="P19" s="69" t="n">
        <v>10.4</v>
      </c>
    </row>
    <row r="20">
      <c r="F20" s="47" t="inlineStr">
        <is>
          <t>Other</t>
        </is>
      </c>
      <c r="G20" s="69" t="n">
        <v>26</v>
      </c>
      <c r="H20" s="69" t="n">
        <v>10.8</v>
      </c>
      <c r="I20" s="69" t="n">
        <v>15</v>
      </c>
      <c r="J20" s="69" t="n">
        <v>4.1</v>
      </c>
      <c r="K20" s="69" t="n">
        <v>19</v>
      </c>
      <c r="L20" s="69" t="n">
        <v>8.4</v>
      </c>
      <c r="M20" s="69" t="n">
        <v>23</v>
      </c>
      <c r="N20" s="69" t="n">
        <v>10.3</v>
      </c>
      <c r="O20" s="69" t="n">
        <v>83</v>
      </c>
      <c r="P20" s="69" t="n">
        <v>8.4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86</v>
      </c>
      <c r="H22" s="69" t="n">
        <v>15</v>
      </c>
      <c r="I22" s="69" t="n">
        <v>61</v>
      </c>
      <c r="J22" s="69" t="n">
        <v>10.6</v>
      </c>
      <c r="K22" s="69" t="n">
        <v>56</v>
      </c>
      <c r="L22" s="69" t="n">
        <v>10.2</v>
      </c>
      <c r="M22" s="69" t="n">
        <v>75</v>
      </c>
      <c r="N22" s="69" t="n">
        <v>12.4</v>
      </c>
      <c r="O22" s="69" t="n">
        <v>278</v>
      </c>
      <c r="P22" s="69" t="n">
        <v>12.1</v>
      </c>
    </row>
    <row r="23">
      <c r="F23" s="47" t="inlineStr">
        <is>
          <t>10950*</t>
        </is>
      </c>
      <c r="G23" s="69" t="n">
        <v>50</v>
      </c>
      <c r="H23" s="69" t="n">
        <v>3.3</v>
      </c>
      <c r="I23" s="69" t="n">
        <v>46</v>
      </c>
      <c r="J23" s="69" t="n">
        <v>2.7</v>
      </c>
      <c r="K23" s="69" t="n">
        <v>59</v>
      </c>
      <c r="L23" s="69" t="n">
        <v>3.5</v>
      </c>
      <c r="M23" s="69" t="n">
        <v>71</v>
      </c>
      <c r="N23" s="69" t="n">
        <v>3.8</v>
      </c>
      <c r="O23" s="69" t="n">
        <v>226</v>
      </c>
      <c r="P23" s="69" t="n">
        <v>3.3</v>
      </c>
    </row>
    <row r="24">
      <c r="F24" s="47" t="n">
        <v>12550</v>
      </c>
      <c r="G24" s="69" t="n">
        <v>75</v>
      </c>
      <c r="H24" s="69" t="n">
        <v>11.2</v>
      </c>
      <c r="I24" s="69" t="n">
        <v>70</v>
      </c>
      <c r="J24" s="69" t="n">
        <v>10.5</v>
      </c>
      <c r="K24" s="69" t="n">
        <v>61</v>
      </c>
      <c r="L24" s="69" t="n">
        <v>9</v>
      </c>
      <c r="M24" s="69" t="n">
        <v>82</v>
      </c>
      <c r="N24" s="69" t="n">
        <v>11.9</v>
      </c>
      <c r="O24" s="69" t="n">
        <v>288</v>
      </c>
      <c r="P24" s="69" t="n">
        <v>10.6</v>
      </c>
    </row>
    <row r="25">
      <c r="F25" s="47" t="n">
        <v>12771</v>
      </c>
      <c r="G25" s="69" t="n">
        <v>16</v>
      </c>
      <c r="H25" s="69" t="n">
        <v>10.3</v>
      </c>
      <c r="I25" s="69" t="n">
        <v>19</v>
      </c>
      <c r="J25" s="69" t="n">
        <v>13</v>
      </c>
      <c r="K25" s="69" t="n">
        <v>31</v>
      </c>
      <c r="L25" s="69" t="n">
        <v>20</v>
      </c>
      <c r="M25" s="69" t="n">
        <v>15</v>
      </c>
      <c r="N25" s="69" t="n">
        <v>11.2</v>
      </c>
      <c r="O25" s="69" t="n">
        <v>81</v>
      </c>
      <c r="P25" s="69" t="n">
        <v>13.6</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per 100 Live Births ,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8.5</v>
      </c>
      <c r="H6" s="69" t="n">
        <v>7.3</v>
      </c>
      <c r="I6" s="69" t="n">
        <v>7.8</v>
      </c>
      <c r="J6" s="69" t="n">
        <v>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8.4</v>
      </c>
      <c r="H6" s="69" t="n">
        <v>6.7</v>
      </c>
      <c r="I6" s="69" t="n">
        <v>14.9</v>
      </c>
      <c r="J6" s="69" t="n">
        <v>8.699999999999999</v>
      </c>
      <c r="K6" s="69" t="n">
        <v>10.5</v>
      </c>
      <c r="L6" s="69" t="n"/>
      <c r="M6" s="69" t="n"/>
      <c r="N6" s="69" t="n"/>
      <c r="O6" s="69" t="n"/>
    </row>
    <row r="7" ht="15.75" customHeight="1" s="91">
      <c r="F7" t="inlineStr">
        <is>
          <t>NYS excl NYC</t>
        </is>
      </c>
      <c r="G7" s="69" t="n">
        <v>9.5</v>
      </c>
      <c r="H7" s="69" t="n">
        <v>8.5</v>
      </c>
      <c r="I7" s="69" t="n">
        <v>13.9</v>
      </c>
      <c r="J7" s="69" t="n">
        <v>9.1</v>
      </c>
      <c r="K7" s="69" t="n">
        <v>10.3</v>
      </c>
      <c r="L7" s="69" t="n"/>
      <c r="M7" s="69" t="n"/>
      <c r="N7" s="69" t="n"/>
      <c r="O7" s="69" t="n"/>
    </row>
    <row r="8">
      <c r="F8" t="inlineStr">
        <is>
          <t>NYS</t>
        </is>
      </c>
      <c r="G8" s="69" t="n">
        <v>9.5</v>
      </c>
      <c r="H8" s="69" t="n">
        <v>7.9</v>
      </c>
      <c r="I8" s="69" t="n">
        <v>13.7</v>
      </c>
      <c r="J8" s="69" t="n">
        <v>8.9</v>
      </c>
      <c r="K8" s="69" t="n">
        <v>10.4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n"/>
      <c r="F21" s="69" t="n"/>
      <c r="G21" s="69" t="n"/>
      <c r="H21" s="69" t="n"/>
    </row>
    <row r="22">
      <c r="A22" t="inlineStr">
        <is>
          <t xml:space="preserve">Note </t>
        </is>
      </c>
      <c r="B22" t="inlineStr">
        <is>
          <t>Note: Premature Birth includes any live birth that occurs before 37 completed weeks of gestation.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Q57"/>
  <sheetViews>
    <sheetView topLeftCell="A4" workbookViewId="0">
      <selection activeCell="C27" sqref="C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Infants Born with Low Birthweight,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F6" s="77" t="n"/>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s="7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s="77" t="inlineStr">
        <is>
          <t>Low Birth Weight Births</t>
        </is>
      </c>
      <c r="G8" s="69" t="n">
        <v>331</v>
      </c>
      <c r="H8" s="69" t="n">
        <v>6.9</v>
      </c>
      <c r="I8" s="69" t="n">
        <v>318</v>
      </c>
      <c r="J8" s="68" t="n">
        <v>6.2</v>
      </c>
      <c r="K8" s="68" t="n">
        <v>341</v>
      </c>
      <c r="L8" s="68" t="n">
        <v>6.9</v>
      </c>
      <c r="M8" s="68" t="n">
        <v>346</v>
      </c>
      <c r="N8" s="68" t="n">
        <v>6.6</v>
      </c>
      <c r="O8" s="69" t="n">
        <v>1336</v>
      </c>
      <c r="P8" s="69" t="n">
        <v>6.6</v>
      </c>
    </row>
    <row r="9">
      <c r="A9" s="71" t="inlineStr">
        <is>
          <t>Figure Rules</t>
        </is>
      </c>
      <c r="F9" s="80" t="inlineStr">
        <is>
          <t>Age Intervals</t>
        </is>
      </c>
    </row>
    <row r="10">
      <c r="A10" t="inlineStr">
        <is>
          <t>Figure Type</t>
        </is>
      </c>
      <c r="F10" s="49" t="inlineStr">
        <is>
          <t>10-14</t>
        </is>
      </c>
      <c r="G10" s="69" t="n">
        <v>0</v>
      </c>
      <c r="H10" s="69" t="n">
        <v>0</v>
      </c>
      <c r="I10" s="69" t="n">
        <v>0</v>
      </c>
      <c r="J10" s="69" t="n">
        <v>0</v>
      </c>
      <c r="K10" s="69" t="n">
        <v>0</v>
      </c>
      <c r="L10" s="69" t="n">
        <v>0</v>
      </c>
      <c r="M10" s="69" t="n">
        <v>0</v>
      </c>
      <c r="N10" s="69" t="n">
        <v>0</v>
      </c>
      <c r="O10" s="69" t="n">
        <v>0</v>
      </c>
      <c r="P10" s="69" t="n">
        <v>0</v>
      </c>
    </row>
    <row r="11">
      <c r="A11" t="inlineStr">
        <is>
          <t>X Column</t>
        </is>
      </c>
      <c r="F11" s="47" t="inlineStr">
        <is>
          <t>15-17</t>
        </is>
      </c>
      <c r="G11" s="69" t="inlineStr">
        <is>
          <t>s</t>
        </is>
      </c>
      <c r="H11" s="69"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n">
        <v>10</v>
      </c>
      <c r="L12" s="69" t="n">
        <v>7.1</v>
      </c>
      <c r="M12" s="69" t="n">
        <v>12</v>
      </c>
      <c r="N12" s="69" t="n">
        <v>9.199999999999999</v>
      </c>
      <c r="O12" s="69" t="n">
        <v>35</v>
      </c>
      <c r="P12" s="69" t="n">
        <v>7.1</v>
      </c>
    </row>
    <row r="13">
      <c r="A13" t="inlineStr">
        <is>
          <t>X Axis Title</t>
        </is>
      </c>
      <c r="F13" s="47" t="inlineStr">
        <is>
          <t>20-24</t>
        </is>
      </c>
      <c r="G13" s="69" t="n">
        <v>59</v>
      </c>
      <c r="H13" s="69" t="n">
        <v>6.2</v>
      </c>
      <c r="I13" s="69" t="n">
        <v>50</v>
      </c>
      <c r="J13" s="69" t="n">
        <v>5.1</v>
      </c>
      <c r="K13" s="69" t="n">
        <v>60</v>
      </c>
      <c r="L13" s="69" t="n">
        <v>6</v>
      </c>
      <c r="M13" s="69" t="n">
        <v>54</v>
      </c>
      <c r="N13" s="69" t="n">
        <v>4.9</v>
      </c>
      <c r="O13" s="69" t="n">
        <v>223</v>
      </c>
      <c r="P13" s="69" t="n">
        <v>5.5</v>
      </c>
    </row>
    <row r="14">
      <c r="A14" t="inlineStr">
        <is>
          <t>Y Axis Title</t>
        </is>
      </c>
      <c r="F14" s="47" t="inlineStr">
        <is>
          <t>25-44</t>
        </is>
      </c>
      <c r="G14" s="69" t="n">
        <v>262</v>
      </c>
      <c r="H14" s="69" t="n">
        <v>7.1</v>
      </c>
      <c r="I14" s="69" t="n">
        <v>260</v>
      </c>
      <c r="J14" s="69" t="n">
        <v>6.5</v>
      </c>
      <c r="K14" s="69" t="n">
        <v>269</v>
      </c>
      <c r="L14" s="69" t="n">
        <v>7.1</v>
      </c>
      <c r="M14" s="69" t="n">
        <v>276</v>
      </c>
      <c r="N14" s="69" t="n">
        <v>6.9</v>
      </c>
      <c r="O14" s="69" t="n">
        <v>1067</v>
      </c>
      <c r="P14" s="69" t="n">
        <v>6.9</v>
      </c>
    </row>
    <row r="15">
      <c r="A15" t="inlineStr">
        <is>
          <t>Start at Zero</t>
        </is>
      </c>
      <c r="F15" s="47" t="inlineStr">
        <is>
          <t>45+</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148</v>
      </c>
      <c r="H17" s="69" t="n">
        <v>5</v>
      </c>
      <c r="I17" s="69" t="n">
        <v>161</v>
      </c>
      <c r="J17" s="69" t="n">
        <v>5.2</v>
      </c>
      <c r="K17" s="69" t="n">
        <v>162</v>
      </c>
      <c r="L17" s="69" t="n">
        <v>5.3</v>
      </c>
      <c r="M17" s="69" t="n">
        <v>174</v>
      </c>
      <c r="N17" s="69" t="n">
        <v>5.4</v>
      </c>
      <c r="O17" s="69" t="n">
        <v>645</v>
      </c>
      <c r="P17" s="69" t="n">
        <v>5.2</v>
      </c>
    </row>
    <row r="18">
      <c r="A18" s="71" t="inlineStr">
        <is>
          <t>Source Specifications</t>
        </is>
      </c>
      <c r="F18" s="47" t="inlineStr">
        <is>
          <t>Black Alone</t>
        </is>
      </c>
      <c r="G18" s="69" t="n">
        <v>53</v>
      </c>
      <c r="H18" s="69" t="n">
        <v>13.6</v>
      </c>
      <c r="I18" s="69" t="n">
        <v>50</v>
      </c>
      <c r="J18" s="69" t="n">
        <v>12.6</v>
      </c>
      <c r="K18" s="69" t="n">
        <v>44</v>
      </c>
      <c r="L18" s="69" t="n">
        <v>10.8</v>
      </c>
      <c r="M18" s="69" t="n">
        <v>49</v>
      </c>
      <c r="N18" s="69" t="n">
        <v>14</v>
      </c>
      <c r="O18" s="69" t="n">
        <v>196</v>
      </c>
      <c r="P18" s="69" t="n">
        <v>12.8</v>
      </c>
    </row>
    <row r="19">
      <c r="A19" t="inlineStr">
        <is>
          <t>Source</t>
        </is>
      </c>
      <c r="B19" t="inlineStr">
        <is>
          <t>Source: Special request from NYSDOH Bureau of Vital Records, July 2025</t>
        </is>
      </c>
      <c r="F19" s="47" t="inlineStr">
        <is>
          <t>Hispanic</t>
        </is>
      </c>
      <c r="G19" s="69" t="n">
        <v>108</v>
      </c>
      <c r="H19" s="69" t="n">
        <v>9</v>
      </c>
      <c r="I19" s="69" t="n">
        <v>92</v>
      </c>
      <c r="J19" s="69" t="n">
        <v>7.1</v>
      </c>
      <c r="K19" s="69" t="n">
        <v>113</v>
      </c>
      <c r="L19" s="69" t="n">
        <v>8.699999999999999</v>
      </c>
      <c r="M19" s="69" t="n">
        <v>103</v>
      </c>
      <c r="N19" s="69" t="n">
        <v>7.2</v>
      </c>
      <c r="O19" s="69" t="n">
        <v>416</v>
      </c>
      <c r="P19" s="69" t="n">
        <v>8</v>
      </c>
    </row>
    <row r="20">
      <c r="F20" s="47" t="inlineStr">
        <is>
          <t>Other</t>
        </is>
      </c>
      <c r="G20" s="69" t="n">
        <v>22</v>
      </c>
      <c r="H20" s="69" t="n">
        <v>9.1</v>
      </c>
      <c r="I20" s="69" t="n">
        <v>15</v>
      </c>
      <c r="J20" s="69" t="n">
        <v>4.1</v>
      </c>
      <c r="K20" s="69" t="n">
        <v>22</v>
      </c>
      <c r="L20" s="69" t="n">
        <v>9.699999999999999</v>
      </c>
      <c r="M20" s="69" t="n">
        <v>20</v>
      </c>
      <c r="N20" s="69" t="n">
        <v>9</v>
      </c>
      <c r="O20" s="69" t="n">
        <v>79</v>
      </c>
      <c r="P20" s="69" t="n">
        <v>8</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67</v>
      </c>
      <c r="H22" s="69" t="n">
        <v>11.1</v>
      </c>
      <c r="I22" s="69" t="n">
        <v>48</v>
      </c>
      <c r="J22" s="69" t="n">
        <v>8.300000000000001</v>
      </c>
      <c r="K22" s="69" t="n">
        <v>53</v>
      </c>
      <c r="L22" s="69" t="n">
        <v>9.699999999999999</v>
      </c>
      <c r="M22" s="69" t="n">
        <v>71</v>
      </c>
      <c r="N22" s="69" t="n">
        <v>11.8</v>
      </c>
      <c r="O22" s="69" t="n">
        <v>236</v>
      </c>
      <c r="P22" s="69" t="n">
        <v>10.2</v>
      </c>
    </row>
    <row r="23">
      <c r="F23" s="47" t="inlineStr">
        <is>
          <t>10950*</t>
        </is>
      </c>
      <c r="G23" s="69" t="n">
        <v>48</v>
      </c>
      <c r="H23" s="69" t="n">
        <v>3.1</v>
      </c>
      <c r="I23" s="69" t="n">
        <v>47</v>
      </c>
      <c r="J23" s="69" t="n">
        <v>2.8</v>
      </c>
      <c r="K23" s="69" t="n">
        <v>67</v>
      </c>
      <c r="L23" s="69" t="n">
        <v>4</v>
      </c>
      <c r="M23" s="69" t="n">
        <v>56</v>
      </c>
      <c r="N23" s="69" t="n">
        <v>3</v>
      </c>
      <c r="O23" s="69" t="n">
        <v>218</v>
      </c>
      <c r="P23" s="69" t="n">
        <v>3.2</v>
      </c>
    </row>
    <row r="24">
      <c r="F24" s="47" t="n">
        <v>12550</v>
      </c>
      <c r="G24" s="69" t="n">
        <v>59</v>
      </c>
      <c r="H24" s="69" t="n">
        <v>8.800000000000001</v>
      </c>
      <c r="I24" s="69" t="n">
        <v>61</v>
      </c>
      <c r="J24" s="69" t="n">
        <v>9.1</v>
      </c>
      <c r="K24" s="69" t="n">
        <v>55</v>
      </c>
      <c r="L24" s="69" t="n">
        <v>8.1</v>
      </c>
      <c r="M24" s="69" t="n">
        <v>58</v>
      </c>
      <c r="N24" s="69" t="n">
        <v>8.4</v>
      </c>
      <c r="O24" s="69" t="n">
        <v>233</v>
      </c>
      <c r="P24" s="69" t="n">
        <v>8.6</v>
      </c>
    </row>
    <row r="25">
      <c r="F25" s="47" t="n">
        <v>12771</v>
      </c>
      <c r="G25" s="69" t="n">
        <v>15</v>
      </c>
      <c r="H25" s="69" t="n">
        <v>9.6</v>
      </c>
      <c r="I25" s="69" t="n">
        <v>13</v>
      </c>
      <c r="J25" s="69" t="n">
        <v>8.9</v>
      </c>
      <c r="K25" s="69" t="n">
        <v>22</v>
      </c>
      <c r="L25" s="69" t="n">
        <v>14.2</v>
      </c>
      <c r="M25" s="69" t="n">
        <v>10</v>
      </c>
      <c r="N25" s="69" t="n">
        <v>7.5</v>
      </c>
      <c r="O25" s="69" t="n">
        <v>60</v>
      </c>
      <c r="P25" s="69" t="n">
        <v>10</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Q57"/>
  <sheetViews>
    <sheetView workbookViewId="0">
      <selection activeCell="M22" sqref="M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6.9</v>
      </c>
      <c r="H6" s="69" t="n">
        <v>6.2</v>
      </c>
      <c r="I6" s="69" t="n">
        <v>6.9</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Q57"/>
  <sheetViews>
    <sheetView workbookViewId="0">
      <selection activeCell="N23" sqref="N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7.1</v>
      </c>
      <c r="H6" s="69" t="n">
        <v>5.7</v>
      </c>
      <c r="I6" s="69" t="n">
        <v>13.4</v>
      </c>
      <c r="J6" s="69" t="n">
        <v>8.1</v>
      </c>
      <c r="K6" s="69" t="n">
        <v>8.5</v>
      </c>
      <c r="L6" s="69" t="n"/>
      <c r="M6" s="69" t="n"/>
      <c r="N6" s="69" t="n"/>
      <c r="O6" s="69" t="n"/>
    </row>
    <row r="7" ht="15.75" customHeight="1" s="91">
      <c r="F7" t="inlineStr">
        <is>
          <t>NYS excl NYC</t>
        </is>
      </c>
      <c r="G7" s="69" t="n">
        <v>8</v>
      </c>
      <c r="H7" s="69" t="n">
        <v>6.7</v>
      </c>
      <c r="I7" s="69" t="n">
        <v>14.2</v>
      </c>
      <c r="J7" s="69" t="n">
        <v>9.300000000000001</v>
      </c>
      <c r="K7" s="69" t="n">
        <v>8.300000000000001</v>
      </c>
      <c r="L7" s="69" t="n"/>
      <c r="M7" s="69" t="n"/>
      <c r="N7" s="69" t="n"/>
      <c r="O7" s="69" t="n"/>
    </row>
    <row r="8">
      <c r="F8" t="inlineStr">
        <is>
          <t>NYS</t>
        </is>
      </c>
      <c r="G8" s="69" t="n">
        <v>8.4</v>
      </c>
      <c r="H8" s="69" t="n">
        <v>6.4</v>
      </c>
      <c r="I8" s="69" t="n">
        <v>13.8</v>
      </c>
      <c r="J8" s="69" t="n">
        <v>9.5</v>
      </c>
      <c r="K8" s="69" t="n">
        <v>8.699999999999999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Low Birthweight includes births with known birthweight that resulted in infants weighing less than 2500 grams.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Q57"/>
  <sheetViews>
    <sheetView workbookViewId="0">
      <selection activeCell="H22" sqref="H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Department Visits Involving Any Drug Overdose, Age-Adjusted Rate per 100,000 Population,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c r="K5" t="n">
        <v>2022</v>
      </c>
    </row>
    <row r="6" ht="15" customHeight="1" s="91">
      <c r="A6" t="inlineStr">
        <is>
          <t>Multilevel Headers</t>
        </is>
      </c>
      <c r="B6" t="b">
        <v>0</v>
      </c>
      <c r="F6" t="inlineStr">
        <is>
          <t>Orange</t>
        </is>
      </c>
      <c r="G6" s="69" t="n">
        <v>237.8</v>
      </c>
      <c r="H6" s="69" t="n">
        <v>194.5</v>
      </c>
      <c r="I6" s="69" t="n">
        <v>212.4</v>
      </c>
      <c r="J6" s="69" t="n">
        <v>183.8</v>
      </c>
      <c r="K6" s="69" t="n">
        <v>178</v>
      </c>
      <c r="L6" s="69" t="n"/>
      <c r="M6" s="69" t="n"/>
      <c r="N6" s="69" t="n"/>
      <c r="O6" s="69" t="n"/>
    </row>
    <row r="7" ht="15.75" customHeight="1" s="91">
      <c r="F7" t="inlineStr">
        <is>
          <t>Mid-Hudson</t>
        </is>
      </c>
      <c r="G7" s="69" t="n">
        <v>187.7</v>
      </c>
      <c r="H7" s="69" t="n">
        <v>171.6</v>
      </c>
      <c r="I7" s="69" t="n">
        <v>167.3</v>
      </c>
      <c r="J7" s="69" t="n">
        <v>165.1</v>
      </c>
      <c r="K7" s="69" t="n">
        <v>150.2</v>
      </c>
      <c r="L7" s="69" t="n"/>
      <c r="M7" s="69" t="n"/>
      <c r="N7" s="69" t="n"/>
      <c r="O7" s="69" t="n"/>
    </row>
    <row r="8">
      <c r="F8" t="inlineStr">
        <is>
          <t>NYS excl NYC</t>
        </is>
      </c>
      <c r="G8" s="69" t="n">
        <v>214.3</v>
      </c>
      <c r="H8" s="69" t="n">
        <v>205.4</v>
      </c>
      <c r="I8" s="69" t="n">
        <v>206.5</v>
      </c>
      <c r="J8" s="69" t="n">
        <v>212.6</v>
      </c>
      <c r="K8" s="69" t="n">
        <v>201.4</v>
      </c>
      <c r="L8" s="69" t="n"/>
      <c r="M8" s="69" t="n"/>
      <c r="N8" s="69" t="n"/>
      <c r="O8" s="69" t="n"/>
    </row>
    <row r="9">
      <c r="A9" s="71" t="inlineStr">
        <is>
          <t>Figure Rules</t>
        </is>
      </c>
      <c r="F9" t="inlineStr">
        <is>
          <t>NYS</t>
        </is>
      </c>
      <c r="G9" s="69" t="n">
        <v>184.5</v>
      </c>
      <c r="H9" s="69" t="n">
        <v>182.6</v>
      </c>
      <c r="I9" s="69" t="n">
        <v>175.5</v>
      </c>
      <c r="J9" s="69" t="n">
        <v>191.3</v>
      </c>
      <c r="K9" s="69" t="n">
        <v>192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Outpatient ED Visits and Hospital Discharges Involving Opioid Abuse, Dependence and Unspecified Use, Crude Rate per 100,000,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n">
        <v>2016</v>
      </c>
      <c r="H5" t="n">
        <v>2017</v>
      </c>
      <c r="I5" t="n">
        <v>2018</v>
      </c>
      <c r="J5" t="n">
        <v>2019</v>
      </c>
      <c r="K5" t="n">
        <v>2020</v>
      </c>
      <c r="L5" t="n">
        <v>2021</v>
      </c>
      <c r="M5" t="n">
        <v>2022</v>
      </c>
    </row>
    <row r="6" ht="15" customHeight="1" s="91">
      <c r="A6" t="inlineStr">
        <is>
          <t>Multilevel Headers</t>
        </is>
      </c>
      <c r="B6" t="b">
        <v>0</v>
      </c>
      <c r="F6" t="inlineStr">
        <is>
          <t>Orange</t>
        </is>
      </c>
      <c r="G6" s="69" t="n">
        <v>308.3</v>
      </c>
      <c r="H6" s="69" t="n">
        <v>246.4</v>
      </c>
      <c r="I6" s="69" t="n">
        <v>187.2</v>
      </c>
      <c r="J6" s="69" t="n">
        <v>175.5</v>
      </c>
      <c r="K6" s="69" t="n">
        <v>156.4</v>
      </c>
      <c r="L6" s="69" t="n">
        <v>137.5</v>
      </c>
      <c r="M6" s="69" t="n">
        <v>114.1</v>
      </c>
      <c r="N6" s="69" t="n"/>
      <c r="O6" s="69" t="n"/>
    </row>
    <row r="7" ht="15.75" customHeight="1" s="91">
      <c r="F7" t="inlineStr">
        <is>
          <t>Mid-Hudson</t>
        </is>
      </c>
      <c r="G7" s="69" t="n">
        <v>248.9</v>
      </c>
      <c r="H7" s="69" t="n">
        <v>238.1</v>
      </c>
      <c r="I7" s="69" t="n">
        <v>212.7</v>
      </c>
      <c r="J7" s="69" t="n">
        <v>194.3</v>
      </c>
      <c r="K7" s="69" t="n">
        <v>141.9</v>
      </c>
      <c r="L7" s="69" t="n">
        <v>139.9</v>
      </c>
      <c r="M7" s="69" t="n">
        <v>116.4</v>
      </c>
      <c r="N7" s="69" t="n"/>
      <c r="O7" s="69" t="n"/>
    </row>
    <row r="8">
      <c r="F8" t="inlineStr">
        <is>
          <t>NYS excl NYC</t>
        </is>
      </c>
      <c r="G8" s="69" t="n">
        <v>206.6</v>
      </c>
      <c r="H8" s="69" t="n">
        <v>193.5</v>
      </c>
      <c r="I8" s="69" t="n">
        <v>172.6</v>
      </c>
      <c r="J8" s="69" t="n">
        <v>154</v>
      </c>
      <c r="K8" s="69" t="n">
        <v>119</v>
      </c>
      <c r="L8" s="69" t="n">
        <v>110.3</v>
      </c>
      <c r="M8" s="69" t="n">
        <v>99</v>
      </c>
      <c r="N8" s="69" t="n"/>
      <c r="O8" s="69" t="n"/>
    </row>
    <row r="9">
      <c r="A9" s="71" t="inlineStr">
        <is>
          <t>Figure Rules</t>
        </is>
      </c>
      <c r="F9" t="inlineStr">
        <is>
          <t>NYS</t>
        </is>
      </c>
      <c r="G9" s="69" t="n">
        <v>223.3</v>
      </c>
      <c r="H9" s="69" t="n">
        <v>222.7</v>
      </c>
      <c r="I9" s="69" t="n">
        <v>210.2</v>
      </c>
      <c r="J9" s="69" t="n">
        <v>190</v>
      </c>
      <c r="K9" s="69" t="n">
        <v>133.5</v>
      </c>
      <c r="L9" s="69" t="n">
        <v>128.2</v>
      </c>
      <c r="M9" s="69" t="n">
        <v>133.6</v>
      </c>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Q57"/>
  <sheetViews>
    <sheetView workbookViewId="0">
      <selection activeCell="M6" sqref="M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Newborns with Neonatal Withdrawal Symptoms and/or Affected by Maternal Use of Drugs of Addiction, Crude Rate per 1,000 Newborn Discharges,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Mid-Hudson</t>
        </is>
      </c>
      <c r="I5" t="inlineStr">
        <is>
          <t>NYS excl NYC</t>
        </is>
      </c>
      <c r="J5" t="inlineStr">
        <is>
          <t>NYS</t>
        </is>
      </c>
    </row>
    <row r="6" ht="15" customHeight="1" s="91">
      <c r="A6" t="inlineStr">
        <is>
          <t>Multilevel Headers</t>
        </is>
      </c>
      <c r="B6" t="b">
        <v>0</v>
      </c>
      <c r="F6" t="n">
        <v>2018</v>
      </c>
      <c r="G6" s="69" t="n">
        <v>12.2</v>
      </c>
      <c r="H6" s="69" t="n">
        <v>8.9</v>
      </c>
      <c r="I6" s="69" t="n">
        <v>15.2</v>
      </c>
      <c r="J6" s="69" t="n">
        <v>9.9</v>
      </c>
      <c r="K6" s="69" t="n"/>
      <c r="L6" s="69" t="n"/>
      <c r="M6" s="69" t="n"/>
      <c r="N6" s="69" t="n"/>
      <c r="O6" s="69" t="n"/>
    </row>
    <row r="7" ht="15.75" customHeight="1" s="91">
      <c r="F7" t="n">
        <v>2019</v>
      </c>
      <c r="G7" s="69" t="n">
        <v>9.199999999999999</v>
      </c>
      <c r="H7" s="69" t="n">
        <v>7</v>
      </c>
      <c r="I7" s="69" t="n">
        <v>12.6</v>
      </c>
      <c r="J7" s="69" t="n">
        <v>7.9</v>
      </c>
      <c r="K7" s="69" t="n"/>
      <c r="L7" s="69" t="n"/>
      <c r="M7" s="69" t="n"/>
      <c r="N7" s="69" t="n"/>
      <c r="O7" s="69" t="n"/>
    </row>
    <row r="8">
      <c r="F8" t="n">
        <v>2020</v>
      </c>
      <c r="G8" s="69" t="n">
        <v>10.7</v>
      </c>
      <c r="H8" s="69" t="n">
        <v>9.5</v>
      </c>
      <c r="I8" s="69" t="n">
        <v>13.7</v>
      </c>
      <c r="J8" s="69" t="n">
        <v>8.800000000000001</v>
      </c>
      <c r="K8" s="69" t="n"/>
      <c r="L8" s="69" t="n"/>
      <c r="M8" s="69" t="n"/>
      <c r="N8" s="69" t="n"/>
      <c r="O8" s="69" t="n"/>
    </row>
    <row r="9">
      <c r="A9" s="71" t="inlineStr">
        <is>
          <t>Figure Rules</t>
        </is>
      </c>
      <c r="F9" t="n">
        <v>2021</v>
      </c>
      <c r="G9" s="69" t="n">
        <v>8.4</v>
      </c>
      <c r="H9" s="69" t="n">
        <v>6.7</v>
      </c>
      <c r="I9" s="69" t="n">
        <v>10.9</v>
      </c>
      <c r="J9" s="69" t="n">
        <v>7.1</v>
      </c>
      <c r="K9" s="69" t="n"/>
      <c r="L9" s="69" t="n"/>
      <c r="M9" s="69" t="n"/>
      <c r="N9" s="69" t="n"/>
      <c r="O9" s="69" t="n"/>
    </row>
    <row r="10">
      <c r="A10" t="inlineStr">
        <is>
          <t>Figure Type</t>
        </is>
      </c>
      <c r="B10" t="inlineStr">
        <is>
          <t>Line</t>
        </is>
      </c>
      <c r="F10" t="n">
        <v>2022</v>
      </c>
      <c r="G10" s="69" t="n">
        <v>6.7</v>
      </c>
      <c r="H10" t="n">
        <v>5.3</v>
      </c>
      <c r="I10" t="n">
        <v>9.6</v>
      </c>
      <c r="J10" t="n">
        <v>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 Analgesics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G5" t="n">
        <v>2019</v>
      </c>
      <c r="H5" t="n">
        <v>2020</v>
      </c>
      <c r="I5" t="n">
        <v>2021</v>
      </c>
      <c r="J5" t="n">
        <v>2022</v>
      </c>
      <c r="K5" t="n">
        <v>2023</v>
      </c>
      <c r="L5" t="n">
        <v>2024</v>
      </c>
    </row>
    <row r="6" ht="15" customHeight="1" s="91">
      <c r="A6" t="inlineStr">
        <is>
          <t>Multilevel Headers</t>
        </is>
      </c>
      <c r="B6" t="b">
        <v>0</v>
      </c>
      <c r="F6" t="inlineStr">
        <is>
          <t>Orange</t>
        </is>
      </c>
      <c r="G6" s="69" t="n">
        <v>363.7</v>
      </c>
      <c r="H6" s="69" t="n">
        <v>321.2</v>
      </c>
      <c r="I6" s="69" t="n">
        <v>292.5</v>
      </c>
      <c r="J6" s="69" t="n">
        <v>269.6</v>
      </c>
      <c r="K6" s="69" t="n">
        <v>250.5</v>
      </c>
      <c r="L6" s="69" t="n">
        <v>236.9</v>
      </c>
      <c r="M6" s="69" t="n"/>
      <c r="N6" s="69" t="n"/>
      <c r="O6" s="69" t="n"/>
    </row>
    <row r="7" ht="15.75" customHeight="1" s="91">
      <c r="F7" t="inlineStr">
        <is>
          <t>NYS excl NYC</t>
        </is>
      </c>
      <c r="G7" s="69" t="n">
        <v>377.2</v>
      </c>
      <c r="H7" s="69" t="n">
        <v>342.4</v>
      </c>
      <c r="I7" s="69" t="n">
        <v>321.2</v>
      </c>
      <c r="J7" s="69" t="n">
        <v>300.2</v>
      </c>
      <c r="K7" s="69" t="n">
        <v>283.8</v>
      </c>
      <c r="L7" s="69" t="n">
        <v>271.5</v>
      </c>
      <c r="M7" s="69" t="n"/>
      <c r="N7" s="69" t="n"/>
      <c r="O7" s="69" t="n"/>
    </row>
    <row r="8">
      <c r="F8" t="inlineStr">
        <is>
          <t>NYS</t>
        </is>
      </c>
      <c r="G8" s="69" t="n">
        <v>301.8</v>
      </c>
      <c r="H8" s="69" t="n">
        <v>270.6</v>
      </c>
      <c r="I8" s="69" t="n">
        <v>254.1</v>
      </c>
      <c r="J8" s="69" t="n">
        <v>238.1</v>
      </c>
      <c r="K8" s="69" t="n">
        <v>225.6</v>
      </c>
      <c r="L8" s="69" t="n">
        <v>215.6</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Opioid Naïve Patients Receiving More than a 7-Day Supply,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14.9</v>
      </c>
      <c r="H6" s="69" t="n">
        <v>15.1</v>
      </c>
      <c r="I6" s="69" t="n">
        <v>15.6</v>
      </c>
      <c r="J6" s="69" t="n">
        <v>15.8</v>
      </c>
      <c r="K6" s="69" t="n"/>
      <c r="L6" s="69" t="n"/>
      <c r="M6" s="69" t="n"/>
      <c r="N6" s="69" t="n"/>
      <c r="O6" s="69" t="n"/>
    </row>
    <row r="7" ht="15.75" customHeight="1" s="91">
      <c r="F7" t="inlineStr">
        <is>
          <t>NYS excl NYC</t>
        </is>
      </c>
      <c r="G7" s="69" t="n">
        <v>14.9</v>
      </c>
      <c r="H7" s="69" t="n">
        <v>15.1</v>
      </c>
      <c r="I7" s="69" t="n">
        <v>15.5</v>
      </c>
      <c r="J7" s="69" t="n">
        <v>15</v>
      </c>
      <c r="K7" s="69" t="n"/>
      <c r="L7" s="69" t="n"/>
      <c r="M7" s="69" t="n"/>
      <c r="N7" s="69" t="n"/>
      <c r="O7" s="69" t="n"/>
    </row>
    <row r="8">
      <c r="F8" t="inlineStr">
        <is>
          <t>NYS</t>
        </is>
      </c>
      <c r="G8" s="69" t="n">
        <v>14.6</v>
      </c>
      <c r="H8" s="69" t="n">
        <v>14.7</v>
      </c>
      <c r="I8" s="69" t="n">
        <v>15.1</v>
      </c>
      <c r="J8" s="69" t="n">
        <v>14.7</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Q57"/>
  <sheetViews>
    <sheetView workbookViewId="0">
      <selection activeCell="J19" sqref="J18: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Benzodiazepine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0</v>
      </c>
      <c r="F6" t="inlineStr">
        <is>
          <t>Orange</t>
        </is>
      </c>
      <c r="G6" s="69" t="n">
        <v>245.1</v>
      </c>
      <c r="H6" s="69" t="n">
        <v>237.2</v>
      </c>
      <c r="I6" s="69" t="n">
        <v>225.2</v>
      </c>
      <c r="J6" s="69" t="n">
        <v>221.3</v>
      </c>
      <c r="K6" s="69" t="n"/>
      <c r="L6" s="69" t="n"/>
      <c r="M6" s="69" t="n"/>
      <c r="N6" s="69" t="n"/>
      <c r="O6" s="69" t="n"/>
    </row>
    <row r="7" ht="15.75" customHeight="1" s="91">
      <c r="F7" t="inlineStr">
        <is>
          <t>NYS excl NYC</t>
        </is>
      </c>
      <c r="G7" s="69" t="n">
        <v>269.4</v>
      </c>
      <c r="H7" s="69" t="n">
        <v>261.7</v>
      </c>
      <c r="I7" s="69" t="n">
        <v>254.1</v>
      </c>
      <c r="J7" s="69" t="n">
        <v>250.6</v>
      </c>
      <c r="K7" s="69" t="n"/>
      <c r="L7" s="69" t="n"/>
      <c r="M7" s="69" t="n"/>
      <c r="N7" s="69" t="n"/>
      <c r="O7" s="69" t="n"/>
    </row>
    <row r="8">
      <c r="F8" t="inlineStr">
        <is>
          <t>NYS</t>
        </is>
      </c>
      <c r="G8" s="69" t="n">
        <v>224.7</v>
      </c>
      <c r="H8" s="69" t="n">
        <v>219.2</v>
      </c>
      <c r="I8" s="69" t="n">
        <v>213</v>
      </c>
      <c r="J8" s="69" t="n">
        <v>209.9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benzodiazepine prescriptions dispensed to residents and is not the number of different people who are receiving benzodiazepine prescriptions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Q57"/>
  <sheetViews>
    <sheetView workbookViewId="0">
      <selection activeCell="K20" sqref="K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9.1</v>
      </c>
      <c r="H6" s="69" t="n">
        <v>8.5</v>
      </c>
      <c r="I6" s="69" t="n">
        <v>8.300000000000001</v>
      </c>
      <c r="J6" s="69" t="n">
        <v>8</v>
      </c>
      <c r="K6" s="69" t="n"/>
      <c r="L6" s="69" t="n"/>
      <c r="M6" s="69" t="n"/>
      <c r="N6" s="69" t="n"/>
      <c r="O6" s="69" t="n"/>
    </row>
    <row r="7" ht="15.75" customHeight="1" s="91">
      <c r="F7" t="inlineStr">
        <is>
          <t>NYS excl NYC</t>
        </is>
      </c>
      <c r="G7" s="69" t="n">
        <v>8.9</v>
      </c>
      <c r="H7" s="69" t="n">
        <v>8.6</v>
      </c>
      <c r="I7" s="69" t="n">
        <v>8.4</v>
      </c>
      <c r="J7" s="69" t="n">
        <v>8.199999999999999</v>
      </c>
      <c r="K7" s="69" t="n"/>
      <c r="L7" s="69" t="n"/>
      <c r="M7" s="69" t="n"/>
      <c r="N7" s="69" t="n"/>
      <c r="O7" s="69" t="n"/>
    </row>
    <row r="8">
      <c r="F8" t="inlineStr">
        <is>
          <t>NYS</t>
        </is>
      </c>
      <c r="G8" s="69" t="n">
        <v>8.1</v>
      </c>
      <c r="H8" s="69" t="n">
        <v>7.8</v>
      </c>
      <c r="I8" s="69" t="n">
        <v>7.6</v>
      </c>
      <c r="J8" s="69" t="n">
        <v>7.4</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Q57"/>
  <sheetViews>
    <sheetView workbookViewId="0">
      <selection activeCell="H11" sqref="H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Patients Who Received at Least One Buprenorphine Prescription for Opioid Use Disorder, Age-Adjusted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Regoin/County</t>
        </is>
      </c>
      <c r="G5" t="n">
        <v>2020</v>
      </c>
      <c r="H5" t="n">
        <v>2021</v>
      </c>
      <c r="I5" t="n">
        <v>2022</v>
      </c>
      <c r="J5" t="n">
        <v>2023</v>
      </c>
      <c r="K5" t="n">
        <v>2024</v>
      </c>
    </row>
    <row r="6" ht="15" customHeight="1" s="91">
      <c r="A6" t="inlineStr">
        <is>
          <t>Multilevel Headers</t>
        </is>
      </c>
      <c r="B6" t="b">
        <v>0</v>
      </c>
      <c r="F6" t="inlineStr">
        <is>
          <t>Orange</t>
        </is>
      </c>
      <c r="G6" s="69" t="n">
        <v>608.7</v>
      </c>
      <c r="H6" s="69" t="n">
        <v>527.6</v>
      </c>
      <c r="I6" s="69" t="n">
        <v>514.2</v>
      </c>
      <c r="J6" s="69" t="n">
        <v>520.4</v>
      </c>
      <c r="K6" s="69" t="n">
        <v>497.5</v>
      </c>
      <c r="L6" s="69" t="n"/>
      <c r="M6" s="69" t="n"/>
      <c r="N6" s="69" t="n"/>
      <c r="O6" s="69" t="n"/>
    </row>
    <row r="7" ht="15.75" customHeight="1" s="91">
      <c r="F7" t="inlineStr">
        <is>
          <t>NYS excl NYC</t>
        </is>
      </c>
      <c r="G7" s="69" t="n">
        <v>638.4</v>
      </c>
      <c r="H7" s="69" t="n">
        <v>637.7</v>
      </c>
      <c r="I7" s="69" t="n">
        <v>657.2</v>
      </c>
      <c r="J7" s="69" t="n">
        <v>705.5</v>
      </c>
      <c r="K7" s="69" t="n">
        <v>695.3</v>
      </c>
      <c r="L7" s="69" t="n"/>
      <c r="M7" s="69" t="n"/>
      <c r="N7" s="69" t="n"/>
      <c r="O7" s="69" t="n"/>
    </row>
    <row r="8">
      <c r="F8" t="inlineStr">
        <is>
          <t>NYS</t>
        </is>
      </c>
      <c r="G8" s="69" t="n">
        <v>419.1</v>
      </c>
      <c r="H8" s="69" t="n">
        <v>419.8</v>
      </c>
      <c r="I8" s="69" t="n">
        <v>433.9</v>
      </c>
      <c r="J8" s="69" t="n">
        <v>464</v>
      </c>
      <c r="K8" s="69" t="n">
        <v>462.4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Regoin/County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prescriptions within NYS.</t>
        </is>
      </c>
      <c r="C22" t="inlineStr">
        <is>
          <t xml:space="preserv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Patients Receiving Continuous Buprenorphine for Treatment of Opioid Use Disorder,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71.3</v>
      </c>
      <c r="H6" s="69" t="n">
        <v>75.5</v>
      </c>
      <c r="I6" s="69" t="n">
        <v>73.2</v>
      </c>
      <c r="J6" s="69" t="n">
        <v>74.2</v>
      </c>
      <c r="K6" s="69" t="n"/>
      <c r="L6" s="69" t="n"/>
      <c r="M6" s="69" t="n"/>
      <c r="N6" s="69" t="n"/>
      <c r="O6" s="69" t="n"/>
    </row>
    <row r="7" ht="15.75" customHeight="1" s="91">
      <c r="F7" t="inlineStr">
        <is>
          <t>NYS excl NYC</t>
        </is>
      </c>
      <c r="G7" s="69" t="n">
        <v>75.09999999999999</v>
      </c>
      <c r="H7" s="69" t="n">
        <v>74.5</v>
      </c>
      <c r="I7" s="69" t="n">
        <v>72.2</v>
      </c>
      <c r="J7" s="69" t="n">
        <v>70.40000000000001</v>
      </c>
      <c r="K7" s="69" t="n"/>
      <c r="L7" s="69" t="n"/>
      <c r="M7" s="69" t="n"/>
      <c r="N7" s="69" t="n"/>
      <c r="O7" s="69" t="n"/>
    </row>
    <row r="8">
      <c r="F8" t="inlineStr">
        <is>
          <t>NYS</t>
        </is>
      </c>
      <c r="G8" s="69" t="n">
        <v>71.8</v>
      </c>
      <c r="H8" s="69" t="n">
        <v>71.40000000000001</v>
      </c>
      <c r="I8" s="69" t="n">
        <v>69.5</v>
      </c>
      <c r="J8" s="69" t="n">
        <v>67.90000000000001</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Q57"/>
  <sheetViews>
    <sheetView workbookViewId="0">
      <selection activeCell="M20" sqref="M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Perception of Harm of Substance use, Moderate Risk or Great Risk, 2025</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Substance</t>
        </is>
      </c>
      <c r="G5" t="inlineStr">
        <is>
          <t>Grade 8</t>
        </is>
      </c>
      <c r="H5" t="inlineStr">
        <is>
          <t>Grade 10</t>
        </is>
      </c>
      <c r="I5" t="inlineStr">
        <is>
          <t>Grade 11</t>
        </is>
      </c>
      <c r="J5" t="inlineStr">
        <is>
          <t>Grade 12</t>
        </is>
      </c>
      <c r="K5" t="inlineStr">
        <is>
          <t>Total</t>
        </is>
      </c>
    </row>
    <row r="6" ht="15" customHeight="1" s="91">
      <c r="A6" t="inlineStr">
        <is>
          <t>Multilevel Headers</t>
        </is>
      </c>
      <c r="B6" t="b">
        <v>0</v>
      </c>
      <c r="F6" t="inlineStr">
        <is>
          <t>Alcohol</t>
        </is>
      </c>
      <c r="G6" s="69" t="n">
        <v>70</v>
      </c>
      <c r="H6" s="69" t="n">
        <v>70.5</v>
      </c>
      <c r="I6" s="69" t="n">
        <v>70.5</v>
      </c>
      <c r="J6" s="69" t="n">
        <v>73.90000000000001</v>
      </c>
      <c r="K6" s="69" t="n">
        <v>71</v>
      </c>
      <c r="L6" s="69" t="n"/>
      <c r="M6" s="69" t="n"/>
      <c r="N6" s="69" t="n"/>
      <c r="O6" s="69" t="n"/>
    </row>
    <row r="7" ht="15.75" customHeight="1" s="91">
      <c r="F7" t="inlineStr">
        <is>
          <t>Cigarettes</t>
        </is>
      </c>
      <c r="G7" s="69" t="n">
        <v>76.09999999999999</v>
      </c>
      <c r="H7" s="69" t="n">
        <v>79.90000000000001</v>
      </c>
      <c r="I7" s="69" t="n">
        <v>76.2</v>
      </c>
      <c r="J7" s="69" t="n">
        <v>84.5</v>
      </c>
      <c r="K7" s="69" t="n">
        <v>79</v>
      </c>
      <c r="L7" s="69" t="n"/>
      <c r="M7" s="69" t="n"/>
      <c r="N7" s="69" t="n"/>
      <c r="O7" s="69" t="n"/>
    </row>
    <row r="8">
      <c r="F8" t="inlineStr">
        <is>
          <t>Marijuana</t>
        </is>
      </c>
      <c r="G8" s="69" t="n">
        <v>65</v>
      </c>
      <c r="H8" s="69" t="n">
        <v>57</v>
      </c>
      <c r="I8" s="69" t="n">
        <v>57</v>
      </c>
      <c r="J8" s="69" t="n">
        <v>54.7</v>
      </c>
      <c r="K8" s="69" t="n">
        <v>59.6</v>
      </c>
      <c r="L8" s="69" t="n"/>
      <c r="M8" s="69" t="n"/>
      <c r="N8" s="69" t="n"/>
      <c r="O8" s="69" t="n"/>
    </row>
    <row r="9">
      <c r="A9" s="71" t="inlineStr">
        <is>
          <t>Figure Rules</t>
        </is>
      </c>
      <c r="F9" t="inlineStr">
        <is>
          <t>Any Prescription Medicine</t>
        </is>
      </c>
      <c r="G9" s="69" t="n">
        <v>72.90000000000001</v>
      </c>
      <c r="H9" s="69" t="n">
        <v>77.09999999999999</v>
      </c>
      <c r="I9" s="69" t="n">
        <v>73.90000000000001</v>
      </c>
      <c r="J9" s="69" t="n">
        <v>84</v>
      </c>
      <c r="K9" s="69" t="n">
        <v>76.59999999999999</v>
      </c>
      <c r="L9" s="69" t="n"/>
      <c r="M9" s="69" t="n"/>
      <c r="N9" s="69" t="n"/>
      <c r="O9" s="69" t="n"/>
    </row>
    <row r="10">
      <c r="A10" t="inlineStr">
        <is>
          <t>Figure Type</t>
        </is>
      </c>
      <c r="B10" t="inlineStr">
        <is>
          <t>Line</t>
        </is>
      </c>
      <c r="G10" s="69" t="n"/>
    </row>
    <row r="11">
      <c r="A11" t="inlineStr">
        <is>
          <t>X Column</t>
        </is>
      </c>
      <c r="B11" t="inlineStr">
        <is>
          <t>Grade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Substance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Community-Level Youth Development Evaluation Survey, Orange County, NY, October 2025</t>
        </is>
      </c>
    </row>
    <row r="20">
      <c r="F20" s="69" t="n"/>
      <c r="G20" s="69" t="n"/>
      <c r="H20" s="69" t="n"/>
    </row>
    <row r="21">
      <c r="A21" s="69" t="inlineStr">
        <is>
          <t>Note Specfications</t>
        </is>
      </c>
      <c r="F21" s="69" t="n"/>
      <c r="G21" s="69" t="n"/>
      <c r="H21" s="69" t="n"/>
    </row>
    <row r="22">
      <c r="A22" t="inlineStr">
        <is>
          <t xml:space="preserve">Note </t>
        </is>
      </c>
      <c r="B22" t="inlineStr">
        <is>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Q57"/>
  <sheetViews>
    <sheetView workbookViewId="0">
      <selection activeCell="F5" sqref="F5:K6"/>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8"/>
    <col width="9.42578125" customWidth="1" style="91" min="9" max="9"/>
    <col width="8.85546875" bestFit="1" customWidth="1" style="91" min="10"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Lifetime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17.9</v>
      </c>
      <c r="H7" s="69" t="n">
        <v>31.8</v>
      </c>
      <c r="I7" s="69" t="n">
        <v>18.7</v>
      </c>
      <c r="J7" s="69" t="n">
        <v>50</v>
      </c>
      <c r="K7" s="69" t="n">
        <v>28.8</v>
      </c>
      <c r="L7" s="69" t="n"/>
      <c r="M7" s="69" t="n"/>
      <c r="N7" s="69" t="n"/>
      <c r="O7" s="69" t="n"/>
    </row>
    <row r="8">
      <c r="F8" s="47" t="inlineStr">
        <is>
          <t>used marijuana?</t>
        </is>
      </c>
      <c r="G8" s="69" t="n">
        <v>2.7</v>
      </c>
      <c r="H8" s="69" t="n">
        <v>11.6</v>
      </c>
      <c r="I8" s="69" t="n">
        <v>9.800000000000001</v>
      </c>
      <c r="J8" s="69" t="n">
        <v>23.2</v>
      </c>
      <c r="K8" s="69" t="n">
        <v>10.3</v>
      </c>
      <c r="L8" s="69" t="n"/>
      <c r="M8" s="69" t="n"/>
      <c r="N8" s="69" t="n"/>
      <c r="O8" s="69" t="n"/>
    </row>
    <row r="9">
      <c r="A9" s="71" t="inlineStr">
        <is>
          <t>Figure Rules</t>
        </is>
      </c>
      <c r="F9" s="47" t="inlineStr">
        <is>
          <t>used prescription opiate pain relievers, such as Vicodin or OxyContin, without a doctor's orders?</t>
        </is>
      </c>
      <c r="G9" s="69" t="n">
        <v>4.9</v>
      </c>
      <c r="H9" s="69" t="n">
        <v>3.5</v>
      </c>
      <c r="I9" s="69" t="n">
        <v>2.8</v>
      </c>
      <c r="J9" s="69" t="n">
        <v>1.6</v>
      </c>
      <c r="K9" s="69" t="n">
        <v>3.6</v>
      </c>
      <c r="L9" s="69" t="n"/>
      <c r="M9" s="69" t="n"/>
      <c r="N9" s="69" t="n"/>
      <c r="O9" s="69" t="n"/>
    </row>
    <row r="10">
      <c r="A10" t="inlineStr">
        <is>
          <t>Figure Type</t>
        </is>
      </c>
      <c r="F10" s="47" t="inlineStr">
        <is>
          <t>used a prescription drug other than opiate pain relievers without a doctor's orders?</t>
        </is>
      </c>
      <c r="G10" s="69" t="n">
        <v>4.5</v>
      </c>
      <c r="H10" s="69" t="n">
        <v>3.5</v>
      </c>
      <c r="I10" s="69" t="n">
        <v>3.3</v>
      </c>
      <c r="J10" s="69" t="n">
        <v>3</v>
      </c>
      <c r="K10" s="69" t="n">
        <v>3.7</v>
      </c>
    </row>
    <row r="11">
      <c r="A11" t="inlineStr">
        <is>
          <t>X Column</t>
        </is>
      </c>
      <c r="F11" s="47" t="inlineStr">
        <is>
          <t>used hash oil or dabs?</t>
        </is>
      </c>
      <c r="G11" s="69" t="n">
        <v>0.7</v>
      </c>
      <c r="H11" s="69" t="n">
        <v>2.7</v>
      </c>
      <c r="I11" s="69" t="n">
        <v>2.5</v>
      </c>
      <c r="J11" s="69" t="n">
        <v>5.6</v>
      </c>
      <c r="K11" s="69" t="n">
        <v>2.5</v>
      </c>
      <c r="L11" s="68" t="n"/>
      <c r="M11" s="68" t="n"/>
      <c r="N11" s="68" t="n"/>
    </row>
    <row r="12">
      <c r="A12" t="inlineStr">
        <is>
          <t>Y Column</t>
        </is>
      </c>
      <c r="F12" s="47" t="inlineStr">
        <is>
          <t>eaten marijuana or hash oil (in brownies, cakes, cookies, candy, etc.)?</t>
        </is>
      </c>
      <c r="G12" s="69" t="n">
        <v>2.8</v>
      </c>
      <c r="H12" s="69" t="n">
        <v>7.1</v>
      </c>
      <c r="I12" s="69" t="n">
        <v>7.5</v>
      </c>
      <c r="J12" s="68" t="n">
        <v>16.1</v>
      </c>
      <c r="K12" s="68" t="n">
        <v>7.3</v>
      </c>
      <c r="L12" s="69" t="n"/>
    </row>
    <row r="13">
      <c r="A13" t="inlineStr">
        <is>
          <t>X Axis Title</t>
        </is>
      </c>
      <c r="F13" s="48" t="inlineStr">
        <is>
          <t>used heroin?</t>
        </is>
      </c>
      <c r="G13" s="68" t="n">
        <v>0</v>
      </c>
      <c r="H13" s="68" t="n">
        <v>0.3</v>
      </c>
      <c r="I13" s="69" t="n">
        <v>0.3</v>
      </c>
      <c r="J13" s="69" t="n">
        <v>0</v>
      </c>
      <c r="K13" s="69" t="n">
        <v>0.1</v>
      </c>
    </row>
    <row r="14">
      <c r="A14" t="inlineStr">
        <is>
          <t>Y Axis Title</t>
        </is>
      </c>
      <c r="F14" s="47" t="inlineStr">
        <is>
          <t>used a non-prescription cough or cold medicine (robos, DXM, etc.) to get high?</t>
        </is>
      </c>
      <c r="G14" s="69" t="n">
        <v>1.8</v>
      </c>
      <c r="H14" s="69" t="n">
        <v>1.7</v>
      </c>
      <c r="I14" s="69" t="n">
        <v>0.8</v>
      </c>
      <c r="J14" s="69" t="n">
        <v>1.7</v>
      </c>
      <c r="K14" s="69" t="n">
        <v>1.7</v>
      </c>
    </row>
    <row r="15">
      <c r="A15" t="inlineStr">
        <is>
          <t>Start at Zero</t>
        </is>
      </c>
      <c r="F15" s="47" t="inlineStr">
        <is>
          <t>drank energy drinks with caffeine (like Red Bull, Monster, Rockstar, or 5-Hour-Energy)?</t>
        </is>
      </c>
      <c r="G15" s="69" t="n">
        <v>52.3</v>
      </c>
      <c r="H15" s="69" t="n">
        <v>60.3</v>
      </c>
      <c r="I15" s="69" t="n">
        <v>52.1</v>
      </c>
      <c r="J15" s="69" t="n">
        <v>62.9</v>
      </c>
      <c r="K15" s="69" t="n">
        <v>57</v>
      </c>
    </row>
    <row r="16">
      <c r="A16" t="inlineStr">
        <is>
          <t>Pivot For Chart</t>
        </is>
      </c>
      <c r="F16" s="47" t="inlineStr">
        <is>
          <t>used LSD (acid) or other hallucinogens (like "shrooms" or PCP)?</t>
        </is>
      </c>
      <c r="G16" s="69" t="n">
        <v>0.2</v>
      </c>
      <c r="H16" s="69" t="n">
        <v>1.5</v>
      </c>
      <c r="I16" s="69" t="n">
        <v>1.9</v>
      </c>
      <c r="J16" s="69" t="n">
        <v>3.1</v>
      </c>
      <c r="K16" s="69" t="n">
        <v>1.4</v>
      </c>
    </row>
    <row r="17">
      <c r="F17" s="47" t="inlineStr">
        <is>
          <t>used cocaine (in powder form) or crack (in rock form)?</t>
        </is>
      </c>
      <c r="G17" s="69" t="n">
        <v>0</v>
      </c>
      <c r="H17" s="69" t="n">
        <v>0.2</v>
      </c>
      <c r="I17" s="69" t="n">
        <v>0.3</v>
      </c>
      <c r="J17" s="69" t="n">
        <v>0.6</v>
      </c>
      <c r="K17" s="69" t="n">
        <v>0.2</v>
      </c>
    </row>
    <row r="18">
      <c r="A18" s="71" t="inlineStr">
        <is>
          <t>Source Specifications</t>
        </is>
      </c>
      <c r="F18" s="47" t="inlineStr">
        <is>
          <t>used MDMA (ecstasy, X, molly)?</t>
        </is>
      </c>
      <c r="G18" s="69" t="n">
        <v>0.2</v>
      </c>
      <c r="H18" s="69" t="n">
        <v>0.5</v>
      </c>
      <c r="I18" s="69" t="n">
        <v>0.6</v>
      </c>
      <c r="J18" s="69" t="n">
        <v>0.9</v>
      </c>
      <c r="K18" s="69" t="n">
        <v>0.5</v>
      </c>
    </row>
    <row r="19">
      <c r="A19" t="inlineStr">
        <is>
          <t>Source</t>
        </is>
      </c>
      <c r="B19" t="inlineStr">
        <is>
          <t>Source: Community-Level Youth Development Evaluation Survey, Orange County, NY, October 2025</t>
        </is>
      </c>
      <c r="F19" s="47" t="inlineStr">
        <is>
          <t>used an electronic cigarette or vape pen (like SMOK) with nicotine?</t>
        </is>
      </c>
      <c r="G19" s="69" t="n">
        <v>6.7</v>
      </c>
      <c r="H19" s="69" t="n">
        <v>13.7</v>
      </c>
      <c r="I19" s="69" t="n">
        <v>8.6</v>
      </c>
      <c r="J19" s="69" t="n">
        <v>19.6</v>
      </c>
      <c r="K19" s="69" t="n">
        <v>11.7</v>
      </c>
    </row>
    <row r="20">
      <c r="F20" s="47" t="inlineStr">
        <is>
          <t>used an electronic cigarette or vape pen (like SMOK) with marijuana?</t>
        </is>
      </c>
      <c r="G20" s="69" t="n">
        <v>3.2</v>
      </c>
      <c r="H20" s="69" t="n">
        <v>9.9</v>
      </c>
      <c r="I20" s="69" t="n">
        <v>7.8</v>
      </c>
      <c r="J20" s="69" t="n">
        <v>17.6</v>
      </c>
      <c r="K20" s="69" t="n">
        <v>8.699999999999999</v>
      </c>
    </row>
    <row r="21">
      <c r="A21" s="69" t="inlineStr">
        <is>
          <t>Note Specfications</t>
        </is>
      </c>
      <c r="F21" s="47" t="inlineStr">
        <is>
          <t>used CBD (in oil, edible, or any other form)?</t>
        </is>
      </c>
      <c r="G21" s="69" t="n">
        <v>2.6</v>
      </c>
      <c r="H21" s="69" t="n">
        <v>6</v>
      </c>
      <c r="I21" s="69" t="n">
        <v>5.8</v>
      </c>
      <c r="J21" s="69" t="n">
        <v>11.9</v>
      </c>
      <c r="K21" s="69" t="n">
        <v>5.9</v>
      </c>
    </row>
    <row r="22">
      <c r="A22" t="inlineStr">
        <is>
          <t xml:space="preserve">Note </t>
        </is>
      </c>
      <c r="B22" t="inlineStr">
        <is>
          <t>Note: "Lifetime use" refers to whether a student has ever used a particular substance at least once in their entire lifetime.</t>
        </is>
      </c>
      <c r="F22" s="47" t="inlineStr">
        <is>
          <t>smoked a cigarette, even just a puff?</t>
        </is>
      </c>
      <c r="G22" s="69" t="n">
        <v>3.3</v>
      </c>
      <c r="H22" s="69" t="n">
        <v>5.6</v>
      </c>
      <c r="I22" s="69" t="n">
        <v>5</v>
      </c>
      <c r="J22" s="69" t="n">
        <v>10.1</v>
      </c>
      <c r="K22" s="69" t="n">
        <v>5.6</v>
      </c>
    </row>
    <row r="23">
      <c r="F23" s="47" t="inlineStr">
        <is>
          <t>used smokeless tobacco (snus, snuff, chew)?</t>
        </is>
      </c>
      <c r="G23" s="69" t="n">
        <v>0.4</v>
      </c>
      <c r="H23" s="69" t="n">
        <v>1.7</v>
      </c>
      <c r="I23" s="69" t="n">
        <v>1.4</v>
      </c>
      <c r="J23" s="69" t="n">
        <v>2.7</v>
      </c>
      <c r="K23" s="69" t="n">
        <v>1.4</v>
      </c>
    </row>
    <row r="24">
      <c r="F24" s="47" t="inlineStr">
        <is>
          <t>used methamphetamine (meth, crank, speed)?</t>
        </is>
      </c>
      <c r="G24" s="69" t="n">
        <v>0.2</v>
      </c>
      <c r="H24" s="69" t="n">
        <v>0.2</v>
      </c>
      <c r="I24" s="69" t="n">
        <v>0</v>
      </c>
      <c r="J24" s="69" t="n">
        <v>0.1</v>
      </c>
      <c r="K24" s="69" t="n">
        <v>0.1</v>
      </c>
    </row>
    <row r="25">
      <c r="F25" s="47" t="inlineStr">
        <is>
          <t>sniffed glue, breathed the contents of an aerosol spray can, or inhaled other gases or sprays, in order to get high?</t>
        </is>
      </c>
      <c r="G25" s="69" t="n">
        <v>3.6</v>
      </c>
      <c r="H25" s="69" t="n">
        <v>3.1</v>
      </c>
      <c r="I25" s="69" t="n">
        <v>0.3</v>
      </c>
      <c r="J25" s="69" t="n">
        <v>2</v>
      </c>
      <c r="K25" s="69" t="n">
        <v>2.8</v>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Q57"/>
  <sheetViews>
    <sheetView workbookViewId="0">
      <selection activeCell="F25" sqref="F25"/>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Past 30 Day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7.2</v>
      </c>
      <c r="H7" s="69" t="n">
        <v>12.3</v>
      </c>
      <c r="I7" s="69" t="n">
        <v>6.4</v>
      </c>
      <c r="J7" s="69" t="n">
        <v>28.6</v>
      </c>
      <c r="K7" s="69" t="n">
        <v>13</v>
      </c>
      <c r="L7" s="69" t="n"/>
      <c r="M7" s="69" t="n"/>
      <c r="N7" s="69" t="n"/>
      <c r="O7" s="69" t="n"/>
    </row>
    <row r="8">
      <c r="F8" s="47" t="inlineStr">
        <is>
          <t>used marijuana?</t>
        </is>
      </c>
      <c r="G8" s="69" t="n">
        <v>1.7</v>
      </c>
      <c r="H8" s="69" t="n">
        <v>6</v>
      </c>
      <c r="I8" s="69" t="n">
        <v>5.3</v>
      </c>
      <c r="J8" s="68" t="n">
        <v>11.4</v>
      </c>
      <c r="K8" s="68" t="n">
        <v>5.4</v>
      </c>
      <c r="L8" s="69" t="n"/>
      <c r="M8" s="69" t="n"/>
      <c r="N8" s="69" t="n"/>
      <c r="O8" s="69" t="n"/>
    </row>
    <row r="9">
      <c r="A9" s="71" t="inlineStr">
        <is>
          <t>Figure Rules</t>
        </is>
      </c>
      <c r="F9" s="48" t="inlineStr">
        <is>
          <t>used prescription opiate pain relievers, such as Vicodin or OxyContin, without a doctor's orders?</t>
        </is>
      </c>
      <c r="G9" s="68" t="n">
        <v>1.3</v>
      </c>
      <c r="H9" s="68" t="n">
        <v>1.5</v>
      </c>
      <c r="I9" s="69" t="n">
        <v>0.3</v>
      </c>
      <c r="J9" s="69" t="n">
        <v>0.1</v>
      </c>
      <c r="K9" s="69" t="n">
        <v>1</v>
      </c>
      <c r="L9" s="69" t="n"/>
      <c r="M9" s="69" t="n"/>
      <c r="N9" s="69" t="n"/>
      <c r="O9" s="69" t="n"/>
    </row>
    <row r="10">
      <c r="A10" t="inlineStr">
        <is>
          <t>Figure Type</t>
        </is>
      </c>
      <c r="F10" s="47" t="inlineStr">
        <is>
          <t>used a prescription drug other than opiate pain relievers without a doctor's orders?</t>
        </is>
      </c>
      <c r="G10" s="69" t="n">
        <v>1.5</v>
      </c>
      <c r="H10" s="69" t="n">
        <v>1.3</v>
      </c>
      <c r="I10" s="69" t="n">
        <v>0.8</v>
      </c>
      <c r="J10" s="69" t="n">
        <v>0.4</v>
      </c>
      <c r="K10" s="69" t="n">
        <v>1.2</v>
      </c>
    </row>
    <row r="11">
      <c r="A11" t="inlineStr">
        <is>
          <t>X Column</t>
        </is>
      </c>
      <c r="F11" s="47" t="inlineStr">
        <is>
          <t>used hash oil or dabs?</t>
        </is>
      </c>
      <c r="G11" s="69" t="n">
        <v>0.5</v>
      </c>
      <c r="H11" s="69" t="n">
        <v>1</v>
      </c>
      <c r="I11" s="69" t="n">
        <v>1.7</v>
      </c>
      <c r="J11" s="69" t="n">
        <v>1.4</v>
      </c>
      <c r="K11" s="69" t="n">
        <v>1</v>
      </c>
      <c r="L11" s="68" t="n"/>
      <c r="M11" s="68" t="n"/>
      <c r="N11" s="68" t="n"/>
    </row>
    <row r="12">
      <c r="A12" t="inlineStr">
        <is>
          <t>Y Column</t>
        </is>
      </c>
      <c r="F12" s="47" t="inlineStr">
        <is>
          <t>eaten marijuana or hash oil (in brownies, cakes, cookies, candy, etc.)?</t>
        </is>
      </c>
      <c r="G12" s="69" t="n">
        <v>1.3</v>
      </c>
      <c r="H12" s="69" t="n">
        <v>2.2</v>
      </c>
      <c r="I12" s="69" t="n">
        <v>2.2</v>
      </c>
      <c r="J12" s="69" t="n">
        <v>3.4</v>
      </c>
      <c r="K12" s="69" t="n">
        <v>2.1</v>
      </c>
      <c r="L12" s="69" t="n"/>
    </row>
    <row r="13">
      <c r="A13" t="inlineStr">
        <is>
          <t>X Axis Title</t>
        </is>
      </c>
      <c r="F13" s="47" t="inlineStr">
        <is>
          <t>used heroin?</t>
        </is>
      </c>
      <c r="G13" s="69" t="n">
        <v>0</v>
      </c>
      <c r="H13" s="69" t="n">
        <v>0.1</v>
      </c>
      <c r="I13" s="69" t="n">
        <v>0</v>
      </c>
      <c r="J13" s="69" t="n">
        <v>0</v>
      </c>
      <c r="K13" s="69" t="n">
        <v>0</v>
      </c>
    </row>
    <row r="14">
      <c r="A14" t="inlineStr">
        <is>
          <t>Y Axis Title</t>
        </is>
      </c>
      <c r="F14" s="47" t="inlineStr">
        <is>
          <t>used a non-prescription cough or cold medicine (robos, DXM, etc.) to get high?</t>
        </is>
      </c>
      <c r="G14" s="69" t="n">
        <v>0.5</v>
      </c>
      <c r="H14" s="69" t="n">
        <v>0.2</v>
      </c>
      <c r="I14" s="69" t="n">
        <v>0.3</v>
      </c>
      <c r="J14" s="69" t="n">
        <v>0.1</v>
      </c>
      <c r="K14" s="69" t="n">
        <v>0.3</v>
      </c>
    </row>
    <row r="15">
      <c r="A15" t="inlineStr">
        <is>
          <t>Start at Zero</t>
        </is>
      </c>
      <c r="F15" s="47" t="inlineStr">
        <is>
          <t>drank energy drinks with caffeine (like Red Bull, Monster, Rockstar, or 5-Hour-Energy)?</t>
        </is>
      </c>
      <c r="G15" s="69" t="n">
        <v>30.3</v>
      </c>
      <c r="H15" s="69" t="n">
        <v>32.5</v>
      </c>
      <c r="I15" s="69" t="n">
        <v>25.4</v>
      </c>
      <c r="J15" s="69" t="n">
        <v>33.2</v>
      </c>
      <c r="K15" s="69" t="n">
        <v>31.1</v>
      </c>
    </row>
    <row r="16">
      <c r="A16" t="inlineStr">
        <is>
          <t>Pivot For Chart</t>
        </is>
      </c>
      <c r="F16" s="47" t="inlineStr">
        <is>
          <t>used LSD (acid) or other hallucinogens (like "shrooms" or PCP)?</t>
        </is>
      </c>
      <c r="G16" s="69" t="n">
        <v>0</v>
      </c>
      <c r="H16" s="69" t="n">
        <v>0.2</v>
      </c>
      <c r="I16" s="69" t="n">
        <v>0.3</v>
      </c>
      <c r="J16" s="69" t="n">
        <v>0.6</v>
      </c>
      <c r="K16" s="69" t="n">
        <v>0.2</v>
      </c>
    </row>
    <row r="17">
      <c r="F17" s="47" t="inlineStr">
        <is>
          <t>used cocaine (in powder form) or crack (in rock form)?</t>
        </is>
      </c>
      <c r="G17" s="69" t="n">
        <v>0</v>
      </c>
      <c r="H17" s="69" t="n">
        <v>0.1</v>
      </c>
      <c r="I17" s="69" t="n">
        <v>0</v>
      </c>
      <c r="J17" s="69" t="n">
        <v>0.1</v>
      </c>
      <c r="K17" s="69" t="n">
        <v>0.1</v>
      </c>
    </row>
    <row r="18">
      <c r="A18" s="71" t="inlineStr">
        <is>
          <t>Source Specifications</t>
        </is>
      </c>
      <c r="F18" s="47" t="inlineStr">
        <is>
          <t>used MDMA (ecstasy, X, molly)?</t>
        </is>
      </c>
      <c r="G18" s="69" t="n">
        <v>0</v>
      </c>
      <c r="H18" s="69" t="n">
        <v>0.1</v>
      </c>
      <c r="I18" s="69" t="n">
        <v>0.6</v>
      </c>
      <c r="J18" s="69" t="n">
        <v>0.1</v>
      </c>
      <c r="K18" s="69" t="n">
        <v>0.1</v>
      </c>
    </row>
    <row r="19">
      <c r="A19" t="inlineStr">
        <is>
          <t>Source</t>
        </is>
      </c>
      <c r="B19" t="inlineStr">
        <is>
          <t>Source: Community-Level Youth Development Evaluation Survey, Orange County, NY, October 2025</t>
        </is>
      </c>
      <c r="F19" s="47" t="inlineStr">
        <is>
          <t>used an electronic cigarette or vape pen (like SMOK) with nicotine?</t>
        </is>
      </c>
      <c r="G19" s="69" t="n">
        <v>3.2</v>
      </c>
      <c r="H19" s="69" t="n">
        <v>6.4</v>
      </c>
      <c r="I19" s="69" t="n">
        <v>3.3</v>
      </c>
      <c r="J19" s="69" t="n">
        <v>9.300000000000001</v>
      </c>
      <c r="K19" s="69" t="n">
        <v>5.4</v>
      </c>
    </row>
    <row r="20">
      <c r="F20" s="47" t="inlineStr">
        <is>
          <t>used an electronic cigarette or vape pen (like SMOK) with marijuana?</t>
        </is>
      </c>
      <c r="G20" s="69" t="n">
        <v>1.9</v>
      </c>
      <c r="H20" s="69" t="n">
        <v>4.6</v>
      </c>
      <c r="I20" s="69" t="n">
        <v>3.9</v>
      </c>
      <c r="J20" s="69" t="n">
        <v>8</v>
      </c>
      <c r="K20" s="69" t="n">
        <v>4.2</v>
      </c>
    </row>
    <row r="21">
      <c r="A21" s="69" t="inlineStr">
        <is>
          <t>Note Specfications</t>
        </is>
      </c>
      <c r="F21" s="47" t="inlineStr">
        <is>
          <t>used CBD (in oil, edible, or any other form)?</t>
        </is>
      </c>
      <c r="G21" s="69" t="n">
        <v>1.1</v>
      </c>
      <c r="H21" s="69" t="n">
        <v>1.6</v>
      </c>
      <c r="I21" s="69" t="n">
        <v>0.8</v>
      </c>
      <c r="J21" s="69" t="n">
        <v>2.8</v>
      </c>
      <c r="K21" s="69" t="n">
        <v>1.6</v>
      </c>
    </row>
    <row r="22">
      <c r="A22" t="inlineStr">
        <is>
          <t xml:space="preserve">Note </t>
        </is>
      </c>
      <c r="B22" t="inlineStr">
        <is>
          <t>Note: "Past 30–Day Use" is the standard metric used to define "Current Use" of a substance in the CLYDE survey.</t>
        </is>
      </c>
      <c r="F22" s="47" t="inlineStr">
        <is>
          <t>smoked a cigarette, even just a puff?</t>
        </is>
      </c>
      <c r="G22" s="69" t="n">
        <v>1.1</v>
      </c>
      <c r="H22" s="69" t="n">
        <v>2</v>
      </c>
      <c r="I22" s="69" t="n">
        <v>1.1</v>
      </c>
      <c r="J22" s="69" t="n">
        <v>3.1</v>
      </c>
      <c r="K22" s="69" t="n">
        <v>1.8</v>
      </c>
    </row>
    <row r="23">
      <c r="F23" s="47" t="inlineStr">
        <is>
          <t>used smokeless tobacco (snus, snuff, chew)?</t>
        </is>
      </c>
      <c r="G23" s="69" t="n">
        <v>0.2</v>
      </c>
      <c r="H23" s="69" t="n">
        <v>0.5</v>
      </c>
      <c r="I23" s="69" t="n">
        <v>0.3</v>
      </c>
      <c r="J23" s="69" t="n">
        <v>0.7</v>
      </c>
      <c r="K23" s="69" t="n">
        <v>0.4</v>
      </c>
    </row>
    <row r="24">
      <c r="F24" s="47" t="inlineStr">
        <is>
          <t>used methamphetamine (meth, crank, speed)?</t>
        </is>
      </c>
      <c r="G24" s="69" t="n">
        <v>0.1</v>
      </c>
      <c r="H24" s="69" t="n">
        <v>0.1</v>
      </c>
      <c r="I24" s="69" t="n">
        <v>0</v>
      </c>
      <c r="J24" s="69" t="n">
        <v>0</v>
      </c>
      <c r="K24" s="69" t="n">
        <v>0.1</v>
      </c>
    </row>
    <row r="25">
      <c r="F25" s="47" t="inlineStr">
        <is>
          <t>sniffed glue, breathed the contents of an aerosol spray can, or inhaled other gases or sprays, in order to get high?</t>
        </is>
      </c>
      <c r="G25" s="69" t="n">
        <v>2.1</v>
      </c>
      <c r="H25" s="69" t="n">
        <v>0.8</v>
      </c>
      <c r="I25" s="69" t="n">
        <v>0</v>
      </c>
      <c r="J25" s="69" t="n">
        <v>0.4</v>
      </c>
      <c r="K25" s="69" t="n">
        <v>1.1</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Q57"/>
  <sheetViews>
    <sheetView workbookViewId="0">
      <selection activeCell="F23" sqref="F23"/>
    </sheetView>
  </sheetViews>
  <sheetFormatPr baseColWidth="8" defaultColWidth="8.7109375" defaultRowHeight="15"/>
  <cols>
    <col width="20" bestFit="1" customWidth="1" style="91" min="1" max="1"/>
    <col width="22.140625" bestFit="1" customWidth="1" style="91" min="2" max="2"/>
    <col width="6.7109375" customWidth="1" style="91" min="5" max="5"/>
    <col width="119.28515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Sources of Marijuana for Those Who Reported Use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72" t="inlineStr">
        <is>
          <t>8th</t>
        </is>
      </c>
      <c r="H5" s="72" t="inlineStr">
        <is>
          <t>10th</t>
        </is>
      </c>
      <c r="I5" s="72" t="inlineStr">
        <is>
          <t>11th</t>
        </is>
      </c>
      <c r="J5" s="72" t="inlineStr">
        <is>
          <t>12th</t>
        </is>
      </c>
      <c r="K5" s="72" t="inlineStr">
        <is>
          <t>Total</t>
        </is>
      </c>
    </row>
    <row r="6" ht="15" customHeight="1" s="91">
      <c r="A6" t="inlineStr">
        <is>
          <t>Multilevel Headers</t>
        </is>
      </c>
      <c r="B6" t="b">
        <v>1</v>
      </c>
      <c r="F6" s="16" t="inlineStr">
        <is>
          <t>I did not use marijuana in the past year</t>
        </is>
      </c>
      <c r="G6" s="69" t="n">
        <v>94.3</v>
      </c>
      <c r="H6" s="69" t="n">
        <v>87.7</v>
      </c>
      <c r="I6" s="69" t="n">
        <v>87.7</v>
      </c>
      <c r="J6" s="69" t="n">
        <v>81.2</v>
      </c>
      <c r="K6" s="69" t="n">
        <v>89</v>
      </c>
      <c r="L6" s="69" t="n"/>
      <c r="M6" s="69" t="n"/>
      <c r="N6" s="69" t="n"/>
      <c r="O6" s="69" t="n"/>
    </row>
    <row r="7" ht="15.75" customHeight="1" s="91">
      <c r="F7" s="78" t="inlineStr">
        <is>
          <t>If you used marijuana (in any form - smoked, vaped, edible, etc.) in the past year, how did you usually get it? (Select all that apply)</t>
        </is>
      </c>
      <c r="L7" s="69" t="n"/>
      <c r="M7" s="69" t="n"/>
      <c r="N7" s="69" t="n"/>
      <c r="O7" s="69" t="n"/>
    </row>
    <row r="8">
      <c r="F8" s="47" t="inlineStr">
        <is>
          <t>I got it from home without my parents' permission</t>
        </is>
      </c>
      <c r="G8" s="69" t="n">
        <v>26.2</v>
      </c>
      <c r="H8" s="69" t="n">
        <v>15.4</v>
      </c>
      <c r="I8" s="69" t="n">
        <v>27.3</v>
      </c>
      <c r="J8" s="69" t="n">
        <v>12.8</v>
      </c>
      <c r="K8" s="69" t="n">
        <v>18</v>
      </c>
      <c r="L8" s="69" t="n"/>
      <c r="M8" s="69" t="n"/>
      <c r="N8" s="69" t="n"/>
      <c r="O8" s="69" t="n"/>
    </row>
    <row r="9">
      <c r="A9" s="71" t="inlineStr">
        <is>
          <t>Figure Rules</t>
        </is>
      </c>
      <c r="F9" s="47" t="inlineStr">
        <is>
          <t>I got it from home with my parents' permission</t>
        </is>
      </c>
      <c r="G9" s="69" t="n">
        <v>7.7</v>
      </c>
      <c r="H9" s="69" t="n">
        <v>11.5</v>
      </c>
      <c r="I9" s="69" t="n">
        <v>15.2</v>
      </c>
      <c r="J9" s="69" t="n">
        <v>10.1</v>
      </c>
      <c r="K9" s="69" t="n">
        <v>10.6</v>
      </c>
      <c r="L9" s="69" t="n"/>
      <c r="M9" s="69" t="n"/>
      <c r="N9" s="69" t="n"/>
      <c r="O9" s="69" t="n"/>
    </row>
    <row r="10">
      <c r="A10" t="inlineStr">
        <is>
          <t>Figure Type</t>
        </is>
      </c>
      <c r="F10" s="47" t="inlineStr">
        <is>
          <t>I got it from someone I know under age 21</t>
        </is>
      </c>
      <c r="G10" s="69" t="n">
        <v>47.7</v>
      </c>
      <c r="H10" s="69" t="n">
        <v>48.1</v>
      </c>
      <c r="I10" s="69" t="n">
        <v>60.6</v>
      </c>
      <c r="J10" s="68" t="n">
        <v>47.7</v>
      </c>
      <c r="K10" s="68" t="n">
        <v>49.2</v>
      </c>
    </row>
    <row r="11">
      <c r="A11" t="inlineStr">
        <is>
          <t>X Column</t>
        </is>
      </c>
      <c r="F11" s="48" t="inlineStr">
        <is>
          <t>I got it from someone I know age 21 or older</t>
        </is>
      </c>
      <c r="G11" s="68" t="n">
        <v>23.1</v>
      </c>
      <c r="H11" s="68" t="n">
        <v>15.4</v>
      </c>
      <c r="I11" s="69" t="n">
        <v>24.2</v>
      </c>
      <c r="J11" s="69" t="n">
        <v>25.7</v>
      </c>
      <c r="K11" s="69" t="n">
        <v>21.5</v>
      </c>
      <c r="L11" s="68" t="n"/>
      <c r="M11" s="68" t="n"/>
      <c r="N11" s="68" t="n"/>
    </row>
    <row r="12">
      <c r="A12" t="inlineStr">
        <is>
          <t>Y Column</t>
        </is>
      </c>
      <c r="F12" s="47" t="inlineStr">
        <is>
          <t>I got it at a party</t>
        </is>
      </c>
      <c r="G12" s="69" t="n">
        <v>15.4</v>
      </c>
      <c r="H12" s="69" t="n">
        <v>23.1</v>
      </c>
      <c r="I12" s="69" t="n">
        <v>18.2</v>
      </c>
      <c r="J12" s="69" t="n">
        <v>24.8</v>
      </c>
      <c r="K12" s="69" t="n">
        <v>21.5</v>
      </c>
      <c r="L12" s="69" t="n"/>
    </row>
    <row r="13">
      <c r="A13" t="inlineStr">
        <is>
          <t>X Axis Title</t>
        </is>
      </c>
      <c r="F13" s="47" t="inlineStr">
        <is>
          <t>I got it at a local festival or community event</t>
        </is>
      </c>
      <c r="G13" s="69" t="n">
        <v>7.7</v>
      </c>
      <c r="H13" s="69" t="n">
        <v>1.9</v>
      </c>
      <c r="I13" s="69" t="n">
        <v>6.1</v>
      </c>
      <c r="J13" s="69" t="n">
        <v>3.7</v>
      </c>
      <c r="K13" s="69" t="n">
        <v>4.2</v>
      </c>
    </row>
    <row r="14">
      <c r="A14" t="inlineStr">
        <is>
          <t>Y Axis Title</t>
        </is>
      </c>
      <c r="F14" s="47" t="inlineStr">
        <is>
          <t>I got it from my brother or sister</t>
        </is>
      </c>
      <c r="G14" s="69" t="n">
        <v>13.8</v>
      </c>
      <c r="H14" s="69" t="n">
        <v>12.5</v>
      </c>
      <c r="I14" s="69" t="n">
        <v>6.1</v>
      </c>
      <c r="J14" s="69" t="n">
        <v>15.6</v>
      </c>
      <c r="K14" s="69" t="n">
        <v>13.2</v>
      </c>
    </row>
    <row r="15">
      <c r="A15" t="inlineStr">
        <is>
          <t>Start at Zero</t>
        </is>
      </c>
      <c r="F15" s="47" t="inlineStr">
        <is>
          <t>I got it from another relative</t>
        </is>
      </c>
      <c r="G15" s="69" t="n">
        <v>18.5</v>
      </c>
      <c r="H15" s="69" t="n">
        <v>10.6</v>
      </c>
      <c r="I15" s="69" t="n">
        <v>12.1</v>
      </c>
      <c r="J15" s="69" t="n">
        <v>7.3</v>
      </c>
      <c r="K15" s="69" t="n">
        <v>11.3</v>
      </c>
    </row>
    <row r="16">
      <c r="A16" t="inlineStr">
        <is>
          <t>Pivot For Chart</t>
        </is>
      </c>
      <c r="F16" s="47" t="inlineStr">
        <is>
          <t>I bought it myself with a fake ID</t>
        </is>
      </c>
      <c r="G16" s="69" t="n">
        <v>4.6</v>
      </c>
      <c r="H16" s="69" t="n">
        <v>1.9</v>
      </c>
      <c r="I16" s="69" t="n">
        <v>6.1</v>
      </c>
      <c r="J16" s="69" t="n">
        <v>4.6</v>
      </c>
      <c r="K16" s="69" t="n">
        <v>3.9</v>
      </c>
    </row>
    <row r="17">
      <c r="F17" s="47" t="inlineStr">
        <is>
          <t>I bought it myself without a fake ID</t>
        </is>
      </c>
      <c r="G17" s="69" t="n">
        <v>4.6</v>
      </c>
      <c r="H17" s="69" t="n">
        <v>1.9</v>
      </c>
      <c r="I17" s="69" t="n">
        <v>3</v>
      </c>
      <c r="J17" s="69" t="n">
        <v>10.1</v>
      </c>
      <c r="K17" s="69" t="n">
        <v>5.5</v>
      </c>
    </row>
    <row r="18">
      <c r="A18" s="71" t="inlineStr">
        <is>
          <t>Source Specifications</t>
        </is>
      </c>
      <c r="F18" s="47" t="inlineStr">
        <is>
          <t>A stranger bought it for me</t>
        </is>
      </c>
      <c r="G18" s="69" t="n">
        <v>4.6</v>
      </c>
      <c r="H18" s="69" t="n">
        <v>3.8</v>
      </c>
      <c r="I18" s="69" t="n">
        <v>3</v>
      </c>
      <c r="J18" s="69" t="n">
        <v>2.8</v>
      </c>
      <c r="K18" s="69" t="n">
        <v>3.5</v>
      </c>
    </row>
    <row r="19">
      <c r="A19" t="inlineStr">
        <is>
          <t>Source</t>
        </is>
      </c>
      <c r="B19" t="inlineStr">
        <is>
          <t>Source: Community-Level Youth Development Evaluation Survey, Orange County, NY, October 2025</t>
        </is>
      </c>
      <c r="F19" s="47" t="inlineStr">
        <is>
          <t>I took it from a store or shop</t>
        </is>
      </c>
      <c r="G19" s="69" t="n">
        <v>7.7</v>
      </c>
      <c r="H19" s="69" t="n">
        <v>1.9</v>
      </c>
      <c r="I19" s="69" t="n">
        <v>0</v>
      </c>
      <c r="J19" s="69" t="n">
        <v>0</v>
      </c>
      <c r="K19" s="69" t="n">
        <v>2.3</v>
      </c>
    </row>
    <row r="20">
      <c r="F20" s="47" t="inlineStr">
        <is>
          <t>I got it at work</t>
        </is>
      </c>
      <c r="G20" s="69" t="n">
        <v>3.1</v>
      </c>
      <c r="H20" s="69" t="n">
        <v>1</v>
      </c>
      <c r="I20" s="69" t="n">
        <v>9.1</v>
      </c>
      <c r="J20" s="69" t="n">
        <v>5.5</v>
      </c>
      <c r="K20" s="69" t="n">
        <v>3.9</v>
      </c>
    </row>
    <row r="21">
      <c r="A21" s="69" t="inlineStr">
        <is>
          <t>Note Specfications</t>
        </is>
      </c>
      <c r="F21" s="47" t="inlineStr">
        <is>
          <t>I bought it over the internet</t>
        </is>
      </c>
      <c r="G21" s="69" t="n">
        <v>9.199999999999999</v>
      </c>
      <c r="H21" s="69" t="n">
        <v>5.8</v>
      </c>
      <c r="I21" s="69" t="n">
        <v>3</v>
      </c>
      <c r="J21" s="69" t="n">
        <v>5.5</v>
      </c>
      <c r="K21" s="69" t="n">
        <v>6.1</v>
      </c>
    </row>
    <row r="22">
      <c r="A22" t="inlineStr">
        <is>
          <t xml:space="preserve">Note </t>
        </is>
      </c>
      <c r="B22" t="inlineStr">
        <is>
          <t>Note: For those who used, more than one response was allowed so totals may not equal 100%.</t>
        </is>
      </c>
      <c r="F22" s="47" t="inlineStr">
        <is>
          <t>From a drug dealer or stranger</t>
        </is>
      </c>
      <c r="G22" s="69" t="n">
        <v>13.8</v>
      </c>
      <c r="H22" s="69" t="n">
        <v>17.3</v>
      </c>
      <c r="I22" s="69" t="n">
        <v>12.1</v>
      </c>
      <c r="J22" s="69" t="n">
        <v>11</v>
      </c>
      <c r="K22" s="69" t="n">
        <v>13.8</v>
      </c>
    </row>
    <row r="23">
      <c r="F23" s="47" t="inlineStr">
        <is>
          <t>Other</t>
        </is>
      </c>
      <c r="G23" s="69" t="n">
        <v>33.8</v>
      </c>
      <c r="H23" s="69" t="n">
        <v>14.4</v>
      </c>
      <c r="I23" s="69" t="n">
        <v>15.2</v>
      </c>
      <c r="J23" s="69" t="n">
        <v>13.8</v>
      </c>
      <c r="K23" s="69" t="n">
        <v>18.3</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8">
    <mergeCell ref="B1:O1"/>
    <mergeCell ref="A21:B21"/>
    <mergeCell ref="E5:E57"/>
    <mergeCell ref="A9:B9"/>
    <mergeCell ref="A5:B5"/>
    <mergeCell ref="F7:K7"/>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32.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and Sex,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s="81" t="inlineStr">
        <is>
          <t>Opioid-Related Overdose Fatalities</t>
        </is>
      </c>
      <c r="G5" s="72" t="n">
        <v>2021</v>
      </c>
      <c r="I5" s="72" t="n">
        <v>2022</v>
      </c>
      <c r="K5" s="72" t="n">
        <v>2023</v>
      </c>
      <c r="M5" s="72" t="n">
        <v>2024</v>
      </c>
      <c r="O5" s="72" t="inlineStr">
        <is>
          <t>Total 2021-2024</t>
        </is>
      </c>
    </row>
    <row r="6" ht="15" customHeight="1" s="91">
      <c r="A6" t="inlineStr">
        <is>
          <t>Multilevel Headers</t>
        </is>
      </c>
      <c r="B6" t="b">
        <v>1</v>
      </c>
      <c r="G6" s="72" t="inlineStr">
        <is>
          <t>#</t>
        </is>
      </c>
      <c r="H6" s="72" t="inlineStr">
        <is>
          <t>Rate</t>
        </is>
      </c>
      <c r="I6" s="72" t="inlineStr">
        <is>
          <t>#</t>
        </is>
      </c>
      <c r="J6" s="72" t="inlineStr">
        <is>
          <t>Rate</t>
        </is>
      </c>
      <c r="K6" s="72" t="inlineStr">
        <is>
          <t>#</t>
        </is>
      </c>
      <c r="L6" s="72" t="inlineStr">
        <is>
          <t>Rate</t>
        </is>
      </c>
      <c r="M6" s="72" t="inlineStr">
        <is>
          <t>#</t>
        </is>
      </c>
      <c r="N6" s="72" t="inlineStr">
        <is>
          <t>Rate</t>
        </is>
      </c>
      <c r="O6" s="72" t="inlineStr">
        <is>
          <t>#</t>
        </is>
      </c>
      <c r="P6" s="72" t="inlineStr">
        <is>
          <t>Rate</t>
        </is>
      </c>
    </row>
    <row r="7" ht="15.75" customHeight="1" s="91">
      <c r="F7" s="78" t="inlineStr">
        <is>
          <t>Orange County Total</t>
        </is>
      </c>
      <c r="G7" s="69" t="n">
        <v>146</v>
      </c>
      <c r="H7" s="69" t="n">
        <v>36.7</v>
      </c>
      <c r="I7" s="69" t="n">
        <v>143</v>
      </c>
      <c r="J7" s="69" t="n">
        <v>35.6</v>
      </c>
      <c r="K7" s="69" t="n">
        <v>116</v>
      </c>
      <c r="L7" s="69" t="n">
        <v>28.7</v>
      </c>
      <c r="M7" s="69" t="n">
        <v>78</v>
      </c>
      <c r="N7" s="69" t="n">
        <v>19.3</v>
      </c>
      <c r="O7" s="69" t="n">
        <v>483</v>
      </c>
      <c r="P7" s="69" t="n">
        <v>30.1</v>
      </c>
    </row>
    <row r="8">
      <c r="F8" s="16" t="inlineStr">
        <is>
          <t>Age Intervals</t>
        </is>
      </c>
      <c r="G8" s="69" t="n"/>
      <c r="H8" s="69" t="n"/>
      <c r="I8" s="69" t="n"/>
      <c r="J8" s="69" t="n"/>
      <c r="K8" s="69" t="n"/>
      <c r="L8" s="69" t="n"/>
      <c r="M8" s="69" t="n"/>
      <c r="N8" s="69" t="n"/>
      <c r="O8" s="69" t="n"/>
      <c r="P8" s="69" t="n"/>
    </row>
    <row r="9">
      <c r="A9" s="71" t="inlineStr">
        <is>
          <t>Figure Rules</t>
        </is>
      </c>
      <c r="F9" s="47" t="inlineStr">
        <is>
          <t>&lt;35</t>
        </is>
      </c>
      <c r="G9" s="69" t="n">
        <v>29</v>
      </c>
      <c r="H9" s="69" t="n">
        <v>15.2</v>
      </c>
      <c r="I9" s="69" t="n">
        <v>21</v>
      </c>
      <c r="J9" s="69" t="n">
        <v>10.9</v>
      </c>
      <c r="K9" s="69" t="n">
        <v>21</v>
      </c>
      <c r="L9" s="69" t="n">
        <v>10.9</v>
      </c>
      <c r="M9" s="69" t="n">
        <v>18</v>
      </c>
      <c r="N9" s="69" t="n">
        <v>9.300000000000001</v>
      </c>
      <c r="O9" s="69" t="n">
        <v>89</v>
      </c>
      <c r="P9" s="69" t="n">
        <v>11.6</v>
      </c>
    </row>
    <row r="10">
      <c r="A10" t="inlineStr">
        <is>
          <t>Figure Type</t>
        </is>
      </c>
      <c r="F10" s="47" t="inlineStr">
        <is>
          <t>35-44</t>
        </is>
      </c>
      <c r="G10" s="69" t="n">
        <v>43</v>
      </c>
      <c r="H10" s="69" t="n">
        <v>90.09999999999999</v>
      </c>
      <c r="I10" s="69" t="n">
        <v>35</v>
      </c>
      <c r="J10" s="69" t="n">
        <v>71.8</v>
      </c>
      <c r="K10" s="69" t="n">
        <v>31</v>
      </c>
      <c r="L10" s="69" t="n">
        <v>62.3</v>
      </c>
      <c r="M10" s="69" t="n">
        <v>55</v>
      </c>
      <c r="N10" s="69" t="n">
        <v>110.6</v>
      </c>
      <c r="O10" s="69" t="n">
        <v>164</v>
      </c>
      <c r="P10" s="69" t="n">
        <v>83.7</v>
      </c>
    </row>
    <row r="11">
      <c r="A11" t="inlineStr">
        <is>
          <t>X Column</t>
        </is>
      </c>
      <c r="F11" s="47" t="inlineStr">
        <is>
          <t>45-54</t>
        </is>
      </c>
      <c r="G11" s="69" t="n">
        <v>33</v>
      </c>
      <c r="H11" s="69" t="n">
        <v>61.8</v>
      </c>
      <c r="I11" s="69" t="n">
        <v>31</v>
      </c>
      <c r="J11" s="68" t="n">
        <v>59.2</v>
      </c>
      <c r="K11" s="68" t="n">
        <v>30</v>
      </c>
      <c r="L11" s="68" t="n">
        <v>58.2</v>
      </c>
      <c r="M11" s="68" t="n">
        <v>17</v>
      </c>
      <c r="N11" s="68" t="n">
        <v>33</v>
      </c>
      <c r="O11" s="69" t="n">
        <v>111</v>
      </c>
      <c r="P11" s="69" t="n">
        <v>53.1</v>
      </c>
    </row>
    <row r="12">
      <c r="A12" t="inlineStr">
        <is>
          <t>Y Column</t>
        </is>
      </c>
      <c r="F12" s="48" t="inlineStr">
        <is>
          <t>55+</t>
        </is>
      </c>
      <c r="G12" s="68" t="n">
        <v>39</v>
      </c>
      <c r="H12" s="68" t="n">
        <v>36.5</v>
      </c>
      <c r="I12" s="69" t="n">
        <v>55</v>
      </c>
      <c r="J12" s="69" t="n">
        <v>51</v>
      </c>
      <c r="K12" s="69" t="n">
        <v>31</v>
      </c>
      <c r="L12" s="69" t="n">
        <v>28.3</v>
      </c>
      <c r="M12" s="69" t="n">
        <v>23</v>
      </c>
      <c r="N12" s="69" t="n">
        <v>21</v>
      </c>
      <c r="O12" s="69" t="n">
        <v>148</v>
      </c>
      <c r="P12" s="69" t="n">
        <v>34.2</v>
      </c>
    </row>
    <row r="13">
      <c r="A13" t="inlineStr">
        <is>
          <t>X Axis Title</t>
        </is>
      </c>
      <c r="F13" s="16" t="inlineStr">
        <is>
          <t>Gender</t>
        </is>
      </c>
      <c r="G13" s="69" t="n"/>
      <c r="H13" s="69" t="n"/>
      <c r="I13" s="69" t="n"/>
      <c r="J13" s="69" t="n"/>
      <c r="K13" s="69" t="n"/>
      <c r="L13" s="69" t="n"/>
      <c r="M13" s="69" t="n"/>
      <c r="N13" s="69" t="n"/>
      <c r="O13" s="69" t="n"/>
      <c r="P13" s="69" t="n"/>
    </row>
    <row r="14">
      <c r="A14" t="inlineStr">
        <is>
          <t>Y Axis Title</t>
        </is>
      </c>
      <c r="F14" s="47" t="inlineStr">
        <is>
          <t>Males</t>
        </is>
      </c>
      <c r="G14" s="69" t="n">
        <v>96</v>
      </c>
      <c r="H14" s="69" t="n">
        <v>47.9</v>
      </c>
      <c r="I14" s="69" t="n">
        <v>104</v>
      </c>
      <c r="J14" s="69" t="n">
        <v>51.8</v>
      </c>
      <c r="K14" s="69" t="n">
        <v>80</v>
      </c>
      <c r="L14" s="69" t="n">
        <v>39.7</v>
      </c>
      <c r="M14" s="69" t="n">
        <v>53</v>
      </c>
      <c r="N14" s="69" t="n">
        <v>26.3</v>
      </c>
      <c r="O14" s="69" t="n">
        <v>333</v>
      </c>
      <c r="P14" s="69" t="n">
        <v>41.4</v>
      </c>
    </row>
    <row r="15">
      <c r="A15" t="inlineStr">
        <is>
          <t>Start at Zero</t>
        </is>
      </c>
      <c r="F15" s="47" t="inlineStr">
        <is>
          <t>Females</t>
        </is>
      </c>
      <c r="G15" s="69" t="n">
        <v>49</v>
      </c>
      <c r="H15" s="69" t="n">
        <v>24.8</v>
      </c>
      <c r="I15" s="69" t="n">
        <v>38</v>
      </c>
      <c r="J15" s="69" t="n">
        <v>19</v>
      </c>
      <c r="K15" s="69" t="n">
        <v>36</v>
      </c>
      <c r="L15" s="69" t="n">
        <v>17.8</v>
      </c>
      <c r="M15" s="69" t="n">
        <v>22</v>
      </c>
      <c r="N15" s="69" t="n">
        <v>10.9</v>
      </c>
      <c r="O15" s="69" t="n">
        <v>145</v>
      </c>
      <c r="P15" s="69" t="n">
        <v>18.1</v>
      </c>
    </row>
    <row r="16">
      <c r="A16" t="inlineStr">
        <is>
          <t>Pivot For Chart</t>
        </is>
      </c>
    </row>
    <row r="17"/>
    <row r="18">
      <c r="A18" s="71" t="inlineStr">
        <is>
          <t>Source Specifications</t>
        </is>
      </c>
    </row>
    <row r="19">
      <c r="A19" t="inlineStr">
        <is>
          <t>Source</t>
        </is>
      </c>
      <c r="B19" t="inlineStr">
        <is>
          <t>Source: Special request from the Orange County Medical Examiner's Office, March 2025 :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Q57"/>
  <sheetViews>
    <sheetView workbookViewId="0">
      <selection activeCell="F27" sqref="F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2021</v>
      </c>
      <c r="H5" t="n">
        <v>2022</v>
      </c>
      <c r="I5" t="n">
        <v>2023</v>
      </c>
      <c r="J5" t="n">
        <v>2024</v>
      </c>
    </row>
    <row r="6" ht="15" customHeight="1" s="91">
      <c r="A6" t="inlineStr">
        <is>
          <t>Multilevel Headers</t>
        </is>
      </c>
      <c r="B6" t="b">
        <v>0</v>
      </c>
      <c r="F6" t="inlineStr">
        <is>
          <t>Orange County</t>
        </is>
      </c>
      <c r="G6" s="69" t="n">
        <v>36.7</v>
      </c>
      <c r="H6" s="69" t="n">
        <v>35.6</v>
      </c>
      <c r="I6" s="69" t="n">
        <v>28.7</v>
      </c>
      <c r="J6" s="69" t="n">
        <v>19.3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t>
        </is>
      </c>
      <c r="G5" t="n">
        <v>2021</v>
      </c>
      <c r="H5" t="n">
        <v>2022</v>
      </c>
      <c r="I5" t="n">
        <v>2023</v>
      </c>
      <c r="J5" t="n">
        <v>2024</v>
      </c>
    </row>
    <row r="6" ht="15" customHeight="1" s="91">
      <c r="A6" t="inlineStr">
        <is>
          <t>Multilevel Headers</t>
        </is>
      </c>
      <c r="B6" t="b">
        <v>0</v>
      </c>
      <c r="F6" t="inlineStr">
        <is>
          <t>&lt;35</t>
        </is>
      </c>
      <c r="G6" s="69" t="n">
        <v>15.2</v>
      </c>
      <c r="H6" s="69" t="n">
        <v>10.9</v>
      </c>
      <c r="I6" s="69" t="n">
        <v>10.9</v>
      </c>
      <c r="J6" s="69" t="n">
        <v>9.300000000000001</v>
      </c>
      <c r="K6" s="69" t="n"/>
      <c r="L6" s="69" t="n"/>
      <c r="M6" s="69" t="n"/>
      <c r="N6" s="69" t="n"/>
      <c r="O6" s="69" t="n"/>
    </row>
    <row r="7" ht="15.75" customHeight="1" s="91">
      <c r="F7" t="inlineStr">
        <is>
          <t>35-44</t>
        </is>
      </c>
      <c r="G7" s="69" t="n">
        <v>90.09999999999999</v>
      </c>
      <c r="H7" s="69" t="n">
        <v>71.8</v>
      </c>
      <c r="I7" s="69" t="n">
        <v>62.3</v>
      </c>
      <c r="J7" s="69" t="n">
        <v>110.6</v>
      </c>
      <c r="K7" s="69" t="n"/>
      <c r="L7" s="69" t="n"/>
      <c r="M7" s="69" t="n"/>
      <c r="N7" s="69" t="n"/>
      <c r="O7" s="69" t="n"/>
    </row>
    <row r="8">
      <c r="F8" t="inlineStr">
        <is>
          <t>45-54</t>
        </is>
      </c>
      <c r="G8" s="69" t="n">
        <v>61.8</v>
      </c>
      <c r="H8" s="69" t="n">
        <v>59.2</v>
      </c>
      <c r="I8" s="69" t="n">
        <v>58.2</v>
      </c>
      <c r="J8" s="69" t="n">
        <v>33</v>
      </c>
      <c r="K8" s="69" t="n"/>
      <c r="L8" s="69" t="n"/>
      <c r="M8" s="69" t="n"/>
      <c r="N8" s="69" t="n"/>
      <c r="O8" s="69" t="n"/>
    </row>
    <row r="9">
      <c r="A9" s="71" t="inlineStr">
        <is>
          <t>Figure Rules</t>
        </is>
      </c>
      <c r="F9" t="inlineStr">
        <is>
          <t>55+</t>
        </is>
      </c>
      <c r="G9" s="69" t="n">
        <v>36.5</v>
      </c>
      <c r="H9" s="69" t="n">
        <v>51</v>
      </c>
      <c r="I9" s="69" t="n">
        <v>28.3</v>
      </c>
      <c r="J9" s="69" t="n">
        <v>21</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Age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Q57"/>
  <sheetViews>
    <sheetView workbookViewId="0">
      <selection activeCell="J15" activeCellId="1" sqref="C14 J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2021</v>
      </c>
      <c r="H5" t="n">
        <v>2022</v>
      </c>
      <c r="I5" t="n">
        <v>2023</v>
      </c>
      <c r="J5" t="n">
        <v>2024</v>
      </c>
    </row>
    <row r="6" ht="15" customHeight="1" s="91">
      <c r="A6" t="inlineStr">
        <is>
          <t>Multilevel Headers</t>
        </is>
      </c>
      <c r="B6" t="b">
        <v>0</v>
      </c>
      <c r="F6" t="inlineStr">
        <is>
          <t>Males</t>
        </is>
      </c>
      <c r="G6" s="69" t="n">
        <v>47.9</v>
      </c>
      <c r="H6" s="69" t="n">
        <v>51.8</v>
      </c>
      <c r="I6" s="69" t="n">
        <v>39.7</v>
      </c>
      <c r="J6" s="69" t="n">
        <v>26.3</v>
      </c>
      <c r="K6" s="69" t="n"/>
      <c r="L6" s="69" t="n"/>
      <c r="M6" s="69" t="n"/>
      <c r="N6" s="69" t="n"/>
      <c r="O6" s="69" t="n"/>
    </row>
    <row r="7" ht="15.75" customHeight="1" s="91">
      <c r="F7" t="inlineStr">
        <is>
          <t>Females</t>
        </is>
      </c>
      <c r="G7" s="69" t="n">
        <v>24.8</v>
      </c>
      <c r="H7" s="69" t="n">
        <v>19</v>
      </c>
      <c r="I7" s="69" t="n">
        <v>17.8</v>
      </c>
      <c r="J7" s="69" t="n">
        <v>10.9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Binge Drinking During the Past Month,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17.5</v>
      </c>
      <c r="H6" s="69" t="n">
        <v>15.7</v>
      </c>
      <c r="I6" s="69" t="n">
        <v>21.7</v>
      </c>
      <c r="J6" s="69" t="n">
        <v>11</v>
      </c>
      <c r="K6" s="69" t="n">
        <v>15.7</v>
      </c>
      <c r="L6" s="69" t="n">
        <v>22.2</v>
      </c>
      <c r="M6" s="69" t="n">
        <v>20.7</v>
      </c>
      <c r="N6" s="69" t="n">
        <v>18.1</v>
      </c>
      <c r="O6" s="69" t="n">
        <v>19.1</v>
      </c>
      <c r="P6" t="n">
        <v>18.3</v>
      </c>
    </row>
    <row r="7" ht="15.75" customHeight="1" s="91">
      <c r="F7" t="n">
        <v>2018</v>
      </c>
      <c r="G7" s="69" t="n">
        <v>20.7</v>
      </c>
      <c r="H7" s="69" t="n">
        <v>16.1</v>
      </c>
      <c r="I7" s="69" t="n">
        <v>14.1</v>
      </c>
      <c r="J7" s="69" t="n">
        <v>12.6</v>
      </c>
      <c r="K7" s="69" t="n">
        <v>22.1</v>
      </c>
      <c r="L7" s="69" t="n">
        <v>18.5</v>
      </c>
      <c r="M7" s="69" t="n">
        <v>16.7</v>
      </c>
      <c r="N7" s="69" t="n">
        <v>16.1</v>
      </c>
      <c r="O7" s="69" t="n">
        <v>18.4</v>
      </c>
      <c r="P7" t="n">
        <v>17.5</v>
      </c>
    </row>
    <row r="8">
      <c r="F8" t="n">
        <v>2021</v>
      </c>
      <c r="G8" s="69" t="n">
        <v>15.1</v>
      </c>
      <c r="H8" s="69" t="n">
        <v>13.8</v>
      </c>
      <c r="I8" s="69" t="n">
        <v>18.7</v>
      </c>
      <c r="J8" s="69" t="n">
        <v>12.2</v>
      </c>
      <c r="K8" s="69" t="n">
        <v>17.8</v>
      </c>
      <c r="L8" s="69" t="n">
        <v>13.9</v>
      </c>
      <c r="M8" s="69" t="n">
        <v>13</v>
      </c>
      <c r="N8" s="69" t="n">
        <v>13.1</v>
      </c>
      <c r="O8" s="69" t="n">
        <v>16.1</v>
      </c>
      <c r="P8" t="n">
        <v>16</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Related Motor Vehicle Injuries and Deaths,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39.6</v>
      </c>
      <c r="H6" s="69" t="n">
        <v>34.9</v>
      </c>
      <c r="I6" s="69" t="n">
        <v>34.2</v>
      </c>
      <c r="J6" s="69" t="n">
        <v>34.4</v>
      </c>
      <c r="K6" s="69" t="n">
        <v>38.7</v>
      </c>
      <c r="L6" s="69" t="n"/>
      <c r="M6" s="69" t="n"/>
      <c r="N6" s="69" t="n"/>
      <c r="O6" s="69" t="n"/>
    </row>
    <row r="7" ht="15.75" customHeight="1" s="91">
      <c r="F7" t="inlineStr">
        <is>
          <t>Mid-Hudson</t>
        </is>
      </c>
      <c r="G7" s="69" t="n">
        <v>33</v>
      </c>
      <c r="H7" s="69" t="n">
        <v>34.2</v>
      </c>
      <c r="I7" s="69" t="n">
        <v>32.6</v>
      </c>
      <c r="J7" s="69" t="n">
        <v>26.9</v>
      </c>
      <c r="K7" s="69" t="n">
        <v>28.7</v>
      </c>
      <c r="L7" s="69" t="n"/>
      <c r="M7" s="69" t="n"/>
      <c r="N7" s="69" t="n"/>
      <c r="O7" s="69" t="n"/>
    </row>
    <row r="8">
      <c r="F8" t="inlineStr">
        <is>
          <t>NYS excl NYC</t>
        </is>
      </c>
      <c r="G8" s="69" t="n">
        <v>35.5</v>
      </c>
      <c r="H8" s="69" t="n">
        <v>35.1</v>
      </c>
      <c r="I8" s="69" t="n">
        <v>33.5</v>
      </c>
      <c r="J8" s="69" t="n">
        <v>28.6</v>
      </c>
      <c r="K8" s="69" t="n">
        <v>31.4</v>
      </c>
      <c r="L8" s="69" t="n"/>
      <c r="M8" s="69" t="n"/>
      <c r="N8" s="69" t="n"/>
      <c r="O8" s="69" t="n"/>
    </row>
    <row r="9">
      <c r="A9" s="71" t="inlineStr">
        <is>
          <t>Figure Rules</t>
        </is>
      </c>
      <c r="F9" t="inlineStr">
        <is>
          <t>NYS</t>
        </is>
      </c>
      <c r="G9" s="69" t="n">
        <v>30.1</v>
      </c>
      <c r="H9" s="69" t="n">
        <v>28.8</v>
      </c>
      <c r="I9" s="69" t="n">
        <v>27.6</v>
      </c>
      <c r="J9" s="69" t="n">
        <v>23</v>
      </c>
      <c r="K9" s="69" t="n">
        <v>25.4</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row>
    <row r="20">
      <c r="F20" s="69" t="n"/>
      <c r="G20" s="69" t="n"/>
      <c r="H20" s="69" t="n"/>
    </row>
    <row r="21">
      <c r="A21" s="69" t="inlineStr">
        <is>
          <t>Note Specfications</t>
        </is>
      </c>
      <c r="F21" s="69" t="n"/>
      <c r="G21" s="69" t="n"/>
      <c r="H21" s="69" t="n"/>
    </row>
    <row r="22">
      <c r="A22" t="inlineStr">
        <is>
          <t xml:space="preserve">Note </t>
        </is>
      </c>
      <c r="B22"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81.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Sources of Access to Alcohol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If you drank alcohol (more than a sip or taste) in the past year, how did you usually get it?</t>
        </is>
      </c>
      <c r="G5" s="69" t="inlineStr">
        <is>
          <t>Percent</t>
        </is>
      </c>
    </row>
    <row r="6" ht="15" customHeight="1" s="91">
      <c r="A6" t="inlineStr">
        <is>
          <t>Multilevel Headers</t>
        </is>
      </c>
      <c r="B6" t="b">
        <v>1</v>
      </c>
      <c r="G6" s="69" t="inlineStr">
        <is>
          <t>8th</t>
        </is>
      </c>
      <c r="H6" s="69" t="inlineStr">
        <is>
          <t>10th</t>
        </is>
      </c>
      <c r="I6" s="69" t="inlineStr">
        <is>
          <t>11th</t>
        </is>
      </c>
      <c r="J6" s="69" t="inlineStr">
        <is>
          <t>12th</t>
        </is>
      </c>
      <c r="K6" s="69" t="inlineStr">
        <is>
          <t>Total</t>
        </is>
      </c>
      <c r="L6" s="69" t="n"/>
      <c r="M6" s="69" t="n"/>
      <c r="N6" s="69" t="n"/>
      <c r="O6" s="69" t="n"/>
    </row>
    <row r="7" ht="15.75" customHeight="1" s="91">
      <c r="F7" s="16" t="inlineStr">
        <is>
          <t>I did not drink alcohol in the past year</t>
        </is>
      </c>
      <c r="G7" s="69" t="n">
        <v>84</v>
      </c>
      <c r="H7" s="69" t="n">
        <v>70.5</v>
      </c>
      <c r="I7" s="69" t="n">
        <v>83.7</v>
      </c>
      <c r="J7" s="69" t="n">
        <v>53.1</v>
      </c>
      <c r="K7" s="69" t="n">
        <v>73.59999999999999</v>
      </c>
      <c r="L7" s="69" t="n"/>
      <c r="M7" s="69" t="n"/>
      <c r="N7" s="69" t="n"/>
      <c r="O7" s="69" t="n"/>
    </row>
    <row r="8">
      <c r="F8" s="78" t="inlineStr">
        <is>
          <t>Sources of alcohol for those who used (more than one response allowed)</t>
        </is>
      </c>
      <c r="L8" s="69" t="n"/>
      <c r="M8" s="69" t="n"/>
      <c r="N8" s="69" t="n"/>
      <c r="O8" s="69" t="n"/>
    </row>
    <row r="9">
      <c r="A9" s="71" t="inlineStr">
        <is>
          <t>Figure Rules</t>
        </is>
      </c>
      <c r="F9" s="47" t="inlineStr">
        <is>
          <t>I got it from home without my parents' permission</t>
        </is>
      </c>
      <c r="G9" s="69" t="n">
        <v>25</v>
      </c>
      <c r="H9" s="69" t="n">
        <v>22</v>
      </c>
      <c r="I9" s="69" t="n">
        <v>25.6</v>
      </c>
      <c r="J9" s="69" t="n">
        <v>18.4</v>
      </c>
      <c r="K9" s="69" t="n">
        <v>21.6</v>
      </c>
      <c r="L9" s="69" t="n"/>
      <c r="M9" s="69" t="n"/>
      <c r="N9" s="69" t="n"/>
      <c r="O9" s="69" t="n"/>
    </row>
    <row r="10">
      <c r="A10" t="inlineStr">
        <is>
          <t>Figure Type</t>
        </is>
      </c>
      <c r="F10" s="47" t="inlineStr">
        <is>
          <t>I got it from home with my parents' permission</t>
        </is>
      </c>
      <c r="G10" s="69" t="n">
        <v>53.9</v>
      </c>
      <c r="H10" s="69" t="n">
        <v>41.1</v>
      </c>
      <c r="I10" s="69" t="n">
        <v>37.2</v>
      </c>
      <c r="J10" s="69" t="n">
        <v>46</v>
      </c>
      <c r="K10" s="69" t="n">
        <v>45.7</v>
      </c>
    </row>
    <row r="11">
      <c r="A11" t="inlineStr">
        <is>
          <t>X Column</t>
        </is>
      </c>
      <c r="F11" s="47" t="inlineStr">
        <is>
          <t>I got it from someone I know under age 21</t>
        </is>
      </c>
      <c r="G11" s="69" t="n">
        <v>17.2</v>
      </c>
      <c r="H11" s="69" t="n">
        <v>25.6</v>
      </c>
      <c r="I11" s="69" t="n">
        <v>32.6</v>
      </c>
      <c r="J11" s="68" t="n">
        <v>33.8</v>
      </c>
      <c r="K11" s="68" t="n">
        <v>27</v>
      </c>
      <c r="L11" s="68" t="n"/>
      <c r="M11" s="68" t="n"/>
      <c r="N11" s="68" t="n"/>
    </row>
    <row r="12">
      <c r="A12" t="inlineStr">
        <is>
          <t>Y Column</t>
        </is>
      </c>
      <c r="F12" s="48" t="inlineStr">
        <is>
          <t>I got it from someone I know age 21 or older</t>
        </is>
      </c>
      <c r="G12" s="68" t="n">
        <v>24.4</v>
      </c>
      <c r="H12" s="68" t="n">
        <v>23.6</v>
      </c>
      <c r="I12" s="69" t="n">
        <v>25.6</v>
      </c>
      <c r="J12" s="69" t="n">
        <v>29.4</v>
      </c>
      <c r="K12" s="69" t="n">
        <v>26</v>
      </c>
      <c r="L12" s="69" t="n"/>
    </row>
    <row r="13">
      <c r="A13" t="inlineStr">
        <is>
          <t>X Axis Title</t>
        </is>
      </c>
      <c r="F13" s="47" t="inlineStr">
        <is>
          <t>I got it at a party</t>
        </is>
      </c>
      <c r="G13" s="69" t="n">
        <v>21.7</v>
      </c>
      <c r="H13" s="69" t="n">
        <v>37.8</v>
      </c>
      <c r="I13" s="69" t="n">
        <v>48.8</v>
      </c>
      <c r="J13" s="69" t="n">
        <v>51.8</v>
      </c>
      <c r="K13" s="69" t="n">
        <v>39.7</v>
      </c>
    </row>
    <row r="14">
      <c r="A14" t="inlineStr">
        <is>
          <t>Y Axis Title</t>
        </is>
      </c>
      <c r="F14" s="47" t="inlineStr">
        <is>
          <t>I got it at a local festival or community event</t>
        </is>
      </c>
      <c r="G14" s="69" t="n">
        <v>7.2</v>
      </c>
      <c r="H14" s="69" t="n">
        <v>6.1</v>
      </c>
      <c r="I14" s="69" t="n">
        <v>4.7</v>
      </c>
      <c r="J14" s="69" t="n">
        <v>4.8</v>
      </c>
      <c r="K14" s="69" t="n">
        <v>5.8</v>
      </c>
    </row>
    <row r="15">
      <c r="A15" t="inlineStr">
        <is>
          <t>Start at Zero</t>
        </is>
      </c>
      <c r="F15" s="47" t="inlineStr">
        <is>
          <t>I got it from my brother or sister</t>
        </is>
      </c>
      <c r="G15" s="69" t="n">
        <v>11.7</v>
      </c>
      <c r="H15" s="69" t="n">
        <v>14.2</v>
      </c>
      <c r="I15" s="69" t="n">
        <v>9.300000000000001</v>
      </c>
      <c r="J15" s="69" t="n">
        <v>15.8</v>
      </c>
      <c r="K15" s="69" t="n">
        <v>13.9</v>
      </c>
    </row>
    <row r="16">
      <c r="A16" t="inlineStr">
        <is>
          <t>Pivot For Chart</t>
        </is>
      </c>
      <c r="F16" s="47" t="inlineStr">
        <is>
          <t>I got it from another relative</t>
        </is>
      </c>
      <c r="G16" s="69" t="n">
        <v>16.7</v>
      </c>
      <c r="H16" s="69" t="n">
        <v>18.3</v>
      </c>
      <c r="I16" s="69" t="n">
        <v>7</v>
      </c>
      <c r="J16" s="69" t="n">
        <v>12.9</v>
      </c>
      <c r="K16" s="69" t="n">
        <v>15.2</v>
      </c>
    </row>
    <row r="17">
      <c r="F17" s="47" t="inlineStr">
        <is>
          <t>I bought it myself with a fake ID</t>
        </is>
      </c>
      <c r="G17" s="69" t="n">
        <v>1.1</v>
      </c>
      <c r="H17" s="69" t="n">
        <v>1.6</v>
      </c>
      <c r="I17" s="69" t="n">
        <v>0</v>
      </c>
      <c r="J17" s="69" t="n">
        <v>3.3</v>
      </c>
      <c r="K17" s="69" t="n">
        <v>2</v>
      </c>
    </row>
    <row r="18">
      <c r="A18" s="71" t="inlineStr">
        <is>
          <t>Source Specifications</t>
        </is>
      </c>
      <c r="F18" s="47" t="inlineStr">
        <is>
          <t>I bought it myself without a fake ID</t>
        </is>
      </c>
      <c r="G18" s="69" t="n">
        <v>1.1</v>
      </c>
      <c r="H18" s="69" t="n">
        <v>1.6</v>
      </c>
      <c r="I18" s="69" t="n">
        <v>4.7</v>
      </c>
      <c r="J18" s="69" t="n">
        <v>5.5</v>
      </c>
      <c r="K18" s="69" t="n">
        <v>3.1</v>
      </c>
    </row>
    <row r="19">
      <c r="A19" t="inlineStr">
        <is>
          <t>Source</t>
        </is>
      </c>
      <c r="B19" t="inlineStr">
        <is>
          <t>Source: Community-Level Youth Development Evaluation Survey, Orange County, NY, October 2025</t>
        </is>
      </c>
      <c r="F19" s="47" t="inlineStr">
        <is>
          <t>A stranger bought it for me</t>
        </is>
      </c>
      <c r="G19" s="69" t="n">
        <v>1.7</v>
      </c>
      <c r="H19" s="69" t="n">
        <v>2.4</v>
      </c>
      <c r="I19" s="69" t="n">
        <v>4.7</v>
      </c>
      <c r="J19" s="69" t="n">
        <v>1.5</v>
      </c>
      <c r="K19" s="69" t="n">
        <v>2</v>
      </c>
    </row>
    <row r="20">
      <c r="F20" s="47" t="inlineStr">
        <is>
          <t>I took it from a store or shop</t>
        </is>
      </c>
      <c r="G20" s="69" t="n">
        <v>1.7</v>
      </c>
      <c r="H20" s="69" t="n">
        <v>2.8</v>
      </c>
      <c r="I20" s="69" t="n">
        <v>2.3</v>
      </c>
      <c r="J20" s="69" t="n">
        <v>1.1</v>
      </c>
      <c r="K20" s="69" t="n">
        <v>1.9</v>
      </c>
    </row>
    <row r="21">
      <c r="A21" s="69" t="inlineStr">
        <is>
          <t>Note Specfications</t>
        </is>
      </c>
      <c r="F21" s="47" t="inlineStr">
        <is>
          <t>I got it at work</t>
        </is>
      </c>
      <c r="G21" s="69" t="n">
        <v>0.6</v>
      </c>
      <c r="H21" s="69" t="n">
        <v>1.6</v>
      </c>
      <c r="I21" s="69" t="n">
        <v>2.3</v>
      </c>
      <c r="J21" s="69" t="n">
        <v>1.5</v>
      </c>
      <c r="K21" s="69" t="n">
        <v>1.3</v>
      </c>
    </row>
    <row r="22">
      <c r="A22" t="inlineStr">
        <is>
          <t xml:space="preserve">Note </t>
        </is>
      </c>
      <c r="B22" t="inlineStr">
        <is>
          <t>Note: For those who used, more than one response was allowed so totals may not equal 100%.</t>
        </is>
      </c>
      <c r="F22" s="47" t="inlineStr">
        <is>
          <t>I bought it over the internet</t>
        </is>
      </c>
      <c r="G22" s="69" t="n">
        <v>1.1</v>
      </c>
      <c r="H22" s="69" t="n">
        <v>2</v>
      </c>
      <c r="I22" s="69" t="n">
        <v>0</v>
      </c>
      <c r="J22" s="69" t="n">
        <v>0.7</v>
      </c>
      <c r="K22" s="69" t="n">
        <v>1.2</v>
      </c>
    </row>
    <row r="23">
      <c r="F23" s="47" t="inlineStr">
        <is>
          <t>Other</t>
        </is>
      </c>
      <c r="G23" s="69" t="n">
        <v>17.8</v>
      </c>
      <c r="H23" s="69" t="n">
        <v>12.2</v>
      </c>
      <c r="I23" s="69" t="n">
        <v>16.3</v>
      </c>
      <c r="J23" s="69" t="n">
        <v>10.3</v>
      </c>
      <c r="K23" s="69" t="n">
        <v>13.1</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A9:B9"/>
    <mergeCell ref="A5:B5"/>
    <mergeCell ref="G5:K5"/>
    <mergeCell ref="F8:K8"/>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Q57"/>
  <sheetViews>
    <sheetView workbookViewId="0">
      <selection activeCell="J26" sqref="J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Current Smokers,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16.4</v>
      </c>
      <c r="H6" s="69" t="n">
        <v>13.2</v>
      </c>
      <c r="I6" s="69" t="n">
        <v>18.3</v>
      </c>
      <c r="J6" s="69" t="n">
        <v>6.6</v>
      </c>
      <c r="K6" s="69" t="n">
        <v>20.1</v>
      </c>
      <c r="L6" s="69" t="n">
        <v>15.6</v>
      </c>
      <c r="M6" s="69" t="n">
        <v>9.4</v>
      </c>
      <c r="N6" s="69" t="n">
        <v>11.7</v>
      </c>
      <c r="O6" s="69" t="n">
        <v>17</v>
      </c>
      <c r="P6" t="n">
        <v>14.5</v>
      </c>
    </row>
    <row r="7" ht="15.75" customHeight="1" s="91">
      <c r="F7" t="n">
        <v>2018</v>
      </c>
      <c r="G7" s="69" t="n">
        <v>12.2</v>
      </c>
      <c r="H7" s="69" t="n">
        <v>11.7</v>
      </c>
      <c r="I7" s="69" t="inlineStr">
        <is>
          <t>9.0*</t>
        </is>
      </c>
      <c r="J7" s="69" t="n">
        <v>7.6</v>
      </c>
      <c r="K7" s="69" t="n">
        <v>21.6</v>
      </c>
      <c r="L7" s="69" t="n">
        <v>14.7</v>
      </c>
      <c r="M7" s="69" t="n">
        <v>7.4</v>
      </c>
      <c r="N7" s="69" t="n">
        <v>10.2</v>
      </c>
      <c r="O7" s="69" t="n">
        <v>14.7</v>
      </c>
      <c r="P7" t="n">
        <v>13.2</v>
      </c>
    </row>
    <row r="8">
      <c r="F8" t="n">
        <v>2021</v>
      </c>
      <c r="G8" s="69" t="n">
        <v>17.4</v>
      </c>
      <c r="H8" s="69" t="n">
        <v>12</v>
      </c>
      <c r="I8" s="69" t="n">
        <v>16.7</v>
      </c>
      <c r="J8" s="69" t="n">
        <v>14</v>
      </c>
      <c r="K8" s="69" t="n">
        <v>13.3</v>
      </c>
      <c r="L8" s="69" t="n">
        <v>12.7</v>
      </c>
      <c r="M8" s="69" t="n">
        <v>6.3</v>
      </c>
      <c r="N8" s="69" t="n">
        <v>11.1</v>
      </c>
      <c r="O8" s="69" t="n">
        <v>14.1</v>
      </c>
      <c r="P8" t="n">
        <v>12.5</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May 2025 https://www.health.ny.gov/statistics/brfss/expanded/</t>
        </is>
      </c>
    </row>
    <row r="20">
      <c r="F20" s="69" t="n"/>
      <c r="G20" s="69" t="n"/>
      <c r="H20" s="69" t="n"/>
    </row>
    <row r="21">
      <c r="A21" s="69" t="inlineStr">
        <is>
          <t>Note Specfications</t>
        </is>
      </c>
      <c r="F21" s="69" t="n"/>
      <c r="G21" s="69" t="n"/>
      <c r="H21" s="69" t="n"/>
    </row>
    <row r="22">
      <c r="A22" t="inlineStr">
        <is>
          <t xml:space="preserve">Note </t>
        </is>
      </c>
      <c r="B22" t="inlineStr">
        <is>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70.09999999999999</v>
      </c>
      <c r="H6" s="69" t="n">
        <v>68.40000000000001</v>
      </c>
      <c r="I6" s="69" t="n">
        <v>58.7</v>
      </c>
      <c r="J6" s="69" t="n">
        <v>26.6</v>
      </c>
      <c r="K6" s="69" t="n">
        <v>42</v>
      </c>
      <c r="L6" s="69" t="n"/>
      <c r="M6" s="69" t="n"/>
      <c r="N6" s="69" t="n"/>
      <c r="O6" s="69" t="n"/>
    </row>
    <row r="7" ht="15.75" customHeight="1" s="91">
      <c r="F7" t="inlineStr">
        <is>
          <t>NYS excl NYC</t>
        </is>
      </c>
      <c r="G7" s="69" t="n">
        <v>70.59999999999999</v>
      </c>
      <c r="H7" s="69" t="n">
        <v>65.7</v>
      </c>
      <c r="I7" s="69" t="n">
        <v>75.5</v>
      </c>
      <c r="J7" s="69" t="n">
        <v>26.9</v>
      </c>
      <c r="K7" s="69" t="n">
        <v>48.1</v>
      </c>
      <c r="L7" s="69" t="n"/>
      <c r="M7" s="69" t="n"/>
      <c r="N7" s="69" t="n"/>
      <c r="O7" s="69" t="n"/>
    </row>
    <row r="8">
      <c r="F8" t="inlineStr">
        <is>
          <t>NYS</t>
        </is>
      </c>
      <c r="G8" s="69" t="n">
        <v>68.40000000000001</v>
      </c>
      <c r="H8" s="69" t="n">
        <v>61.2</v>
      </c>
      <c r="I8" s="69" t="n">
        <v>64.09999999999999</v>
      </c>
      <c r="J8" s="69" t="n">
        <v>26.3</v>
      </c>
      <c r="K8" s="69" t="n">
        <v>54.5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F5" s="68" t="inlineStr">
        <is>
          <t>Unintentional Injury</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78" t="inlineStr">
        <is>
          <t>Orange County Total</t>
        </is>
      </c>
      <c r="G7" s="69" t="n">
        <v>182</v>
      </c>
      <c r="H7" s="69" t="n">
        <v>47.6</v>
      </c>
      <c r="I7" s="69" t="n">
        <v>204</v>
      </c>
      <c r="J7" s="69" t="n">
        <v>51.2</v>
      </c>
      <c r="K7" s="69" t="n">
        <v>246</v>
      </c>
      <c r="L7" s="69" t="n">
        <v>61.3</v>
      </c>
      <c r="M7" s="69" t="n">
        <v>184</v>
      </c>
      <c r="N7" s="69" t="n">
        <v>45.6</v>
      </c>
      <c r="O7" s="69" t="n">
        <v>816</v>
      </c>
      <c r="P7" s="69" t="n">
        <v>51.4</v>
      </c>
    </row>
    <row r="8">
      <c r="F8" s="78" t="inlineStr">
        <is>
          <t>Age Intervals</t>
        </is>
      </c>
      <c r="G8" s="69" t="n"/>
      <c r="H8" s="69" t="n"/>
      <c r="I8" s="69" t="n"/>
      <c r="J8" s="69" t="n"/>
      <c r="K8" s="69" t="n"/>
      <c r="L8" s="69" t="n"/>
      <c r="M8" s="69" t="n"/>
      <c r="N8" s="69" t="n"/>
      <c r="O8" s="69" t="n"/>
      <c r="P8" s="69" t="n"/>
    </row>
    <row r="9">
      <c r="A9" s="71" t="inlineStr">
        <is>
          <t>Figure Rules</t>
        </is>
      </c>
      <c r="F9" s="47" t="inlineStr">
        <is>
          <t>&lt;19</t>
        </is>
      </c>
      <c r="G9" s="69" t="inlineStr">
        <is>
          <t>s</t>
        </is>
      </c>
      <c r="H9" s="69" t="inlineStr">
        <is>
          <t>s</t>
        </is>
      </c>
      <c r="I9" s="69" t="inlineStr">
        <is>
          <t>s</t>
        </is>
      </c>
      <c r="J9" s="69" t="inlineStr">
        <is>
          <t>s</t>
        </is>
      </c>
      <c r="K9" s="69" t="inlineStr">
        <is>
          <t>s</t>
        </is>
      </c>
      <c r="L9" s="69" t="inlineStr">
        <is>
          <t>s</t>
        </is>
      </c>
      <c r="M9" s="69" t="inlineStr">
        <is>
          <t>s</t>
        </is>
      </c>
      <c r="N9" s="69" t="inlineStr">
        <is>
          <t>s</t>
        </is>
      </c>
      <c r="O9" s="69" t="inlineStr">
        <is>
          <t>s</t>
        </is>
      </c>
      <c r="P9" s="69" t="inlineStr">
        <is>
          <t>s</t>
        </is>
      </c>
    </row>
    <row r="10">
      <c r="A10" t="inlineStr">
        <is>
          <t>Figure Type</t>
        </is>
      </c>
      <c r="F10" s="47" t="inlineStr">
        <is>
          <t>20-24</t>
        </is>
      </c>
      <c r="G10" s="69" t="n">
        <v>13</v>
      </c>
      <c r="H10" s="69" t="n">
        <v>45.6</v>
      </c>
      <c r="I10" s="69" t="inlineStr">
        <is>
          <t>s</t>
        </is>
      </c>
      <c r="J10" s="69" t="inlineStr">
        <is>
          <t>s</t>
        </is>
      </c>
      <c r="K10" s="69" t="n">
        <v>15</v>
      </c>
      <c r="L10" s="69" t="n">
        <v>50.6</v>
      </c>
      <c r="M10" s="69" t="inlineStr">
        <is>
          <t>s</t>
        </is>
      </c>
      <c r="N10" s="69" t="inlineStr">
        <is>
          <t>s</t>
        </is>
      </c>
      <c r="O10" s="69" t="n">
        <v>41</v>
      </c>
      <c r="P10" s="69" t="n">
        <v>35.2</v>
      </c>
    </row>
    <row r="11">
      <c r="A11" t="inlineStr">
        <is>
          <t>X Column</t>
        </is>
      </c>
      <c r="F11" s="47" t="inlineStr">
        <is>
          <t>25-34</t>
        </is>
      </c>
      <c r="G11" s="69" t="n">
        <v>40</v>
      </c>
      <c r="H11" s="69" t="n">
        <v>89.09999999999999</v>
      </c>
      <c r="I11" s="69" t="n">
        <v>34</v>
      </c>
      <c r="J11" s="69" t="n">
        <v>73</v>
      </c>
      <c r="K11" s="69" t="n">
        <v>22</v>
      </c>
      <c r="L11" s="69" t="n">
        <v>46.4</v>
      </c>
      <c r="M11" s="69" t="n">
        <v>24</v>
      </c>
      <c r="N11" s="69" t="n">
        <v>50.1</v>
      </c>
      <c r="O11" s="69" t="n">
        <v>120</v>
      </c>
      <c r="P11" s="69" t="n">
        <v>64.59999999999999</v>
      </c>
    </row>
    <row r="12">
      <c r="A12" t="inlineStr">
        <is>
          <t>Y Column</t>
        </is>
      </c>
      <c r="F12" s="47" t="inlineStr">
        <is>
          <t>35-44</t>
        </is>
      </c>
      <c r="G12" s="69" t="n">
        <v>34</v>
      </c>
      <c r="H12" s="69" t="n">
        <v>75.2</v>
      </c>
      <c r="I12" s="69" t="n">
        <v>47</v>
      </c>
      <c r="J12" s="68" t="n">
        <v>98.5</v>
      </c>
      <c r="K12" s="68" t="n">
        <v>44</v>
      </c>
      <c r="L12" s="68" t="n">
        <v>90.3</v>
      </c>
      <c r="M12" s="68" t="n">
        <v>43</v>
      </c>
      <c r="N12" s="68" t="n">
        <v>86.40000000000001</v>
      </c>
      <c r="O12" s="69" t="n">
        <v>168</v>
      </c>
      <c r="P12" s="69" t="n">
        <v>87.59999999999999</v>
      </c>
    </row>
    <row r="13">
      <c r="A13" t="inlineStr">
        <is>
          <t>X Axis Title</t>
        </is>
      </c>
      <c r="F13" s="48" t="inlineStr">
        <is>
          <t>45-54</t>
        </is>
      </c>
      <c r="G13" s="68" t="n">
        <v>29</v>
      </c>
      <c r="H13" s="68" t="n">
        <v>55.4</v>
      </c>
      <c r="I13" s="69" t="n">
        <v>39</v>
      </c>
      <c r="J13" s="69" t="n">
        <v>73.09999999999999</v>
      </c>
      <c r="K13" s="69" t="n">
        <v>40</v>
      </c>
      <c r="L13" s="69" t="n">
        <v>76.40000000000001</v>
      </c>
      <c r="M13" s="69" t="n">
        <v>31</v>
      </c>
      <c r="N13" s="69" t="n">
        <v>60.2</v>
      </c>
      <c r="O13" s="69" t="n">
        <v>139</v>
      </c>
      <c r="P13" s="69" t="n">
        <v>66.3</v>
      </c>
    </row>
    <row r="14">
      <c r="A14" t="inlineStr">
        <is>
          <t>Y Axis Title</t>
        </is>
      </c>
      <c r="F14" s="47" t="inlineStr">
        <is>
          <t>55-64</t>
        </is>
      </c>
      <c r="G14" s="69" t="n">
        <v>22</v>
      </c>
      <c r="H14" s="69" t="n">
        <v>45.2</v>
      </c>
      <c r="I14" s="69" t="n">
        <v>27</v>
      </c>
      <c r="J14" s="69" t="n">
        <v>52.5</v>
      </c>
      <c r="K14" s="69" t="n">
        <v>48</v>
      </c>
      <c r="L14" s="69" t="n">
        <v>93.8</v>
      </c>
      <c r="M14" s="69" t="n">
        <v>30</v>
      </c>
      <c r="N14" s="69" t="n">
        <v>58.2</v>
      </c>
      <c r="O14" s="69" t="n">
        <v>127</v>
      </c>
      <c r="P14" s="69" t="n">
        <v>62.4</v>
      </c>
    </row>
    <row r="15">
      <c r="A15" t="inlineStr">
        <is>
          <t>Start at Zero</t>
        </is>
      </c>
      <c r="F15" s="47" t="inlineStr">
        <is>
          <t>65-74</t>
        </is>
      </c>
      <c r="G15" s="69" t="n">
        <v>13</v>
      </c>
      <c r="H15" s="69" t="n">
        <v>41.2</v>
      </c>
      <c r="I15" s="69" t="n">
        <v>15</v>
      </c>
      <c r="J15" s="69" t="n">
        <v>44.8</v>
      </c>
      <c r="K15" s="69" t="n">
        <v>25</v>
      </c>
      <c r="L15" s="69" t="n">
        <v>73.90000000000001</v>
      </c>
      <c r="M15" s="69" t="n">
        <v>17</v>
      </c>
      <c r="N15" s="69" t="n">
        <v>48.8</v>
      </c>
      <c r="O15" s="69" t="n">
        <v>70</v>
      </c>
      <c r="P15" s="69" t="n">
        <v>52.2</v>
      </c>
    </row>
    <row r="16">
      <c r="A16" t="inlineStr">
        <is>
          <t>Pivot For Chart</t>
        </is>
      </c>
      <c r="F16" s="47" t="inlineStr">
        <is>
          <t>75-84</t>
        </is>
      </c>
      <c r="G16" s="69" t="n">
        <v>15</v>
      </c>
      <c r="H16" s="69" t="n">
        <v>101.7</v>
      </c>
      <c r="I16" s="69" t="n">
        <v>16</v>
      </c>
      <c r="J16" s="69" t="n">
        <v>104.8</v>
      </c>
      <c r="K16" s="69" t="n">
        <v>16</v>
      </c>
      <c r="L16" s="69" t="n">
        <v>101</v>
      </c>
      <c r="M16" s="69" t="n">
        <v>18</v>
      </c>
      <c r="N16" s="69" t="n">
        <v>109.8</v>
      </c>
      <c r="O16" s="69" t="n">
        <v>65</v>
      </c>
      <c r="P16" s="69" t="n">
        <v>104.3</v>
      </c>
    </row>
    <row r="17">
      <c r="F17" s="47" t="inlineStr">
        <is>
          <t>85+</t>
        </is>
      </c>
      <c r="G17" s="69" t="n">
        <v>14</v>
      </c>
      <c r="H17" s="69" t="n">
        <v>195.8</v>
      </c>
      <c r="I17" s="69" t="n">
        <v>10</v>
      </c>
      <c r="J17" s="69" t="n">
        <v>146.8</v>
      </c>
      <c r="K17" s="69" t="n">
        <v>32</v>
      </c>
      <c r="L17" s="69" t="n">
        <v>455.8</v>
      </c>
      <c r="M17" s="69" t="n">
        <v>15</v>
      </c>
      <c r="N17" s="69" t="n">
        <v>223.6</v>
      </c>
      <c r="O17" s="69" t="n">
        <v>71</v>
      </c>
      <c r="P17" s="69" t="n">
        <v>255.5</v>
      </c>
    </row>
    <row r="18">
      <c r="A18" s="71" t="inlineStr">
        <is>
          <t>Source Specifications</t>
        </is>
      </c>
      <c r="F18" s="78" t="inlineStr">
        <is>
          <t>Race and Ethnicity</t>
        </is>
      </c>
      <c r="G18" s="69" t="n"/>
      <c r="H18" s="69" t="n"/>
      <c r="I18" s="69" t="n"/>
      <c r="J18" s="69" t="n"/>
      <c r="K18" s="69" t="n"/>
      <c r="L18" s="69" t="n"/>
      <c r="M18" s="69" t="n"/>
      <c r="N18" s="69" t="n"/>
      <c r="O18" s="69" t="n"/>
      <c r="P18" s="69" t="n"/>
    </row>
    <row r="19">
      <c r="A19" t="inlineStr">
        <is>
          <t>Source</t>
        </is>
      </c>
      <c r="B19" t="inlineStr">
        <is>
          <t>Source: Special request from NYSDOH Bureau of Vital Records, July 2025</t>
        </is>
      </c>
      <c r="F19" s="47" t="inlineStr">
        <is>
          <t>Non-Hispanic White</t>
        </is>
      </c>
      <c r="G19" s="69" t="n">
        <v>128</v>
      </c>
      <c r="H19" s="69" t="n">
        <v>53.1</v>
      </c>
      <c r="I19" s="69" t="n">
        <v>144</v>
      </c>
      <c r="J19" s="69" t="n">
        <v>58.1</v>
      </c>
      <c r="K19" s="69" t="n">
        <v>161</v>
      </c>
      <c r="L19" s="69" t="n">
        <v>66.40000000000001</v>
      </c>
      <c r="M19" s="69" t="n">
        <v>127</v>
      </c>
      <c r="N19" s="69" t="n">
        <v>53.1</v>
      </c>
      <c r="O19" s="69" t="n">
        <v>560</v>
      </c>
      <c r="P19" s="69" t="n">
        <v>57.7</v>
      </c>
    </row>
    <row r="20">
      <c r="F20" s="47" t="inlineStr">
        <is>
          <t>Non-Hispanic Black</t>
        </is>
      </c>
      <c r="G20" s="69" t="n">
        <v>24</v>
      </c>
      <c r="H20" s="69" t="n">
        <v>62.4</v>
      </c>
      <c r="I20" s="69" t="n">
        <v>17</v>
      </c>
      <c r="J20" s="69" t="n">
        <v>42.8</v>
      </c>
      <c r="K20" s="69" t="n">
        <v>38</v>
      </c>
      <c r="L20" s="69" t="n">
        <v>90.59999999999999</v>
      </c>
      <c r="M20" s="69" t="n">
        <v>19</v>
      </c>
      <c r="N20" s="69" t="n">
        <v>44.7</v>
      </c>
      <c r="O20" s="69" t="n">
        <v>98</v>
      </c>
      <c r="P20" s="69" t="n">
        <v>60.1</v>
      </c>
    </row>
    <row r="21">
      <c r="A21" s="69" t="inlineStr">
        <is>
          <t>Note Specfications</t>
        </is>
      </c>
      <c r="F21" s="47" t="inlineStr">
        <is>
          <t>Hispanic</t>
        </is>
      </c>
      <c r="G21" s="69" t="n">
        <v>15</v>
      </c>
      <c r="H21" s="69" t="n">
        <v>18.7</v>
      </c>
      <c r="I21" s="69" t="n">
        <v>37</v>
      </c>
      <c r="J21" s="69" t="n">
        <v>43.4</v>
      </c>
      <c r="K21" s="69" t="n">
        <v>41</v>
      </c>
      <c r="L21" s="69" t="n">
        <v>45.8</v>
      </c>
      <c r="M21" s="69" t="n">
        <v>32</v>
      </c>
      <c r="N21" s="69" t="n">
        <v>34.2</v>
      </c>
      <c r="O21" s="69" t="n">
        <v>125</v>
      </c>
      <c r="P21" s="69" t="n">
        <v>35.5</v>
      </c>
    </row>
    <row r="22">
      <c r="A22" t="inlineStr">
        <is>
          <t xml:space="preserve">Note </t>
        </is>
      </c>
      <c r="B22" t="inlineStr">
        <is>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is>
      </c>
      <c r="F22" s="47" t="inlineStr">
        <is>
          <t>Other</t>
        </is>
      </c>
      <c r="G22" s="69" t="n">
        <v>15</v>
      </c>
      <c r="H22" s="69" t="n">
        <v>67.59999999999999</v>
      </c>
      <c r="I22" s="69" t="inlineStr">
        <is>
          <t>s</t>
        </is>
      </c>
      <c r="J22" s="69" t="inlineStr">
        <is>
          <t>s</t>
        </is>
      </c>
      <c r="K22" s="69" t="inlineStr">
        <is>
          <t>s</t>
        </is>
      </c>
      <c r="L22" s="69" t="inlineStr">
        <is>
          <t>s</t>
        </is>
      </c>
      <c r="M22" s="69" t="inlineStr">
        <is>
          <t>s</t>
        </is>
      </c>
      <c r="N22" s="69" t="inlineStr">
        <is>
          <t>s</t>
        </is>
      </c>
      <c r="O22" s="69" t="n">
        <v>33</v>
      </c>
      <c r="P22" s="69" t="n">
        <v>33.6</v>
      </c>
    </row>
    <row r="23">
      <c r="F23" s="78" t="inlineStr">
        <is>
          <t>ZIP Code</t>
        </is>
      </c>
      <c r="G23" s="69" t="n"/>
      <c r="H23" s="69" t="n"/>
      <c r="I23" s="69" t="n"/>
      <c r="J23" s="69" t="n"/>
      <c r="K23" s="69" t="n"/>
      <c r="L23" s="69" t="n"/>
      <c r="M23" s="69" t="n"/>
      <c r="N23" s="69" t="n"/>
      <c r="O23" s="69" t="n"/>
      <c r="P23" s="69" t="n"/>
    </row>
    <row r="24">
      <c r="F24" s="47" t="n">
        <v>10940</v>
      </c>
      <c r="G24" s="69" t="n">
        <v>32</v>
      </c>
      <c r="H24" s="69" t="n">
        <v>64.7</v>
      </c>
      <c r="I24" s="69" t="n">
        <v>37</v>
      </c>
      <c r="J24" s="69" t="n">
        <v>72.59999999999999</v>
      </c>
      <c r="K24" s="69" t="n">
        <v>38</v>
      </c>
      <c r="L24" s="69" t="n">
        <v>73.3</v>
      </c>
      <c r="M24" s="69" t="n">
        <v>33</v>
      </c>
      <c r="N24" s="69" t="n">
        <v>62.1</v>
      </c>
      <c r="O24" s="69" t="n">
        <v>140</v>
      </c>
      <c r="P24" s="69" t="n">
        <v>68.2</v>
      </c>
    </row>
    <row r="25">
      <c r="F25" s="47" t="n">
        <v>10950</v>
      </c>
      <c r="G25" s="69" t="n">
        <v>19</v>
      </c>
      <c r="H25" s="69" t="n">
        <v>142</v>
      </c>
      <c r="I25" s="69" t="n">
        <v>17</v>
      </c>
      <c r="J25" s="69" t="n">
        <v>117.9</v>
      </c>
      <c r="K25" s="69" t="n">
        <v>17</v>
      </c>
      <c r="L25" s="69" t="n">
        <v>117.2</v>
      </c>
      <c r="M25" s="69" t="n">
        <v>16</v>
      </c>
      <c r="N25" s="69" t="n">
        <v>108.4</v>
      </c>
      <c r="O25" s="69" t="n">
        <v>69</v>
      </c>
      <c r="P25" s="69" t="n">
        <v>121.4</v>
      </c>
    </row>
    <row r="26">
      <c r="F26" s="47" t="n">
        <v>12550</v>
      </c>
      <c r="G26" s="69" t="n">
        <v>30</v>
      </c>
      <c r="H26" s="69" t="n">
        <v>112.5</v>
      </c>
      <c r="I26" s="69" t="n">
        <v>41</v>
      </c>
      <c r="J26" s="69" t="n">
        <v>153</v>
      </c>
      <c r="K26" s="69" t="n">
        <v>61</v>
      </c>
      <c r="L26" s="69" t="n">
        <v>222.6</v>
      </c>
      <c r="M26" s="69" t="n">
        <v>41</v>
      </c>
      <c r="N26" s="69" t="n">
        <v>150.2</v>
      </c>
      <c r="O26" s="69" t="n">
        <v>173</v>
      </c>
      <c r="P26" s="69" t="n">
        <v>159.5</v>
      </c>
    </row>
    <row r="27">
      <c r="A27" s="69" t="n"/>
      <c r="F27" s="47" t="n">
        <v>12771</v>
      </c>
      <c r="G27" s="69" t="inlineStr">
        <is>
          <t>s</t>
        </is>
      </c>
      <c r="H27" s="69" t="inlineStr">
        <is>
          <t>s</t>
        </is>
      </c>
      <c r="I27" s="69" t="n">
        <v>13</v>
      </c>
      <c r="J27" s="69" t="n">
        <v>87.59999999999999</v>
      </c>
      <c r="K27" s="69" t="n">
        <v>11</v>
      </c>
      <c r="L27" s="69" t="n">
        <v>76.09999999999999</v>
      </c>
      <c r="M27" s="69" t="n">
        <v>11</v>
      </c>
      <c r="N27" s="69" t="n">
        <v>76.7</v>
      </c>
      <c r="O27" s="69" t="n">
        <v>42</v>
      </c>
      <c r="P27" s="69" t="n">
        <v>72.2</v>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Q57"/>
  <sheetViews>
    <sheetView workbookViewId="0">
      <selection activeCell="D17" sqref="D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814.4</v>
      </c>
      <c r="H6" s="69" t="n">
        <v>715.8</v>
      </c>
      <c r="I6" s="69" t="n">
        <v>713.7</v>
      </c>
      <c r="J6" s="69" t="n">
        <v>665.3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 xml:space="preserve">County </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 Group</t>
        </is>
      </c>
      <c r="G5" t="n">
        <v>2020</v>
      </c>
      <c r="H5" t="n">
        <v>2021</v>
      </c>
      <c r="I5" t="n">
        <v>2022</v>
      </c>
      <c r="J5" t="n">
        <v>2023</v>
      </c>
    </row>
    <row r="6" ht="15" customHeight="1" s="91">
      <c r="A6" t="inlineStr">
        <is>
          <t>Multilevel Headers</t>
        </is>
      </c>
      <c r="B6" t="b">
        <v>0</v>
      </c>
      <c r="F6" s="77" t="inlineStr">
        <is>
          <t>&lt;19</t>
        </is>
      </c>
      <c r="G6" s="69" t="inlineStr">
        <is>
          <t>s</t>
        </is>
      </c>
      <c r="H6" s="69" t="inlineStr">
        <is>
          <t>s</t>
        </is>
      </c>
      <c r="I6" s="69" t="inlineStr">
        <is>
          <t>s</t>
        </is>
      </c>
      <c r="J6" s="69" t="inlineStr">
        <is>
          <t>s</t>
        </is>
      </c>
      <c r="K6" s="69" t="n"/>
      <c r="L6" s="69" t="n"/>
      <c r="M6" s="69" t="n"/>
      <c r="N6" s="69" t="n"/>
      <c r="O6" s="69" t="n"/>
    </row>
    <row r="7" ht="15.75" customHeight="1" s="91">
      <c r="F7" s="77" t="inlineStr">
        <is>
          <t>20-24</t>
        </is>
      </c>
      <c r="G7" s="69" t="n">
        <v>45.6</v>
      </c>
      <c r="H7" s="69" t="inlineStr">
        <is>
          <t>s</t>
        </is>
      </c>
      <c r="I7" s="69" t="n">
        <v>50.6</v>
      </c>
      <c r="J7" s="69" t="inlineStr">
        <is>
          <t>s</t>
        </is>
      </c>
      <c r="K7" s="69" t="n"/>
      <c r="L7" s="69" t="n"/>
      <c r="M7" s="69" t="n"/>
      <c r="N7" s="69" t="n"/>
      <c r="O7" s="69" t="n"/>
    </row>
    <row r="8">
      <c r="F8" s="77" t="inlineStr">
        <is>
          <t>25-34</t>
        </is>
      </c>
      <c r="G8" s="69" t="n">
        <v>89.09999999999999</v>
      </c>
      <c r="H8" s="69" t="n">
        <v>73</v>
      </c>
      <c r="I8" s="69" t="n">
        <v>46.4</v>
      </c>
      <c r="J8" s="69" t="n">
        <v>50.1</v>
      </c>
      <c r="K8" s="69" t="n"/>
      <c r="L8" s="69" t="n"/>
      <c r="M8" s="69" t="n"/>
      <c r="N8" s="69" t="n"/>
      <c r="O8" s="69" t="n"/>
    </row>
    <row r="9">
      <c r="A9" s="71" t="inlineStr">
        <is>
          <t>Figure Rules</t>
        </is>
      </c>
      <c r="F9" s="77" t="inlineStr">
        <is>
          <t>35-44</t>
        </is>
      </c>
      <c r="G9" s="69" t="n">
        <v>75.2</v>
      </c>
      <c r="H9" s="69" t="n">
        <v>98.5</v>
      </c>
      <c r="I9" s="69" t="n">
        <v>90.3</v>
      </c>
      <c r="J9" s="69" t="n">
        <v>86.40000000000001</v>
      </c>
      <c r="K9" s="69" t="n"/>
      <c r="L9" s="69" t="n"/>
      <c r="M9" s="69" t="n"/>
      <c r="N9" s="69" t="n"/>
      <c r="O9" s="69" t="n"/>
    </row>
    <row r="10">
      <c r="A10" t="inlineStr">
        <is>
          <t>Figure Type</t>
        </is>
      </c>
      <c r="B10" t="inlineStr">
        <is>
          <t>Line</t>
        </is>
      </c>
      <c r="F10" s="77" t="inlineStr">
        <is>
          <t>45-54</t>
        </is>
      </c>
      <c r="G10" s="69" t="n">
        <v>55.4</v>
      </c>
      <c r="H10" s="69" t="n">
        <v>73.09999999999999</v>
      </c>
      <c r="I10" s="69" t="n">
        <v>76.40000000000001</v>
      </c>
      <c r="J10" s="69" t="n">
        <v>60.2</v>
      </c>
    </row>
    <row r="11">
      <c r="A11" t="inlineStr">
        <is>
          <t>X Column</t>
        </is>
      </c>
      <c r="B11" t="inlineStr">
        <is>
          <t>Year</t>
        </is>
      </c>
      <c r="F11" s="77" t="inlineStr">
        <is>
          <t>55-64</t>
        </is>
      </c>
      <c r="G11" s="69" t="n">
        <v>45.2</v>
      </c>
      <c r="H11" s="69" t="n">
        <v>52.5</v>
      </c>
      <c r="I11" s="69" t="n">
        <v>93.8</v>
      </c>
      <c r="J11" s="68" t="n">
        <v>58.2</v>
      </c>
      <c r="K11" s="68" t="n"/>
      <c r="L11" s="68" t="n"/>
      <c r="M11" s="68" t="n"/>
      <c r="N11" s="68" t="n"/>
    </row>
    <row r="12">
      <c r="A12" t="inlineStr">
        <is>
          <t>Y Column</t>
        </is>
      </c>
      <c r="F12" s="57" t="inlineStr">
        <is>
          <t>65-74</t>
        </is>
      </c>
      <c r="G12" s="68" t="n">
        <v>41.2</v>
      </c>
      <c r="H12" s="68" t="n">
        <v>44.8</v>
      </c>
      <c r="I12" s="69" t="n">
        <v>73.90000000000001</v>
      </c>
      <c r="J12" s="69" t="n">
        <v>48.8</v>
      </c>
      <c r="K12" s="69" t="n"/>
      <c r="L12" s="69" t="n"/>
    </row>
    <row r="13">
      <c r="A13" t="inlineStr">
        <is>
          <t>X Axis Title</t>
        </is>
      </c>
      <c r="B13" t="inlineStr">
        <is>
          <t>Age Group</t>
        </is>
      </c>
      <c r="F13" s="77" t="inlineStr">
        <is>
          <t>75-84</t>
        </is>
      </c>
      <c r="G13" s="69" t="n">
        <v>101.7</v>
      </c>
      <c r="H13" s="69" t="n">
        <v>104.8</v>
      </c>
      <c r="I13" s="69" t="n">
        <v>101</v>
      </c>
      <c r="J13" s="69" t="n">
        <v>109.8</v>
      </c>
    </row>
    <row r="14">
      <c r="A14" t="inlineStr">
        <is>
          <t>Y Axis Title</t>
        </is>
      </c>
      <c r="B14" t="inlineStr">
        <is>
          <t>Rate per 100,000</t>
        </is>
      </c>
      <c r="F14" s="77" t="inlineStr">
        <is>
          <t>85+</t>
        </is>
      </c>
      <c r="G14" s="69" t="n">
        <v>195.8</v>
      </c>
      <c r="H14" s="69" t="n">
        <v>146.8</v>
      </c>
      <c r="I14" s="69" t="n">
        <v>455.8</v>
      </c>
      <c r="J14" s="69" t="n">
        <v>223.6</v>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64.7</v>
      </c>
      <c r="H6" s="69" t="n">
        <v>72.59999999999999</v>
      </c>
      <c r="I6" s="69" t="n">
        <v>73.3</v>
      </c>
      <c r="J6" s="69" t="n">
        <v>62.1</v>
      </c>
      <c r="K6" s="69" t="n"/>
      <c r="L6" s="69" t="n"/>
      <c r="M6" s="69" t="n"/>
      <c r="N6" s="69" t="n"/>
      <c r="O6" s="69" t="n"/>
    </row>
    <row r="7" ht="15.75" customHeight="1" s="91">
      <c r="F7" t="n">
        <v>10950</v>
      </c>
      <c r="G7" s="69" t="n">
        <v>142</v>
      </c>
      <c r="H7" s="69" t="n">
        <v>117.9</v>
      </c>
      <c r="I7" s="69" t="n">
        <v>117.2</v>
      </c>
      <c r="J7" s="69" t="n">
        <v>108.4</v>
      </c>
      <c r="K7" s="69" t="n"/>
      <c r="L7" s="69" t="n"/>
      <c r="M7" s="69" t="n"/>
      <c r="N7" s="69" t="n"/>
      <c r="O7" s="69" t="n"/>
    </row>
    <row r="8">
      <c r="F8" t="n">
        <v>12550</v>
      </c>
      <c r="G8" s="69" t="n">
        <v>112.5</v>
      </c>
      <c r="H8" s="69" t="n">
        <v>153</v>
      </c>
      <c r="I8" s="69" t="n">
        <v>222.6</v>
      </c>
      <c r="J8" s="69" t="n">
        <v>150.2</v>
      </c>
      <c r="K8" s="69" t="n"/>
      <c r="L8" s="69" t="n"/>
      <c r="M8" s="69" t="n"/>
      <c r="N8" s="69" t="n"/>
      <c r="O8" s="69" t="n"/>
    </row>
    <row r="9">
      <c r="A9" s="71" t="inlineStr">
        <is>
          <t>Figure Rules</t>
        </is>
      </c>
      <c r="F9" t="n">
        <v>12771</v>
      </c>
      <c r="G9" s="69" t="n">
        <v>48.6</v>
      </c>
      <c r="H9" s="69" t="n">
        <v>87.59999999999999</v>
      </c>
      <c r="I9" s="69" t="n">
        <v>76.09999999999999</v>
      </c>
      <c r="J9" s="69" t="n">
        <v>76.7</v>
      </c>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69.59999999999999</v>
      </c>
      <c r="H6" s="69" t="n">
        <v>75.40000000000001</v>
      </c>
      <c r="I6" s="69" t="n">
        <v>88.3</v>
      </c>
      <c r="J6" s="69" t="n">
        <v>63.2</v>
      </c>
      <c r="K6" s="69" t="n"/>
      <c r="L6" s="69" t="n"/>
      <c r="M6" s="69" t="n"/>
      <c r="N6" s="69" t="n"/>
      <c r="O6" s="69" t="n"/>
    </row>
    <row r="7" ht="15.75" customHeight="1" s="91">
      <c r="F7" t="inlineStr">
        <is>
          <t>Females</t>
        </is>
      </c>
      <c r="G7" s="69" t="n">
        <v>30.7</v>
      </c>
      <c r="H7" s="69" t="n">
        <v>32</v>
      </c>
      <c r="I7" s="69" t="n">
        <v>32.7</v>
      </c>
      <c r="J7" s="69" t="n">
        <v>32.5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Falls Hospitalization, Rate per 10,000 Population Aged 65 Years and Older,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212.8</v>
      </c>
      <c r="H6" s="69" t="n">
        <v>222.8</v>
      </c>
      <c r="I6" s="69" t="n">
        <v>112.7</v>
      </c>
      <c r="J6" s="69" t="n">
        <v>78.09999999999999</v>
      </c>
      <c r="K6" s="69" t="n">
        <v>106.8</v>
      </c>
      <c r="L6" s="69" t="n"/>
      <c r="M6" s="69" t="n"/>
      <c r="N6" s="69" t="n"/>
      <c r="O6" s="69" t="n"/>
    </row>
    <row r="7" ht="15.75" customHeight="1" s="91">
      <c r="F7" t="inlineStr">
        <is>
          <t>NYS excl NYC</t>
        </is>
      </c>
      <c r="G7" s="69" t="n">
        <v>203.2</v>
      </c>
      <c r="H7" s="69" t="n">
        <v>202.9</v>
      </c>
      <c r="I7" s="69" t="n">
        <v>114.7</v>
      </c>
      <c r="J7" s="69" t="n">
        <v>76.40000000000001</v>
      </c>
      <c r="K7" s="69" t="n">
        <v>106.5</v>
      </c>
      <c r="L7" s="69" t="n"/>
      <c r="M7" s="69" t="n"/>
      <c r="N7" s="69" t="n"/>
      <c r="O7" s="69" t="n"/>
    </row>
    <row r="8">
      <c r="F8" t="inlineStr">
        <is>
          <t>NYS</t>
        </is>
      </c>
      <c r="G8" s="69" t="n">
        <v>188.7</v>
      </c>
      <c r="H8" s="69" t="n">
        <v>197.5</v>
      </c>
      <c r="I8" s="69" t="n">
        <v>103.7</v>
      </c>
      <c r="J8" s="69" t="n">
        <v>83.40000000000001</v>
      </c>
      <c r="K8" s="69" t="n">
        <v>120.5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ICD-10-CD codes used for injuries are defined by CDC NCHS. The specific codes for each type of injury are listed in format catalogs: https://www.cdc.gov/nchs/injury/injury_tools.htm.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 Inflicted Injury Hospitalization, Age-Adjusted Rate per 10,000,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5.8</v>
      </c>
      <c r="H6" s="69" t="n">
        <v>5.7</v>
      </c>
      <c r="I6" s="69" t="n">
        <v>5.5</v>
      </c>
      <c r="J6" s="69" t="n">
        <v>4.9</v>
      </c>
      <c r="K6" s="69" t="n">
        <v>4.5</v>
      </c>
      <c r="L6" s="69" t="n"/>
      <c r="M6" s="69" t="n"/>
      <c r="N6" s="69" t="n"/>
      <c r="O6" s="69" t="n"/>
    </row>
    <row r="7" ht="15.75" customHeight="1" s="91">
      <c r="F7" t="inlineStr">
        <is>
          <t>Mid-Hudson</t>
        </is>
      </c>
      <c r="G7" s="69" t="n">
        <v>4.1</v>
      </c>
      <c r="H7" s="69" t="n">
        <v>4.7</v>
      </c>
      <c r="I7" s="69" t="n">
        <v>4.9</v>
      </c>
      <c r="J7" s="69" t="n">
        <v>4.7</v>
      </c>
      <c r="K7" s="69" t="n">
        <v>4.3</v>
      </c>
      <c r="L7" s="69" t="n"/>
      <c r="M7" s="69" t="n"/>
      <c r="N7" s="69" t="n"/>
      <c r="O7" s="69" t="n"/>
    </row>
    <row r="8">
      <c r="F8" t="inlineStr">
        <is>
          <t>NYS excl NYC</t>
        </is>
      </c>
      <c r="G8" s="69" t="n">
        <v>5.6</v>
      </c>
      <c r="H8" s="69" t="n">
        <v>6.1</v>
      </c>
      <c r="I8" s="69" t="n">
        <v>6.1</v>
      </c>
      <c r="J8" s="69" t="n">
        <v>5.6</v>
      </c>
      <c r="K8" s="69" t="n">
        <v>5.6</v>
      </c>
      <c r="L8" s="69" t="n"/>
      <c r="M8" s="69" t="n"/>
      <c r="N8" s="69" t="n"/>
      <c r="O8" s="69" t="n"/>
    </row>
    <row r="9">
      <c r="A9" s="71" t="inlineStr">
        <is>
          <t>Figure Rules</t>
        </is>
      </c>
      <c r="F9" t="inlineStr">
        <is>
          <t>NYS</t>
        </is>
      </c>
      <c r="G9" s="69" t="n">
        <v>4.6</v>
      </c>
      <c r="H9" s="69" t="n">
        <v>4.9</v>
      </c>
      <c r="I9" s="69" t="n">
        <v>4.9</v>
      </c>
      <c r="J9" s="69" t="n">
        <v>4.5</v>
      </c>
      <c r="K9" s="69" t="n">
        <v>4.7</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Q57"/>
  <sheetViews>
    <sheetView workbookViewId="0">
      <selection activeCell="K16" activeCellId="1" sqref="B1:O1 K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Self-Inflicted Injury Hospitalization, Rate per 10,000 Aged 15-19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8.199999999999999</v>
      </c>
      <c r="H6" s="69" t="n">
        <v>8.300000000000001</v>
      </c>
      <c r="I6" s="69" t="n">
        <v>8.6</v>
      </c>
      <c r="J6" s="69" t="n">
        <v>9.4</v>
      </c>
      <c r="K6" s="69" t="n">
        <v>10.2</v>
      </c>
      <c r="L6" s="69" t="n"/>
      <c r="M6" s="69" t="n"/>
      <c r="N6" s="69" t="n"/>
      <c r="O6" s="69" t="n"/>
    </row>
    <row r="7" ht="15.75" customHeight="1" s="91">
      <c r="F7" t="inlineStr">
        <is>
          <t>Mid-Hudson</t>
        </is>
      </c>
      <c r="G7" s="69" t="n">
        <v>8.6</v>
      </c>
      <c r="H7" s="69" t="n">
        <v>8.9</v>
      </c>
      <c r="I7" s="69" t="n">
        <v>11</v>
      </c>
      <c r="J7" s="69" t="n">
        <v>10.5</v>
      </c>
      <c r="K7" s="69" t="n">
        <v>11.9</v>
      </c>
      <c r="L7" s="69" t="n"/>
      <c r="M7" s="69" t="n"/>
      <c r="N7" s="69" t="n"/>
      <c r="O7" s="69" t="n"/>
    </row>
    <row r="8">
      <c r="F8" t="inlineStr">
        <is>
          <t>NYS excl NYC</t>
        </is>
      </c>
      <c r="G8" s="69" t="n">
        <v>12.8</v>
      </c>
      <c r="H8" s="69" t="n">
        <v>13.1</v>
      </c>
      <c r="I8" s="69" t="n">
        <v>12.9</v>
      </c>
      <c r="J8" s="69" t="n">
        <v>12.8</v>
      </c>
      <c r="K8" s="69" t="n">
        <v>13.7</v>
      </c>
      <c r="L8" s="69" t="n"/>
      <c r="M8" s="69" t="n"/>
      <c r="N8" s="69" t="n"/>
      <c r="O8" s="69" t="n"/>
    </row>
    <row r="9">
      <c r="A9" s="71" t="inlineStr">
        <is>
          <t>Figure Rules</t>
        </is>
      </c>
      <c r="F9" t="inlineStr">
        <is>
          <t>NYS</t>
        </is>
      </c>
      <c r="G9" s="69" t="n">
        <v>11.1</v>
      </c>
      <c r="H9" s="69" t="n">
        <v>11.2</v>
      </c>
      <c r="I9" s="69" t="n">
        <v>10.9</v>
      </c>
      <c r="J9" s="69" t="n">
        <v>11</v>
      </c>
      <c r="K9" s="69" t="n">
        <v>12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Suicide Mortality, Age-Adjusted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69" t="n">
        <v>2017</v>
      </c>
      <c r="H5" s="69" t="n">
        <v>2018</v>
      </c>
      <c r="I5" s="69" t="n">
        <v>2019</v>
      </c>
      <c r="J5" s="69" t="n">
        <v>2020</v>
      </c>
      <c r="K5" s="69" t="n">
        <v>2021</v>
      </c>
    </row>
    <row r="6" ht="15" customHeight="1" s="91">
      <c r="A6" t="inlineStr">
        <is>
          <t>Multilevel Headers</t>
        </is>
      </c>
      <c r="B6" t="b">
        <v>0</v>
      </c>
      <c r="F6" t="inlineStr">
        <is>
          <t>Orange</t>
        </is>
      </c>
      <c r="G6" s="69" t="n">
        <v>8.1</v>
      </c>
      <c r="H6" s="69" t="n">
        <v>10.1</v>
      </c>
      <c r="I6" s="69" t="n">
        <v>10.1</v>
      </c>
      <c r="J6" s="69" t="n">
        <v>9.300000000000001</v>
      </c>
      <c r="K6" s="69" t="n">
        <v>9.1</v>
      </c>
      <c r="L6" s="69" t="n"/>
      <c r="M6" s="69" t="n"/>
      <c r="N6" s="69" t="n"/>
      <c r="O6" s="69" t="n"/>
    </row>
    <row r="7" ht="15.75" customHeight="1" s="91">
      <c r="F7" t="inlineStr">
        <is>
          <t>Mid-Hudson</t>
        </is>
      </c>
      <c r="G7" s="69" t="n">
        <v>8.5</v>
      </c>
      <c r="H7" s="69" t="n">
        <v>8.699999999999999</v>
      </c>
      <c r="I7" s="69" t="n">
        <v>8.6</v>
      </c>
      <c r="J7" s="69" t="n">
        <v>8.300000000000001</v>
      </c>
      <c r="K7" s="69" t="n">
        <v>8.6</v>
      </c>
      <c r="L7" s="69" t="n"/>
      <c r="M7" s="69" t="n"/>
      <c r="N7" s="69" t="n"/>
      <c r="O7" s="69" t="n"/>
    </row>
    <row r="8">
      <c r="F8" t="inlineStr">
        <is>
          <t>NYS excl NYC</t>
        </is>
      </c>
      <c r="G8" s="69" t="n">
        <v>9.9</v>
      </c>
      <c r="H8" s="69" t="n">
        <v>9.9</v>
      </c>
      <c r="I8" s="69" t="n">
        <v>9.800000000000001</v>
      </c>
      <c r="J8" s="69" t="n">
        <v>9.699999999999999</v>
      </c>
      <c r="K8" s="69" t="n">
        <v>9.699999999999999</v>
      </c>
      <c r="L8" s="69" t="n"/>
      <c r="M8" s="69" t="n"/>
      <c r="N8" s="69" t="n"/>
      <c r="O8" s="69" t="n"/>
    </row>
    <row r="9">
      <c r="A9" s="71" t="inlineStr">
        <is>
          <t>Figure Rules</t>
        </is>
      </c>
      <c r="F9" t="inlineStr">
        <is>
          <t>NYS</t>
        </is>
      </c>
      <c r="G9" s="69" t="n">
        <v>8.199999999999999</v>
      </c>
      <c r="H9" s="69" t="n">
        <v>8.199999999999999</v>
      </c>
      <c r="I9" s="69" t="n">
        <v>8.1</v>
      </c>
      <c r="J9" s="69" t="n">
        <v>8</v>
      </c>
      <c r="K9" s="69" t="n">
        <v>8</v>
      </c>
      <c r="L9" s="69" t="n"/>
      <c r="M9" s="69" t="n"/>
      <c r="N9" s="69" t="n"/>
      <c r="O9" s="69" t="n"/>
    </row>
    <row r="10">
      <c r="A10" t="inlineStr">
        <is>
          <t>Figure Type</t>
        </is>
      </c>
      <c r="B10" t="inlineStr">
        <is>
          <t>Line</t>
        </is>
      </c>
      <c r="F10" t="inlineStr">
        <is>
          <t>PA 2024</t>
        </is>
      </c>
      <c r="G10" s="69" t="n">
        <v>7</v>
      </c>
      <c r="H10" s="69" t="n">
        <v>7</v>
      </c>
      <c r="I10" s="69" t="n">
        <v>7</v>
      </c>
      <c r="J10" s="69" t="n">
        <v>7</v>
      </c>
      <c r="K10" s="69" t="n">
        <v>7</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August 2025 sourced from Vital Statistics of NYS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The number of deaths with an ICD-10 primary cause of death code: X60-X84 or Y87.0.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7"/>
  </cols>
  <sheetData>
    <row r="1">
      <c r="A1" s="16" t="inlineStr">
        <is>
          <t>Name</t>
        </is>
      </c>
      <c r="B1" s="66" t="inlineStr">
        <is>
          <t>Percentage of Adults 50–64 Years Old Who Received a Colorectal Cancer Screening Based on the Most Recent Guidelines, 2016 and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91">
      <c r="A6" t="inlineStr">
        <is>
          <t>Multilevel Headers</t>
        </is>
      </c>
      <c r="B6" t="b">
        <v>0</v>
      </c>
      <c r="F6" t="n">
        <v>2016</v>
      </c>
      <c r="G6" s="69" t="n">
        <v>62.2</v>
      </c>
      <c r="H6" s="69" t="n">
        <v>68.8</v>
      </c>
      <c r="I6" s="69" t="n">
        <v>64.7</v>
      </c>
      <c r="J6" s="69" t="n">
        <v>61.9</v>
      </c>
      <c r="K6" s="69" t="n">
        <v>48.1</v>
      </c>
      <c r="L6" s="69" t="n">
        <v>60.2</v>
      </c>
      <c r="M6" s="69" t="n">
        <v>63.7</v>
      </c>
      <c r="N6" s="69" t="n">
        <v>63.3</v>
      </c>
      <c r="O6" s="69" t="n">
        <v>63.7</v>
      </c>
      <c r="P6" t="n">
        <v>63.1</v>
      </c>
      <c r="Q6" t="n">
        <v>66.3</v>
      </c>
    </row>
    <row r="7" ht="15.75" customHeight="1" s="91">
      <c r="F7" t="n">
        <v>2018</v>
      </c>
      <c r="G7" s="69" t="n">
        <v>60.6</v>
      </c>
      <c r="H7" s="69" t="n">
        <v>61.7</v>
      </c>
      <c r="I7" s="69" t="n">
        <v>86.3</v>
      </c>
      <c r="J7" s="69" t="n">
        <v>62.3</v>
      </c>
      <c r="K7" s="69" t="n">
        <v>58.8</v>
      </c>
      <c r="L7" s="69" t="n">
        <v>68.8</v>
      </c>
      <c r="M7" s="69" t="n">
        <v>70</v>
      </c>
      <c r="N7" s="69" t="n">
        <v>64.09999999999999</v>
      </c>
      <c r="O7" s="69" t="n">
        <v>66.5</v>
      </c>
      <c r="P7" t="n">
        <v>65.40000000000001</v>
      </c>
      <c r="Q7" t="n">
        <v>66.3</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June 2025 sourced from NYSDOH Behavioral Risk Factor Surveillance System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21–65 Years Old Receiving Cervical Cancer Screening Based on Most Recent Guidelines,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1">
      <c r="A6" t="inlineStr">
        <is>
          <t>Multilevel Headers</t>
        </is>
      </c>
      <c r="B6" t="b">
        <v>0</v>
      </c>
      <c r="F6" t="n">
        <v>2018</v>
      </c>
      <c r="G6" s="69" t="n">
        <v>90.59999999999999</v>
      </c>
      <c r="H6" s="69" t="n">
        <v>88.8</v>
      </c>
      <c r="I6" s="69" t="n">
        <v>96.2</v>
      </c>
      <c r="J6" s="69" t="n">
        <v>80.59999999999999</v>
      </c>
      <c r="K6" s="69" t="n">
        <v>81.7</v>
      </c>
      <c r="L6" s="69" t="n">
        <v>86.09999999999999</v>
      </c>
      <c r="M6" s="69" t="n">
        <v>87.8</v>
      </c>
      <c r="N6" s="69" t="n">
        <v>86.5</v>
      </c>
      <c r="O6" s="69" t="n">
        <v>84.7</v>
      </c>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June 2025 sourced from NYSDOH Behavioral Risk Factor Surveillance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50-74 Old Years Receiving Breast Cancer Screening Based on the Most Recent Guidelines,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83.7</v>
      </c>
      <c r="H6" s="69" t="n">
        <v>76.8</v>
      </c>
      <c r="I6" s="69" t="n">
        <v>77.7</v>
      </c>
      <c r="J6" s="69" t="n">
        <v>81.7</v>
      </c>
      <c r="K6" s="69" t="n">
        <v>68.59999999999999</v>
      </c>
      <c r="L6" s="69" t="n">
        <v>66</v>
      </c>
      <c r="M6" s="69" t="n">
        <v>84.5</v>
      </c>
      <c r="N6" s="69" t="n">
        <v>80.40000000000001</v>
      </c>
      <c r="O6" s="69" t="n">
        <v>80.90000000000001</v>
      </c>
    </row>
    <row r="7" ht="15.75" customHeight="1" s="91">
      <c r="F7" t="n">
        <v>2016</v>
      </c>
      <c r="G7" s="69" t="n">
        <v>87.2</v>
      </c>
      <c r="H7" s="69" t="n">
        <v>74.5</v>
      </c>
      <c r="I7" s="69" t="n">
        <v>69.5</v>
      </c>
      <c r="J7" s="69" t="n">
        <v>72</v>
      </c>
      <c r="K7" s="69" t="n">
        <v>64</v>
      </c>
      <c r="L7" s="69" t="n">
        <v>72.3</v>
      </c>
      <c r="M7" s="69" t="n">
        <v>84.8</v>
      </c>
      <c r="N7" s="69" t="n">
        <v>79.2</v>
      </c>
      <c r="O7" s="69" t="n">
        <v>79.7</v>
      </c>
    </row>
    <row r="8">
      <c r="F8" t="n">
        <v>2018</v>
      </c>
      <c r="G8" s="69" t="n">
        <v>78</v>
      </c>
      <c r="H8" s="69" t="n">
        <v>78.8</v>
      </c>
      <c r="I8" s="69" t="n">
        <v>80.2</v>
      </c>
      <c r="J8" s="69" t="n">
        <v>69.8</v>
      </c>
      <c r="K8" s="69" t="n">
        <v>66.09999999999999</v>
      </c>
      <c r="L8" s="69" t="n">
        <v>73.3</v>
      </c>
      <c r="M8" s="69" t="n">
        <v>79.3</v>
      </c>
      <c r="N8" s="69" t="n">
        <v>80.90000000000001</v>
      </c>
      <c r="O8" s="69" t="n">
        <v>82.09999999999999</v>
      </c>
    </row>
    <row r="9">
      <c r="A9" s="71" t="inlineStr">
        <is>
          <t>Figure Rules</t>
        </is>
      </c>
      <c r="F9" t="n">
        <v>2021</v>
      </c>
      <c r="G9" s="69" t="n">
        <v>88.5</v>
      </c>
      <c r="H9" s="69" t="n">
        <v>73.3</v>
      </c>
      <c r="I9" s="69" t="n">
        <v>80.2</v>
      </c>
      <c r="J9" s="69" t="n">
        <v>72.7</v>
      </c>
      <c r="K9" s="69" t="n">
        <v>52.2</v>
      </c>
      <c r="L9" s="69" t="n">
        <v>77.09999999999999</v>
      </c>
      <c r="M9" s="69" t="n">
        <v>77.3</v>
      </c>
      <c r="N9" s="69" t="n">
        <v>78.8</v>
      </c>
      <c r="O9" s="69" t="n">
        <v>78.2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Q57"/>
  <sheetViews>
    <sheetView topLeftCell="A4" workbookViewId="0">
      <selection activeCell="I18" sqref="I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Current Asthma,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10.6</v>
      </c>
      <c r="H6" s="69" t="n">
        <v>9</v>
      </c>
      <c r="I6" s="69" t="n">
        <v>13.2</v>
      </c>
      <c r="J6" s="69" t="n">
        <v>4.6</v>
      </c>
      <c r="K6" s="69" t="n">
        <v>12.3</v>
      </c>
      <c r="L6" s="69" t="n">
        <v>5.7</v>
      </c>
      <c r="M6" s="69" t="n">
        <v>9.6</v>
      </c>
      <c r="N6" s="69" t="n">
        <v>8.800000000000001</v>
      </c>
      <c r="O6" s="69" t="n">
        <v>10.4</v>
      </c>
      <c r="P6" t="n">
        <v>9.6</v>
      </c>
    </row>
    <row r="7" ht="15.75" customHeight="1" s="91">
      <c r="F7" t="n">
        <v>2018</v>
      </c>
      <c r="G7" s="69" t="n">
        <v>9.9</v>
      </c>
      <c r="H7" s="69" t="n">
        <v>8.9</v>
      </c>
      <c r="I7" s="69" t="n">
        <v>8.9</v>
      </c>
      <c r="J7" s="69" t="n">
        <v>7.3</v>
      </c>
      <c r="K7" s="69" t="n">
        <v>12.7</v>
      </c>
      <c r="L7" s="69" t="n">
        <v>12.3</v>
      </c>
      <c r="M7" s="69" t="n">
        <v>11.5</v>
      </c>
      <c r="N7" s="69" t="n">
        <v>9.699999999999999</v>
      </c>
      <c r="O7" s="69" t="n">
        <v>10.8</v>
      </c>
      <c r="P7" t="n">
        <v>10.1</v>
      </c>
    </row>
    <row r="8">
      <c r="F8" t="n">
        <v>2021</v>
      </c>
      <c r="G8" s="69" t="n">
        <v>11.3</v>
      </c>
      <c r="H8" s="69" t="n">
        <v>9.6</v>
      </c>
      <c r="I8" s="69" t="n">
        <v>10.1</v>
      </c>
      <c r="J8" s="69" t="n">
        <v>7.4</v>
      </c>
      <c r="K8" s="69" t="n">
        <v>12.3</v>
      </c>
      <c r="L8" s="69" t="n">
        <v>11.8</v>
      </c>
      <c r="M8" s="69" t="n">
        <v>7.9</v>
      </c>
      <c r="N8" s="69" t="n">
        <v>8.9</v>
      </c>
      <c r="O8" s="69" t="n">
        <v>10.8</v>
      </c>
      <c r="P8" t="n">
        <v>10.1</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June 2025 https://health.data.ny.gov/Health/Behavioral-Risk-Factor-Surveillance-System-BRFSS-H/jsy7-eb4n/data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“Has a doctor, nurse, or other health professional ever told you had asthma?” and “Do you still have asthma?”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Q57"/>
  <sheetViews>
    <sheetView workbookViewId="0">
      <selection activeCell="O4" sqref="O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Physician Diagnosed Prediabetes and Diabetes,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Prediabetes</t>
        </is>
      </c>
      <c r="G6" s="69" t="n">
        <v>12.7</v>
      </c>
      <c r="H6" s="69" t="n">
        <v>12.4</v>
      </c>
      <c r="I6" s="69" t="n">
        <v>6.7</v>
      </c>
      <c r="J6" s="69" t="n">
        <v>12.6</v>
      </c>
      <c r="K6" s="69" t="n">
        <v>13.3</v>
      </c>
      <c r="L6" s="69" t="n">
        <v>6</v>
      </c>
      <c r="M6" s="69" t="n">
        <v>10.7</v>
      </c>
      <c r="N6" s="69" t="n">
        <v>10.6</v>
      </c>
      <c r="O6" s="69" t="n">
        <v>10.1</v>
      </c>
      <c r="P6" t="n">
        <v>11.4</v>
      </c>
    </row>
    <row r="7" ht="15.75" customHeight="1" s="91">
      <c r="F7" t="inlineStr">
        <is>
          <t>Diabetes</t>
        </is>
      </c>
      <c r="G7" s="69" t="n">
        <v>9.1</v>
      </c>
      <c r="H7" s="69" t="n">
        <v>7.3</v>
      </c>
      <c r="I7" s="69" t="n">
        <v>4.7</v>
      </c>
      <c r="J7" s="69" t="n">
        <v>9.4</v>
      </c>
      <c r="K7" s="69" t="n">
        <v>7.9</v>
      </c>
      <c r="L7" s="69" t="n">
        <v>11.4</v>
      </c>
      <c r="M7" s="69" t="n">
        <v>8.6</v>
      </c>
      <c r="N7" s="69" t="n">
        <v>9</v>
      </c>
      <c r="O7" s="69" t="n">
        <v>9.4</v>
      </c>
      <c r="P7" t="n">
        <v>10.2</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Condition</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Had a Test for High Blood Sugar or Diabetes Within the Past Three Years,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2013-2014</t>
        </is>
      </c>
      <c r="G6" s="69" t="n">
        <v>56.4</v>
      </c>
      <c r="H6" s="69" t="n">
        <v>57.7</v>
      </c>
      <c r="I6" s="69" t="n">
        <v>59.3</v>
      </c>
      <c r="J6" s="69" t="n">
        <v>59.5</v>
      </c>
      <c r="K6" s="69" t="n">
        <v>55.5</v>
      </c>
      <c r="L6" s="69" t="n">
        <v>51.8</v>
      </c>
      <c r="M6" s="69" t="n">
        <v>57.8</v>
      </c>
      <c r="N6" s="69" t="n">
        <v>57.4</v>
      </c>
      <c r="O6" s="69" t="n">
        <v>57.2</v>
      </c>
      <c r="P6" t="n">
        <v>59.1</v>
      </c>
    </row>
    <row r="7" ht="15.75" customHeight="1" s="91">
      <c r="F7" t="n">
        <v>2016</v>
      </c>
      <c r="G7" s="69" t="n">
        <v>60.8</v>
      </c>
      <c r="H7" s="69" t="n">
        <v>59.5</v>
      </c>
      <c r="I7" s="69" t="n">
        <v>55.9</v>
      </c>
      <c r="J7" s="69" t="n">
        <v>57.9</v>
      </c>
      <c r="K7" s="69" t="n">
        <v>61.8</v>
      </c>
      <c r="L7" s="69" t="n">
        <v>55.3</v>
      </c>
      <c r="M7" s="69" t="n">
        <v>55.2</v>
      </c>
      <c r="N7" s="69" t="n">
        <v>57.4</v>
      </c>
      <c r="O7" s="69" t="n">
        <v>56.8</v>
      </c>
      <c r="P7" t="n">
        <v>57.9</v>
      </c>
    </row>
    <row r="8">
      <c r="F8" t="n">
        <v>2018</v>
      </c>
      <c r="G8" s="69" t="n">
        <v>48.1</v>
      </c>
      <c r="H8" s="69" t="n">
        <v>50.7</v>
      </c>
      <c r="I8" s="69" t="n">
        <v>50</v>
      </c>
      <c r="J8" s="69" t="n">
        <v>53.2</v>
      </c>
      <c r="K8" s="69" t="n">
        <v>55.6</v>
      </c>
      <c r="L8" s="69" t="n">
        <v>45.4</v>
      </c>
      <c r="M8" s="69" t="n">
        <v>51.1</v>
      </c>
      <c r="N8" s="69" t="n">
        <v>50.2</v>
      </c>
      <c r="O8" s="69" t="n">
        <v>48</v>
      </c>
      <c r="P8" t="n">
        <v>51</v>
      </c>
    </row>
    <row r="9">
      <c r="A9" s="71" t="inlineStr">
        <is>
          <t>Figure Rules</t>
        </is>
      </c>
      <c r="F9" t="n">
        <v>2021</v>
      </c>
      <c r="G9" s="69" t="n">
        <v>47.7</v>
      </c>
      <c r="H9" s="69" t="n">
        <v>55.3</v>
      </c>
      <c r="I9" s="69" t="n">
        <v>57.7</v>
      </c>
      <c r="J9" s="69" t="n">
        <v>45.4</v>
      </c>
      <c r="K9" s="69" t="n">
        <v>53.9</v>
      </c>
      <c r="L9" s="69" t="n">
        <v>47</v>
      </c>
      <c r="M9" s="69" t="n">
        <v>51.3</v>
      </c>
      <c r="N9" s="69" t="n">
        <v>49.7</v>
      </c>
      <c r="O9" s="69" t="n">
        <v>49.2</v>
      </c>
      <c r="P9" t="n">
        <v>50.2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topLeftCell="B1" workbookViewId="0">
      <selection activeCell="G15" sqref="G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1.5703125" bestFit="1" customWidth="1" style="91" min="7" max="7"/>
    <col width="35.42578125" bestFit="1" customWidth="1" style="91" min="8" max="8"/>
    <col width="45.425781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Excerpt from Data Update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n"/>
      <c r="K4" s="10" t="n"/>
      <c r="L4" s="10" t="n"/>
      <c r="M4" s="10" t="n"/>
      <c r="N4" s="10" t="n"/>
      <c r="O4" s="10" t="n"/>
      <c r="P4" s="10" t="n"/>
      <c r="Q4" s="10" t="n"/>
    </row>
    <row r="5">
      <c r="A5" s="71" t="inlineStr">
        <is>
          <t>Table Rules</t>
        </is>
      </c>
      <c r="E5" s="70" t="inlineStr">
        <is>
          <t xml:space="preserve">Enter Data </t>
        </is>
      </c>
      <c r="F5" s="16" t="inlineStr">
        <is>
          <t>Assessment</t>
        </is>
      </c>
      <c r="G5" s="16" t="inlineStr">
        <is>
          <t>Health Priority 1</t>
        </is>
      </c>
      <c r="H5" s="16" t="inlineStr">
        <is>
          <t>Health Priority 2</t>
        </is>
      </c>
      <c r="I5" s="16" t="inlineStr">
        <is>
          <t>Health Priority 3</t>
        </is>
      </c>
    </row>
    <row r="6" ht="15" customHeight="1" s="91">
      <c r="A6" t="inlineStr">
        <is>
          <t>Multilevel Headers</t>
        </is>
      </c>
      <c r="B6" t="b">
        <v>1</v>
      </c>
      <c r="F6" s="16" t="inlineStr">
        <is>
          <t>Community Asset Survey</t>
        </is>
      </c>
      <c r="G6" s="69" t="inlineStr">
        <is>
          <t>Mental Health</t>
        </is>
      </c>
      <c r="H6" s="69" t="inlineStr">
        <is>
          <t>Drug Use</t>
        </is>
      </c>
      <c r="I6" s="69" t="inlineStr">
        <is>
          <t>Aging issues</t>
        </is>
      </c>
      <c r="J6" s="69" t="n"/>
      <c r="K6" s="69" t="n"/>
      <c r="L6" s="69" t="n"/>
      <c r="M6" s="69" t="n"/>
      <c r="N6" s="69" t="n"/>
      <c r="O6" s="69" t="n"/>
    </row>
    <row r="7" ht="15.75" customHeight="1" s="91">
      <c r="F7" s="16" t="inlineStr">
        <is>
          <t>Provider Survey</t>
        </is>
      </c>
      <c r="G7" s="69" t="inlineStr">
        <is>
          <t>Access to care</t>
        </is>
      </c>
      <c r="H7" s="69" t="inlineStr">
        <is>
          <t>Chronic disease</t>
        </is>
      </c>
      <c r="I7" s="69" t="inlineStr">
        <is>
          <t>Mental Health</t>
        </is>
      </c>
      <c r="J7" s="69" t="n"/>
      <c r="K7" s="69" t="n"/>
      <c r="L7" s="69" t="n"/>
      <c r="M7" s="69" t="n"/>
      <c r="N7" s="69" t="n"/>
      <c r="O7" s="69" t="n"/>
    </row>
    <row r="8">
      <c r="F8" s="16" t="inlineStr">
        <is>
          <t>Hanlon Method</t>
        </is>
      </c>
      <c r="G8" s="69" t="inlineStr">
        <is>
          <t>Cardiovascular Disease</t>
        </is>
      </c>
      <c r="H8" s="69" t="inlineStr">
        <is>
          <t>Hypertension</t>
        </is>
      </c>
      <c r="I8" s="69" t="inlineStr">
        <is>
          <t>Cancer, Immunizations, Obesity, Physical Activity</t>
        </is>
      </c>
      <c r="J8" s="69" t="n"/>
      <c r="K8" s="69" t="n"/>
      <c r="L8" s="69" t="n"/>
      <c r="M8" s="69" t="n"/>
      <c r="N8" s="69" t="n"/>
      <c r="O8" s="69" t="n"/>
    </row>
    <row r="9">
      <c r="A9" s="71" t="inlineStr">
        <is>
          <t>Figure Rules</t>
        </is>
      </c>
      <c r="F9" s="16" t="inlineStr">
        <is>
          <t>Community Health Survey</t>
        </is>
      </c>
      <c r="G9" s="69" t="inlineStr">
        <is>
          <t>Transportation</t>
        </is>
      </c>
      <c r="H9" s="69" t="inlineStr">
        <is>
          <t>Mental Health (psychological distress)</t>
        </is>
      </c>
      <c r="I9" s="69" t="inlineStr">
        <is>
          <t>Food Security</t>
        </is>
      </c>
      <c r="J9" s="69" t="n"/>
      <c r="K9" s="69" t="n"/>
      <c r="L9" s="69" t="n"/>
      <c r="M9" s="69" t="n"/>
      <c r="N9" s="69" t="n"/>
      <c r="O9" s="69" t="n"/>
    </row>
    <row r="10">
      <c r="A10" t="inlineStr">
        <is>
          <t>Figure Type</t>
        </is>
      </c>
      <c r="F10" s="16" t="inlineStr">
        <is>
          <t>Secondary Data Review</t>
        </is>
      </c>
      <c r="G10" s="69" t="inlineStr">
        <is>
          <t>Cardiovascular Disease</t>
        </is>
      </c>
      <c r="H10" t="inlineStr">
        <is>
          <t>Cancer Mortality</t>
        </is>
      </c>
      <c r="I10" t="inlineStr">
        <is>
          <t>Affordable Housing</t>
        </is>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c r="B19" t="inlineStr">
        <is>
          <t>Source: https://www.orangecountygov.com/DocumentCenter/View/35422/Orange-County-Annual-Health-Summit-Slides</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P57"/>
  <sheetViews>
    <sheetView workbookViewId="0">
      <selection activeCell="J24" sqref="J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9.5703125" bestFit="1" customWidth="1" style="91" min="7" max="7"/>
    <col width="20.7109375" bestFit="1" customWidth="1" style="91" min="8" max="8"/>
    <col width="9" bestFit="1" customWidth="1" style="91" min="9" max="9"/>
    <col width="16.28515625" bestFit="1" customWidth="1" style="91" min="10" max="10"/>
    <col width="116.42578125" bestFit="1" customWidth="1" style="91" min="11" max="11"/>
    <col width="12.140625" bestFit="1" customWidth="1" style="91" min="12" max="12"/>
    <col width="12.28515625" bestFit="1" customWidth="1" style="91" min="13" max="13"/>
    <col width="12.42578125" bestFit="1" customWidth="1" style="91" min="14" max="15"/>
  </cols>
  <sheetData>
    <row r="1">
      <c r="A1" s="16" t="inlineStr">
        <is>
          <t>Name</t>
        </is>
      </c>
      <c r="B1" s="66" t="inlineStr">
        <is>
          <t xml:space="preserve">Themes Identified Across Focus Groups </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inlineStr">
        <is>
          <t>text</t>
        </is>
      </c>
      <c r="K4" s="10" t="inlineStr">
        <is>
          <t>text</t>
        </is>
      </c>
      <c r="L4" s="10" t="n"/>
      <c r="M4" s="10" t="n"/>
      <c r="N4" s="10" t="n"/>
      <c r="O4" s="10" t="n"/>
      <c r="P4" s="10" t="n"/>
    </row>
    <row r="5">
      <c r="A5" s="71" t="inlineStr">
        <is>
          <t>Table Rules</t>
        </is>
      </c>
      <c r="E5" s="70" t="inlineStr">
        <is>
          <t xml:space="preserve">Enter Data </t>
        </is>
      </c>
      <c r="F5" s="16" t="inlineStr">
        <is>
          <t>Theme</t>
        </is>
      </c>
      <c r="G5" s="16" t="inlineStr">
        <is>
          <t>Unhoused Residents</t>
        </is>
      </c>
      <c r="H5" s="16" t="inlineStr">
        <is>
          <t>LGBTQIA+ Community</t>
        </is>
      </c>
      <c r="I5" s="16" t="inlineStr">
        <is>
          <t>Veterans</t>
        </is>
      </c>
      <c r="J5" s="16" t="inlineStr">
        <is>
          <t>African American Faith-Based Organization</t>
        </is>
      </c>
      <c r="K5" s="16" t="inlineStr">
        <is>
          <t>Equity Implications</t>
        </is>
      </c>
    </row>
    <row r="6" ht="15" customHeight="1" s="91">
      <c r="A6" t="inlineStr">
        <is>
          <t>Multilevel Headers</t>
        </is>
      </c>
      <c r="B6" t="b">
        <v>0</v>
      </c>
      <c r="F6" s="16" t="inlineStr">
        <is>
          <t>Access to Healthcare</t>
        </is>
      </c>
      <c r="G6" s="69" t="inlineStr">
        <is>
          <t>✓</t>
        </is>
      </c>
      <c r="H6" s="69" t="inlineStr">
        <is>
          <t>✓</t>
        </is>
      </c>
      <c r="I6" s="69" t="inlineStr">
        <is>
          <t>✓</t>
        </is>
      </c>
      <c r="J6" s="69" t="inlineStr">
        <is>
          <t>✓</t>
        </is>
      </c>
      <c r="K6" s="69" t="inlineStr">
        <is>
          <t>Fragmented systems, limited provider availability, and lack of culturally competent care contribute to delayed or foregone care</t>
        </is>
      </c>
      <c r="L6" s="69" t="n"/>
      <c r="M6" s="69" t="n"/>
      <c r="N6" s="69" t="n"/>
    </row>
    <row r="7" ht="15.75" customHeight="1" s="91">
      <c r="F7" s="16" t="inlineStr">
        <is>
          <t>Housing Stability</t>
        </is>
      </c>
      <c r="G7" s="69" t="inlineStr">
        <is>
          <t>✓</t>
        </is>
      </c>
      <c r="H7" s="69" t="inlineStr">
        <is>
          <t>✓</t>
        </is>
      </c>
      <c r="I7" s="69" t="inlineStr">
        <is>
          <t>—</t>
        </is>
      </c>
      <c r="J7" s="69" t="inlineStr">
        <is>
          <t>✓</t>
        </is>
      </c>
      <c r="K7" s="69" t="inlineStr">
        <is>
          <t>Housing insecurity undermines physical and mental health and limits the ability to maintain employment and care</t>
        </is>
      </c>
      <c r="L7" s="69" t="n"/>
      <c r="M7" s="69" t="n"/>
      <c r="N7" s="69" t="n"/>
    </row>
    <row r="8">
      <c r="F8" s="16" t="inlineStr">
        <is>
          <t>Transportation</t>
        </is>
      </c>
      <c r="G8" s="69" t="inlineStr">
        <is>
          <t>✓</t>
        </is>
      </c>
      <c r="H8" s="69" t="inlineStr">
        <is>
          <t>✓</t>
        </is>
      </c>
      <c r="I8" s="69" t="inlineStr">
        <is>
          <t>✓</t>
        </is>
      </c>
      <c r="J8" s="69" t="inlineStr">
        <is>
          <t>✓</t>
        </is>
      </c>
      <c r="K8" s="69" t="inlineStr">
        <is>
          <t>Transportation barriers restrict access to healthcare, employment, and essential services</t>
        </is>
      </c>
      <c r="L8" s="69" t="n"/>
      <c r="M8" s="69" t="n"/>
      <c r="N8" s="69" t="n"/>
    </row>
    <row r="9">
      <c r="A9" s="71" t="inlineStr">
        <is>
          <t>Figure Rules</t>
        </is>
      </c>
      <c r="F9" s="16" t="inlineStr">
        <is>
          <t>Mental Health Services</t>
        </is>
      </c>
      <c r="G9" s="69" t="inlineStr">
        <is>
          <t>✓</t>
        </is>
      </c>
      <c r="H9" s="69" t="inlineStr">
        <is>
          <t>✓</t>
        </is>
      </c>
      <c r="I9" s="69" t="inlineStr">
        <is>
          <t>✓</t>
        </is>
      </c>
      <c r="J9" s="69" t="inlineStr">
        <is>
          <t>✓</t>
        </is>
      </c>
      <c r="K9" s="69" t="inlineStr">
        <is>
          <t>Insufficient availability, stigma, and system complexity limit access to needed support</t>
        </is>
      </c>
      <c r="L9" s="69" t="n"/>
      <c r="M9" s="69" t="n"/>
      <c r="N9" s="69" t="n"/>
    </row>
    <row r="10">
      <c r="A10" t="inlineStr">
        <is>
          <t>Figure Type</t>
        </is>
      </c>
      <c r="F10" s="16" t="inlineStr">
        <is>
          <t>Affordability / Cost of Living</t>
        </is>
      </c>
      <c r="G10" s="69" t="inlineStr">
        <is>
          <t>✓</t>
        </is>
      </c>
      <c r="H10" s="69" t="inlineStr">
        <is>
          <t>✓</t>
        </is>
      </c>
      <c r="I10" s="69" t="inlineStr">
        <is>
          <t>✓</t>
        </is>
      </c>
      <c r="J10" s="69" t="inlineStr">
        <is>
          <t>✓</t>
        </is>
      </c>
      <c r="K10" t="inlineStr">
        <is>
          <t>High costs of housing, food, and transportation exacerbate stress and health disparities</t>
        </is>
      </c>
    </row>
    <row r="11">
      <c r="A11" t="inlineStr">
        <is>
          <t>X Column</t>
        </is>
      </c>
      <c r="F11" s="16" t="inlineStr">
        <is>
          <t>System Navigation</t>
        </is>
      </c>
      <c r="G11" s="69" t="inlineStr">
        <is>
          <t>✓</t>
        </is>
      </c>
      <c r="H11" s="69" t="inlineStr">
        <is>
          <t>✓</t>
        </is>
      </c>
      <c r="I11" s="69" t="inlineStr">
        <is>
          <t>✓</t>
        </is>
      </c>
      <c r="J11" s="68" t="inlineStr">
        <is>
          <t>✓</t>
        </is>
      </c>
      <c r="K11" s="68" t="inlineStr">
        <is>
          <t>Complex eligibility rules and poor coordination create barriers to care and stability</t>
        </is>
      </c>
      <c r="L11" s="68" t="n"/>
      <c r="M11" s="68" t="n"/>
    </row>
    <row r="12">
      <c r="A12" t="inlineStr">
        <is>
          <t>Y Column</t>
        </is>
      </c>
      <c r="F12" s="21" t="n"/>
      <c r="G12" s="68" t="n"/>
      <c r="H12" s="68" t="n"/>
      <c r="I12" s="69" t="n"/>
      <c r="J12" s="69" t="n"/>
      <c r="K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A21:B21"/>
    <mergeCell ref="E5:E57"/>
    <mergeCell ref="B1:N1"/>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7109375" bestFit="1" customWidth="1" style="91" min="7" max="7"/>
    <col width="19.140625" bestFit="1" customWidth="1" style="91" min="8" max="8"/>
    <col width="34.7109375" bestFit="1" customWidth="1" style="91" min="9" max="9"/>
    <col width="57.71093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ZIP Code Representation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s="69" t="inlineStr">
        <is>
          <t>Zip Code</t>
        </is>
      </c>
      <c r="G5" s="69" t="inlineStr">
        <is>
          <t>Number of Responses</t>
        </is>
      </c>
      <c r="H5" s="69" t="inlineStr">
        <is>
          <t>Zip Code Population</t>
        </is>
      </c>
      <c r="I5" s="69" t="inlineStr">
        <is>
          <t>Percent of Orange County Population</t>
        </is>
      </c>
      <c r="J5" s="69" t="inlineStr">
        <is>
          <t>Percent of Survey Respondents (who Indicated Their Zip Code)</t>
        </is>
      </c>
    </row>
    <row r="6" ht="15" customHeight="1" s="91">
      <c r="A6" t="inlineStr">
        <is>
          <t>Multilevel Headers</t>
        </is>
      </c>
      <c r="B6" t="b">
        <v>0</v>
      </c>
      <c r="F6" s="69" t="n">
        <v>12550</v>
      </c>
      <c r="G6" s="69" t="n">
        <v>132</v>
      </c>
      <c r="H6" s="69" t="n">
        <v>54996</v>
      </c>
      <c r="I6" s="69" t="n">
        <v>13.6</v>
      </c>
      <c r="J6" s="69" t="n">
        <v>15.9</v>
      </c>
      <c r="K6" s="69" t="n"/>
      <c r="L6" s="69" t="n"/>
      <c r="M6" s="69" t="n"/>
      <c r="N6" s="69" t="n"/>
      <c r="O6" s="69" t="n"/>
    </row>
    <row r="7" ht="15.75" customHeight="1" s="91">
      <c r="F7" s="69" t="n">
        <v>10940</v>
      </c>
      <c r="G7" s="69" t="n">
        <v>101</v>
      </c>
      <c r="H7" s="69" t="n">
        <v>53099</v>
      </c>
      <c r="I7" s="69" t="n">
        <v>13.1</v>
      </c>
      <c r="J7" s="69" t="n">
        <v>12.2</v>
      </c>
      <c r="K7" s="69" t="n"/>
      <c r="L7" s="69" t="n"/>
      <c r="M7" s="69" t="n"/>
      <c r="N7" s="69" t="n"/>
      <c r="O7" s="69" t="n"/>
    </row>
    <row r="8">
      <c r="F8" s="69" t="n">
        <v>12553</v>
      </c>
      <c r="G8" s="69" t="n">
        <v>66</v>
      </c>
      <c r="H8" s="69" t="n">
        <v>27300</v>
      </c>
      <c r="I8" s="69" t="n">
        <v>6.8</v>
      </c>
      <c r="J8" s="69" t="n">
        <v>8</v>
      </c>
      <c r="K8" s="69" t="n"/>
      <c r="L8" s="69" t="n"/>
      <c r="M8" s="69" t="n"/>
      <c r="N8" s="69" t="n"/>
      <c r="O8" s="69" t="n"/>
    </row>
    <row r="9">
      <c r="A9" s="71" t="inlineStr">
        <is>
          <t>Figure Rules</t>
        </is>
      </c>
      <c r="F9" s="69" t="n">
        <v>10924</v>
      </c>
      <c r="G9" s="69" t="n">
        <v>62</v>
      </c>
      <c r="H9" s="69" t="n">
        <v>13612</v>
      </c>
      <c r="I9" s="69" t="n">
        <v>3.4</v>
      </c>
      <c r="J9" s="69" t="n">
        <v>7.5</v>
      </c>
      <c r="K9" s="69" t="n"/>
      <c r="L9" s="69" t="n"/>
      <c r="M9" s="69" t="n"/>
      <c r="N9" s="69" t="n"/>
      <c r="O9" s="69" t="n"/>
    </row>
    <row r="10">
      <c r="A10" t="inlineStr">
        <is>
          <t>Figure Type</t>
        </is>
      </c>
      <c r="F10" s="69" t="n">
        <v>10990</v>
      </c>
      <c r="G10" s="69" t="n">
        <v>45</v>
      </c>
      <c r="H10" s="69" t="n">
        <v>20370</v>
      </c>
      <c r="I10" s="69" t="n">
        <v>5</v>
      </c>
      <c r="J10" s="69" t="n">
        <v>5.4</v>
      </c>
    </row>
    <row r="11">
      <c r="A11" t="inlineStr">
        <is>
          <t>X Column</t>
        </is>
      </c>
      <c r="F11" s="69" t="n">
        <v>10950</v>
      </c>
      <c r="G11" s="69" t="n">
        <v>36</v>
      </c>
      <c r="H11" s="69" t="n">
        <v>65391</v>
      </c>
      <c r="I11" s="69" t="n">
        <v>16.2</v>
      </c>
      <c r="J11" s="68" t="n">
        <v>4.3</v>
      </c>
      <c r="K11" s="68" t="n"/>
      <c r="L11" s="68" t="n"/>
      <c r="M11" s="68" t="n"/>
      <c r="N11" s="68" t="n"/>
    </row>
    <row r="12">
      <c r="A12" t="inlineStr">
        <is>
          <t>Y Column</t>
        </is>
      </c>
      <c r="F12" s="68" t="n">
        <v>12771</v>
      </c>
      <c r="G12" s="68" t="n">
        <v>35</v>
      </c>
      <c r="H12" s="68" t="n">
        <v>14345</v>
      </c>
      <c r="I12" s="69" t="n">
        <v>3.6</v>
      </c>
      <c r="J12" s="69" t="n">
        <v>4.2</v>
      </c>
      <c r="K12" s="69" t="n"/>
      <c r="L12" s="69" t="n"/>
    </row>
    <row r="13">
      <c r="A13" t="inlineStr">
        <is>
          <t>X Axis Title</t>
        </is>
      </c>
      <c r="F13" s="69" t="n">
        <v>10941</v>
      </c>
      <c r="G13" s="69" t="n">
        <v>35</v>
      </c>
      <c r="H13" s="69" t="n">
        <v>14761</v>
      </c>
      <c r="I13" s="69" t="n">
        <v>3.7</v>
      </c>
      <c r="J13" s="69" t="n">
        <v>4.2</v>
      </c>
    </row>
    <row r="14">
      <c r="A14" t="inlineStr">
        <is>
          <t>Y Axis Title</t>
        </is>
      </c>
      <c r="F14" s="69" t="n">
        <v>10992</v>
      </c>
      <c r="G14" s="69" t="n">
        <v>33</v>
      </c>
      <c r="H14" s="69" t="n">
        <v>10412</v>
      </c>
      <c r="I14" s="69" t="n">
        <v>2.6</v>
      </c>
      <c r="J14" s="69" t="n">
        <v>4</v>
      </c>
    </row>
    <row r="15">
      <c r="A15" t="inlineStr">
        <is>
          <t>Start at Zero</t>
        </is>
      </c>
      <c r="F15" s="69" t="n">
        <v>10918</v>
      </c>
      <c r="G15" s="69" t="n">
        <v>32</v>
      </c>
      <c r="H15" s="69" t="n">
        <v>11937</v>
      </c>
      <c r="I15" s="69" t="n">
        <v>3</v>
      </c>
      <c r="J15" s="69" t="n">
        <v>3.9</v>
      </c>
    </row>
    <row r="16">
      <c r="A16" t="inlineStr">
        <is>
          <t>Pivot For Chart</t>
        </is>
      </c>
      <c r="F16" s="69" t="n">
        <v>12586</v>
      </c>
      <c r="G16" s="69" t="n">
        <v>29</v>
      </c>
      <c r="H16" s="69" t="n">
        <v>12874</v>
      </c>
      <c r="I16" s="69" t="n">
        <v>3.2</v>
      </c>
      <c r="J16" s="69" t="n">
        <v>3.5</v>
      </c>
    </row>
    <row r="17">
      <c r="F17" s="69" t="n">
        <v>12549</v>
      </c>
      <c r="G17" s="69" t="n">
        <v>28</v>
      </c>
      <c r="H17" s="69" t="n">
        <v>10896</v>
      </c>
      <c r="I17" s="69" t="n">
        <v>2.7</v>
      </c>
      <c r="J17" s="69" t="n">
        <v>3.4</v>
      </c>
    </row>
    <row r="18">
      <c r="A18" s="71" t="inlineStr">
        <is>
          <t>Source Specifications</t>
        </is>
      </c>
      <c r="F18" s="69" t="n">
        <v>10916</v>
      </c>
      <c r="G18" s="69" t="n">
        <v>22</v>
      </c>
      <c r="H18" s="69" t="n">
        <v>4531</v>
      </c>
      <c r="I18" s="69" t="n">
        <v>1.1</v>
      </c>
      <c r="J18" s="69" t="n">
        <v>2.7</v>
      </c>
    </row>
    <row r="19">
      <c r="A19" t="inlineStr">
        <is>
          <t>Source</t>
        </is>
      </c>
      <c r="F19" s="69" t="n">
        <v>10998</v>
      </c>
      <c r="G19" s="69" t="n">
        <v>16</v>
      </c>
      <c r="H19" s="69" t="n">
        <v>3676</v>
      </c>
      <c r="I19" s="69" t="n">
        <v>0.9</v>
      </c>
      <c r="J19" s="69" t="n">
        <v>1.9</v>
      </c>
    </row>
    <row r="20">
      <c r="F20" s="69" t="n">
        <v>12518</v>
      </c>
      <c r="G20" s="69" t="n">
        <v>15</v>
      </c>
      <c r="H20" s="69" t="n">
        <v>5728</v>
      </c>
      <c r="I20" s="69" t="n">
        <v>1.4</v>
      </c>
      <c r="J20" s="69" t="n">
        <v>1.8</v>
      </c>
    </row>
    <row r="21">
      <c r="A21" s="69" t="inlineStr">
        <is>
          <t>Note Specfications</t>
        </is>
      </c>
      <c r="F21" s="69" t="n">
        <v>12566</v>
      </c>
      <c r="G21" s="69" t="n">
        <v>14</v>
      </c>
      <c r="H21" s="69" t="n">
        <v>11718</v>
      </c>
      <c r="I21" s="69" t="n">
        <v>2.9</v>
      </c>
      <c r="J21" s="69" t="n">
        <v>1.7</v>
      </c>
    </row>
    <row r="22">
      <c r="A22" t="inlineStr">
        <is>
          <t xml:space="preserve">Note </t>
        </is>
      </c>
      <c r="F22" s="69" t="n">
        <v>10930</v>
      </c>
      <c r="G22" s="69" t="n">
        <v>13</v>
      </c>
      <c r="H22" s="69" t="n">
        <v>10342</v>
      </c>
      <c r="I22" s="69" t="n">
        <v>2.6</v>
      </c>
      <c r="J22" s="69" t="n">
        <v>1.6</v>
      </c>
    </row>
    <row r="23">
      <c r="F23" s="69" t="n">
        <v>12520</v>
      </c>
      <c r="G23" s="69" t="n">
        <v>12</v>
      </c>
      <c r="H23" s="69" t="n">
        <v>3088</v>
      </c>
      <c r="I23" s="69" t="n">
        <v>0.8</v>
      </c>
      <c r="J23" s="69" t="n">
        <v>1.4</v>
      </c>
    </row>
    <row r="24">
      <c r="F24" s="69" t="n">
        <v>12543</v>
      </c>
      <c r="G24" s="69" t="n">
        <v>10</v>
      </c>
      <c r="H24" s="69" t="n">
        <v>3147</v>
      </c>
      <c r="I24" s="69" t="n">
        <v>0.8</v>
      </c>
      <c r="J24" s="69" t="n">
        <v>1.2</v>
      </c>
    </row>
    <row r="25">
      <c r="F25" s="69" t="n">
        <v>10958</v>
      </c>
      <c r="G25" s="69" t="n">
        <v>9</v>
      </c>
      <c r="H25" s="69" t="n">
        <v>2717</v>
      </c>
      <c r="I25" s="69" t="n">
        <v>0.7</v>
      </c>
      <c r="J25" s="69" t="n">
        <v>1.1</v>
      </c>
      <c r="K25" t="inlineStr">
        <is>
          <t xml:space="preserve"> </t>
        </is>
      </c>
    </row>
    <row r="26">
      <c r="F26" s="69" t="n">
        <v>12589</v>
      </c>
      <c r="G26" s="69" t="n">
        <v>8</v>
      </c>
      <c r="H26" s="69" t="n">
        <v>19639</v>
      </c>
      <c r="I26" s="69" t="n">
        <v>4.9</v>
      </c>
      <c r="J26" s="69" t="n">
        <v>1</v>
      </c>
    </row>
    <row r="27">
      <c r="A27" s="69" t="n"/>
      <c r="F27" s="69" t="n">
        <v>10921</v>
      </c>
      <c r="G27" s="69" t="n">
        <v>8</v>
      </c>
      <c r="H27" s="69" t="n">
        <v>4358</v>
      </c>
      <c r="I27" s="69" t="n">
        <v>1.1</v>
      </c>
      <c r="J27" s="69" t="n">
        <v>1</v>
      </c>
    </row>
    <row r="28">
      <c r="F28" s="69" t="n">
        <v>12577</v>
      </c>
      <c r="G28" s="69" t="n">
        <v>7</v>
      </c>
      <c r="H28" s="69" t="n">
        <v>1613</v>
      </c>
      <c r="I28" s="69" t="n">
        <v>0.4</v>
      </c>
      <c r="J28" s="69" t="n">
        <v>0.8</v>
      </c>
    </row>
    <row r="29">
      <c r="F29" s="69" t="n">
        <v>10925</v>
      </c>
      <c r="G29" s="69" t="n">
        <v>6</v>
      </c>
      <c r="H29" s="69" t="n">
        <v>4440</v>
      </c>
      <c r="I29" s="69" t="n">
        <v>1.1</v>
      </c>
      <c r="J29" s="69" t="n">
        <v>0.7</v>
      </c>
    </row>
    <row r="30">
      <c r="F30" s="69" t="n">
        <v>12746</v>
      </c>
      <c r="G30" s="69" t="n">
        <v>5</v>
      </c>
      <c r="H30" s="69" t="n">
        <v>598</v>
      </c>
      <c r="I30" s="69" t="n">
        <v>0.1</v>
      </c>
      <c r="J30" s="69" t="n">
        <v>0.6</v>
      </c>
    </row>
    <row r="31">
      <c r="F31" s="69" t="n">
        <v>10963</v>
      </c>
      <c r="G31" s="69" t="n">
        <v>5</v>
      </c>
      <c r="H31" s="69" t="n">
        <v>3940</v>
      </c>
      <c r="I31" s="69" t="n">
        <v>1</v>
      </c>
      <c r="J31" s="69" t="n">
        <v>0.6</v>
      </c>
    </row>
    <row r="32">
      <c r="F32" s="69" t="n">
        <v>12780</v>
      </c>
      <c r="G32" s="69" t="n">
        <v>4</v>
      </c>
      <c r="H32" s="69" t="n">
        <v>2245</v>
      </c>
      <c r="I32" s="69" t="n">
        <v>0.6</v>
      </c>
      <c r="J32" s="69" t="n">
        <v>0.5</v>
      </c>
    </row>
    <row r="33">
      <c r="F33" s="69" t="n">
        <v>12575</v>
      </c>
      <c r="G33" s="69" t="n">
        <v>4</v>
      </c>
      <c r="H33" s="69" t="n">
        <v>1743</v>
      </c>
      <c r="I33" s="69" t="n">
        <v>0.4</v>
      </c>
      <c r="J33" s="69" t="n">
        <v>0.5</v>
      </c>
    </row>
    <row r="34">
      <c r="F34" s="69" t="n">
        <v>12721</v>
      </c>
      <c r="G34" s="69" t="n">
        <v>3</v>
      </c>
      <c r="H34" s="69" t="n">
        <v>7590</v>
      </c>
      <c r="I34" s="68" t="n">
        <v>1.9</v>
      </c>
      <c r="J34" s="69" t="n">
        <v>0.4</v>
      </c>
    </row>
    <row r="35">
      <c r="F35" s="69" t="n">
        <v>10987</v>
      </c>
      <c r="G35" s="69" t="n">
        <v>3</v>
      </c>
      <c r="H35" s="69" t="n">
        <v>4041</v>
      </c>
      <c r="I35" s="68" t="n">
        <v>1</v>
      </c>
      <c r="J35" s="69" t="n">
        <v>0.4</v>
      </c>
    </row>
    <row r="36">
      <c r="F36" s="69" t="n">
        <v>10973</v>
      </c>
      <c r="G36" s="69" t="n">
        <v>3</v>
      </c>
      <c r="H36" s="69" t="n">
        <v>2300</v>
      </c>
      <c r="I36" s="68" t="n">
        <v>0.6</v>
      </c>
      <c r="J36" s="69" t="n">
        <v>0.4</v>
      </c>
    </row>
    <row r="37">
      <c r="F37" s="69" t="n">
        <v>10969</v>
      </c>
      <c r="G37" s="69" t="n">
        <v>3</v>
      </c>
      <c r="H37" s="69" t="n">
        <v>1333</v>
      </c>
      <c r="I37" s="68" t="n">
        <v>0.3</v>
      </c>
      <c r="J37" s="69" t="n">
        <v>0.4</v>
      </c>
    </row>
    <row r="38">
      <c r="F38" s="69" t="n">
        <v>10933</v>
      </c>
      <c r="G38" s="69" t="n">
        <v>3</v>
      </c>
      <c r="H38" s="69" t="n">
        <v>312</v>
      </c>
      <c r="I38" s="69" t="n">
        <v>0.1</v>
      </c>
      <c r="J38" s="69" t="n">
        <v>0.4</v>
      </c>
    </row>
    <row r="39">
      <c r="F39" s="69" t="n">
        <v>10922</v>
      </c>
      <c r="G39" s="69" t="n">
        <v>3</v>
      </c>
      <c r="H39" s="69" t="n">
        <v>1072</v>
      </c>
      <c r="I39" s="69" t="n">
        <v>0.3</v>
      </c>
      <c r="J39" s="69" t="n">
        <v>0.4</v>
      </c>
    </row>
    <row r="40">
      <c r="F40" s="69" t="n">
        <v>10919</v>
      </c>
      <c r="G40" s="69" t="n">
        <v>3</v>
      </c>
      <c r="H40" s="69" t="n">
        <v>1383</v>
      </c>
      <c r="I40" s="69" t="n">
        <v>0.3</v>
      </c>
      <c r="J40" s="69" t="n">
        <v>0.4</v>
      </c>
    </row>
    <row r="41">
      <c r="F41" s="69" t="n">
        <v>10988</v>
      </c>
      <c r="G41" s="69" t="n">
        <v>2</v>
      </c>
      <c r="H41" s="69" t="n">
        <v>684</v>
      </c>
      <c r="I41" s="69" t="n">
        <v>0.2</v>
      </c>
      <c r="J41" s="69" t="n">
        <v>0.2</v>
      </c>
    </row>
    <row r="42">
      <c r="F42" s="69" t="n">
        <v>10953</v>
      </c>
      <c r="G42" s="69" t="n">
        <v>2</v>
      </c>
      <c r="H42" s="69" t="n">
        <v>0</v>
      </c>
      <c r="I42" s="69" t="n">
        <v>0</v>
      </c>
      <c r="J42" s="69" t="n">
        <v>0.2</v>
      </c>
    </row>
    <row r="43">
      <c r="F43" s="69" t="n">
        <v>10928</v>
      </c>
      <c r="G43" s="69" t="n">
        <v>2</v>
      </c>
      <c r="H43" s="69" t="n">
        <v>5273</v>
      </c>
      <c r="I43" s="69" t="n">
        <v>1.3</v>
      </c>
      <c r="J43" s="69" t="n">
        <v>0.2</v>
      </c>
    </row>
    <row r="44">
      <c r="F44" s="69" t="n">
        <v>10926</v>
      </c>
      <c r="G44" s="69" t="n">
        <v>2</v>
      </c>
      <c r="H44" s="69" t="n">
        <v>3741</v>
      </c>
      <c r="I44" s="69" t="n">
        <v>0.9</v>
      </c>
      <c r="J44" s="69" t="n">
        <v>0.2</v>
      </c>
    </row>
    <row r="45">
      <c r="F45" s="69" t="n">
        <v>10914</v>
      </c>
      <c r="G45" s="69" t="n">
        <v>2</v>
      </c>
      <c r="H45" s="69" t="n">
        <v>691</v>
      </c>
      <c r="I45" s="69" t="n">
        <v>0.2</v>
      </c>
      <c r="J45" s="69" t="n">
        <v>0.2</v>
      </c>
    </row>
    <row r="46">
      <c r="F46" s="69" t="n">
        <v>12729</v>
      </c>
      <c r="G46" s="69" t="n">
        <v>1</v>
      </c>
      <c r="H46" s="69" t="n">
        <v>1307</v>
      </c>
      <c r="I46" s="69" t="n">
        <v>0.3</v>
      </c>
      <c r="J46" s="69" t="n">
        <v>0.1</v>
      </c>
    </row>
    <row r="47">
      <c r="F47" s="69" t="n">
        <v>12542</v>
      </c>
      <c r="G47" s="69" t="n">
        <v>1</v>
      </c>
      <c r="H47" s="69" t="n">
        <v>5859</v>
      </c>
      <c r="I47" s="69" t="n">
        <v>1.5</v>
      </c>
      <c r="J47" s="69" t="n">
        <v>0.1</v>
      </c>
    </row>
    <row r="48">
      <c r="F48" s="69" t="n">
        <v>10981</v>
      </c>
      <c r="G48" s="69" t="n">
        <v>1</v>
      </c>
      <c r="H48" s="69" t="n">
        <v>2228</v>
      </c>
      <c r="I48" s="69" t="n">
        <v>0.6</v>
      </c>
      <c r="J48" s="69" t="n">
        <v>0.1</v>
      </c>
    </row>
    <row r="49">
      <c r="F49" s="69" t="n">
        <v>10943</v>
      </c>
      <c r="G49" s="69" t="n">
        <v>1</v>
      </c>
      <c r="H49" s="69" t="inlineStr">
        <is>
          <t>N/A</t>
        </is>
      </c>
      <c r="I49" s="69" t="inlineStr">
        <is>
          <t>N/A</t>
        </is>
      </c>
      <c r="J49" s="69" t="n">
        <v>0.1</v>
      </c>
    </row>
    <row r="50">
      <c r="F50" s="69" t="n">
        <v>10917</v>
      </c>
      <c r="G50" s="69" t="n">
        <v>1</v>
      </c>
      <c r="H50" s="69" t="n">
        <v>1575</v>
      </c>
      <c r="I50" s="69" t="n">
        <v>0.4</v>
      </c>
      <c r="J50" s="69" t="n">
        <v>0.1</v>
      </c>
    </row>
    <row r="51">
      <c r="F51" s="69" t="n">
        <v>10915</v>
      </c>
      <c r="G51" s="69" t="n">
        <v>1</v>
      </c>
      <c r="H51" s="69" t="n">
        <v>0</v>
      </c>
      <c r="I51" s="69" t="n">
        <v>0</v>
      </c>
      <c r="J51" s="69" t="n">
        <v>0.1</v>
      </c>
    </row>
    <row r="52">
      <c r="F52" s="69" t="n">
        <v>10910</v>
      </c>
      <c r="G52" s="69" t="n">
        <v>1</v>
      </c>
      <c r="H52" s="69" t="n">
        <v>0</v>
      </c>
      <c r="I52" s="69" t="n">
        <v>0</v>
      </c>
      <c r="J52" s="69" t="n">
        <v>0.1</v>
      </c>
    </row>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C18" sqref="C18"/>
    </sheetView>
  </sheetViews>
  <sheetFormatPr baseColWidth="8" defaultColWidth="8.7109375" defaultRowHeight="15"/>
  <cols>
    <col width="20" bestFit="1" customWidth="1" style="91" min="1" max="1"/>
    <col width="22.140625" bestFit="1" customWidth="1" style="91" min="2" max="2"/>
    <col width="6.7109375" customWidth="1" style="91" min="5" max="5"/>
    <col width="71.57031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"What are the greatest strengths of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77" t="inlineStr">
        <is>
          <t>Access to good education</t>
        </is>
      </c>
      <c r="G5" s="77" t="n">
        <v>340</v>
      </c>
    </row>
    <row r="6" ht="15" customHeight="1" s="91">
      <c r="A6" t="inlineStr">
        <is>
          <t>Multilevel Headers</t>
        </is>
      </c>
      <c r="B6" t="b">
        <v>0</v>
      </c>
      <c r="F6" s="77" t="inlineStr">
        <is>
          <t>Parks and recreation</t>
        </is>
      </c>
      <c r="G6" s="77" t="n">
        <v>301</v>
      </c>
      <c r="H6" s="69" t="n"/>
      <c r="I6" s="69" t="n"/>
      <c r="J6" s="69" t="n"/>
      <c r="K6" s="69" t="n"/>
      <c r="L6" s="69" t="n"/>
      <c r="M6" s="69" t="n"/>
      <c r="N6" s="69" t="n"/>
      <c r="O6" s="69" t="n"/>
    </row>
    <row r="7" ht="15.75" customHeight="1" s="91">
      <c r="F7" s="77" t="inlineStr">
        <is>
          <t>Access to basic health care</t>
        </is>
      </c>
      <c r="G7" s="77" t="n">
        <v>251</v>
      </c>
      <c r="H7" s="69" t="n"/>
      <c r="I7" s="69" t="n"/>
      <c r="J7" s="69" t="n"/>
      <c r="K7" s="69" t="n"/>
      <c r="L7" s="69" t="n"/>
      <c r="M7" s="69" t="n"/>
      <c r="N7" s="69" t="n"/>
      <c r="O7" s="69" t="n"/>
    </row>
    <row r="8">
      <c r="F8" s="77" t="inlineStr">
        <is>
          <t>Low crime and safe neighborhoods</t>
        </is>
      </c>
      <c r="G8" s="77" t="n">
        <v>247</v>
      </c>
      <c r="H8" s="69" t="n"/>
      <c r="I8" s="69" t="n"/>
      <c r="J8" s="69" t="n"/>
      <c r="K8" s="69" t="n"/>
      <c r="L8" s="69" t="n"/>
      <c r="M8" s="69" t="n"/>
      <c r="N8" s="69" t="n"/>
      <c r="O8" s="69" t="n"/>
    </row>
    <row r="9">
      <c r="A9" s="71" t="inlineStr">
        <is>
          <t>Figure Rules</t>
        </is>
      </c>
      <c r="F9" s="77" t="inlineStr">
        <is>
          <t>Access to affordable and healthy food</t>
        </is>
      </c>
      <c r="G9" s="77" t="n">
        <v>162</v>
      </c>
      <c r="H9" s="69" t="n"/>
      <c r="I9" s="69" t="n"/>
      <c r="J9" s="69" t="n"/>
      <c r="K9" s="69" t="n"/>
      <c r="L9" s="69" t="n"/>
      <c r="M9" s="69" t="n"/>
      <c r="N9" s="69" t="n"/>
      <c r="O9" s="69" t="n"/>
    </row>
    <row r="10">
      <c r="A10" t="inlineStr">
        <is>
          <t>Figure Type</t>
        </is>
      </c>
      <c r="B10" t="inlineStr">
        <is>
          <t>Horizontal Stacked Bar</t>
        </is>
      </c>
      <c r="F10" s="77" t="inlineStr">
        <is>
          <t>Clean environment</t>
        </is>
      </c>
      <c r="G10" s="77" t="n">
        <v>152</v>
      </c>
    </row>
    <row r="11">
      <c r="A11" t="inlineStr">
        <is>
          <t>X Column</t>
        </is>
      </c>
      <c r="F11" s="77" t="inlineStr">
        <is>
          <t>Bike-able, walk-able community</t>
        </is>
      </c>
      <c r="G11" s="77" t="n">
        <v>142</v>
      </c>
      <c r="H11" s="69" t="n"/>
      <c r="I11" s="69" t="n"/>
      <c r="J11" s="68" t="n"/>
      <c r="K11" s="68" t="n"/>
      <c r="M11" s="68" t="n"/>
      <c r="N11" s="68" t="n"/>
    </row>
    <row r="12">
      <c r="A12" t="inlineStr">
        <is>
          <t>Y Column</t>
        </is>
      </c>
      <c r="F12" s="77" t="inlineStr">
        <is>
          <t>Arts and cultural events</t>
        </is>
      </c>
      <c r="G12" s="57" t="n">
        <v>123</v>
      </c>
      <c r="H12" s="68" t="n"/>
      <c r="I12" s="69" t="n"/>
      <c r="J12" s="69" t="n"/>
      <c r="K12" s="69" t="n"/>
    </row>
    <row r="13">
      <c r="A13" t="inlineStr">
        <is>
          <t>X Axis Title</t>
        </is>
      </c>
      <c r="F13" s="77" t="inlineStr">
        <is>
          <t>Programs, activities, and support for the senior community</t>
        </is>
      </c>
      <c r="G13" s="77" t="n">
        <v>88</v>
      </c>
    </row>
    <row r="14">
      <c r="A14" t="inlineStr">
        <is>
          <t>Y Axis Title</t>
        </is>
      </c>
      <c r="F14" s="77" t="inlineStr">
        <is>
          <t>Programs, activities, and support for youth and teens during non-school hours</t>
        </is>
      </c>
      <c r="G14" s="77" t="n">
        <v>76</v>
      </c>
    </row>
    <row r="15">
      <c r="A15" t="inlineStr">
        <is>
          <t>Start at Zero</t>
        </is>
      </c>
      <c r="B15" t="b">
        <v>1</v>
      </c>
      <c r="F15" s="77" t="inlineStr">
        <is>
          <t>Access to help during times of stress and crisis</t>
        </is>
      </c>
      <c r="G15" s="77" t="n">
        <v>74</v>
      </c>
    </row>
    <row r="16">
      <c r="A16" t="inlineStr">
        <is>
          <t>Pivot For Chart</t>
        </is>
      </c>
      <c r="B16" t="b">
        <v>1</v>
      </c>
      <c r="F16" s="77" t="inlineStr">
        <is>
          <t>Religious and spiritual values</t>
        </is>
      </c>
      <c r="G16" s="77" t="n">
        <v>67</v>
      </c>
    </row>
    <row r="17">
      <c r="F17" s="77" t="inlineStr">
        <is>
          <t>Good jobs and economy</t>
        </is>
      </c>
      <c r="G17" s="77" t="n">
        <v>66</v>
      </c>
    </row>
    <row r="18">
      <c r="A18" s="71" t="inlineStr">
        <is>
          <t>Source Specifications</t>
        </is>
      </c>
      <c r="F18" s="77" t="inlineStr">
        <is>
          <t>Affordable housing</t>
        </is>
      </c>
      <c r="G18" s="77" t="n">
        <v>59</v>
      </c>
    </row>
    <row r="19">
      <c r="A19" t="inlineStr">
        <is>
          <t>Source</t>
        </is>
      </c>
      <c r="F19" s="77" t="inlineStr">
        <is>
          <t>Respect for all persons</t>
        </is>
      </c>
      <c r="G19" s="77" t="n">
        <v>53</v>
      </c>
    </row>
    <row r="20">
      <c r="F20" s="77" t="inlineStr">
        <is>
          <t>Low violence and abuse (domestic, elder, child)</t>
        </is>
      </c>
      <c r="G20" s="77" t="n">
        <v>37</v>
      </c>
      <c r="H20" s="69" t="n"/>
    </row>
    <row r="21">
      <c r="A21" s="69" t="inlineStr">
        <is>
          <t>Note Specfications</t>
        </is>
      </c>
      <c r="F21" s="57" t="inlineStr">
        <is>
          <t>Good public transportation</t>
        </is>
      </c>
      <c r="G21" s="77" t="n">
        <v>28</v>
      </c>
      <c r="H21" s="69" t="n"/>
    </row>
    <row r="22">
      <c r="A22" t="inlineStr">
        <is>
          <t xml:space="preserve">Note </t>
        </is>
      </c>
      <c r="B22" t="inlineStr">
        <is>
          <t>Note: Respondents were able to select up to three strengths; therefore, total percentages will not add up to 100%. Total number of respondents (N)=1051</t>
        </is>
      </c>
      <c r="F22" s="77" t="inlineStr">
        <is>
          <t>Other</t>
        </is>
      </c>
      <c r="G22" s="77" t="n">
        <v>40</v>
      </c>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"Where should the community focus its resources and attention to improve the quality of life in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Community Focus Area</t>
        </is>
      </c>
      <c r="G5" t="inlineStr">
        <is>
          <t>Count</t>
        </is>
      </c>
    </row>
    <row r="6" ht="15" customHeight="1" s="91">
      <c r="A6" t="inlineStr">
        <is>
          <t>Multilevel Headers</t>
        </is>
      </c>
      <c r="B6" t="b">
        <v>0</v>
      </c>
      <c r="F6" t="inlineStr">
        <is>
          <t>More affordable housing</t>
        </is>
      </c>
      <c r="G6" s="69" t="n">
        <v>360</v>
      </c>
      <c r="H6" s="69" t="n"/>
      <c r="I6" s="69" t="n"/>
      <c r="J6" s="69" t="n"/>
      <c r="K6" s="69" t="n"/>
      <c r="L6" s="69" t="n"/>
      <c r="M6" s="69" t="n"/>
      <c r="N6" s="69" t="n"/>
      <c r="O6" s="69" t="n"/>
    </row>
    <row r="7" ht="15.75" customHeight="1" s="91">
      <c r="F7" t="inlineStr">
        <is>
          <t>Better jobs and economy</t>
        </is>
      </c>
      <c r="G7" s="69" t="n">
        <v>303</v>
      </c>
      <c r="H7" s="69" t="n"/>
      <c r="I7" s="69" t="n"/>
      <c r="J7" s="69" t="n"/>
      <c r="K7" s="69" t="n"/>
      <c r="L7" s="69" t="n"/>
      <c r="M7" s="69" t="n"/>
      <c r="N7" s="69" t="n"/>
      <c r="O7" s="69" t="n"/>
    </row>
    <row r="8">
      <c r="F8" t="inlineStr">
        <is>
          <t>Improve public transportation</t>
        </is>
      </c>
      <c r="G8" s="69" t="n">
        <v>207</v>
      </c>
      <c r="H8" s="69" t="n"/>
      <c r="I8" s="69" t="n"/>
      <c r="J8" s="69" t="n"/>
      <c r="K8" s="69" t="n"/>
      <c r="L8" s="69" t="n"/>
      <c r="M8" s="69" t="n"/>
      <c r="N8" s="69" t="n"/>
      <c r="O8" s="69" t="n"/>
    </row>
    <row r="9">
      <c r="A9" s="71" t="inlineStr">
        <is>
          <t>Figure Rules</t>
        </is>
      </c>
      <c r="F9" t="inlineStr">
        <is>
          <t>Access to basic health care</t>
        </is>
      </c>
      <c r="G9" s="69" t="n">
        <v>177</v>
      </c>
      <c r="H9" s="69" t="n"/>
      <c r="I9" s="69" t="n"/>
      <c r="J9" s="69" t="n"/>
      <c r="K9" s="69" t="n"/>
      <c r="L9" s="69" t="n"/>
      <c r="M9" s="69" t="n"/>
      <c r="N9" s="69" t="n"/>
      <c r="O9" s="69" t="n"/>
    </row>
    <row r="10">
      <c r="A10" t="inlineStr">
        <is>
          <t>Figure Type</t>
        </is>
      </c>
      <c r="B10" t="inlineStr">
        <is>
          <t>Horizontal Stacked Bar</t>
        </is>
      </c>
      <c r="F10" t="inlineStr">
        <is>
          <t>More programs, activities, and support for youth and teens</t>
        </is>
      </c>
      <c r="G10" s="69" t="n">
        <v>163</v>
      </c>
    </row>
    <row r="11">
      <c r="A11" t="inlineStr">
        <is>
          <t>X Column</t>
        </is>
      </c>
      <c r="F11" t="inlineStr">
        <is>
          <t>Improved access to affordable and healthy food</t>
        </is>
      </c>
      <c r="G11" s="69" t="n">
        <v>158</v>
      </c>
      <c r="H11" s="69" t="n"/>
      <c r="I11" s="69" t="n"/>
      <c r="J11" s="68" t="n"/>
      <c r="K11" s="68" t="n"/>
      <c r="L11" s="68" t="n"/>
      <c r="M11" s="68" t="n"/>
      <c r="N11" s="68" t="n"/>
    </row>
    <row r="12">
      <c r="A12" t="inlineStr">
        <is>
          <t>Y Column</t>
        </is>
      </c>
      <c r="F12" s="21" t="inlineStr">
        <is>
          <t>Lower Crime and safer neighborhoods</t>
        </is>
      </c>
      <c r="G12" s="68" t="n">
        <v>141</v>
      </c>
      <c r="H12" s="68" t="n"/>
      <c r="I12" s="69" t="n"/>
      <c r="J12" s="69" t="n"/>
      <c r="K12" s="69" t="n"/>
      <c r="L12" s="69" t="n"/>
    </row>
    <row r="13">
      <c r="A13" t="inlineStr">
        <is>
          <t>X Axis Title</t>
        </is>
      </c>
      <c r="F13" t="inlineStr">
        <is>
          <t>Access to good education</t>
        </is>
      </c>
      <c r="G13" s="69" t="n">
        <v>120</v>
      </c>
    </row>
    <row r="14">
      <c r="A14" t="inlineStr">
        <is>
          <t>Y Axis Title</t>
        </is>
      </c>
      <c r="F14" t="inlineStr">
        <is>
          <t>Making the community more bike-able and walk-able community</t>
        </is>
      </c>
      <c r="G14" s="69" t="n">
        <v>100</v>
      </c>
    </row>
    <row r="15">
      <c r="A15" t="inlineStr">
        <is>
          <t>Start at Zero</t>
        </is>
      </c>
      <c r="F15" t="inlineStr">
        <is>
          <t>More programs, activities, and support for the senior community</t>
        </is>
      </c>
      <c r="G15" s="69" t="n">
        <v>92</v>
      </c>
    </row>
    <row r="16">
      <c r="A16" t="inlineStr">
        <is>
          <t>Pivot For Chart</t>
        </is>
      </c>
      <c r="F16" t="inlineStr">
        <is>
          <t>Improving respect for all persons</t>
        </is>
      </c>
      <c r="G16" s="69" t="n">
        <v>91</v>
      </c>
    </row>
    <row r="17">
      <c r="F17" t="inlineStr">
        <is>
          <t>More arts and cultural events</t>
        </is>
      </c>
      <c r="G17" s="69" t="n">
        <v>83</v>
      </c>
    </row>
    <row r="18">
      <c r="A18" s="71" t="inlineStr">
        <is>
          <t>Source Specifications</t>
        </is>
      </c>
      <c r="F18" t="inlineStr">
        <is>
          <t>Cleaner Environment</t>
        </is>
      </c>
      <c r="G18" s="69" t="n">
        <v>81</v>
      </c>
    </row>
    <row r="19">
      <c r="A19" t="inlineStr">
        <is>
          <t>Source</t>
        </is>
      </c>
      <c r="F19" t="inlineStr">
        <is>
          <t>More access to help during times of stress and crisis</t>
        </is>
      </c>
      <c r="G19" s="69" t="n">
        <v>79</v>
      </c>
    </row>
    <row r="20">
      <c r="F20" s="69" t="inlineStr">
        <is>
          <t>Lower violence and abuse (domestic, elder, child)</t>
        </is>
      </c>
      <c r="G20" s="69" t="n">
        <v>65</v>
      </c>
      <c r="H20" s="69" t="n"/>
    </row>
    <row r="21">
      <c r="A21" s="69" t="inlineStr">
        <is>
          <t>Note Specfications</t>
        </is>
      </c>
      <c r="F21" s="69" t="inlineStr">
        <is>
          <t>More parks and recreation</t>
        </is>
      </c>
      <c r="G21" s="69" t="n">
        <v>57</v>
      </c>
      <c r="H21" s="69" t="n"/>
    </row>
    <row r="22">
      <c r="A22" t="inlineStr">
        <is>
          <t xml:space="preserve">Note </t>
        </is>
      </c>
      <c r="B22" t="inlineStr">
        <is>
          <t>Note: Respondents were able to select up to three focus areas; therefore, total percentages will not add up to 100%. Total number of respondents (N)=1051</t>
        </is>
      </c>
      <c r="F22" s="69" t="inlineStr">
        <is>
          <t>More religious or spiritual values</t>
        </is>
      </c>
      <c r="G22" s="69" t="n">
        <v>29</v>
      </c>
      <c r="H22" s="69" t="n"/>
    </row>
    <row r="23">
      <c r="F23" s="69" t="inlineStr">
        <is>
          <t>Other</t>
        </is>
      </c>
      <c r="G23" s="69" t="n">
        <v>67</v>
      </c>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"What are the most important health issues that our community should focus 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Count</t>
        </is>
      </c>
    </row>
    <row r="6" ht="15" customHeight="1" s="91">
      <c r="A6" t="inlineStr">
        <is>
          <t>Multilevel Headers</t>
        </is>
      </c>
      <c r="B6" t="b">
        <v>0</v>
      </c>
      <c r="F6" t="inlineStr">
        <is>
          <t>Mental health (depression, anxiety, stress)</t>
        </is>
      </c>
      <c r="G6" s="69" t="n">
        <v>258</v>
      </c>
      <c r="H6" s="69" t="n"/>
      <c r="I6" s="69" t="n"/>
      <c r="J6" s="69" t="n"/>
      <c r="K6" s="69" t="n"/>
      <c r="L6" s="69" t="n"/>
      <c r="M6" s="69" t="n"/>
      <c r="N6" s="69" t="n"/>
      <c r="O6" s="69" t="n"/>
    </row>
    <row r="7" ht="15.75" customHeight="1" s="91">
      <c r="F7" t="inlineStr">
        <is>
          <t>Drug use (prescription and illegal)</t>
        </is>
      </c>
      <c r="G7" s="69" t="n">
        <v>243</v>
      </c>
      <c r="H7" s="69" t="n"/>
      <c r="I7" s="69" t="n"/>
      <c r="J7" s="69" t="n"/>
      <c r="K7" s="69" t="n"/>
      <c r="L7" s="69" t="n"/>
      <c r="M7" s="69" t="n"/>
      <c r="N7" s="69" t="n"/>
      <c r="O7" s="69" t="n"/>
    </row>
    <row r="8">
      <c r="F8" t="inlineStr">
        <is>
          <t>Aging problems (Alzheimer's, arthritis, hearing/vision loss, etc.)</t>
        </is>
      </c>
      <c r="G8" s="69" t="n">
        <v>204</v>
      </c>
      <c r="H8" s="69" t="n"/>
      <c r="I8" s="69" t="n"/>
      <c r="J8" s="69" t="n"/>
      <c r="K8" s="69" t="n"/>
      <c r="L8" s="69" t="n"/>
      <c r="M8" s="69" t="n"/>
      <c r="N8" s="69" t="n"/>
      <c r="O8" s="69" t="n"/>
    </row>
    <row r="9">
      <c r="A9" s="71" t="inlineStr">
        <is>
          <t>Figure Rules</t>
        </is>
      </c>
      <c r="F9" t="inlineStr">
        <is>
          <t>Homelessness</t>
        </is>
      </c>
      <c r="G9" s="69" t="n">
        <v>173</v>
      </c>
      <c r="H9" s="69" t="n"/>
      <c r="I9" s="69" t="n"/>
      <c r="J9" s="69" t="n"/>
      <c r="K9" s="69" t="n"/>
      <c r="L9" s="69" t="n"/>
      <c r="M9" s="69" t="n"/>
      <c r="N9" s="69" t="n"/>
      <c r="O9" s="69" t="n"/>
    </row>
    <row r="10">
      <c r="A10" t="inlineStr">
        <is>
          <t>Figure Type</t>
        </is>
      </c>
      <c r="B10" t="inlineStr">
        <is>
          <t>Horizontal Stacked Bar</t>
        </is>
      </c>
      <c r="F10" t="inlineStr">
        <is>
          <t>Safe, affordable &amp; adequate housing</t>
        </is>
      </c>
      <c r="G10" s="69" t="n">
        <v>166</v>
      </c>
    </row>
    <row r="11">
      <c r="A11" t="inlineStr">
        <is>
          <t>X Column</t>
        </is>
      </c>
      <c r="F11" t="inlineStr">
        <is>
          <t>Mental illness (serious and persistent)</t>
        </is>
      </c>
      <c r="G11" s="69" t="n">
        <v>127</v>
      </c>
      <c r="H11" s="69" t="n"/>
      <c r="I11" s="69" t="n"/>
      <c r="J11" s="68" t="n"/>
      <c r="K11" s="68" t="n"/>
      <c r="L11" s="68" t="n"/>
      <c r="M11" s="68" t="n"/>
      <c r="N11" s="68" t="n"/>
    </row>
    <row r="12">
      <c r="A12" t="inlineStr">
        <is>
          <t>Y Column</t>
        </is>
      </c>
      <c r="F12" s="21" t="inlineStr">
        <is>
          <t>Cancer</t>
        </is>
      </c>
      <c r="G12" s="68" t="n">
        <v>116</v>
      </c>
      <c r="H12" s="68" t="n"/>
      <c r="I12" s="69" t="n"/>
      <c r="J12" s="69" t="n"/>
      <c r="K12" s="69" t="n"/>
      <c r="L12" s="69" t="n"/>
    </row>
    <row r="13">
      <c r="A13" t="inlineStr">
        <is>
          <t>X Axis Title</t>
        </is>
      </c>
      <c r="F13" t="inlineStr">
        <is>
          <t>Gun violence</t>
        </is>
      </c>
      <c r="G13" t="n">
        <v>101</v>
      </c>
    </row>
    <row r="14">
      <c r="A14" t="inlineStr">
        <is>
          <t>Y Axis Title</t>
        </is>
      </c>
      <c r="F14" t="inlineStr">
        <is>
          <t>Child abuse and neglect</t>
        </is>
      </c>
      <c r="G14" t="n">
        <v>100</v>
      </c>
    </row>
    <row r="15">
      <c r="A15" t="inlineStr">
        <is>
          <t>Start at Zero</t>
        </is>
      </c>
      <c r="B15" t="b">
        <v>1</v>
      </c>
      <c r="F15" t="inlineStr">
        <is>
          <t>Obesity</t>
        </is>
      </c>
      <c r="G15" t="n">
        <v>85</v>
      </c>
    </row>
    <row r="16">
      <c r="A16" t="inlineStr">
        <is>
          <t>Pivot For Chart</t>
        </is>
      </c>
      <c r="B16" t="b">
        <v>1</v>
      </c>
      <c r="F16" t="inlineStr">
        <is>
          <t>Alcohol Use</t>
        </is>
      </c>
      <c r="G16" t="n">
        <v>83</v>
      </c>
    </row>
    <row r="17">
      <c r="F17" t="inlineStr">
        <is>
          <t>Domestic violence, rape and sexual assault</t>
        </is>
      </c>
      <c r="G17" t="n">
        <v>80</v>
      </c>
    </row>
    <row r="18">
      <c r="A18" s="71" t="inlineStr">
        <is>
          <t>Source Specifications</t>
        </is>
      </c>
      <c r="F18" t="inlineStr">
        <is>
          <t>Lack of walkability</t>
        </is>
      </c>
      <c r="G18" t="n">
        <v>78</v>
      </c>
    </row>
    <row r="19">
      <c r="A19" t="inlineStr">
        <is>
          <t>Source</t>
        </is>
      </c>
      <c r="F19" t="inlineStr">
        <is>
          <t>Physical inactivity</t>
        </is>
      </c>
      <c r="G19" t="n">
        <v>71</v>
      </c>
    </row>
    <row r="20">
      <c r="F20" s="69" t="inlineStr">
        <is>
          <t>Lack of access to health care</t>
        </is>
      </c>
      <c r="G20" s="69" t="n">
        <v>62</v>
      </c>
      <c r="H20" s="69" t="n"/>
    </row>
    <row r="21">
      <c r="A21" s="69" t="inlineStr">
        <is>
          <t>Note Specfications</t>
        </is>
      </c>
      <c r="F21" s="69" t="inlineStr">
        <is>
          <t>Diabetes</t>
        </is>
      </c>
      <c r="G21" s="69" t="n">
        <v>62</v>
      </c>
      <c r="H21" s="69" t="n"/>
    </row>
    <row r="22">
      <c r="A22" t="inlineStr">
        <is>
          <t xml:space="preserve">Note </t>
        </is>
      </c>
      <c r="B22" t="inlineStr">
        <is>
          <t>Note: Respondents were able to select up to three health areas; therefore, total percentages will not add up to 100%. Total number of respondents (N)=1051</t>
        </is>
      </c>
      <c r="F22" s="69" t="inlineStr">
        <is>
          <t>Tobacco and vaping use</t>
        </is>
      </c>
      <c r="G22" s="69" t="n">
        <v>60</v>
      </c>
      <c r="H22" s="69" t="n"/>
    </row>
    <row r="23">
      <c r="F23" s="69" t="inlineStr">
        <is>
          <t>Dental issues</t>
        </is>
      </c>
      <c r="G23" s="69" t="n">
        <v>57</v>
      </c>
      <c r="H23" s="69" t="n"/>
    </row>
    <row r="24">
      <c r="F24" t="inlineStr">
        <is>
          <t>Hunger</t>
        </is>
      </c>
      <c r="G24" t="n">
        <v>56</v>
      </c>
    </row>
    <row r="25">
      <c r="F25" s="69" t="inlineStr">
        <is>
          <t>Suicide</t>
        </is>
      </c>
      <c r="G25" s="69" t="n">
        <v>45</v>
      </c>
      <c r="H25" s="69" t="n"/>
      <c r="K25" t="inlineStr">
        <is>
          <t xml:space="preserve"> </t>
        </is>
      </c>
    </row>
    <row r="26">
      <c r="F26" s="69" t="inlineStr">
        <is>
          <t>Poor diet</t>
        </is>
      </c>
      <c r="G26" s="69" t="n">
        <v>41</v>
      </c>
      <c r="H26" s="69" t="n"/>
    </row>
    <row r="27">
      <c r="A27" s="69" t="n"/>
      <c r="F27" s="69" t="inlineStr">
        <is>
          <t>Heart disease and stroke</t>
        </is>
      </c>
      <c r="G27" s="69" t="n">
        <v>36</v>
      </c>
      <c r="H27" s="69" t="n"/>
    </row>
    <row r="28">
      <c r="F28" s="69" t="inlineStr">
        <is>
          <t>High blood pressure</t>
        </is>
      </c>
      <c r="G28" s="69" t="n">
        <v>22</v>
      </c>
      <c r="H28" s="69" t="n"/>
    </row>
    <row r="29">
      <c r="F29" s="69" t="inlineStr">
        <is>
          <t>Infectious diseases (COVID, Hepatitis, TB, etc.)</t>
        </is>
      </c>
      <c r="G29" s="69" t="n">
        <v>19</v>
      </c>
      <c r="H29" s="69" t="n"/>
    </row>
    <row r="30">
      <c r="F30" s="69" t="inlineStr">
        <is>
          <t>Respiratory and lung diseases</t>
        </is>
      </c>
      <c r="G30" s="69" t="n">
        <v>13</v>
      </c>
      <c r="H30" s="69" t="n"/>
    </row>
    <row r="31">
      <c r="F31" s="69" t="inlineStr">
        <is>
          <t>Sexually transmitted diseases (HIV, STI)</t>
        </is>
      </c>
      <c r="G31" s="69" t="n">
        <v>9</v>
      </c>
      <c r="H31" s="69" t="n"/>
    </row>
    <row r="32">
      <c r="F32" t="inlineStr">
        <is>
          <t>Teenage pregnancy</t>
        </is>
      </c>
      <c r="G32" t="n">
        <v>7</v>
      </c>
    </row>
    <row r="33">
      <c r="F33" s="69" t="inlineStr">
        <is>
          <t>Other</t>
        </is>
      </c>
      <c r="G33" s="69" t="n">
        <v>34</v>
      </c>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58.85546875" bestFit="1" customWidth="1" style="91" min="6" max="6"/>
    <col width="34.85546875" bestFit="1" customWidth="1" style="91" min="7" max="7"/>
    <col width="8.85546875" bestFit="1" customWidth="1" style="91" min="8"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Responses to: "What are the most important health issues that our community should focus on?" by Prevention Agenda Area</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Prevention Agenda Area</t>
        </is>
      </c>
      <c r="H5" t="inlineStr">
        <is>
          <t>Count</t>
        </is>
      </c>
    </row>
    <row r="6" ht="15" customHeight="1" s="91">
      <c r="A6" t="inlineStr">
        <is>
          <t>Multilevel Headers</t>
        </is>
      </c>
      <c r="B6" t="b">
        <v>0</v>
      </c>
      <c r="F6" s="69" t="inlineStr">
        <is>
          <t>Homelessness</t>
        </is>
      </c>
      <c r="G6" s="69" t="inlineStr">
        <is>
          <t>Economic Stability</t>
        </is>
      </c>
      <c r="H6" s="69" t="n">
        <v>173</v>
      </c>
      <c r="I6" s="69" t="n"/>
      <c r="J6" s="69" t="n"/>
      <c r="K6" s="69" t="n"/>
      <c r="L6" s="69" t="n"/>
      <c r="M6" s="69" t="n"/>
      <c r="N6" s="69" t="n"/>
      <c r="O6" s="69" t="n"/>
    </row>
    <row r="7" ht="15.75" customHeight="1" s="91">
      <c r="F7" s="69" t="inlineStr">
        <is>
          <t>Safe, affordable &amp; adequate housing</t>
        </is>
      </c>
      <c r="G7" s="69" t="inlineStr">
        <is>
          <t>Economic Stability</t>
        </is>
      </c>
      <c r="H7" s="69" t="n">
        <v>166</v>
      </c>
      <c r="I7" s="69" t="n"/>
      <c r="J7" s="69" t="n"/>
      <c r="K7" s="69" t="n"/>
      <c r="L7" s="69" t="n"/>
      <c r="M7" s="69" t="n"/>
      <c r="N7" s="69" t="n"/>
      <c r="O7" s="69" t="n"/>
    </row>
    <row r="8">
      <c r="F8" s="69" t="inlineStr">
        <is>
          <t>Hunger</t>
        </is>
      </c>
      <c r="G8" s="69" t="inlineStr">
        <is>
          <t>Economic Stability</t>
        </is>
      </c>
      <c r="H8" s="69" t="n">
        <v>56</v>
      </c>
      <c r="I8" s="69" t="n"/>
      <c r="J8" s="69" t="n"/>
      <c r="K8" s="69" t="n"/>
      <c r="L8" s="69" t="n"/>
      <c r="M8" s="69" t="n"/>
      <c r="N8" s="69" t="n"/>
      <c r="O8" s="69" t="n"/>
    </row>
    <row r="9">
      <c r="A9" s="71" t="inlineStr">
        <is>
          <t>Figure Rules</t>
        </is>
      </c>
      <c r="F9" s="69" t="inlineStr">
        <is>
          <t>Mental health (depression, anxiety, stress)</t>
        </is>
      </c>
      <c r="G9" s="69" t="inlineStr">
        <is>
          <t>Social &amp; Community Context</t>
        </is>
      </c>
      <c r="H9" s="69" t="n">
        <v>258</v>
      </c>
      <c r="I9" s="69" t="n"/>
      <c r="J9" s="69" t="n"/>
      <c r="K9" s="69" t="n"/>
      <c r="L9" s="69" t="n"/>
      <c r="M9" s="69" t="n"/>
      <c r="N9" s="69" t="n"/>
      <c r="O9" s="69" t="n"/>
    </row>
    <row r="10">
      <c r="A10" t="inlineStr">
        <is>
          <t>Figure Type</t>
        </is>
      </c>
      <c r="B10" t="inlineStr">
        <is>
          <t>Horizontal Stacked Bar</t>
        </is>
      </c>
      <c r="F10" s="69" t="inlineStr">
        <is>
          <t>Drug use (prescription and illegal)</t>
        </is>
      </c>
      <c r="G10" s="69" t="inlineStr">
        <is>
          <t>Social &amp; Community Context</t>
        </is>
      </c>
      <c r="H10" s="69" t="n">
        <v>243</v>
      </c>
    </row>
    <row r="11">
      <c r="A11" t="inlineStr">
        <is>
          <t>X Column</t>
        </is>
      </c>
      <c r="B11" t="inlineStr">
        <is>
          <t>County</t>
        </is>
      </c>
      <c r="F11" s="69" t="inlineStr">
        <is>
          <t>Mental illness (serious and persistent)</t>
        </is>
      </c>
      <c r="G11" s="69" t="inlineStr">
        <is>
          <t>Social &amp; Community Context</t>
        </is>
      </c>
      <c r="H11" s="69" t="n">
        <v>127</v>
      </c>
      <c r="I11" s="69" t="n"/>
      <c r="J11" s="68" t="n"/>
      <c r="K11" s="68" t="n"/>
      <c r="L11" s="68" t="n"/>
      <c r="M11" s="68" t="n"/>
      <c r="N11" s="68" t="n"/>
    </row>
    <row r="12">
      <c r="A12" t="inlineStr">
        <is>
          <t>Y Column</t>
        </is>
      </c>
      <c r="F12" s="68" t="inlineStr">
        <is>
          <t>Alcohol use</t>
        </is>
      </c>
      <c r="G12" s="68" t="inlineStr">
        <is>
          <t>Social &amp; Community Context</t>
        </is>
      </c>
      <c r="H12" s="68" t="n">
        <v>83</v>
      </c>
      <c r="I12" s="69" t="n"/>
      <c r="J12" s="69" t="n"/>
      <c r="K12" s="69" t="n"/>
      <c r="L12" s="69" t="n"/>
    </row>
    <row r="13">
      <c r="A13" t="inlineStr">
        <is>
          <t>X Axis Title</t>
        </is>
      </c>
      <c r="F13" s="69" t="inlineStr">
        <is>
          <t>Tobacco and vaping use</t>
        </is>
      </c>
      <c r="G13" s="69" t="inlineStr">
        <is>
          <t>Social &amp; Community Context</t>
        </is>
      </c>
      <c r="H13" s="69" t="n">
        <v>60</v>
      </c>
    </row>
    <row r="14">
      <c r="A14" t="inlineStr">
        <is>
          <t>Y Axis Title</t>
        </is>
      </c>
      <c r="F14" s="69" t="inlineStr">
        <is>
          <t>Suicide</t>
        </is>
      </c>
      <c r="G14" s="69" t="inlineStr">
        <is>
          <t>Social &amp; Community Context</t>
        </is>
      </c>
      <c r="H14" s="69" t="n">
        <v>45</v>
      </c>
    </row>
    <row r="15">
      <c r="A15" t="inlineStr">
        <is>
          <t>Start at Zero</t>
        </is>
      </c>
      <c r="B15" t="b">
        <v>1</v>
      </c>
      <c r="F15" s="69" t="inlineStr">
        <is>
          <t>Poor diet</t>
        </is>
      </c>
      <c r="G15" s="69" t="inlineStr">
        <is>
          <t>Social &amp; Community Context</t>
        </is>
      </c>
      <c r="H15" s="69" t="n">
        <v>41</v>
      </c>
    </row>
    <row r="16">
      <c r="A16" t="inlineStr">
        <is>
          <t>Pivot For Chart</t>
        </is>
      </c>
      <c r="B16" t="b">
        <v>1</v>
      </c>
      <c r="F16" s="69" t="inlineStr">
        <is>
          <t>Gun violence</t>
        </is>
      </c>
      <c r="G16" s="69" t="inlineStr">
        <is>
          <t>Neighborhood and Built Environment</t>
        </is>
      </c>
      <c r="H16" s="69" t="n">
        <v>101</v>
      </c>
    </row>
    <row r="17">
      <c r="F17" s="69" t="inlineStr">
        <is>
          <t>Lack of walkability</t>
        </is>
      </c>
      <c r="G17" s="69" t="inlineStr">
        <is>
          <t>Neighborhood and Built Environment</t>
        </is>
      </c>
      <c r="H17" s="69" t="n">
        <v>78</v>
      </c>
    </row>
    <row r="18">
      <c r="A18" s="71" t="inlineStr">
        <is>
          <t>Source Specifications</t>
        </is>
      </c>
      <c r="F18" s="69" t="inlineStr">
        <is>
          <t>Physical inactivity</t>
        </is>
      </c>
      <c r="G18" s="69" t="inlineStr">
        <is>
          <t>Neighborhood and Built Environment</t>
        </is>
      </c>
      <c r="H18" s="69" t="n">
        <v>71</v>
      </c>
    </row>
    <row r="19">
      <c r="A19" t="inlineStr">
        <is>
          <t>Source</t>
        </is>
      </c>
      <c r="F19" s="69" t="inlineStr">
        <is>
          <t>Cancer</t>
        </is>
      </c>
      <c r="G19" s="69" t="inlineStr">
        <is>
          <t>Health Care Access &amp; Quality</t>
        </is>
      </c>
      <c r="H19" s="69" t="n">
        <v>116</v>
      </c>
    </row>
    <row r="20">
      <c r="F20" s="69" t="inlineStr">
        <is>
          <t>Obesity</t>
        </is>
      </c>
      <c r="G20" s="69" t="inlineStr">
        <is>
          <t>Health Care Access &amp; Quality</t>
        </is>
      </c>
      <c r="H20" s="69" t="n">
        <v>85</v>
      </c>
    </row>
    <row r="21">
      <c r="A21" s="69" t="inlineStr">
        <is>
          <t>Note Specfications</t>
        </is>
      </c>
      <c r="F21" s="69" t="inlineStr">
        <is>
          <t>Lack of access to health care</t>
        </is>
      </c>
      <c r="G21" s="69" t="inlineStr">
        <is>
          <t>Health Care Access &amp; Quality</t>
        </is>
      </c>
      <c r="H21" s="69" t="n">
        <v>62</v>
      </c>
    </row>
    <row r="22">
      <c r="A22" t="inlineStr">
        <is>
          <t xml:space="preserve">Note </t>
        </is>
      </c>
      <c r="F22" s="69" t="inlineStr">
        <is>
          <t>Diabetes</t>
        </is>
      </c>
      <c r="G22" s="69" t="inlineStr">
        <is>
          <t>Health Care Access &amp; Quality</t>
        </is>
      </c>
      <c r="H22" s="69" t="n">
        <v>62</v>
      </c>
    </row>
    <row r="23">
      <c r="F23" s="69" t="inlineStr">
        <is>
          <t>Dental Issues</t>
        </is>
      </c>
      <c r="G23" s="69" t="inlineStr">
        <is>
          <t>Health Care Access &amp; Quality</t>
        </is>
      </c>
      <c r="H23" s="69" t="n">
        <v>57</v>
      </c>
    </row>
    <row r="24">
      <c r="F24" s="69" t="inlineStr">
        <is>
          <t>High blood pressure</t>
        </is>
      </c>
      <c r="G24" s="69" t="inlineStr">
        <is>
          <t>Health Care Access &amp; Quality</t>
        </is>
      </c>
      <c r="H24" s="69" t="n">
        <v>22</v>
      </c>
    </row>
    <row r="25">
      <c r="F25" s="69" t="inlineStr">
        <is>
          <t>Respiratory and lung diseases</t>
        </is>
      </c>
      <c r="G25" s="69" t="inlineStr">
        <is>
          <t>Health Care Access &amp; Quality</t>
        </is>
      </c>
      <c r="H25" s="69" t="n">
        <v>13</v>
      </c>
      <c r="K25" t="inlineStr">
        <is>
          <t xml:space="preserve"> </t>
        </is>
      </c>
    </row>
    <row r="26">
      <c r="F26" s="69" t="inlineStr">
        <is>
          <t>Aging problems (Alzheimer's, arthritis, hearing/vision loss, etc.)</t>
        </is>
      </c>
      <c r="G26" s="69" t="inlineStr">
        <is>
          <t>Other</t>
        </is>
      </c>
      <c r="H26" s="69" t="n">
        <v>204</v>
      </c>
    </row>
    <row r="27">
      <c r="A27" s="69" t="n"/>
      <c r="F27" s="69" t="inlineStr">
        <is>
          <t>Child abuse and neglect</t>
        </is>
      </c>
      <c r="G27" s="69" t="inlineStr">
        <is>
          <t>Other</t>
        </is>
      </c>
      <c r="H27" s="69" t="n">
        <v>100</v>
      </c>
    </row>
    <row r="28">
      <c r="F28" s="69" t="inlineStr">
        <is>
          <t>Domestic violence, rape and sexual assault</t>
        </is>
      </c>
      <c r="G28" s="69" t="inlineStr">
        <is>
          <t>Other</t>
        </is>
      </c>
      <c r="H28" s="69" t="n">
        <v>80</v>
      </c>
    </row>
    <row r="29">
      <c r="F29" s="69" t="inlineStr">
        <is>
          <t>Heart disease and stroke</t>
        </is>
      </c>
      <c r="G29" s="69" t="inlineStr">
        <is>
          <t>Other</t>
        </is>
      </c>
      <c r="H29" s="69" t="n">
        <v>36</v>
      </c>
    </row>
    <row r="30">
      <c r="F30" s="69" t="inlineStr">
        <is>
          <t>Infectious diseases (COVID, Hepatitis, TB, etc.)</t>
        </is>
      </c>
      <c r="G30" s="69" t="inlineStr">
        <is>
          <t>Other</t>
        </is>
      </c>
      <c r="H30" s="69" t="n">
        <v>19</v>
      </c>
    </row>
    <row r="31">
      <c r="F31" s="69" t="inlineStr">
        <is>
          <t>Sexually transmitted diseases (HIV, STI)</t>
        </is>
      </c>
      <c r="G31" s="69" t="inlineStr">
        <is>
          <t>Other</t>
        </is>
      </c>
      <c r="H31" s="69" t="n">
        <v>9</v>
      </c>
    </row>
    <row r="32">
      <c r="F32" s="69" t="inlineStr">
        <is>
          <t>Teenage pregnancy</t>
        </is>
      </c>
      <c r="G32" s="69" t="inlineStr">
        <is>
          <t>Other</t>
        </is>
      </c>
      <c r="H32" s="69" t="n">
        <v>7</v>
      </c>
    </row>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Which of the following health problems in Orange County would you fix first?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Priority Area</t>
        </is>
      </c>
      <c r="G5" t="inlineStr">
        <is>
          <t>Percentage</t>
        </is>
      </c>
    </row>
    <row r="6" ht="15" customHeight="1" s="91">
      <c r="A6" t="inlineStr">
        <is>
          <t>Multilevel Headers</t>
        </is>
      </c>
      <c r="B6" t="b">
        <v>0</v>
      </c>
      <c r="F6" t="inlineStr">
        <is>
          <t>Alcohol and Drug Use</t>
        </is>
      </c>
      <c r="G6" s="69" t="n">
        <v>26.9</v>
      </c>
      <c r="H6" s="69" t="n"/>
      <c r="I6" s="69" t="n"/>
      <c r="J6" s="69" t="n"/>
      <c r="K6" s="69" t="n"/>
      <c r="L6" s="69" t="n"/>
      <c r="M6" s="69" t="n"/>
      <c r="N6" s="69" t="n"/>
      <c r="O6" s="69" t="n"/>
    </row>
    <row r="7" ht="15.75" customHeight="1" s="91">
      <c r="F7" t="inlineStr">
        <is>
          <t>Cancer</t>
        </is>
      </c>
      <c r="G7" s="69" t="n">
        <v>15.3</v>
      </c>
      <c r="H7" s="69" t="n"/>
      <c r="I7" s="69" t="n"/>
      <c r="J7" s="69" t="n"/>
      <c r="K7" s="69" t="n"/>
      <c r="L7" s="69" t="n"/>
      <c r="M7" s="69" t="n"/>
      <c r="N7" s="69" t="n"/>
      <c r="O7" s="69" t="n"/>
    </row>
    <row r="8">
      <c r="F8" t="inlineStr">
        <is>
          <t>People not getting enough exercise</t>
        </is>
      </c>
      <c r="G8" s="69" t="n">
        <v>9.4</v>
      </c>
      <c r="H8" s="69" t="n"/>
      <c r="I8" s="69" t="n"/>
      <c r="J8" s="69" t="n"/>
      <c r="K8" s="69" t="n"/>
      <c r="L8" s="69" t="n"/>
      <c r="M8" s="69" t="n"/>
      <c r="N8" s="69" t="n"/>
      <c r="O8" s="69" t="n"/>
    </row>
    <row r="9">
      <c r="A9" s="71" t="inlineStr">
        <is>
          <t>Figure Rules</t>
        </is>
      </c>
      <c r="F9" t="inlineStr">
        <is>
          <t>People not having enough food to eat</t>
        </is>
      </c>
      <c r="G9" s="69" t="n">
        <v>40.1</v>
      </c>
      <c r="H9" s="69" t="n"/>
      <c r="I9" s="69" t="n"/>
      <c r="J9" s="69" t="n"/>
      <c r="K9" s="69" t="n"/>
      <c r="L9" s="69" t="n"/>
      <c r="M9" s="69" t="n"/>
      <c r="N9" s="69" t="n"/>
      <c r="O9" s="69" t="n"/>
    </row>
    <row r="10">
      <c r="A10" t="inlineStr">
        <is>
          <t>Figure Type</t>
        </is>
      </c>
      <c r="B10" t="inlineStr">
        <is>
          <t>Bar</t>
        </is>
      </c>
      <c r="F10" t="inlineStr">
        <is>
          <t>Suicide</t>
        </is>
      </c>
      <c r="G10" s="69" t="n">
        <v>8.300000000000001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Q57"/>
  <sheetViews>
    <sheetView workbookViewId="0">
      <selection activeCell="M27" sqref="M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Respondent Demographic Breakdown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16" t="inlineStr">
        <is>
          <t>TOTAL COUNT</t>
        </is>
      </c>
      <c r="G5" s="69" t="n">
        <v>900</v>
      </c>
    </row>
    <row r="6" ht="15" customHeight="1" s="91">
      <c r="A6" t="inlineStr">
        <is>
          <t>Multilevel Headers</t>
        </is>
      </c>
      <c r="B6" t="b">
        <v>1</v>
      </c>
      <c r="F6" s="72" t="inlineStr">
        <is>
          <t>Gender</t>
        </is>
      </c>
      <c r="I6" s="69" t="n"/>
      <c r="J6" s="69" t="n"/>
      <c r="K6" s="69" t="n"/>
      <c r="L6" s="69" t="n"/>
      <c r="M6" s="69" t="n"/>
      <c r="N6" s="69" t="n"/>
      <c r="O6" s="69" t="n"/>
    </row>
    <row r="7" ht="15.75" customHeight="1" s="91">
      <c r="F7" s="47" t="inlineStr">
        <is>
          <t>Males</t>
        </is>
      </c>
      <c r="G7" s="63" t="n">
        <v>0.48</v>
      </c>
      <c r="I7" s="69" t="n"/>
      <c r="J7" s="69" t="n"/>
      <c r="K7" s="69" t="n"/>
      <c r="L7" s="69" t="n"/>
      <c r="M7" s="69" t="n"/>
      <c r="N7" s="69" t="n"/>
      <c r="O7" s="69" t="n"/>
    </row>
    <row r="8">
      <c r="F8" s="47" t="inlineStr">
        <is>
          <t>Female</t>
        </is>
      </c>
      <c r="G8" s="63" t="n">
        <v>0.48</v>
      </c>
      <c r="I8" s="69" t="n"/>
      <c r="J8" s="69" t="n"/>
      <c r="K8" s="69" t="n"/>
      <c r="L8" s="69" t="n"/>
      <c r="M8" s="69" t="n"/>
      <c r="N8" s="69" t="n"/>
      <c r="O8" s="69" t="n"/>
    </row>
    <row r="9">
      <c r="A9" s="71" t="inlineStr">
        <is>
          <t>Figure Rules</t>
        </is>
      </c>
      <c r="F9" s="72" t="inlineStr">
        <is>
          <t>Age</t>
        </is>
      </c>
      <c r="I9" s="69" t="n"/>
      <c r="J9" s="69" t="n"/>
      <c r="K9" s="69" t="n"/>
      <c r="L9" s="69" t="n"/>
      <c r="M9" s="69" t="n"/>
      <c r="N9" s="69" t="n"/>
      <c r="O9" s="69" t="n"/>
    </row>
    <row r="10">
      <c r="A10" t="inlineStr">
        <is>
          <t>Figure Type</t>
        </is>
      </c>
      <c r="F10" s="47" t="inlineStr">
        <is>
          <t>18 to 34</t>
        </is>
      </c>
      <c r="G10" s="63" t="n">
        <v>0.29</v>
      </c>
    </row>
    <row r="11">
      <c r="A11" t="inlineStr">
        <is>
          <t>X Column</t>
        </is>
      </c>
      <c r="F11" s="47" t="inlineStr">
        <is>
          <t>35 to 54</t>
        </is>
      </c>
      <c r="G11" s="63" t="n">
        <v>0.36</v>
      </c>
      <c r="I11" s="69" t="n"/>
      <c r="J11" s="68" t="n"/>
      <c r="K11" s="68" t="n"/>
      <c r="L11" s="68" t="n"/>
      <c r="M11" s="68" t="n"/>
      <c r="N11" s="68" t="n"/>
    </row>
    <row r="12">
      <c r="A12" t="inlineStr">
        <is>
          <t>Y Column</t>
        </is>
      </c>
      <c r="F12" s="48" t="inlineStr">
        <is>
          <t>55 and older</t>
        </is>
      </c>
      <c r="G12" s="65" t="n">
        <v>0.33</v>
      </c>
      <c r="I12" s="69" t="n"/>
      <c r="J12" s="69" t="n"/>
      <c r="K12" s="69" t="n"/>
      <c r="L12" s="69" t="n"/>
    </row>
    <row r="13">
      <c r="A13" t="inlineStr">
        <is>
          <t>X Axis Title</t>
        </is>
      </c>
      <c r="F13" s="72" t="inlineStr">
        <is>
          <t>Ethnicity</t>
        </is>
      </c>
    </row>
    <row r="14">
      <c r="A14" t="inlineStr">
        <is>
          <t>Y Axis Title</t>
        </is>
      </c>
      <c r="F14" s="47" t="inlineStr">
        <is>
          <t>White</t>
        </is>
      </c>
      <c r="G14" s="63" t="n">
        <v>0.64</v>
      </c>
    </row>
    <row r="15">
      <c r="A15" t="inlineStr">
        <is>
          <t>Start at Zero</t>
        </is>
      </c>
      <c r="F15" s="47" t="inlineStr">
        <is>
          <t>Latino</t>
        </is>
      </c>
      <c r="G15" s="63" t="n">
        <v>0.2</v>
      </c>
    </row>
    <row r="16">
      <c r="A16" t="inlineStr">
        <is>
          <t>Pivot For Chart</t>
        </is>
      </c>
      <c r="F16" s="47" t="inlineStr">
        <is>
          <t>Black/African American</t>
        </is>
      </c>
      <c r="G16" s="63" t="n">
        <v>0.11</v>
      </c>
    </row>
    <row r="17">
      <c r="F17" s="72" t="inlineStr">
        <is>
          <t>Income</t>
        </is>
      </c>
    </row>
    <row r="18">
      <c r="A18" s="71" t="inlineStr">
        <is>
          <t>Source Specifications</t>
        </is>
      </c>
      <c r="F18" s="47" t="inlineStr">
        <is>
          <t>&lt;$25k</t>
        </is>
      </c>
      <c r="G18" s="63" t="n">
        <v>0.1</v>
      </c>
    </row>
    <row r="19">
      <c r="A19" t="inlineStr">
        <is>
          <t>Source</t>
        </is>
      </c>
      <c r="F19" s="47" t="inlineStr">
        <is>
          <t>$25K-$50K</t>
        </is>
      </c>
      <c r="G19" s="63" t="n">
        <v>0.18</v>
      </c>
    </row>
    <row r="20">
      <c r="F20" s="47" t="inlineStr">
        <is>
          <t>$50K-$100K</t>
        </is>
      </c>
      <c r="G20" s="63" t="n">
        <v>0.25</v>
      </c>
    </row>
    <row r="21">
      <c r="A21" s="69" t="inlineStr">
        <is>
          <t>Note Specfications</t>
        </is>
      </c>
      <c r="F21" s="47" t="inlineStr">
        <is>
          <t>$100K-$150K</t>
        </is>
      </c>
      <c r="G21" s="63" t="n">
        <v>0.16</v>
      </c>
    </row>
    <row r="22">
      <c r="A22" t="inlineStr">
        <is>
          <t xml:space="preserve">Note </t>
        </is>
      </c>
      <c r="F22" s="47" t="inlineStr">
        <is>
          <t>$150K+</t>
        </is>
      </c>
      <c r="G22" s="63" t="n">
        <v>0.2</v>
      </c>
    </row>
    <row r="23"/>
    <row r="24"/>
    <row r="25">
      <c r="K25" t="inlineStr">
        <is>
          <t xml:space="preserve"> </t>
        </is>
      </c>
    </row>
    <row r="26"/>
    <row r="27">
      <c r="A27" s="69" t="n"/>
    </row>
    <row r="28"/>
    <row r="29"/>
    <row r="30">
      <c r="F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1"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Lived in Orange County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Length of Residence in Orange County</t>
        </is>
      </c>
      <c r="G5" t="inlineStr">
        <is>
          <t>Percentage</t>
        </is>
      </c>
    </row>
    <row r="6" ht="15" customHeight="1" s="91">
      <c r="A6" t="inlineStr">
        <is>
          <t>Multilevel Headers</t>
        </is>
      </c>
      <c r="B6" t="b">
        <v>0</v>
      </c>
      <c r="F6" t="inlineStr">
        <is>
          <t>Less than 1 year</t>
        </is>
      </c>
      <c r="G6" s="63" t="n">
        <v>0.01</v>
      </c>
      <c r="H6" s="69" t="n"/>
      <c r="I6" s="69" t="n"/>
      <c r="J6" s="69" t="n"/>
      <c r="K6" s="69" t="n"/>
      <c r="L6" s="69" t="n"/>
      <c r="M6" s="69" t="n"/>
      <c r="N6" s="69" t="n"/>
      <c r="O6" s="69" t="n"/>
    </row>
    <row r="7" ht="15.75" customHeight="1" s="91">
      <c r="F7" t="inlineStr">
        <is>
          <t>At least 1 year but less than 2 years</t>
        </is>
      </c>
      <c r="G7" s="63" t="n">
        <v>0.02</v>
      </c>
      <c r="H7" s="69" t="n"/>
      <c r="I7" s="69" t="n"/>
      <c r="J7" s="69" t="n"/>
      <c r="K7" s="69" t="n"/>
      <c r="L7" s="69" t="n"/>
      <c r="M7" s="69" t="n"/>
      <c r="N7" s="69" t="n"/>
      <c r="O7" s="69" t="n"/>
    </row>
    <row r="8">
      <c r="F8" t="inlineStr">
        <is>
          <t>At least 2 years but less than 5 years</t>
        </is>
      </c>
      <c r="G8" s="63" t="n">
        <v>0.08</v>
      </c>
      <c r="H8" s="69" t="n"/>
      <c r="I8" s="69" t="n"/>
      <c r="J8" s="69" t="n"/>
      <c r="K8" s="69" t="n"/>
      <c r="L8" s="69" t="n"/>
      <c r="M8" s="69" t="n"/>
      <c r="N8" s="69" t="n"/>
      <c r="O8" s="69" t="n"/>
    </row>
    <row r="9">
      <c r="A9" s="71" t="inlineStr">
        <is>
          <t>Figure Rules</t>
        </is>
      </c>
      <c r="F9" t="inlineStr">
        <is>
          <t>5 years or more</t>
        </is>
      </c>
      <c r="G9" s="63" t="n">
        <v>0.89</v>
      </c>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J22" sqref="J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Improving</t>
        </is>
      </c>
      <c r="H5" t="inlineStr">
        <is>
          <t>Staying the same</t>
        </is>
      </c>
      <c r="I5" t="inlineStr">
        <is>
          <t>Getting worse</t>
        </is>
      </c>
      <c r="J5" t="inlineStr">
        <is>
          <t>Don't know/Refused</t>
        </is>
      </c>
    </row>
    <row r="6" ht="15" customHeight="1" s="91">
      <c r="A6" t="inlineStr">
        <is>
          <t>Multilevel Headers</t>
        </is>
      </c>
      <c r="B6" t="b">
        <v>0</v>
      </c>
      <c r="F6" t="n">
        <v>2024</v>
      </c>
      <c r="G6" s="63" t="n">
        <v>0.23</v>
      </c>
      <c r="H6" s="63" t="n">
        <v>0.39</v>
      </c>
      <c r="I6" s="63" t="n">
        <v>0.34</v>
      </c>
      <c r="J6" s="63" t="n">
        <v>0.04</v>
      </c>
      <c r="K6" s="69" t="n"/>
      <c r="L6" s="69" t="n"/>
      <c r="M6" s="69" t="n"/>
      <c r="N6" s="69" t="n"/>
      <c r="O6" s="69" t="n"/>
    </row>
    <row r="7" ht="15.75" customHeight="1" s="91">
      <c r="F7" t="n">
        <v>2023</v>
      </c>
      <c r="G7" s="63" t="n">
        <v>0.25</v>
      </c>
      <c r="H7" s="63" t="n">
        <v>0.37</v>
      </c>
      <c r="I7" s="63" t="n">
        <v>0.31</v>
      </c>
      <c r="J7" s="63" t="n">
        <v>0.07000000000000001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6.140625" bestFit="1" customWidth="1" style="91" min="8" max="8"/>
    <col width="13.5703125" bestFit="1" customWidth="1" style="91" min="9" max="9"/>
    <col width="19.4257812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Improving</t>
        </is>
      </c>
      <c r="H5" t="inlineStr">
        <is>
          <t>Staying the same</t>
        </is>
      </c>
      <c r="I5" t="inlineStr">
        <is>
          <t>Getting worse</t>
        </is>
      </c>
      <c r="J5" t="inlineStr">
        <is>
          <t>Don't know/Refused</t>
        </is>
      </c>
    </row>
    <row r="6" ht="15" customHeight="1" s="91">
      <c r="A6" t="inlineStr">
        <is>
          <t>Multilevel Headers</t>
        </is>
      </c>
      <c r="B6" t="b">
        <v>0</v>
      </c>
      <c r="F6" t="inlineStr">
        <is>
          <t>&lt;$25K</t>
        </is>
      </c>
      <c r="G6" s="63" t="n">
        <v>0.22</v>
      </c>
      <c r="H6" s="63" t="n">
        <v>0.33</v>
      </c>
      <c r="I6" s="63" t="n">
        <v>0.39</v>
      </c>
      <c r="J6" s="63" t="n">
        <v>0.07000000000000001</v>
      </c>
      <c r="K6" s="69" t="n"/>
      <c r="L6" s="69" t="n"/>
      <c r="M6" s="69" t="n"/>
      <c r="N6" s="69" t="n"/>
      <c r="O6" s="69" t="n"/>
    </row>
    <row r="7" ht="15.75" customHeight="1" s="91">
      <c r="F7" t="inlineStr">
        <is>
          <t>$25K-$50K</t>
        </is>
      </c>
      <c r="G7" s="63" t="n">
        <v>0.27</v>
      </c>
      <c r="H7" s="63" t="n">
        <v>0.31</v>
      </c>
      <c r="I7" s="63" t="n">
        <v>0.35</v>
      </c>
      <c r="J7" s="63" t="n">
        <v>0.07000000000000001</v>
      </c>
      <c r="K7" s="69" t="n"/>
      <c r="L7" s="69" t="n"/>
      <c r="M7" s="69" t="n"/>
      <c r="N7" s="69" t="n"/>
      <c r="O7" s="69" t="n"/>
    </row>
    <row r="8">
      <c r="F8" t="inlineStr">
        <is>
          <t>$50K-$100K</t>
        </is>
      </c>
      <c r="G8" s="63" t="n">
        <v>0.22</v>
      </c>
      <c r="H8" s="63" t="n">
        <v>0.38</v>
      </c>
      <c r="I8" s="63" t="n">
        <v>0.36</v>
      </c>
      <c r="J8" s="63" t="n">
        <v>0.04</v>
      </c>
      <c r="K8" s="69" t="n"/>
      <c r="L8" s="69" t="n"/>
      <c r="M8" s="69" t="n"/>
      <c r="N8" s="69" t="n"/>
      <c r="O8" s="69" t="n"/>
    </row>
    <row r="9">
      <c r="A9" s="71" t="inlineStr">
        <is>
          <t>Figure Rules</t>
        </is>
      </c>
      <c r="F9" t="inlineStr">
        <is>
          <t>$100K-$150K</t>
        </is>
      </c>
      <c r="G9" s="63" t="n">
        <v>0.18</v>
      </c>
      <c r="H9" s="63" t="n">
        <v>0.45</v>
      </c>
      <c r="I9" s="63" t="n">
        <v>0.34</v>
      </c>
      <c r="J9" s="63" t="n">
        <v>0.03</v>
      </c>
      <c r="K9" s="69" t="n"/>
      <c r="L9" s="69" t="n"/>
      <c r="M9" s="69" t="n"/>
      <c r="N9" s="69" t="n"/>
      <c r="O9" s="69" t="n"/>
    </row>
    <row r="10">
      <c r="A10" t="inlineStr">
        <is>
          <t>Figure Type</t>
        </is>
      </c>
      <c r="B10" t="inlineStr">
        <is>
          <t>Clustered Bar</t>
        </is>
      </c>
      <c r="F10" t="inlineStr">
        <is>
          <t>$150K+</t>
        </is>
      </c>
      <c r="G10" s="63" t="n">
        <v>0.25</v>
      </c>
      <c r="H10" s="89" t="n">
        <v>0.42</v>
      </c>
      <c r="I10" s="89" t="n">
        <v>0.33</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0.15</v>
      </c>
      <c r="H6" s="63" t="n">
        <v>0.42</v>
      </c>
      <c r="I6" s="63" t="n">
        <v>0.28</v>
      </c>
      <c r="J6" s="63" t="n">
        <v>0.08</v>
      </c>
      <c r="K6" s="63" t="n">
        <v>0.07000000000000001</v>
      </c>
      <c r="L6" s="69" t="n"/>
      <c r="M6" s="69" t="n"/>
      <c r="N6" s="69" t="n"/>
      <c r="O6" s="69" t="n"/>
    </row>
    <row r="7" ht="15.75" customHeight="1" s="91">
      <c r="F7" t="n">
        <v>2023</v>
      </c>
      <c r="G7" s="63" t="n">
        <v>0.18</v>
      </c>
      <c r="H7" s="63" t="n">
        <v>0.42</v>
      </c>
      <c r="I7" s="63" t="n">
        <v>0.23</v>
      </c>
      <c r="J7" s="63" t="n">
        <v>0.08</v>
      </c>
      <c r="K7" s="63" t="n">
        <v>0.08</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Weather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inlineStr">
        <is>
          <t>&lt;$25K</t>
        </is>
      </c>
      <c r="G6" s="63" t="n">
        <v>0.1</v>
      </c>
      <c r="H6" s="63" t="n">
        <v>0.4</v>
      </c>
      <c r="I6" s="63" t="n">
        <v>0.38</v>
      </c>
      <c r="J6" s="63" t="n">
        <v>0.06</v>
      </c>
      <c r="K6" s="63" t="n">
        <v>0.06</v>
      </c>
      <c r="L6" s="69" t="n"/>
      <c r="M6" s="69" t="n"/>
      <c r="N6" s="69" t="n"/>
      <c r="O6" s="69" t="n"/>
    </row>
    <row r="7" ht="15.75" customHeight="1" s="91">
      <c r="F7" t="inlineStr">
        <is>
          <t>$25K-$50K</t>
        </is>
      </c>
      <c r="G7" s="63" t="n">
        <v>0.17</v>
      </c>
      <c r="H7" s="63" t="n">
        <v>0.43</v>
      </c>
      <c r="I7" s="63" t="n">
        <v>0.23</v>
      </c>
      <c r="J7" s="63" t="n">
        <v>0.09</v>
      </c>
      <c r="K7" s="63" t="n">
        <v>0.08</v>
      </c>
      <c r="L7" s="69" t="n"/>
      <c r="M7" s="69" t="n"/>
      <c r="N7" s="69" t="n"/>
      <c r="O7" s="69" t="n"/>
    </row>
    <row r="8">
      <c r="F8" t="inlineStr">
        <is>
          <t>$50K-$100K</t>
        </is>
      </c>
      <c r="G8" s="63" t="n">
        <v>0.13</v>
      </c>
      <c r="H8" s="63" t="n">
        <v>0.39</v>
      </c>
      <c r="I8" s="63" t="n">
        <v>0.33</v>
      </c>
      <c r="J8" s="63" t="n">
        <v>0.07000000000000001</v>
      </c>
      <c r="K8" s="63" t="n">
        <v>0.08</v>
      </c>
      <c r="L8" s="69" t="n"/>
      <c r="M8" s="69" t="n"/>
      <c r="N8" s="69" t="n"/>
      <c r="O8" s="69" t="n"/>
    </row>
    <row r="9">
      <c r="A9" s="71" t="inlineStr">
        <is>
          <t>Figure Rules</t>
        </is>
      </c>
      <c r="F9" t="inlineStr">
        <is>
          <t>$100K-$150K</t>
        </is>
      </c>
      <c r="G9" s="63" t="n">
        <v>0.13</v>
      </c>
      <c r="H9" s="63" t="n">
        <v>0.42</v>
      </c>
      <c r="I9" s="63" t="n">
        <v>0.27</v>
      </c>
      <c r="J9" s="63" t="n">
        <v>0.09</v>
      </c>
      <c r="K9" s="63" t="n">
        <v>0.1</v>
      </c>
      <c r="L9" s="69" t="n"/>
      <c r="M9" s="69" t="n"/>
      <c r="N9" s="69" t="n"/>
      <c r="O9" s="69" t="n"/>
    </row>
    <row r="10">
      <c r="A10" t="inlineStr">
        <is>
          <t>Figure Type</t>
        </is>
      </c>
      <c r="B10" t="inlineStr">
        <is>
          <t>Clustered Bar</t>
        </is>
      </c>
      <c r="F10" t="inlineStr">
        <is>
          <t>$150K+</t>
        </is>
      </c>
      <c r="G10" s="63" t="n">
        <v>0.17</v>
      </c>
      <c r="H10" s="89" t="n">
        <v>0.51</v>
      </c>
      <c r="I10" s="89" t="n">
        <v>0.22</v>
      </c>
      <c r="J10" s="89" t="n">
        <v>0.06</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0.17</v>
      </c>
      <c r="H6" s="63" t="n">
        <v>0.41</v>
      </c>
      <c r="I6" s="63" t="n">
        <v>0.24</v>
      </c>
      <c r="J6" s="63" t="n">
        <v>0.1</v>
      </c>
      <c r="K6" s="63" t="n">
        <v>0.07000000000000001</v>
      </c>
      <c r="L6" s="69" t="n"/>
      <c r="M6" s="69" t="n"/>
      <c r="N6" s="69" t="n"/>
      <c r="O6" s="69" t="n"/>
    </row>
    <row r="7" ht="15.75" customHeight="1" s="91">
      <c r="F7" t="n">
        <v>2023</v>
      </c>
      <c r="G7" s="63" t="n">
        <v>0.2</v>
      </c>
      <c r="H7" s="63" t="n">
        <v>0.42</v>
      </c>
      <c r="I7" s="63" t="n">
        <v>0.22</v>
      </c>
      <c r="J7" s="63" t="n">
        <v>0.09</v>
      </c>
      <c r="K7" s="63" t="n">
        <v>0.06</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s="69" t="inlineStr">
        <is>
          <t>Excellent</t>
        </is>
      </c>
      <c r="H5" s="69" t="inlineStr">
        <is>
          <t>Good</t>
        </is>
      </c>
      <c r="I5" s="69" t="inlineStr">
        <is>
          <t>Fair</t>
        </is>
      </c>
      <c r="J5" s="69" t="inlineStr">
        <is>
          <t>Poor</t>
        </is>
      </c>
      <c r="K5" s="69" t="inlineStr">
        <is>
          <t>Don't know/Refused</t>
        </is>
      </c>
    </row>
    <row r="6" ht="15" customHeight="1" s="91">
      <c r="A6" t="inlineStr">
        <is>
          <t>Multilevel Headers</t>
        </is>
      </c>
      <c r="B6" t="b">
        <v>0</v>
      </c>
      <c r="F6" t="inlineStr">
        <is>
          <t>&lt;$25K</t>
        </is>
      </c>
      <c r="G6" s="63" t="n">
        <v>0.1</v>
      </c>
      <c r="H6" s="63" t="n">
        <v>0.44</v>
      </c>
      <c r="I6" s="63" t="n">
        <v>0.34</v>
      </c>
      <c r="J6" s="63" t="n">
        <v>0.08</v>
      </c>
      <c r="K6" s="63" t="n">
        <v>0.04</v>
      </c>
      <c r="L6" s="69" t="n"/>
      <c r="M6" s="69" t="n"/>
      <c r="N6" s="69" t="n"/>
      <c r="O6" s="69" t="n"/>
    </row>
    <row r="7" ht="15.75" customHeight="1" s="91">
      <c r="F7" t="inlineStr">
        <is>
          <t>$25K-$50K</t>
        </is>
      </c>
      <c r="G7" s="63" t="n">
        <v>0.16</v>
      </c>
      <c r="H7" s="63" t="n">
        <v>0.36</v>
      </c>
      <c r="I7" s="63" t="n">
        <v>0.29</v>
      </c>
      <c r="J7" s="63" t="n">
        <v>0.1</v>
      </c>
      <c r="K7" s="63" t="n">
        <v>0.09</v>
      </c>
      <c r="L7" s="69" t="n"/>
      <c r="M7" s="69" t="n"/>
      <c r="N7" s="69" t="n"/>
      <c r="O7" s="69" t="n"/>
    </row>
    <row r="8">
      <c r="F8" t="inlineStr">
        <is>
          <t>$50K-$100K</t>
        </is>
      </c>
      <c r="G8" s="63" t="n">
        <v>0.12</v>
      </c>
      <c r="H8" s="63" t="n">
        <v>0.48</v>
      </c>
      <c r="I8" s="63" t="n">
        <v>0.21</v>
      </c>
      <c r="J8" s="63" t="n">
        <v>0.1</v>
      </c>
      <c r="K8" s="63" t="n">
        <v>0.09</v>
      </c>
      <c r="L8" s="69" t="n"/>
      <c r="M8" s="69" t="n"/>
      <c r="N8" s="69" t="n"/>
      <c r="O8" s="69" t="n"/>
    </row>
    <row r="9">
      <c r="A9" s="71" t="inlineStr">
        <is>
          <t>Figure Rules</t>
        </is>
      </c>
      <c r="F9" t="inlineStr">
        <is>
          <t>$100K-$150K</t>
        </is>
      </c>
      <c r="G9" s="63" t="n">
        <v>0.2</v>
      </c>
      <c r="H9" s="63" t="n">
        <v>0.38</v>
      </c>
      <c r="I9" s="63" t="n">
        <v>0.25</v>
      </c>
      <c r="J9" s="63" t="n">
        <v>0</v>
      </c>
      <c r="K9" s="63" t="n">
        <v>0.08</v>
      </c>
      <c r="L9" s="69" t="n"/>
      <c r="M9" s="69" t="n"/>
      <c r="N9" s="69" t="n"/>
      <c r="O9" s="69" t="n"/>
    </row>
    <row r="10">
      <c r="A10" t="inlineStr">
        <is>
          <t>Figure Type</t>
        </is>
      </c>
      <c r="B10" t="inlineStr">
        <is>
          <t>Clustered Bar</t>
        </is>
      </c>
      <c r="F10" t="inlineStr">
        <is>
          <t>$150K+</t>
        </is>
      </c>
      <c r="G10" s="63" t="n">
        <v>0.23</v>
      </c>
      <c r="H10" s="63" t="n">
        <v>0.41</v>
      </c>
      <c r="I10" s="63" t="n">
        <v>0.18</v>
      </c>
      <c r="J10" s="63" t="n">
        <v>0.14</v>
      </c>
      <c r="K10" s="63" t="n">
        <v>0.03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J9" sqref="J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0.25</v>
      </c>
      <c r="H6" s="63" t="n">
        <v>0.42</v>
      </c>
      <c r="I6" s="63" t="n">
        <v>0.2</v>
      </c>
      <c r="J6" s="63" t="n">
        <v>0.12</v>
      </c>
      <c r="K6" s="63" t="n">
        <v>0.01</v>
      </c>
      <c r="L6" s="69" t="n"/>
      <c r="M6" s="69" t="n"/>
      <c r="N6" s="69" t="n"/>
      <c r="O6" s="69" t="n"/>
    </row>
    <row r="7" ht="15.75" customHeight="1" s="91">
      <c r="F7" t="n">
        <v>2023</v>
      </c>
      <c r="G7" s="63" t="n">
        <v>0.25</v>
      </c>
      <c r="H7" s="63" t="n">
        <v>0.43</v>
      </c>
      <c r="I7" s="63" t="n">
        <v>0.17</v>
      </c>
      <c r="J7" s="63" t="n">
        <v>0.13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0.2</v>
      </c>
      <c r="H6" s="63" t="n">
        <v>0.46</v>
      </c>
      <c r="I6" s="63" t="n">
        <v>0.21</v>
      </c>
      <c r="J6" s="63" t="n">
        <v>0.1</v>
      </c>
      <c r="K6" s="69" t="n"/>
      <c r="L6" s="69" t="n"/>
      <c r="M6" s="69" t="n"/>
      <c r="N6" s="69" t="n"/>
      <c r="O6" s="69" t="n"/>
    </row>
    <row r="7" ht="15.75" customHeight="1" s="91">
      <c r="F7" t="inlineStr">
        <is>
          <t>$25K-$50K</t>
        </is>
      </c>
      <c r="G7" s="63" t="n">
        <v>0.28</v>
      </c>
      <c r="H7" s="63" t="n">
        <v>0.37</v>
      </c>
      <c r="I7" s="63" t="n">
        <v>0.23</v>
      </c>
      <c r="J7" s="63" t="n">
        <v>0.11</v>
      </c>
      <c r="K7" s="69" t="n"/>
      <c r="L7" s="69" t="n"/>
      <c r="M7" s="69" t="n"/>
      <c r="N7" s="69" t="n"/>
      <c r="O7" s="69" t="n"/>
    </row>
    <row r="8">
      <c r="F8" t="inlineStr">
        <is>
          <t>$50K-$100K</t>
        </is>
      </c>
      <c r="G8" s="63" t="n">
        <v>0.25</v>
      </c>
      <c r="H8" s="63" t="n">
        <v>0.4</v>
      </c>
      <c r="I8" s="63" t="n">
        <v>0.24</v>
      </c>
      <c r="J8" s="63" t="n">
        <v>0.1</v>
      </c>
      <c r="K8" s="69" t="n"/>
      <c r="L8" s="69" t="n"/>
      <c r="M8" s="69" t="n"/>
      <c r="N8" s="69" t="n"/>
      <c r="O8" s="69" t="n"/>
    </row>
    <row r="9">
      <c r="A9" s="71" t="inlineStr">
        <is>
          <t>Figure Rules</t>
        </is>
      </c>
      <c r="F9" t="inlineStr">
        <is>
          <t>$100K-$150K</t>
        </is>
      </c>
      <c r="G9" s="63" t="n">
        <v>0.24</v>
      </c>
      <c r="H9" s="63" t="n">
        <v>0.45</v>
      </c>
      <c r="I9" s="63" t="n">
        <v>0.17</v>
      </c>
      <c r="J9" s="63" t="n">
        <v>0.14</v>
      </c>
      <c r="K9" s="69" t="n"/>
      <c r="L9" s="69" t="n"/>
      <c r="M9" s="69" t="n"/>
      <c r="N9" s="69" t="n"/>
      <c r="O9" s="69" t="n"/>
    </row>
    <row r="10">
      <c r="A10" t="inlineStr">
        <is>
          <t>Figure Type</t>
        </is>
      </c>
      <c r="B10" t="inlineStr">
        <is>
          <t>Clustered Bar</t>
        </is>
      </c>
      <c r="F10" t="inlineStr">
        <is>
          <t>$150K+</t>
        </is>
      </c>
      <c r="G10" s="63" t="n">
        <v>0.26</v>
      </c>
      <c r="H10" s="89" t="n">
        <v>0.44</v>
      </c>
      <c r="I10" s="89" t="n">
        <v>0.16</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L9" sqref="L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0.13</v>
      </c>
      <c r="H6" s="63" t="n">
        <v>0.35</v>
      </c>
      <c r="I6" s="63" t="n">
        <v>0.27</v>
      </c>
      <c r="J6" s="63" t="n">
        <v>0.23</v>
      </c>
      <c r="K6" s="63" t="n">
        <v>0.02</v>
      </c>
      <c r="L6" s="69" t="n"/>
      <c r="M6" s="69" t="n"/>
      <c r="N6" s="69" t="n"/>
      <c r="O6" s="69" t="n"/>
    </row>
    <row r="7" ht="15.75" customHeight="1" s="91">
      <c r="F7" t="n">
        <v>2023</v>
      </c>
      <c r="G7" s="63" t="n">
        <v>0.14</v>
      </c>
      <c r="H7" s="63" t="n">
        <v>0.32</v>
      </c>
      <c r="I7" s="63" t="n">
        <v>0.29</v>
      </c>
      <c r="J7" s="63" t="n">
        <v>0.23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0.14</v>
      </c>
      <c r="H6" s="63" t="n">
        <v>0.43</v>
      </c>
      <c r="I6" s="63" t="n">
        <v>0.22</v>
      </c>
      <c r="J6" s="63" t="n">
        <v>0.18</v>
      </c>
      <c r="K6" s="69" t="n"/>
      <c r="L6" s="69" t="n"/>
      <c r="M6" s="69" t="n"/>
      <c r="N6" s="69" t="n"/>
      <c r="O6" s="69" t="n"/>
    </row>
    <row r="7" ht="15.75" customHeight="1" s="91">
      <c r="F7" t="inlineStr">
        <is>
          <t>$25K-$50K</t>
        </is>
      </c>
      <c r="G7" s="63" t="n">
        <v>0.17</v>
      </c>
      <c r="H7" s="63" t="n">
        <v>0.38</v>
      </c>
      <c r="I7" s="63" t="n">
        <v>0.25</v>
      </c>
      <c r="J7" s="63" t="n">
        <v>0.17</v>
      </c>
      <c r="K7" s="69" t="n"/>
      <c r="L7" s="69" t="n"/>
      <c r="M7" s="69" t="n"/>
      <c r="N7" s="69" t="n"/>
      <c r="O7" s="69" t="n"/>
    </row>
    <row r="8">
      <c r="F8" t="inlineStr">
        <is>
          <t>$50K-$100K</t>
        </is>
      </c>
      <c r="G8" s="63" t="n">
        <v>0.13</v>
      </c>
      <c r="H8" s="63" t="n">
        <v>0.36</v>
      </c>
      <c r="I8" s="63" t="n">
        <v>0.31</v>
      </c>
      <c r="J8" s="63" t="n">
        <v>0.2</v>
      </c>
      <c r="K8" s="69" t="n"/>
      <c r="L8" s="69" t="n"/>
      <c r="M8" s="69" t="n"/>
      <c r="N8" s="69" t="n"/>
      <c r="O8" s="69" t="n"/>
    </row>
    <row r="9">
      <c r="A9" s="71" t="inlineStr">
        <is>
          <t>Figure Rules</t>
        </is>
      </c>
      <c r="F9" t="inlineStr">
        <is>
          <t>$100K-$150K</t>
        </is>
      </c>
      <c r="G9" s="63" t="n">
        <v>0.07000000000000001</v>
      </c>
      <c r="H9" s="63" t="n">
        <v>0.39</v>
      </c>
      <c r="I9" s="63" t="n">
        <v>0.26</v>
      </c>
      <c r="J9" s="63" t="n">
        <v>0.25</v>
      </c>
      <c r="K9" s="69" t="n"/>
      <c r="L9" s="69" t="n"/>
      <c r="M9" s="69" t="n"/>
      <c r="N9" s="69" t="n"/>
      <c r="O9" s="69" t="n"/>
    </row>
    <row r="10">
      <c r="A10" t="inlineStr">
        <is>
          <t>Figure Type</t>
        </is>
      </c>
      <c r="B10" t="inlineStr">
        <is>
          <t>Clustered Bar</t>
        </is>
      </c>
      <c r="F10" t="inlineStr">
        <is>
          <t>$150K+</t>
        </is>
      </c>
      <c r="G10" s="63" t="n">
        <v>0.09</v>
      </c>
      <c r="H10" s="89" t="n">
        <v>0.3</v>
      </c>
      <c r="I10" s="89" t="n">
        <v>0.29</v>
      </c>
      <c r="J10" s="89" t="n">
        <v>0.32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I16" sqref="I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How would you rate the community you live in as a place for people to live as they age?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t>
        </is>
      </c>
    </row>
    <row r="6" ht="15" customHeight="1" s="91">
      <c r="A6" t="inlineStr">
        <is>
          <t>Multilevel Headers</t>
        </is>
      </c>
      <c r="B6" t="b">
        <v>0</v>
      </c>
      <c r="F6" t="n">
        <v>2024</v>
      </c>
      <c r="G6" s="63" t="n">
        <v>0.25</v>
      </c>
      <c r="H6" s="63" t="n">
        <v>0.34</v>
      </c>
      <c r="I6" s="63" t="n">
        <v>0.28</v>
      </c>
      <c r="J6" s="63" t="n">
        <v>0.12</v>
      </c>
      <c r="K6" s="63" t="n">
        <v>0.01</v>
      </c>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J17" sqref="J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Physical Health,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row>
    <row r="6" ht="15" customHeight="1" s="91">
      <c r="A6" t="inlineStr">
        <is>
          <t>Multilevel Headers</t>
        </is>
      </c>
      <c r="B6" t="b">
        <v>0</v>
      </c>
      <c r="F6" t="n">
        <v>2024</v>
      </c>
      <c r="G6" s="63" t="n">
        <v>0.28</v>
      </c>
      <c r="H6" s="63" t="n">
        <v>0.46</v>
      </c>
      <c r="I6" s="63" t="n">
        <v>0.21</v>
      </c>
      <c r="J6" s="63" t="n">
        <v>0.06</v>
      </c>
      <c r="K6" s="69" t="n"/>
      <c r="L6" s="69" t="n"/>
      <c r="M6" s="69" t="n"/>
      <c r="N6" s="69" t="n"/>
      <c r="O6" s="69" t="n"/>
    </row>
    <row r="7" ht="15.75" customHeight="1" s="91">
      <c r="F7" t="n">
        <v>2023</v>
      </c>
      <c r="G7" s="63" t="n">
        <v>0.25</v>
      </c>
      <c r="H7" s="63" t="n">
        <v>0.49</v>
      </c>
      <c r="I7" s="63" t="n">
        <v>0.2</v>
      </c>
      <c r="J7" s="63" t="n">
        <v>0.05</v>
      </c>
      <c r="K7" s="69" t="n"/>
      <c r="L7" s="69" t="n"/>
      <c r="M7" s="69" t="n"/>
      <c r="N7" s="69" t="n"/>
      <c r="O7" s="69" t="n"/>
    </row>
    <row r="8">
      <c r="F8" t="n">
        <v>2022</v>
      </c>
      <c r="G8" s="63" t="n">
        <v>0.23</v>
      </c>
      <c r="H8" s="63" t="n">
        <v>0.5</v>
      </c>
      <c r="I8" s="63" t="n">
        <v>0.22</v>
      </c>
      <c r="J8" s="63" t="n">
        <v>0.04</v>
      </c>
      <c r="K8" s="69" t="n"/>
      <c r="L8" s="69" t="n"/>
      <c r="M8" s="69" t="n"/>
      <c r="N8" s="69" t="n"/>
      <c r="O8" s="69" t="n"/>
    </row>
    <row r="9">
      <c r="A9" s="71" t="inlineStr">
        <is>
          <t>Figure Rules</t>
        </is>
      </c>
      <c r="F9" t="n">
        <v>2018</v>
      </c>
      <c r="G9" s="63" t="n">
        <v>0.35</v>
      </c>
      <c r="H9" s="63" t="n">
        <v>0.44</v>
      </c>
      <c r="I9" s="63" t="n">
        <v>0.15</v>
      </c>
      <c r="J9" s="63" t="n">
        <v>0.05</v>
      </c>
      <c r="K9" s="69" t="n"/>
      <c r="L9" s="69" t="n"/>
      <c r="M9" s="69" t="n"/>
      <c r="N9" s="69" t="n"/>
      <c r="O9" s="69" t="n"/>
    </row>
    <row r="10">
      <c r="A10" t="inlineStr">
        <is>
          <t>Figure Type</t>
        </is>
      </c>
      <c r="B10" t="inlineStr">
        <is>
          <t>Clustered Bar</t>
        </is>
      </c>
      <c r="G10" s="63" t="n"/>
      <c r="H10" s="89" t="n"/>
      <c r="I10" s="89" t="n"/>
      <c r="J10" s="8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0.14</v>
      </c>
      <c r="H6" s="63" t="n">
        <v>0.46</v>
      </c>
      <c r="I6" s="63" t="n">
        <v>0.31</v>
      </c>
      <c r="J6" s="63" t="n">
        <v>0.1</v>
      </c>
      <c r="K6" s="69" t="n"/>
      <c r="L6" s="69" t="n"/>
      <c r="M6" s="69" t="n"/>
      <c r="N6" s="69" t="n"/>
      <c r="O6" s="69" t="n"/>
    </row>
    <row r="7" ht="15.75" customHeight="1" s="91">
      <c r="F7" t="inlineStr">
        <is>
          <t>$25K-$50K</t>
        </is>
      </c>
      <c r="G7" s="63" t="n">
        <v>0.26</v>
      </c>
      <c r="H7" s="63" t="n">
        <v>0.39</v>
      </c>
      <c r="I7" s="63" t="n">
        <v>0.26</v>
      </c>
      <c r="J7" s="63" t="n">
        <v>0.08</v>
      </c>
      <c r="K7" s="69" t="n"/>
      <c r="L7" s="69" t="n"/>
      <c r="M7" s="69" t="n"/>
      <c r="N7" s="69" t="n"/>
      <c r="O7" s="69" t="n"/>
    </row>
    <row r="8">
      <c r="F8" t="inlineStr">
        <is>
          <t>$50K-$100K</t>
        </is>
      </c>
      <c r="G8" s="63" t="n">
        <v>0.25</v>
      </c>
      <c r="H8" s="63" t="n">
        <v>0.48</v>
      </c>
      <c r="I8" s="63" t="n">
        <v>0.21</v>
      </c>
      <c r="J8" s="63" t="n">
        <v>0.06</v>
      </c>
      <c r="K8" s="69" t="n"/>
      <c r="L8" s="69" t="n"/>
      <c r="M8" s="69" t="n"/>
      <c r="N8" s="69" t="n"/>
      <c r="O8" s="69" t="n"/>
    </row>
    <row r="9">
      <c r="A9" s="71" t="inlineStr">
        <is>
          <t>Figure Rules</t>
        </is>
      </c>
      <c r="F9" t="inlineStr">
        <is>
          <t>$100K-$150K</t>
        </is>
      </c>
      <c r="G9" s="63" t="n">
        <v>0.31</v>
      </c>
      <c r="H9" s="63" t="n">
        <v>0.48</v>
      </c>
      <c r="I9" s="63" t="n">
        <v>0.19</v>
      </c>
      <c r="J9" s="63" t="n">
        <v>0.01</v>
      </c>
      <c r="K9" s="69" t="n"/>
      <c r="L9" s="69" t="n"/>
      <c r="M9" s="69" t="n"/>
      <c r="N9" s="69" t="n"/>
      <c r="O9" s="69" t="n"/>
    </row>
    <row r="10">
      <c r="A10" t="inlineStr">
        <is>
          <t>Figure Type</t>
        </is>
      </c>
      <c r="B10" t="inlineStr">
        <is>
          <t>Line</t>
        </is>
      </c>
      <c r="F10" t="inlineStr">
        <is>
          <t>$150K+</t>
        </is>
      </c>
      <c r="G10" s="63" t="n">
        <v>0.34</v>
      </c>
      <c r="H10" s="89" t="n">
        <v>0.5</v>
      </c>
      <c r="I10" s="89" t="n">
        <v>0.12</v>
      </c>
      <c r="J10" s="89" t="n">
        <v>0.03</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Mental Health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0.24</v>
      </c>
      <c r="H6" s="63" t="n">
        <v>0.43</v>
      </c>
      <c r="I6" s="63" t="n">
        <v>0.26</v>
      </c>
      <c r="J6" s="63" t="n">
        <v>0.06</v>
      </c>
      <c r="K6" s="69" t="n"/>
      <c r="L6" s="69" t="n"/>
      <c r="M6" s="69" t="n"/>
      <c r="N6" s="69" t="n"/>
      <c r="O6" s="69" t="n"/>
    </row>
    <row r="7" ht="15.75" customHeight="1" s="91">
      <c r="F7" t="inlineStr">
        <is>
          <t>$25K-$50K</t>
        </is>
      </c>
      <c r="G7" s="63" t="n">
        <v>0.35</v>
      </c>
      <c r="H7" s="63" t="n">
        <v>0.38</v>
      </c>
      <c r="I7" s="63" t="n">
        <v>0.22</v>
      </c>
      <c r="J7" s="63" t="n">
        <v>0.04</v>
      </c>
      <c r="K7" s="69" t="n"/>
      <c r="L7" s="69" t="n"/>
      <c r="M7" s="69" t="n"/>
      <c r="N7" s="69" t="n"/>
      <c r="O7" s="69" t="n"/>
    </row>
    <row r="8">
      <c r="F8" t="inlineStr">
        <is>
          <t>$50K-$100K</t>
        </is>
      </c>
      <c r="G8" s="63" t="n">
        <v>0.31</v>
      </c>
      <c r="H8" s="63" t="n">
        <v>0.51</v>
      </c>
      <c r="I8" s="63" t="n">
        <v>0.14</v>
      </c>
      <c r="J8" s="63" t="n">
        <v>0.04</v>
      </c>
      <c r="K8" s="69" t="n"/>
      <c r="L8" s="69" t="n"/>
      <c r="M8" s="69" t="n"/>
      <c r="N8" s="69" t="n"/>
      <c r="O8" s="69" t="n"/>
    </row>
    <row r="9">
      <c r="A9" s="71" t="inlineStr">
        <is>
          <t>Figure Rules</t>
        </is>
      </c>
      <c r="F9" t="inlineStr">
        <is>
          <t>$100K-$150K</t>
        </is>
      </c>
      <c r="G9" s="63" t="n">
        <v>0.37</v>
      </c>
      <c r="H9" s="63" t="n">
        <v>0.39</v>
      </c>
      <c r="I9" s="63" t="n">
        <v>0.2</v>
      </c>
      <c r="J9" s="63" t="n">
        <v>0.05</v>
      </c>
      <c r="K9" s="69" t="n"/>
      <c r="L9" s="69" t="n"/>
      <c r="M9" s="69" t="n"/>
      <c r="N9" s="69" t="n"/>
      <c r="O9" s="69" t="n"/>
    </row>
    <row r="10">
      <c r="A10" t="inlineStr">
        <is>
          <t>Figure Type</t>
        </is>
      </c>
      <c r="B10" t="inlineStr">
        <is>
          <t>Clustered Bar</t>
        </is>
      </c>
      <c r="F10" t="inlineStr">
        <is>
          <t>$150K+</t>
        </is>
      </c>
      <c r="G10" s="63" t="n">
        <v>0.52</v>
      </c>
      <c r="H10" s="89" t="n">
        <v>0.37</v>
      </c>
      <c r="I10" s="89" t="n">
        <v>0.1</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Healthy Diet,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inlineStr">
        <is>
          <t>&lt;$25K</t>
        </is>
      </c>
      <c r="G6" s="63" t="n">
        <v>0.11</v>
      </c>
      <c r="H6" s="63" t="n">
        <v>0.24</v>
      </c>
      <c r="I6" s="63" t="n">
        <v>0.42</v>
      </c>
      <c r="J6" s="63" t="n">
        <v>0.22</v>
      </c>
      <c r="K6" s="63" t="n">
        <v>0.01</v>
      </c>
      <c r="L6" s="69" t="n"/>
      <c r="M6" s="69" t="n"/>
      <c r="N6" s="69" t="n"/>
      <c r="O6" s="69" t="n"/>
    </row>
    <row r="7" ht="15.75" customHeight="1" s="91">
      <c r="F7" t="inlineStr">
        <is>
          <t>$25K-$50K</t>
        </is>
      </c>
      <c r="G7" s="63" t="n">
        <v>0.07000000000000001</v>
      </c>
      <c r="H7" s="63" t="n">
        <v>0.25</v>
      </c>
      <c r="I7" s="63" t="n">
        <v>0.4</v>
      </c>
      <c r="J7" s="63" t="n">
        <v>0.28</v>
      </c>
      <c r="K7" s="63" t="n">
        <v>0</v>
      </c>
      <c r="L7" s="69" t="n"/>
      <c r="M7" s="69" t="n"/>
      <c r="N7" s="69" t="n"/>
      <c r="O7" s="69" t="n"/>
    </row>
    <row r="8">
      <c r="F8" t="inlineStr">
        <is>
          <t>$50K-$100K</t>
        </is>
      </c>
      <c r="G8" s="63" t="n">
        <v>0.01</v>
      </c>
      <c r="H8" s="63" t="n">
        <v>0.3</v>
      </c>
      <c r="I8" s="63" t="n">
        <v>0.38</v>
      </c>
      <c r="J8" s="63" t="n">
        <v>0.31</v>
      </c>
      <c r="K8" s="63" t="n">
        <v>0</v>
      </c>
      <c r="L8" s="69" t="n"/>
      <c r="M8" s="69" t="n"/>
      <c r="N8" s="69" t="n"/>
      <c r="O8" s="69" t="n"/>
    </row>
    <row r="9">
      <c r="A9" s="71" t="inlineStr">
        <is>
          <t>Figure Rules</t>
        </is>
      </c>
      <c r="F9" t="inlineStr">
        <is>
          <t>$100K-$150K</t>
        </is>
      </c>
      <c r="G9" s="63" t="n">
        <v>0.04</v>
      </c>
      <c r="H9" s="63" t="n">
        <v>0.15</v>
      </c>
      <c r="I9" s="63" t="n">
        <v>0.5</v>
      </c>
      <c r="J9" s="63" t="n">
        <v>0.3</v>
      </c>
      <c r="K9" s="63" t="n">
        <v>0</v>
      </c>
      <c r="L9" s="69" t="n"/>
      <c r="M9" s="69" t="n"/>
      <c r="N9" s="69" t="n"/>
      <c r="O9" s="69" t="n"/>
    </row>
    <row r="10">
      <c r="A10" t="inlineStr">
        <is>
          <t>Figure Type</t>
        </is>
      </c>
      <c r="B10" t="inlineStr">
        <is>
          <t>Clustered Bar</t>
        </is>
      </c>
      <c r="F10" t="inlineStr">
        <is>
          <t>$150K+</t>
        </is>
      </c>
      <c r="G10" s="63" t="n">
        <v>0.04</v>
      </c>
      <c r="H10" s="89" t="n">
        <v>0.26</v>
      </c>
      <c r="I10" s="89" t="n">
        <v>0.47</v>
      </c>
      <c r="J10" s="89" t="n">
        <v>0.23</v>
      </c>
      <c r="K10" s="89" t="n">
        <v>0</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0.33</v>
      </c>
      <c r="H6" s="63" t="n">
        <v>0.31</v>
      </c>
      <c r="I6" s="63" t="n">
        <v>0.16</v>
      </c>
      <c r="J6" s="63" t="n">
        <v>0.19</v>
      </c>
      <c r="K6" s="69" t="n"/>
      <c r="L6" s="69" t="n"/>
      <c r="M6" s="69" t="n"/>
      <c r="N6" s="69" t="n"/>
      <c r="O6" s="69" t="n"/>
    </row>
    <row r="7" ht="15.75" customHeight="1" s="91">
      <c r="F7" t="inlineStr">
        <is>
          <t>$25K-$50K</t>
        </is>
      </c>
      <c r="G7" s="63" t="n">
        <v>0.19</v>
      </c>
      <c r="H7" s="63" t="n">
        <v>0.47</v>
      </c>
      <c r="I7" s="63" t="n">
        <v>0.2</v>
      </c>
      <c r="J7" s="63" t="n">
        <v>0.13</v>
      </c>
      <c r="K7" s="69" t="n"/>
      <c r="L7" s="69" t="n"/>
      <c r="M7" s="69" t="n"/>
      <c r="N7" s="69" t="n"/>
      <c r="O7" s="69" t="n"/>
    </row>
    <row r="8">
      <c r="F8" t="inlineStr">
        <is>
          <t>$50K-$100K</t>
        </is>
      </c>
      <c r="G8" s="63" t="n">
        <v>0.19</v>
      </c>
      <c r="H8" s="63" t="n">
        <v>0.41</v>
      </c>
      <c r="I8" s="63" t="n">
        <v>0.31</v>
      </c>
      <c r="J8" s="63" t="n">
        <v>0.08</v>
      </c>
      <c r="K8" s="69" t="n"/>
      <c r="L8" s="69" t="n"/>
      <c r="M8" s="69" t="n"/>
      <c r="N8" s="69" t="n"/>
      <c r="O8" s="69" t="n"/>
    </row>
    <row r="9">
      <c r="A9" s="71" t="inlineStr">
        <is>
          <t>Figure Rules</t>
        </is>
      </c>
      <c r="F9" t="inlineStr">
        <is>
          <t>$100K-$150K</t>
        </is>
      </c>
      <c r="G9" s="63" t="n">
        <v>0.15</v>
      </c>
      <c r="H9" s="63" t="n">
        <v>0.41</v>
      </c>
      <c r="I9" s="63" t="n">
        <v>0.31</v>
      </c>
      <c r="J9" s="63" t="n">
        <v>0.11</v>
      </c>
      <c r="K9" s="69" t="n"/>
      <c r="L9" s="69" t="n"/>
      <c r="M9" s="69" t="n"/>
      <c r="N9" s="69" t="n"/>
      <c r="O9" s="69" t="n"/>
    </row>
    <row r="10">
      <c r="A10" t="inlineStr">
        <is>
          <t>Figure Type</t>
        </is>
      </c>
      <c r="B10" t="inlineStr">
        <is>
          <t>Line</t>
        </is>
      </c>
      <c r="F10" t="inlineStr">
        <is>
          <t>$150K+</t>
        </is>
      </c>
      <c r="G10" s="63" t="n">
        <v>0.1</v>
      </c>
      <c r="H10" s="89" t="n">
        <v>0.36</v>
      </c>
      <c r="I10" s="89" t="n">
        <v>0.37</v>
      </c>
      <c r="J10" s="89" t="n">
        <v>0.17</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7-9 Hours of Sleep a Night,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0.21</v>
      </c>
      <c r="H6" s="63" t="n">
        <v>0.22</v>
      </c>
      <c r="I6" s="63" t="n">
        <v>0.32</v>
      </c>
      <c r="J6" s="63" t="n">
        <v>0.25</v>
      </c>
      <c r="K6" s="69" t="n"/>
      <c r="L6" s="69" t="n"/>
      <c r="M6" s="69" t="n"/>
      <c r="N6" s="69" t="n"/>
      <c r="O6" s="69" t="n"/>
    </row>
    <row r="7" ht="15.75" customHeight="1" s="91">
      <c r="F7" t="inlineStr">
        <is>
          <t>$25K-$50K</t>
        </is>
      </c>
      <c r="G7" s="63" t="n">
        <v>0.12</v>
      </c>
      <c r="H7" s="63" t="n">
        <v>0.32</v>
      </c>
      <c r="I7" s="63" t="n">
        <v>0.35</v>
      </c>
      <c r="J7" s="63" t="n">
        <v>0.21</v>
      </c>
      <c r="K7" s="69" t="n"/>
      <c r="L7" s="69" t="n"/>
      <c r="M7" s="69" t="n"/>
      <c r="N7" s="69" t="n"/>
      <c r="O7" s="69" t="n"/>
    </row>
    <row r="8">
      <c r="F8" t="inlineStr">
        <is>
          <t>$50K-$100K</t>
        </is>
      </c>
      <c r="G8" s="63" t="n">
        <v>0.12</v>
      </c>
      <c r="H8" s="63" t="n">
        <v>0.33</v>
      </c>
      <c r="I8" s="63" t="n">
        <v>0.29</v>
      </c>
      <c r="J8" s="63" t="n">
        <v>0.25</v>
      </c>
      <c r="K8" s="69" t="n"/>
      <c r="L8" s="69" t="n"/>
      <c r="M8" s="69" t="n"/>
      <c r="N8" s="69" t="n"/>
      <c r="O8" s="69" t="n"/>
    </row>
    <row r="9">
      <c r="A9" s="71" t="inlineStr">
        <is>
          <t>Figure Rules</t>
        </is>
      </c>
      <c r="F9" t="inlineStr">
        <is>
          <t>$100K-$150K</t>
        </is>
      </c>
      <c r="G9" s="63" t="n">
        <v>0.13</v>
      </c>
      <c r="H9" s="63" t="n">
        <v>0.32</v>
      </c>
      <c r="I9" s="63" t="n">
        <v>0.37</v>
      </c>
      <c r="J9" s="63" t="n">
        <v>0.18</v>
      </c>
      <c r="K9" s="69" t="n"/>
      <c r="L9" s="69" t="n"/>
      <c r="M9" s="69" t="n"/>
      <c r="N9" s="69" t="n"/>
      <c r="O9" s="69" t="n"/>
    </row>
    <row r="10">
      <c r="A10" t="inlineStr">
        <is>
          <t>Figure Type</t>
        </is>
      </c>
      <c r="B10" t="inlineStr">
        <is>
          <t>Clustered Bar</t>
        </is>
      </c>
      <c r="F10" t="inlineStr">
        <is>
          <t>$150K+</t>
        </is>
      </c>
      <c r="G10" s="63" t="n">
        <v>0.17</v>
      </c>
      <c r="H10" s="89" t="n">
        <v>0.27</v>
      </c>
      <c r="I10" s="89" t="n">
        <v>0.4</v>
      </c>
      <c r="J10" s="89" t="n">
        <v>0.16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Level of Stress on an Average Day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Not at all stressed</t>
        </is>
      </c>
      <c r="H5" t="inlineStr">
        <is>
          <t>Not very stressed</t>
        </is>
      </c>
      <c r="I5" t="inlineStr">
        <is>
          <t>Somewhat stressed</t>
        </is>
      </c>
      <c r="J5" t="inlineStr">
        <is>
          <t>Very stressed</t>
        </is>
      </c>
    </row>
    <row r="6" ht="15" customHeight="1" s="91">
      <c r="A6" t="inlineStr">
        <is>
          <t>Multilevel Headers</t>
        </is>
      </c>
      <c r="B6" t="b">
        <v>0</v>
      </c>
      <c r="F6" t="inlineStr">
        <is>
          <t>&lt;$25K</t>
        </is>
      </c>
      <c r="G6" s="63" t="n">
        <v>0.14</v>
      </c>
      <c r="H6" s="63" t="n">
        <v>0.15</v>
      </c>
      <c r="I6" s="63" t="n">
        <v>0.44</v>
      </c>
      <c r="J6" s="63" t="n">
        <v>0.27</v>
      </c>
      <c r="K6" s="69" t="n"/>
      <c r="L6" s="69" t="n"/>
      <c r="M6" s="69" t="n"/>
      <c r="N6" s="69" t="n"/>
      <c r="O6" s="69" t="n"/>
    </row>
    <row r="7" ht="15.75" customHeight="1" s="91">
      <c r="F7" t="inlineStr">
        <is>
          <t>$25K-$50K</t>
        </is>
      </c>
      <c r="G7" s="63" t="n">
        <v>0.12</v>
      </c>
      <c r="H7" s="63" t="n">
        <v>0.27</v>
      </c>
      <c r="I7" s="63" t="n">
        <v>0.42</v>
      </c>
      <c r="J7" s="63" t="n">
        <v>0.19</v>
      </c>
      <c r="K7" s="69" t="n"/>
      <c r="L7" s="69" t="n"/>
      <c r="M7" s="69" t="n"/>
      <c r="N7" s="69" t="n"/>
      <c r="O7" s="69" t="n"/>
    </row>
    <row r="8">
      <c r="F8" t="inlineStr">
        <is>
          <t>$50K-$100K</t>
        </is>
      </c>
      <c r="G8" s="63" t="n">
        <v>0.16</v>
      </c>
      <c r="H8" s="63" t="n">
        <v>0.24</v>
      </c>
      <c r="I8" s="63" t="n">
        <v>0.44</v>
      </c>
      <c r="J8" s="63" t="n">
        <v>0.16</v>
      </c>
      <c r="K8" s="69" t="n"/>
      <c r="L8" s="69" t="n"/>
      <c r="M8" s="69" t="n"/>
      <c r="N8" s="69" t="n"/>
      <c r="O8" s="69" t="n"/>
    </row>
    <row r="9">
      <c r="A9" s="71" t="inlineStr">
        <is>
          <t>Figure Rules</t>
        </is>
      </c>
      <c r="F9" t="inlineStr">
        <is>
          <t>$100K-$150K</t>
        </is>
      </c>
      <c r="G9" s="63" t="n">
        <v>0.09</v>
      </c>
      <c r="H9" s="63" t="n">
        <v>0.27</v>
      </c>
      <c r="I9" s="63" t="n">
        <v>0.51</v>
      </c>
      <c r="J9" s="63" t="n">
        <v>0.13</v>
      </c>
      <c r="K9" s="69" t="n"/>
      <c r="L9" s="69" t="n"/>
      <c r="M9" s="69" t="n"/>
      <c r="N9" s="69" t="n"/>
      <c r="O9" s="69" t="n"/>
    </row>
    <row r="10">
      <c r="A10" t="inlineStr">
        <is>
          <t>Figure Type</t>
        </is>
      </c>
      <c r="B10" t="inlineStr">
        <is>
          <t>Clustered Bar</t>
        </is>
      </c>
      <c r="F10" t="inlineStr">
        <is>
          <t>$150K+</t>
        </is>
      </c>
      <c r="G10" s="63" t="n">
        <v>0.14</v>
      </c>
      <c r="H10" s="89" t="n">
        <v>0.2</v>
      </c>
      <c r="I10" s="89" t="n">
        <v>0.52</v>
      </c>
      <c r="J10" s="89" t="n">
        <v>0.14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Less than once a week</t>
        </is>
      </c>
      <c r="H5" t="inlineStr">
        <is>
          <t>1 to 2 times a week</t>
        </is>
      </c>
      <c r="I5" t="inlineStr">
        <is>
          <t>3 to 5 times a week</t>
        </is>
      </c>
      <c r="J5" t="inlineStr">
        <is>
          <t>More than 5 times a week</t>
        </is>
      </c>
    </row>
    <row r="6" ht="15" customHeight="1" s="91">
      <c r="A6" t="inlineStr">
        <is>
          <t>Multilevel Headers</t>
        </is>
      </c>
      <c r="B6" t="b">
        <v>0</v>
      </c>
      <c r="F6" t="inlineStr">
        <is>
          <t>&lt;$25K</t>
        </is>
      </c>
      <c r="G6" s="63" t="n">
        <v>0.17</v>
      </c>
      <c r="H6" s="63" t="n">
        <v>0.26</v>
      </c>
      <c r="I6" s="63" t="n">
        <v>0.28</v>
      </c>
      <c r="J6" s="63" t="n">
        <v>0.29</v>
      </c>
      <c r="K6" s="69" t="n"/>
      <c r="L6" s="69" t="n"/>
      <c r="M6" s="69" t="n"/>
      <c r="N6" s="69" t="n"/>
      <c r="O6" s="69" t="n"/>
    </row>
    <row r="7" ht="15.75" customHeight="1" s="91">
      <c r="F7" t="inlineStr">
        <is>
          <t>$25K-$50K</t>
        </is>
      </c>
      <c r="G7" s="63" t="n">
        <v>0.1</v>
      </c>
      <c r="H7" s="63" t="n">
        <v>0.2</v>
      </c>
      <c r="I7" s="63" t="n">
        <v>0.29</v>
      </c>
      <c r="J7" s="63" t="n">
        <v>0.4</v>
      </c>
      <c r="K7" s="69" t="n"/>
      <c r="L7" s="69" t="n"/>
      <c r="M7" s="69" t="n"/>
      <c r="N7" s="69" t="n"/>
      <c r="O7" s="69" t="n"/>
    </row>
    <row r="8">
      <c r="F8" t="inlineStr">
        <is>
          <t>$50K-$100K</t>
        </is>
      </c>
      <c r="G8" s="63" t="n">
        <v>0.07000000000000001</v>
      </c>
      <c r="H8" s="63" t="n">
        <v>0.3</v>
      </c>
      <c r="I8" s="63" t="n">
        <v>0.25</v>
      </c>
      <c r="J8" s="63" t="n">
        <v>0.37</v>
      </c>
      <c r="K8" s="69" t="n"/>
      <c r="L8" s="69" t="n"/>
      <c r="M8" s="69" t="n"/>
      <c r="N8" s="69" t="n"/>
      <c r="O8" s="69" t="n"/>
    </row>
    <row r="9">
      <c r="A9" s="71" t="inlineStr">
        <is>
          <t>Figure Rules</t>
        </is>
      </c>
      <c r="F9" t="inlineStr">
        <is>
          <t>$100K-$150K</t>
        </is>
      </c>
      <c r="G9" s="63" t="n">
        <v>0.05</v>
      </c>
      <c r="H9" s="63" t="n">
        <v>0.22</v>
      </c>
      <c r="I9" s="63" t="n">
        <v>0.43</v>
      </c>
      <c r="J9" s="63" t="n">
        <v>0.29</v>
      </c>
      <c r="K9" s="69" t="n"/>
      <c r="L9" s="69" t="n"/>
      <c r="M9" s="69" t="n"/>
      <c r="N9" s="69" t="n"/>
      <c r="O9" s="69" t="n"/>
    </row>
    <row r="10">
      <c r="A10" t="inlineStr">
        <is>
          <t>Figure Type</t>
        </is>
      </c>
      <c r="B10" t="inlineStr">
        <is>
          <t>Clustered Bar</t>
        </is>
      </c>
      <c r="F10" t="inlineStr">
        <is>
          <t>$150K+</t>
        </is>
      </c>
      <c r="G10" s="63" t="n">
        <v>0.05</v>
      </c>
      <c r="H10" s="89" t="n">
        <v>0.17</v>
      </c>
      <c r="I10" s="89" t="n">
        <v>0.33</v>
      </c>
      <c r="J10" s="89" t="n">
        <v>0.45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G28" sqref="G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0.46</v>
      </c>
      <c r="H6" s="63" t="n">
        <v>0.27</v>
      </c>
      <c r="I6" s="63" t="n">
        <v>0.12</v>
      </c>
      <c r="J6" s="63" t="n">
        <v>0.07000000000000001</v>
      </c>
      <c r="K6" s="63" t="n">
        <v>0.06</v>
      </c>
      <c r="L6" s="69" t="n"/>
      <c r="M6" s="69" t="n"/>
      <c r="N6" s="69" t="n"/>
      <c r="O6" s="69" t="n"/>
    </row>
    <row r="7" ht="15.75" customHeight="1" s="91">
      <c r="F7" t="inlineStr">
        <is>
          <t>$25K-$50K</t>
        </is>
      </c>
      <c r="G7" s="63" t="n">
        <v>0.48</v>
      </c>
      <c r="H7" s="63" t="n">
        <v>0.17</v>
      </c>
      <c r="I7" s="63" t="n">
        <v>0.2</v>
      </c>
      <c r="J7" s="63" t="n">
        <v>0.1</v>
      </c>
      <c r="K7" s="63" t="n">
        <v>0.04</v>
      </c>
      <c r="L7" s="69" t="n"/>
      <c r="M7" s="69" t="n"/>
      <c r="N7" s="69" t="n"/>
      <c r="O7" s="69" t="n"/>
    </row>
    <row r="8">
      <c r="F8" t="inlineStr">
        <is>
          <t>$50K-$100K</t>
        </is>
      </c>
      <c r="G8" s="63" t="n">
        <v>0.28</v>
      </c>
      <c r="H8" s="63" t="n">
        <v>0.28</v>
      </c>
      <c r="I8" s="63" t="n">
        <v>0.17</v>
      </c>
      <c r="J8" s="63" t="n">
        <v>0.21</v>
      </c>
      <c r="K8" s="63" t="n">
        <v>0.06</v>
      </c>
      <c r="L8" s="69" t="n"/>
      <c r="M8" s="69" t="n"/>
      <c r="N8" s="69" t="n"/>
      <c r="O8" s="69" t="n"/>
    </row>
    <row r="9">
      <c r="A9" s="71" t="inlineStr">
        <is>
          <t>Figure Rules</t>
        </is>
      </c>
      <c r="F9" t="inlineStr">
        <is>
          <t>$100K-$150K</t>
        </is>
      </c>
      <c r="G9" s="63" t="n">
        <v>0.25</v>
      </c>
      <c r="H9" s="63" t="n">
        <v>0.21</v>
      </c>
      <c r="I9" s="63" t="n">
        <v>0.3</v>
      </c>
      <c r="J9" s="63" t="n">
        <v>0.19</v>
      </c>
      <c r="K9" s="63" t="n">
        <v>0.05</v>
      </c>
      <c r="L9" s="69" t="n"/>
      <c r="M9" s="69" t="n"/>
      <c r="N9" s="69" t="n"/>
      <c r="O9" s="69" t="n"/>
    </row>
    <row r="10">
      <c r="A10" t="inlineStr">
        <is>
          <t>Figure Type</t>
        </is>
      </c>
      <c r="B10" t="inlineStr">
        <is>
          <t>Clustered Bar</t>
        </is>
      </c>
      <c r="F10" t="inlineStr">
        <is>
          <t>$150K+</t>
        </is>
      </c>
      <c r="G10" s="63" t="n">
        <v>0.2</v>
      </c>
      <c r="H10" s="89" t="n">
        <v>0.25</v>
      </c>
      <c r="I10" s="89" t="n">
        <v>0.27</v>
      </c>
      <c r="J10" s="89" t="n">
        <v>0.25</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0.8</v>
      </c>
      <c r="H6" s="63" t="n">
        <v>0.05</v>
      </c>
      <c r="I6" s="63" t="n">
        <v>0.05</v>
      </c>
      <c r="J6" s="63" t="n">
        <v>0</v>
      </c>
      <c r="K6" s="63" t="n">
        <v>0.1</v>
      </c>
      <c r="L6" s="69" t="n"/>
      <c r="M6" s="69" t="n"/>
      <c r="N6" s="69" t="n"/>
      <c r="O6" s="69" t="n"/>
    </row>
    <row r="7" ht="15.75" customHeight="1" s="91">
      <c r="F7" t="inlineStr">
        <is>
          <t>$25K-$50K</t>
        </is>
      </c>
      <c r="G7" s="63" t="n">
        <v>0.78</v>
      </c>
      <c r="H7" s="63" t="n">
        <v>0.07000000000000001</v>
      </c>
      <c r="I7" s="63" t="n">
        <v>0.03</v>
      </c>
      <c r="J7" s="63" t="n">
        <v>0</v>
      </c>
      <c r="K7" s="63" t="n">
        <v>0.12</v>
      </c>
      <c r="L7" s="69" t="n"/>
      <c r="M7" s="69" t="n"/>
      <c r="N7" s="69" t="n"/>
      <c r="O7" s="69" t="n"/>
    </row>
    <row r="8">
      <c r="F8" t="inlineStr">
        <is>
          <t>$50K-$100K</t>
        </is>
      </c>
      <c r="G8" s="63" t="n">
        <v>0.7</v>
      </c>
      <c r="H8" s="63" t="n">
        <v>0.09</v>
      </c>
      <c r="I8" s="63" t="n">
        <v>0.08</v>
      </c>
      <c r="J8" s="63" t="n">
        <v>0.02</v>
      </c>
      <c r="K8" s="63" t="n">
        <v>0.08</v>
      </c>
      <c r="L8" s="69" t="n"/>
      <c r="M8" s="69" t="n"/>
      <c r="N8" s="69" t="n"/>
      <c r="O8" s="69" t="n"/>
    </row>
    <row r="9">
      <c r="A9" s="71" t="inlineStr">
        <is>
          <t>Figure Rules</t>
        </is>
      </c>
      <c r="F9" t="inlineStr">
        <is>
          <t>$100K-$150K</t>
        </is>
      </c>
      <c r="G9" s="63" t="n">
        <v>0.77</v>
      </c>
      <c r="H9" s="63" t="n">
        <v>0.06</v>
      </c>
      <c r="I9" s="63" t="n">
        <v>0.04</v>
      </c>
      <c r="J9" s="63" t="n">
        <v>0.02</v>
      </c>
      <c r="K9" s="63" t="n">
        <v>0.11</v>
      </c>
      <c r="L9" s="69" t="n"/>
      <c r="M9" s="69" t="n"/>
      <c r="N9" s="69" t="n"/>
      <c r="O9" s="69" t="n"/>
    </row>
    <row r="10">
      <c r="A10" t="inlineStr">
        <is>
          <t>Figure Type</t>
        </is>
      </c>
      <c r="B10" t="inlineStr">
        <is>
          <t>Clustered Bar</t>
        </is>
      </c>
      <c r="F10" t="inlineStr">
        <is>
          <t>$150K+</t>
        </is>
      </c>
      <c r="G10" s="63" t="n">
        <v>0.82</v>
      </c>
      <c r="H10" s="89" t="n">
        <v>0.07000000000000001</v>
      </c>
      <c r="I10" s="89" t="n">
        <v>0.02</v>
      </c>
      <c r="J10" s="89" t="n">
        <v>0.03</v>
      </c>
      <c r="K10" s="89" t="n">
        <v>0.05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Every day</t>
        </is>
      </c>
      <c r="H5" t="inlineStr">
        <is>
          <t>Some days</t>
        </is>
      </c>
      <c r="I5" t="inlineStr">
        <is>
          <t>Not at all</t>
        </is>
      </c>
    </row>
    <row r="6" ht="15" customHeight="1" s="91">
      <c r="A6" t="inlineStr">
        <is>
          <t>Multilevel Headers</t>
        </is>
      </c>
      <c r="B6" t="b">
        <v>0</v>
      </c>
      <c r="F6" t="inlineStr">
        <is>
          <t>&lt;$25K</t>
        </is>
      </c>
      <c r="G6" s="63" t="n">
        <v>0.08</v>
      </c>
      <c r="H6" s="63" t="n">
        <v>0.13</v>
      </c>
      <c r="I6" s="63" t="n">
        <v>0.77</v>
      </c>
      <c r="J6" s="63" t="n"/>
      <c r="K6" s="69" t="n"/>
      <c r="L6" s="69" t="n"/>
      <c r="M6" s="69" t="n"/>
      <c r="N6" s="69" t="n"/>
      <c r="O6" s="69" t="n"/>
    </row>
    <row r="7" ht="15.75" customHeight="1" s="91">
      <c r="F7" t="inlineStr">
        <is>
          <t>$25K-$50K</t>
        </is>
      </c>
      <c r="G7" s="63" t="n">
        <v>0.11</v>
      </c>
      <c r="H7" s="63" t="n">
        <v>0.09</v>
      </c>
      <c r="I7" s="63" t="n">
        <v>0.78</v>
      </c>
      <c r="J7" s="69" t="n"/>
      <c r="K7" s="69" t="n"/>
      <c r="L7" s="69" t="n"/>
      <c r="M7" s="69" t="n"/>
      <c r="N7" s="69" t="n"/>
      <c r="O7" s="69" t="n"/>
    </row>
    <row r="8">
      <c r="F8" t="inlineStr">
        <is>
          <t>$50K-$100K</t>
        </is>
      </c>
      <c r="G8" s="63" t="n">
        <v>0.07000000000000001</v>
      </c>
      <c r="H8" s="63" t="n">
        <v>0.14</v>
      </c>
      <c r="I8" s="63" t="n">
        <v>0.78</v>
      </c>
      <c r="J8" s="69" t="n"/>
      <c r="K8" s="69" t="n"/>
      <c r="L8" s="69" t="n"/>
      <c r="M8" s="69" t="n"/>
      <c r="N8" s="69" t="n"/>
      <c r="O8" s="69" t="n"/>
    </row>
    <row r="9">
      <c r="A9" s="71" t="inlineStr">
        <is>
          <t>Figure Rules</t>
        </is>
      </c>
      <c r="F9" t="inlineStr">
        <is>
          <t>$100K-$150K</t>
        </is>
      </c>
      <c r="G9" s="63" t="n">
        <v>0.04</v>
      </c>
      <c r="H9" s="63" t="n">
        <v>0.24</v>
      </c>
      <c r="I9" s="63" t="n">
        <v>0.72</v>
      </c>
      <c r="J9" s="69" t="n"/>
      <c r="K9" s="69" t="n"/>
      <c r="L9" s="69" t="n"/>
      <c r="M9" s="69" t="n"/>
      <c r="N9" s="69" t="n"/>
      <c r="O9" s="69" t="n"/>
    </row>
    <row r="10">
      <c r="A10" t="inlineStr">
        <is>
          <t>Figure Type</t>
        </is>
      </c>
      <c r="B10" t="inlineStr">
        <is>
          <t>Clustered Bar</t>
        </is>
      </c>
      <c r="F10" t="inlineStr">
        <is>
          <t>$150K+</t>
        </is>
      </c>
      <c r="G10" s="63" t="n">
        <v>0.04</v>
      </c>
      <c r="H10" s="89" t="n">
        <v>0.09</v>
      </c>
      <c r="I10" s="89" t="n">
        <v>0.87</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0.22</v>
      </c>
      <c r="H6" s="63" t="n">
        <v>0.78</v>
      </c>
      <c r="I6" s="69" t="n"/>
      <c r="J6" s="69" t="n"/>
      <c r="K6" s="69" t="n"/>
      <c r="L6" s="69" t="n"/>
      <c r="M6" s="69" t="n"/>
      <c r="N6" s="69" t="n"/>
      <c r="O6" s="69" t="n"/>
    </row>
    <row r="7" ht="15.75" customHeight="1" s="91">
      <c r="F7" t="inlineStr">
        <is>
          <t>$25K-$50K</t>
        </is>
      </c>
      <c r="G7" s="63" t="n">
        <v>0.22</v>
      </c>
      <c r="H7" s="63" t="n">
        <v>0.78</v>
      </c>
      <c r="I7" s="69" t="n"/>
      <c r="J7" s="69" t="n"/>
      <c r="K7" s="69" t="n"/>
      <c r="L7" s="69" t="n"/>
      <c r="M7" s="69" t="n"/>
      <c r="N7" s="69" t="n"/>
      <c r="O7" s="69" t="n"/>
    </row>
    <row r="8">
      <c r="F8" t="inlineStr">
        <is>
          <t>$50K-$100K</t>
        </is>
      </c>
      <c r="G8" s="63" t="n">
        <v>0.19</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M12" sqref="M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s="69" t="inlineStr">
        <is>
          <t>Yes</t>
        </is>
      </c>
      <c r="H5" s="69" t="inlineStr">
        <is>
          <t>No</t>
        </is>
      </c>
    </row>
    <row r="6" ht="15" customHeight="1" s="91">
      <c r="A6" t="inlineStr">
        <is>
          <t>Multilevel Headers</t>
        </is>
      </c>
      <c r="B6" t="b">
        <v>0</v>
      </c>
      <c r="F6" t="inlineStr">
        <is>
          <t>&lt;$25K</t>
        </is>
      </c>
      <c r="G6" s="63" t="n">
        <v>0.23</v>
      </c>
      <c r="H6" s="63" t="n">
        <v>0.77</v>
      </c>
      <c r="I6" s="69" t="n"/>
      <c r="J6" s="69" t="n"/>
      <c r="K6" s="69" t="n"/>
      <c r="L6" s="69" t="n"/>
      <c r="M6" s="69" t="n"/>
      <c r="N6" s="69" t="n"/>
      <c r="O6" s="69" t="n"/>
    </row>
    <row r="7" ht="15.75" customHeight="1" s="91">
      <c r="F7" t="inlineStr">
        <is>
          <t>$25K-$50K</t>
        </is>
      </c>
      <c r="G7" s="63" t="n">
        <v>0.2</v>
      </c>
      <c r="H7" s="63" t="n">
        <v>0.8</v>
      </c>
      <c r="I7" s="69" t="n"/>
      <c r="J7" s="69" t="n"/>
      <c r="K7" s="69" t="n"/>
      <c r="L7" s="69" t="n"/>
      <c r="M7" s="69" t="n"/>
      <c r="N7" s="69" t="n"/>
      <c r="O7" s="69" t="n"/>
    </row>
    <row r="8">
      <c r="F8" t="inlineStr">
        <is>
          <t>$50K-$100K</t>
        </is>
      </c>
      <c r="G8" s="63" t="n">
        <v>0.18</v>
      </c>
      <c r="H8" s="63" t="n">
        <v>0.82</v>
      </c>
      <c r="I8" s="69" t="n"/>
      <c r="J8" s="69" t="n"/>
      <c r="K8" s="69" t="n"/>
      <c r="L8" s="69" t="n"/>
      <c r="M8" s="69" t="n"/>
      <c r="N8" s="69" t="n"/>
      <c r="O8" s="69" t="n"/>
    </row>
    <row r="9">
      <c r="A9" s="71" t="inlineStr">
        <is>
          <t>Figure Rules</t>
        </is>
      </c>
      <c r="F9" t="inlineStr">
        <is>
          <t>$100K-$150K</t>
        </is>
      </c>
      <c r="G9" s="63" t="n">
        <v>0.08</v>
      </c>
      <c r="H9" s="63" t="n">
        <v>0.92</v>
      </c>
      <c r="I9" s="69" t="n"/>
      <c r="J9" s="69" t="n"/>
      <c r="K9" s="69" t="n"/>
      <c r="L9" s="69" t="n"/>
      <c r="M9" s="69" t="n"/>
      <c r="N9" s="69" t="n"/>
      <c r="O9" s="69" t="n"/>
    </row>
    <row r="10">
      <c r="A10" t="inlineStr">
        <is>
          <t>Figure Type</t>
        </is>
      </c>
      <c r="B10" t="inlineStr">
        <is>
          <t>Clustered Bar</t>
        </is>
      </c>
      <c r="F10" t="inlineStr">
        <is>
          <t>$150K+</t>
        </is>
      </c>
      <c r="G10" s="63" t="n">
        <v>0.09</v>
      </c>
      <c r="H10" s="63"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0.75</v>
      </c>
      <c r="I6" s="69" t="n"/>
      <c r="J6" s="69" t="n"/>
      <c r="K6" s="69" t="n"/>
      <c r="L6" s="69" t="n"/>
      <c r="M6" s="69" t="n"/>
      <c r="N6" s="69" t="n"/>
      <c r="O6" s="69" t="n"/>
    </row>
    <row r="7" ht="15.75" customHeight="1" s="91">
      <c r="F7" t="inlineStr">
        <is>
          <t>$25K-$50K</t>
        </is>
      </c>
      <c r="G7" s="63" t="n">
        <v>0.3</v>
      </c>
      <c r="H7" s="63" t="n">
        <v>0.7</v>
      </c>
      <c r="I7" s="69" t="n"/>
      <c r="J7" s="69" t="n"/>
      <c r="K7" s="69" t="n"/>
      <c r="L7" s="69" t="n"/>
      <c r="M7" s="69" t="n"/>
      <c r="N7" s="69" t="n"/>
      <c r="O7" s="69" t="n"/>
    </row>
    <row r="8">
      <c r="F8" t="inlineStr">
        <is>
          <t>$50K-$100K</t>
        </is>
      </c>
      <c r="G8" s="63" t="n">
        <v>0.24</v>
      </c>
      <c r="H8" s="63" t="n">
        <v>0.73</v>
      </c>
      <c r="I8" s="69" t="n"/>
      <c r="J8" s="69" t="n"/>
      <c r="K8" s="69" t="n"/>
      <c r="L8" s="69" t="n"/>
      <c r="M8" s="69" t="n"/>
      <c r="N8" s="69" t="n"/>
      <c r="O8" s="69" t="n"/>
    </row>
    <row r="9">
      <c r="A9" s="71" t="inlineStr">
        <is>
          <t>Figure Rules</t>
        </is>
      </c>
      <c r="F9" t="inlineStr">
        <is>
          <t>$100K-$150K</t>
        </is>
      </c>
      <c r="G9" s="63" t="n">
        <v>0.16</v>
      </c>
      <c r="H9" s="63" t="n">
        <v>0.84</v>
      </c>
      <c r="I9" s="69" t="n"/>
      <c r="J9" s="69" t="n"/>
      <c r="K9" s="69" t="n"/>
      <c r="L9" s="69" t="n"/>
      <c r="M9" s="69" t="n"/>
      <c r="N9" s="69" t="n"/>
      <c r="O9" s="69" t="n"/>
    </row>
    <row r="10">
      <c r="A10" t="inlineStr">
        <is>
          <t>Figure Type</t>
        </is>
      </c>
      <c r="B10" t="inlineStr">
        <is>
          <t>Line</t>
        </is>
      </c>
      <c r="F10" t="inlineStr">
        <is>
          <t>$150K+</t>
        </is>
      </c>
      <c r="G10" s="63" t="n">
        <v>0.13</v>
      </c>
      <c r="H10" s="89" t="n">
        <v>0.86</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0.19</v>
      </c>
      <c r="H6" s="63" t="n">
        <v>0.8100000000000001</v>
      </c>
      <c r="I6" s="69" t="n"/>
      <c r="J6" s="69" t="n"/>
      <c r="K6" s="69" t="n"/>
      <c r="L6" s="69" t="n"/>
      <c r="M6" s="69" t="n"/>
      <c r="N6" s="69" t="n"/>
      <c r="O6" s="69" t="n"/>
    </row>
    <row r="7" ht="15.75" customHeight="1" s="91">
      <c r="F7" t="inlineStr">
        <is>
          <t>$25K-$50K</t>
        </is>
      </c>
      <c r="G7" s="63" t="n">
        <v>0.21</v>
      </c>
      <c r="H7" s="63" t="n">
        <v>0.79</v>
      </c>
      <c r="I7" s="69" t="n"/>
      <c r="J7" s="69" t="n"/>
      <c r="K7" s="69" t="n"/>
      <c r="L7" s="69" t="n"/>
      <c r="M7" s="69" t="n"/>
      <c r="N7" s="69" t="n"/>
      <c r="O7" s="69" t="n"/>
    </row>
    <row r="8">
      <c r="F8" t="inlineStr">
        <is>
          <t>$50K-$100K</t>
        </is>
      </c>
      <c r="G8" s="63" t="n">
        <v>0.17</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0.09</v>
      </c>
      <c r="H10" s="89"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0.3</v>
      </c>
      <c r="H6" s="63" t="n">
        <v>0.7</v>
      </c>
      <c r="I6" s="69" t="n"/>
      <c r="J6" s="69" t="n"/>
      <c r="K6" s="69" t="n"/>
      <c r="L6" s="69" t="n"/>
      <c r="M6" s="69" t="n"/>
      <c r="N6" s="69" t="n"/>
      <c r="O6" s="69" t="n"/>
    </row>
    <row r="7" ht="15.75" customHeight="1" s="91">
      <c r="F7" t="inlineStr">
        <is>
          <t>$25K-$50K</t>
        </is>
      </c>
      <c r="G7" s="63" t="n">
        <v>0.24</v>
      </c>
      <c r="H7" s="63" t="n">
        <v>0.76</v>
      </c>
      <c r="I7" s="69" t="n"/>
      <c r="J7" s="69" t="n"/>
      <c r="K7" s="69" t="n"/>
      <c r="L7" s="69" t="n"/>
      <c r="M7" s="69" t="n"/>
      <c r="N7" s="69" t="n"/>
      <c r="O7" s="69" t="n"/>
    </row>
    <row r="8">
      <c r="F8" t="inlineStr">
        <is>
          <t>$50K-$100K</t>
        </is>
      </c>
      <c r="G8" s="63" t="n">
        <v>0.18</v>
      </c>
      <c r="H8" s="63" t="n">
        <v>0.8100000000000001</v>
      </c>
      <c r="I8" s="69" t="n"/>
      <c r="J8" s="69" t="n"/>
      <c r="K8" s="69" t="n"/>
      <c r="L8" s="69" t="n"/>
      <c r="M8" s="69" t="n"/>
      <c r="N8" s="69" t="n"/>
      <c r="O8" s="69" t="n"/>
    </row>
    <row r="9">
      <c r="A9" s="71" t="inlineStr">
        <is>
          <t>Figure Rules</t>
        </is>
      </c>
      <c r="F9" t="inlineStr">
        <is>
          <t>$100K-$150K</t>
        </is>
      </c>
      <c r="G9" s="63" t="n">
        <v>0.11</v>
      </c>
      <c r="H9" s="63" t="n">
        <v>0.89</v>
      </c>
      <c r="I9" s="69" t="n"/>
      <c r="J9" s="69" t="n"/>
      <c r="K9" s="69" t="n"/>
      <c r="L9" s="69" t="n"/>
      <c r="M9" s="69" t="n"/>
      <c r="N9" s="69" t="n"/>
      <c r="O9" s="69" t="n"/>
    </row>
    <row r="10">
      <c r="A10" t="inlineStr">
        <is>
          <t>Figure Type</t>
        </is>
      </c>
      <c r="B10" t="inlineStr">
        <is>
          <t>Clustered Bar</t>
        </is>
      </c>
      <c r="F10" t="inlineStr">
        <is>
          <t>$150K+</t>
        </is>
      </c>
      <c r="G10" s="63" t="n">
        <v>0.1</v>
      </c>
      <c r="H10" s="89" t="n">
        <v>0.9</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0.21</v>
      </c>
      <c r="H6" s="63" t="n">
        <v>0.79</v>
      </c>
      <c r="I6" s="69" t="n"/>
      <c r="J6" s="69" t="n"/>
      <c r="K6" s="69" t="n"/>
      <c r="L6" s="69" t="n"/>
      <c r="M6" s="69" t="n"/>
      <c r="N6" s="69" t="n"/>
      <c r="O6" s="69" t="n"/>
    </row>
    <row r="7" ht="15.75" customHeight="1" s="91">
      <c r="F7" t="inlineStr">
        <is>
          <t>$25K-$50K</t>
        </is>
      </c>
      <c r="G7" s="63" t="n">
        <v>0.22</v>
      </c>
      <c r="H7" s="63" t="n">
        <v>0.77</v>
      </c>
      <c r="I7" s="63" t="n"/>
      <c r="J7" s="69" t="n"/>
      <c r="K7" s="69" t="n"/>
      <c r="L7" s="69" t="n"/>
      <c r="M7" s="69" t="n"/>
      <c r="N7" s="69" t="n"/>
      <c r="O7" s="69" t="n"/>
    </row>
    <row r="8">
      <c r="F8" t="inlineStr">
        <is>
          <t>$50K-$100K</t>
        </is>
      </c>
      <c r="G8" s="63" t="n">
        <v>0.16</v>
      </c>
      <c r="H8" s="63" t="n">
        <v>0.84</v>
      </c>
      <c r="I8" s="69" t="n"/>
      <c r="J8" s="69" t="n"/>
      <c r="K8" s="69" t="n"/>
      <c r="L8" s="69" t="n"/>
      <c r="M8" s="69" t="n"/>
      <c r="N8" s="69" t="n"/>
      <c r="O8" s="69" t="n"/>
    </row>
    <row r="9">
      <c r="A9" s="71" t="inlineStr">
        <is>
          <t>Figure Rules</t>
        </is>
      </c>
      <c r="F9" t="inlineStr">
        <is>
          <t>$100K-$150K</t>
        </is>
      </c>
      <c r="G9" s="63" t="n">
        <v>0.07000000000000001</v>
      </c>
      <c r="H9" s="63" t="n">
        <v>0.93</v>
      </c>
      <c r="I9" s="63"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workbookViewId="0">
      <selection activeCell="L22" sqref="L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0.12</v>
      </c>
      <c r="H6" s="63" t="n">
        <v>0.78</v>
      </c>
      <c r="I6" s="63" t="n">
        <v>0.09</v>
      </c>
      <c r="J6" s="69" t="n"/>
      <c r="K6" s="69" t="n"/>
      <c r="L6" s="69" t="n"/>
      <c r="M6" s="69" t="n"/>
      <c r="N6" s="69" t="n"/>
      <c r="O6" s="69" t="n"/>
    </row>
    <row r="7" ht="15.75" customHeight="1" s="91">
      <c r="F7" t="inlineStr">
        <is>
          <t>$25K-$50K</t>
        </is>
      </c>
      <c r="G7" s="63" t="n">
        <v>0.17</v>
      </c>
      <c r="H7" s="63" t="n">
        <v>0.74</v>
      </c>
      <c r="I7" s="63" t="n">
        <v>0.09</v>
      </c>
      <c r="J7" s="69" t="n"/>
      <c r="K7" s="69" t="n"/>
      <c r="L7" s="69" t="n"/>
      <c r="M7" s="69" t="n"/>
      <c r="N7" s="69" t="n"/>
      <c r="O7" s="69" t="n"/>
    </row>
    <row r="8">
      <c r="F8" t="inlineStr">
        <is>
          <t>$50K-$100K</t>
        </is>
      </c>
      <c r="G8" s="63" t="n">
        <v>0.11</v>
      </c>
      <c r="H8" s="63" t="n">
        <v>0.79</v>
      </c>
      <c r="I8" s="63" t="n">
        <v>0.1</v>
      </c>
      <c r="J8" s="69" t="n"/>
      <c r="K8" s="69" t="n"/>
      <c r="L8" s="69" t="n"/>
      <c r="M8" s="69" t="n"/>
      <c r="N8" s="69" t="n"/>
      <c r="O8" s="69" t="n"/>
    </row>
    <row r="9">
      <c r="A9" s="71" t="inlineStr">
        <is>
          <t>Figure Rules</t>
        </is>
      </c>
      <c r="F9" t="inlineStr">
        <is>
          <t>$100K-$150K</t>
        </is>
      </c>
      <c r="G9" s="63" t="n">
        <v>0.05</v>
      </c>
      <c r="H9" s="63" t="n">
        <v>0.9</v>
      </c>
      <c r="I9" s="63" t="n">
        <v>0.05</v>
      </c>
      <c r="J9" s="69" t="n"/>
      <c r="K9" s="69" t="n"/>
      <c r="L9" s="69" t="n"/>
      <c r="M9" s="69" t="n"/>
      <c r="N9" s="69" t="n"/>
      <c r="O9" s="69" t="n"/>
    </row>
    <row r="10">
      <c r="A10" t="inlineStr">
        <is>
          <t>Figure Type</t>
        </is>
      </c>
      <c r="B10" t="inlineStr">
        <is>
          <t>Clustered Bar</t>
        </is>
      </c>
      <c r="F10" t="inlineStr">
        <is>
          <t>$150K+</t>
        </is>
      </c>
      <c r="G10" s="63" t="n">
        <v>0.04</v>
      </c>
      <c r="H10" s="89" t="n">
        <v>0.88</v>
      </c>
      <c r="I10" s="89" t="n">
        <v>0.07000000000000001</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Access to the Internet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0.27</v>
      </c>
      <c r="H6" s="63" t="n">
        <v>0.73</v>
      </c>
      <c r="I6" s="69" t="n"/>
      <c r="J6" s="69" t="n"/>
      <c r="K6" s="69" t="n"/>
      <c r="L6" s="69" t="n"/>
      <c r="M6" s="69" t="n"/>
      <c r="N6" s="69" t="n"/>
      <c r="O6" s="69" t="n"/>
    </row>
    <row r="7" ht="15.75" customHeight="1" s="91">
      <c r="F7" t="inlineStr">
        <is>
          <t>$25K-$50K</t>
        </is>
      </c>
      <c r="G7" s="63" t="n">
        <v>0.24</v>
      </c>
      <c r="H7" s="63" t="n">
        <v>0.75</v>
      </c>
      <c r="I7" s="69" t="n"/>
      <c r="J7" s="69" t="n"/>
      <c r="K7" s="69" t="n"/>
      <c r="L7" s="69" t="n"/>
      <c r="M7" s="69" t="n"/>
      <c r="N7" s="69" t="n"/>
      <c r="O7" s="69" t="n"/>
    </row>
    <row r="8">
      <c r="F8" t="inlineStr">
        <is>
          <t>$50K-$100K</t>
        </is>
      </c>
      <c r="G8" s="63" t="n">
        <v>0.2</v>
      </c>
      <c r="H8" s="63" t="n">
        <v>0.78</v>
      </c>
      <c r="I8" s="69" t="n"/>
      <c r="J8" s="69" t="n"/>
      <c r="K8" s="69" t="n"/>
      <c r="L8" s="69" t="n"/>
      <c r="M8" s="69" t="n"/>
      <c r="N8" s="69" t="n"/>
      <c r="O8" s="69" t="n"/>
    </row>
    <row r="9">
      <c r="A9" s="71" t="inlineStr">
        <is>
          <t>Figure Rules</t>
        </is>
      </c>
      <c r="F9" t="inlineStr">
        <is>
          <t>$100K-$150K</t>
        </is>
      </c>
      <c r="G9" s="63" t="n">
        <v>0.1</v>
      </c>
      <c r="H9" s="63" t="n">
        <v>0.89</v>
      </c>
      <c r="I9" s="69" t="n"/>
      <c r="J9" s="69" t="n"/>
      <c r="K9" s="69" t="n"/>
      <c r="L9" s="69" t="n"/>
      <c r="M9" s="69" t="n"/>
      <c r="N9" s="69" t="n"/>
      <c r="O9" s="69" t="n"/>
    </row>
    <row r="10">
      <c r="A10" t="inlineStr">
        <is>
          <t>Figure Type</t>
        </is>
      </c>
      <c r="B10" t="inlineStr">
        <is>
          <t>Clustered Bar</t>
        </is>
      </c>
      <c r="F10" t="inlineStr">
        <is>
          <t>$150K+</t>
        </is>
      </c>
      <c r="G10" s="63" t="n">
        <v>0.13</v>
      </c>
      <c r="H10" s="89" t="n">
        <v>0.86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N13" sqref="N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0.73</v>
      </c>
      <c r="H6" s="63" t="n">
        <v>0.27</v>
      </c>
      <c r="I6" s="69" t="n"/>
      <c r="J6" s="69" t="n"/>
      <c r="K6" s="69" t="n"/>
      <c r="L6" s="69" t="n"/>
      <c r="M6" s="69" t="n"/>
      <c r="N6" s="69" t="n"/>
      <c r="O6" s="69" t="n"/>
    </row>
    <row r="7" ht="15.75" customHeight="1" s="91">
      <c r="F7" t="inlineStr">
        <is>
          <t>$25K-$50K</t>
        </is>
      </c>
      <c r="G7" s="63" t="n">
        <v>0.74</v>
      </c>
      <c r="H7" s="63" t="n">
        <v>0.26</v>
      </c>
      <c r="I7" s="69" t="n"/>
      <c r="J7" s="69" t="n"/>
      <c r="K7" s="69" t="n"/>
      <c r="L7" s="69" t="n"/>
      <c r="M7" s="69" t="n"/>
      <c r="N7" s="69" t="n"/>
      <c r="O7" s="69" t="n"/>
    </row>
    <row r="8">
      <c r="F8" t="inlineStr">
        <is>
          <t>$50K-$100K</t>
        </is>
      </c>
      <c r="G8" s="63" t="n">
        <v>0.75</v>
      </c>
      <c r="H8" s="63" t="n">
        <v>0.25</v>
      </c>
      <c r="I8" s="69" t="n"/>
      <c r="J8" s="69" t="n"/>
      <c r="K8" s="69" t="n"/>
      <c r="L8" s="69" t="n"/>
      <c r="M8" s="69" t="n"/>
      <c r="N8" s="69" t="n"/>
      <c r="O8" s="69" t="n"/>
    </row>
    <row r="9">
      <c r="A9" s="71" t="inlineStr">
        <is>
          <t>Figure Rules</t>
        </is>
      </c>
      <c r="F9" t="inlineStr">
        <is>
          <t>$100K-$150K</t>
        </is>
      </c>
      <c r="G9" s="63" t="n">
        <v>0.8100000000000001</v>
      </c>
      <c r="H9" s="63" t="n">
        <v>0.19</v>
      </c>
      <c r="I9" s="69" t="n"/>
      <c r="J9" s="69" t="n"/>
      <c r="K9" s="69" t="n"/>
      <c r="L9" s="69" t="n"/>
      <c r="M9" s="69" t="n"/>
      <c r="N9" s="69" t="n"/>
      <c r="O9" s="69" t="n"/>
    </row>
    <row r="10">
      <c r="A10" t="inlineStr">
        <is>
          <t>Figure Type</t>
        </is>
      </c>
      <c r="B10" t="inlineStr">
        <is>
          <t>Clustered Bar</t>
        </is>
      </c>
      <c r="F10" t="inlineStr">
        <is>
          <t>$150K+</t>
        </is>
      </c>
      <c r="G10" s="63" t="n">
        <v>0.89</v>
      </c>
      <c r="H10" s="89" t="n">
        <v>0.11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M28" sqref="M28:M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v>
      </c>
      <c r="H6" s="63" t="n">
        <v>0.21</v>
      </c>
      <c r="I6" s="63" t="n">
        <v>0.15</v>
      </c>
      <c r="J6" s="69" t="n"/>
      <c r="K6" s="69" t="n"/>
      <c r="L6" s="69" t="n"/>
      <c r="M6" s="69" t="n"/>
      <c r="N6" s="69" t="n"/>
      <c r="O6" s="69" t="n"/>
    </row>
    <row r="7" ht="15.75" customHeight="1" s="91">
      <c r="F7" t="inlineStr">
        <is>
          <t>I did not have enough money</t>
        </is>
      </c>
      <c r="G7" s="63" t="n">
        <v>0.12</v>
      </c>
      <c r="H7" s="63" t="n">
        <v>0.14</v>
      </c>
      <c r="I7" s="63" t="n">
        <v>0.11</v>
      </c>
      <c r="J7" s="69" t="n"/>
      <c r="K7" s="69" t="n"/>
      <c r="L7" s="69" t="n"/>
      <c r="M7" s="69" t="n"/>
      <c r="N7" s="69" t="n"/>
      <c r="O7" s="69" t="n"/>
    </row>
    <row r="8">
      <c r="F8" t="inlineStr">
        <is>
          <t>I did not have transportation</t>
        </is>
      </c>
      <c r="G8" s="63" t="n">
        <v>0.05</v>
      </c>
      <c r="H8" s="63" t="n">
        <v>0.03</v>
      </c>
      <c r="I8" s="63" t="n">
        <v>0.07000000000000001</v>
      </c>
      <c r="J8" s="69" t="n"/>
      <c r="K8" s="69" t="n"/>
      <c r="L8" s="69" t="n"/>
      <c r="M8" s="69" t="n"/>
      <c r="N8" s="69" t="n"/>
      <c r="O8" s="69" t="n"/>
    </row>
    <row r="9">
      <c r="A9" s="71" t="inlineStr">
        <is>
          <t>Figure Rules</t>
        </is>
      </c>
      <c r="F9" t="inlineStr">
        <is>
          <t>I did not have time</t>
        </is>
      </c>
      <c r="G9" s="63" t="n">
        <v>0.29</v>
      </c>
      <c r="H9" s="63" t="n">
        <v>0.31</v>
      </c>
      <c r="I9" s="63" t="n">
        <v>0.41</v>
      </c>
      <c r="J9" s="69" t="n"/>
      <c r="K9" s="69" t="n"/>
      <c r="L9" s="69" t="n"/>
      <c r="M9" s="69" t="n"/>
      <c r="N9" s="69" t="n"/>
      <c r="O9" s="69" t="n"/>
    </row>
    <row r="10">
      <c r="A10" t="inlineStr">
        <is>
          <t>Figure Type</t>
        </is>
      </c>
      <c r="B10" t="inlineStr">
        <is>
          <t>Clustered Bar</t>
        </is>
      </c>
      <c r="F10" t="inlineStr">
        <is>
          <t>I chose not to go due to concerns over COVID</t>
        </is>
      </c>
      <c r="G10" s="63" t="n">
        <v>0.18</v>
      </c>
      <c r="H10" s="89" t="n">
        <v>0.04</v>
      </c>
      <c r="I10" s="89" t="n">
        <v>0.04</v>
      </c>
    </row>
    <row r="11">
      <c r="A11" t="inlineStr">
        <is>
          <t>X Column</t>
        </is>
      </c>
      <c r="F11" t="inlineStr">
        <is>
          <t>I chose not to go for another reason</t>
        </is>
      </c>
      <c r="G11" s="63" t="n">
        <v>0.27</v>
      </c>
      <c r="H11" s="63" t="n">
        <v>0.34</v>
      </c>
      <c r="I11" s="63" t="n">
        <v>0.48</v>
      </c>
      <c r="J11" s="68" t="n"/>
      <c r="K11" s="68" t="n"/>
      <c r="L11" s="68" t="n"/>
      <c r="M11" s="68" t="n"/>
      <c r="N11" s="68" t="n"/>
    </row>
    <row r="12">
      <c r="A12" t="inlineStr">
        <is>
          <t>Y Column</t>
        </is>
      </c>
      <c r="F12" s="21" t="inlineStr">
        <is>
          <t>I couldn't get an appointment for a routine physical or checkup</t>
        </is>
      </c>
      <c r="G12" s="65" t="n">
        <v>0.08</v>
      </c>
      <c r="H12" s="65" t="n">
        <v>0.08</v>
      </c>
      <c r="I12" s="63" t="n">
        <v>0.05</v>
      </c>
      <c r="J12" s="69" t="n"/>
      <c r="K12" s="69" t="n"/>
      <c r="L12" s="69" t="n"/>
    </row>
    <row r="13">
      <c r="A13" t="inlineStr">
        <is>
          <t>X Axis Title</t>
        </is>
      </c>
      <c r="F13" t="inlineStr">
        <is>
          <t>Other</t>
        </is>
      </c>
      <c r="G13" s="89" t="n">
        <v>0.13</v>
      </c>
      <c r="H13" s="89" t="n">
        <v>0.06</v>
      </c>
      <c r="I13" s="89" t="n">
        <v>0.03</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0.33</v>
      </c>
      <c r="H6" s="63" t="n">
        <v>0.14</v>
      </c>
      <c r="I6" s="63" t="n">
        <v>0.22</v>
      </c>
      <c r="J6" s="63" t="n">
        <v>0.06</v>
      </c>
      <c r="K6" s="63" t="n">
        <v>0.04</v>
      </c>
      <c r="L6" s="69" t="n"/>
      <c r="M6" s="69" t="n"/>
      <c r="N6" s="69" t="n"/>
      <c r="O6" s="69" t="n"/>
    </row>
    <row r="7" ht="15.75" customHeight="1" s="91">
      <c r="F7" t="inlineStr">
        <is>
          <t>I did not have enough money</t>
        </is>
      </c>
      <c r="G7" s="63" t="n">
        <v>0.21</v>
      </c>
      <c r="H7" s="63" t="n">
        <v>0.2</v>
      </c>
      <c r="I7" s="63" t="n">
        <v>0.06</v>
      </c>
      <c r="J7" s="63" t="n">
        <v>0.08</v>
      </c>
      <c r="K7" s="63" t="n">
        <v>0.04</v>
      </c>
      <c r="L7" s="69" t="n"/>
      <c r="M7" s="69" t="n"/>
      <c r="N7" s="69" t="n"/>
      <c r="O7" s="69" t="n"/>
    </row>
    <row r="8">
      <c r="F8" t="inlineStr">
        <is>
          <t>I did not have transportation</t>
        </is>
      </c>
      <c r="G8" s="63" t="n">
        <v>0.18</v>
      </c>
      <c r="H8" s="63" t="n">
        <v>0.14</v>
      </c>
      <c r="I8" s="63" t="n">
        <v>0</v>
      </c>
      <c r="J8" s="63" t="n">
        <v>0</v>
      </c>
      <c r="K8" s="63" t="n">
        <v>0.04</v>
      </c>
      <c r="L8" s="69" t="n"/>
      <c r="M8" s="69" t="n"/>
      <c r="N8" s="69" t="n"/>
      <c r="O8" s="69" t="n"/>
    </row>
    <row r="9">
      <c r="A9" s="71" t="inlineStr">
        <is>
          <t>Figure Rules</t>
        </is>
      </c>
      <c r="F9" t="inlineStr">
        <is>
          <t>I did not have time</t>
        </is>
      </c>
      <c r="G9" s="63" t="n">
        <v>0.22</v>
      </c>
      <c r="H9" s="63" t="n">
        <v>0.37</v>
      </c>
      <c r="I9" s="63" t="n">
        <v>0.47</v>
      </c>
      <c r="J9" s="63" t="n">
        <v>0.36</v>
      </c>
      <c r="K9" s="63" t="n">
        <v>0.68</v>
      </c>
      <c r="L9" s="69" t="n"/>
      <c r="M9" s="69" t="n"/>
      <c r="N9" s="69" t="n"/>
      <c r="O9" s="69" t="n"/>
    </row>
    <row r="10">
      <c r="A10" t="inlineStr">
        <is>
          <t>Figure Type</t>
        </is>
      </c>
      <c r="B10" t="inlineStr">
        <is>
          <t>Line</t>
        </is>
      </c>
      <c r="F10" t="inlineStr">
        <is>
          <t>I chose not to go due to concerns over COVID</t>
        </is>
      </c>
      <c r="G10" s="63" t="n">
        <v>0.08</v>
      </c>
      <c r="H10" s="89" t="n">
        <v>0</v>
      </c>
      <c r="I10" s="89" t="n">
        <v>0.04</v>
      </c>
      <c r="J10" s="89" t="n">
        <v>0</v>
      </c>
      <c r="K10" s="89" t="n">
        <v>0.04</v>
      </c>
    </row>
    <row r="11">
      <c r="A11" t="inlineStr">
        <is>
          <t>X Column</t>
        </is>
      </c>
      <c r="B11" t="inlineStr">
        <is>
          <t>County</t>
        </is>
      </c>
      <c r="F11" t="inlineStr">
        <is>
          <t>I chose not to go for another reason</t>
        </is>
      </c>
      <c r="G11" s="63" t="n">
        <v>0.43</v>
      </c>
      <c r="H11" s="63" t="n">
        <v>0.54</v>
      </c>
      <c r="I11" s="63" t="n">
        <v>0.4</v>
      </c>
      <c r="J11" s="65" t="n">
        <v>0.65</v>
      </c>
      <c r="K11" s="65" t="n">
        <v>0.35</v>
      </c>
      <c r="L11" s="68" t="n"/>
      <c r="M11" s="68" t="n"/>
      <c r="N11" s="68" t="n"/>
    </row>
    <row r="12">
      <c r="A12" t="inlineStr">
        <is>
          <t>Y Column</t>
        </is>
      </c>
      <c r="F12" s="21" t="inlineStr">
        <is>
          <t>I couldn't get an appointment for a routine physical or checkup</t>
        </is>
      </c>
      <c r="G12" s="65" t="n">
        <v>0.09</v>
      </c>
      <c r="H12" s="65" t="n">
        <v>0.11</v>
      </c>
      <c r="I12" s="63" t="n">
        <v>0.03</v>
      </c>
      <c r="J12" s="63" t="n">
        <v>0.04</v>
      </c>
      <c r="K12" s="63" t="n">
        <v>0.04</v>
      </c>
      <c r="L12" s="69" t="n"/>
    </row>
    <row r="13">
      <c r="A13" t="inlineStr">
        <is>
          <t>X Axis Title</t>
        </is>
      </c>
      <c r="F13" t="inlineStr">
        <is>
          <t>Other</t>
        </is>
      </c>
      <c r="G13" s="89" t="n">
        <v>0.11</v>
      </c>
      <c r="H13" s="89" t="n">
        <v>0.08</v>
      </c>
      <c r="I13" s="89" t="n">
        <v>0.01</v>
      </c>
      <c r="J13" s="89" t="n">
        <v>0</v>
      </c>
      <c r="K13" s="89" t="n">
        <v>0</v>
      </c>
    </row>
    <row r="14">
      <c r="A14" t="inlineStr">
        <is>
          <t>Y Axis Title</t>
        </is>
      </c>
      <c r="F14" t="inlineStr">
        <is>
          <t>Don't know/Refused</t>
        </is>
      </c>
      <c r="G14" s="89" t="n">
        <v>0.03</v>
      </c>
      <c r="H14" s="89" t="n">
        <v>0.04</v>
      </c>
      <c r="I14" s="89" t="n">
        <v>0.06</v>
      </c>
      <c r="J14" s="89" t="n">
        <v>0</v>
      </c>
      <c r="K14" s="89" t="n">
        <v>0</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0.5</v>
      </c>
      <c r="H6" s="63" t="n">
        <v>0.5</v>
      </c>
      <c r="I6" s="63" t="n"/>
      <c r="J6" s="63" t="n"/>
      <c r="K6" s="63" t="n"/>
      <c r="L6" s="69" t="n"/>
      <c r="M6" s="69" t="n"/>
      <c r="N6" s="69" t="n"/>
      <c r="O6" s="69" t="n"/>
    </row>
    <row r="7" ht="15.75" customHeight="1" s="91">
      <c r="F7" t="inlineStr">
        <is>
          <t>$25K-$50K</t>
        </is>
      </c>
      <c r="G7" s="63" t="n">
        <v>0.59</v>
      </c>
      <c r="H7" s="63" t="n">
        <v>0.4</v>
      </c>
      <c r="I7" s="63" t="n"/>
      <c r="J7" s="63" t="n"/>
      <c r="K7" s="63" t="n"/>
      <c r="L7" s="69" t="n"/>
      <c r="M7" s="69" t="n"/>
      <c r="N7" s="69" t="n"/>
      <c r="O7" s="69" t="n"/>
    </row>
    <row r="8">
      <c r="F8" t="inlineStr">
        <is>
          <t>$50K-$100K</t>
        </is>
      </c>
      <c r="G8" s="63" t="n">
        <v>0.64</v>
      </c>
      <c r="H8" s="63" t="n">
        <v>0.36</v>
      </c>
      <c r="I8" s="63" t="n"/>
      <c r="J8" s="63" t="n"/>
      <c r="K8" s="63" t="n"/>
      <c r="L8" s="69" t="n"/>
      <c r="M8" s="69" t="n"/>
      <c r="N8" s="69" t="n"/>
      <c r="O8" s="69" t="n"/>
    </row>
    <row r="9">
      <c r="A9" s="71" t="inlineStr">
        <is>
          <t>Figure Rules</t>
        </is>
      </c>
      <c r="F9" t="inlineStr">
        <is>
          <t>$100K-$150K</t>
        </is>
      </c>
      <c r="G9" s="63" t="n">
        <v>0.8</v>
      </c>
      <c r="H9" s="63" t="n">
        <v>0.2</v>
      </c>
      <c r="I9" s="63" t="n"/>
      <c r="J9" s="63" t="n"/>
      <c r="K9" s="63" t="n"/>
      <c r="L9" s="69" t="n"/>
      <c r="M9" s="69" t="n"/>
      <c r="N9" s="69" t="n"/>
      <c r="O9" s="69" t="n"/>
    </row>
    <row r="10">
      <c r="A10" t="inlineStr">
        <is>
          <t>Figure Type</t>
        </is>
      </c>
      <c r="B10" t="inlineStr">
        <is>
          <t>Clustered Bar</t>
        </is>
      </c>
      <c r="F10" t="inlineStr">
        <is>
          <t>$150K+</t>
        </is>
      </c>
      <c r="G10" s="63" t="n">
        <v>0.77</v>
      </c>
      <c r="H10" s="89" t="n">
        <v>0.23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0.29</v>
      </c>
      <c r="H6" s="63" t="n">
        <v>0.22</v>
      </c>
      <c r="I6" s="63" t="n">
        <v>0.24</v>
      </c>
      <c r="J6" s="63" t="n"/>
      <c r="K6" s="63" t="n"/>
      <c r="L6" s="69" t="n"/>
      <c r="M6" s="69" t="n"/>
      <c r="N6" s="69" t="n"/>
      <c r="O6" s="69" t="n"/>
    </row>
    <row r="7" ht="15.75" customHeight="1" s="91">
      <c r="F7" t="inlineStr">
        <is>
          <t>I did not have enough money</t>
        </is>
      </c>
      <c r="G7" s="63" t="n">
        <v>0.18</v>
      </c>
      <c r="H7" s="63" t="n">
        <v>0.2</v>
      </c>
      <c r="I7" s="63" t="n">
        <v>0.21</v>
      </c>
      <c r="J7" s="63" t="n"/>
      <c r="K7" s="63" t="n"/>
      <c r="L7" s="69" t="n"/>
      <c r="M7" s="69" t="n"/>
      <c r="N7" s="69" t="n"/>
      <c r="O7" s="69" t="n"/>
    </row>
    <row r="8">
      <c r="F8" t="inlineStr">
        <is>
          <t>I did not have transportation</t>
        </is>
      </c>
      <c r="G8" s="63" t="n">
        <v>0.04</v>
      </c>
      <c r="H8" s="63" t="n">
        <v>0.03</v>
      </c>
      <c r="I8" s="63" t="n">
        <v>0.08</v>
      </c>
      <c r="J8" s="63" t="n"/>
      <c r="K8" s="63" t="n"/>
      <c r="L8" s="69" t="n"/>
      <c r="M8" s="69" t="n"/>
      <c r="N8" s="69" t="n"/>
      <c r="O8" s="69" t="n"/>
    </row>
    <row r="9">
      <c r="A9" s="71" t="inlineStr">
        <is>
          <t>Figure Rules</t>
        </is>
      </c>
      <c r="F9" t="inlineStr">
        <is>
          <t>I did not have time</t>
        </is>
      </c>
      <c r="G9" s="63" t="n">
        <v>0.19</v>
      </c>
      <c r="H9" s="63" t="n">
        <v>0.32</v>
      </c>
      <c r="I9" s="63" t="n">
        <v>0.31</v>
      </c>
      <c r="J9" s="63" t="n"/>
      <c r="K9" s="63" t="n"/>
      <c r="L9" s="69" t="n"/>
      <c r="M9" s="69" t="n"/>
      <c r="N9" s="69" t="n"/>
      <c r="O9" s="69" t="n"/>
    </row>
    <row r="10">
      <c r="A10" t="inlineStr">
        <is>
          <t>Figure Type</t>
        </is>
      </c>
      <c r="B10" t="inlineStr">
        <is>
          <t>Clustered Bar</t>
        </is>
      </c>
      <c r="F10" t="inlineStr">
        <is>
          <t>I chose not to go due to concerns over COVID</t>
        </is>
      </c>
      <c r="G10" s="63" t="n">
        <v>0.23</v>
      </c>
      <c r="H10" s="89" t="n">
        <v>0.09</v>
      </c>
      <c r="I10" s="89" t="n">
        <v>0.03</v>
      </c>
      <c r="J10" s="89" t="n"/>
      <c r="K10" s="89" t="n"/>
    </row>
    <row r="11">
      <c r="A11" t="inlineStr">
        <is>
          <t>X Column</t>
        </is>
      </c>
      <c r="F11" t="inlineStr">
        <is>
          <t>I chose not to go for another reason</t>
        </is>
      </c>
      <c r="G11" s="63" t="n">
        <v>0.22</v>
      </c>
      <c r="H11" s="63" t="n">
        <v>0.38</v>
      </c>
      <c r="I11" s="63" t="n">
        <v>0.37</v>
      </c>
      <c r="J11" s="65" t="n"/>
      <c r="K11" s="65" t="n"/>
      <c r="L11" s="68" t="n"/>
      <c r="M11" s="68" t="n"/>
      <c r="N11" s="68" t="n"/>
    </row>
    <row r="12">
      <c r="A12" t="inlineStr">
        <is>
          <t>Y Column</t>
        </is>
      </c>
      <c r="F12" s="21" t="inlineStr">
        <is>
          <t>I couldn't get an appointment for a routine check-up or cleaning</t>
        </is>
      </c>
      <c r="G12" s="65" t="n">
        <v>0.08</v>
      </c>
      <c r="H12" s="65" t="n">
        <v>0.1</v>
      </c>
      <c r="I12" s="63" t="n">
        <v>0.14</v>
      </c>
      <c r="J12" s="63" t="n"/>
      <c r="K12" s="63" t="n"/>
      <c r="L12" s="69" t="n"/>
    </row>
    <row r="13">
      <c r="A13" t="inlineStr">
        <is>
          <t>X Axis Title</t>
        </is>
      </c>
      <c r="F13" t="inlineStr">
        <is>
          <t>Other</t>
        </is>
      </c>
      <c r="G13" s="89" t="n">
        <v>0.11</v>
      </c>
      <c r="H13" s="89" t="n">
        <v>0.05</v>
      </c>
      <c r="I13" s="89" t="n">
        <v>0.04</v>
      </c>
      <c r="J13" s="89" t="n"/>
      <c r="K13" s="89" t="n"/>
    </row>
    <row r="14">
      <c r="A14" t="inlineStr">
        <is>
          <t>Y Axis Title</t>
        </is>
      </c>
      <c r="F14" t="inlineStr">
        <is>
          <t>Don't know/Refused</t>
        </is>
      </c>
      <c r="G14" s="89" t="n">
        <v>0.03</v>
      </c>
      <c r="H14" s="89" t="n">
        <v>0.05</v>
      </c>
      <c r="I14" s="89" t="n">
        <v>0.05</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Dentist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0.15</v>
      </c>
      <c r="H6" s="63" t="n">
        <v>0.85</v>
      </c>
      <c r="I6" s="63" t="n"/>
      <c r="J6" s="63" t="n"/>
      <c r="K6" s="63" t="n"/>
      <c r="L6" s="69" t="n"/>
      <c r="M6" s="69" t="n"/>
      <c r="N6" s="69" t="n"/>
      <c r="O6" s="69" t="n"/>
    </row>
    <row r="7" ht="15.75" customHeight="1" s="91">
      <c r="F7" t="inlineStr">
        <is>
          <t>$25K-$50K</t>
        </is>
      </c>
      <c r="G7" s="63" t="n">
        <v>0.06</v>
      </c>
      <c r="H7" s="63" t="n">
        <v>0.9399999999999999</v>
      </c>
      <c r="I7" s="63" t="n"/>
      <c r="J7" s="63" t="n"/>
      <c r="K7" s="63" t="n"/>
      <c r="L7" s="69" t="n"/>
      <c r="M7" s="69" t="n"/>
      <c r="N7" s="69" t="n"/>
      <c r="O7" s="69" t="n"/>
    </row>
    <row r="8">
      <c r="F8" t="inlineStr">
        <is>
          <t>$50K-$100K</t>
        </is>
      </c>
      <c r="G8" s="63" t="n">
        <v>0.06</v>
      </c>
      <c r="H8" s="63" t="n">
        <v>0.9399999999999999</v>
      </c>
      <c r="I8" s="63" t="n"/>
      <c r="J8" s="63" t="n"/>
      <c r="K8" s="63" t="n"/>
      <c r="L8" s="69" t="n"/>
      <c r="M8" s="69" t="n"/>
      <c r="N8" s="69" t="n"/>
      <c r="O8" s="69" t="n"/>
    </row>
    <row r="9">
      <c r="A9" s="71" t="inlineStr">
        <is>
          <t>Figure Rules</t>
        </is>
      </c>
      <c r="F9" t="inlineStr">
        <is>
          <t>$100K-$150K</t>
        </is>
      </c>
      <c r="G9" s="63" t="n">
        <v>0.09</v>
      </c>
      <c r="H9" s="63" t="n">
        <v>0.91</v>
      </c>
      <c r="I9" s="63" t="n"/>
      <c r="J9" s="63" t="n"/>
      <c r="K9" s="63" t="n"/>
      <c r="L9" s="69" t="n"/>
      <c r="M9" s="69" t="n"/>
      <c r="N9" s="69" t="n"/>
      <c r="O9" s="69" t="n"/>
    </row>
    <row r="10">
      <c r="A10" t="inlineStr">
        <is>
          <t>Figure Type</t>
        </is>
      </c>
      <c r="B10" t="inlineStr">
        <is>
          <t>Clustered Bar</t>
        </is>
      </c>
      <c r="F10" t="inlineStr">
        <is>
          <t>$150K+</t>
        </is>
      </c>
      <c r="G10" s="63" t="n">
        <v>0.07000000000000001</v>
      </c>
      <c r="H10" s="89" t="n">
        <v>0.93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do not have a regular doctor/primary care doctor</t>
        </is>
      </c>
      <c r="G6" s="63" t="n">
        <v>0.25</v>
      </c>
      <c r="H6" s="63" t="n">
        <v>0.15</v>
      </c>
      <c r="I6" s="63" t="n">
        <v>0.09</v>
      </c>
      <c r="J6" s="63" t="n"/>
      <c r="K6" s="63" t="n"/>
      <c r="L6" s="69" t="n"/>
      <c r="M6" s="69" t="n"/>
      <c r="N6" s="69" t="n"/>
      <c r="O6" s="69" t="n"/>
    </row>
    <row r="7" ht="15.75" customHeight="1" s="91">
      <c r="F7" t="inlineStr">
        <is>
          <t>The emergency room was more convenient because of location</t>
        </is>
      </c>
      <c r="G7" s="63" t="n">
        <v>0.19</v>
      </c>
      <c r="H7" s="63" t="n">
        <v>0.22</v>
      </c>
      <c r="I7" s="63" t="n">
        <v>0.24</v>
      </c>
      <c r="J7" s="63" t="n"/>
      <c r="K7" s="63" t="n"/>
      <c r="L7" s="69" t="n"/>
      <c r="M7" s="69" t="n"/>
      <c r="N7" s="69" t="n"/>
      <c r="O7" s="69" t="n"/>
    </row>
    <row r="8">
      <c r="F8" t="inlineStr">
        <is>
          <t>The emergency room was more convenient because of cost</t>
        </is>
      </c>
      <c r="G8" s="63" t="n">
        <v>0.09</v>
      </c>
      <c r="H8" s="63" t="n">
        <v>0.11</v>
      </c>
      <c r="I8" s="63" t="n">
        <v>0.1</v>
      </c>
      <c r="J8" s="63" t="n"/>
      <c r="K8" s="63" t="n"/>
      <c r="L8" s="69" t="n"/>
      <c r="M8" s="69" t="n"/>
      <c r="N8" s="69" t="n"/>
      <c r="O8" s="69" t="n"/>
    </row>
    <row r="9">
      <c r="A9" s="71" t="inlineStr">
        <is>
          <t>Figure Rules</t>
        </is>
      </c>
      <c r="F9" t="inlineStr">
        <is>
          <t>The emergency room was more convenient because of hours of operation</t>
        </is>
      </c>
      <c r="G9" s="63" t="n">
        <v>0.4</v>
      </c>
      <c r="H9" s="63" t="n">
        <v>0.37</v>
      </c>
      <c r="I9" s="63" t="n">
        <v>0.41</v>
      </c>
      <c r="J9" s="63" t="n"/>
      <c r="K9" s="63" t="n"/>
      <c r="L9" s="69" t="n"/>
      <c r="M9" s="69" t="n"/>
      <c r="N9" s="69" t="n"/>
      <c r="O9" s="69" t="n"/>
    </row>
    <row r="10">
      <c r="A10" t="inlineStr">
        <is>
          <t>Figure Type</t>
        </is>
      </c>
      <c r="B10" t="inlineStr">
        <is>
          <t>Clustered Bar</t>
        </is>
      </c>
      <c r="F10" t="inlineStr">
        <is>
          <t>At the time I thought it was a health-related emergency, though I later learned it was NOT an emergency</t>
        </is>
      </c>
      <c r="G10" s="63" t="n">
        <v>0.27</v>
      </c>
      <c r="H10" s="89" t="n">
        <v>0.27</v>
      </c>
      <c r="I10" s="89" t="n">
        <v>0.42</v>
      </c>
      <c r="J10" s="89" t="n"/>
      <c r="K10" s="89" t="n"/>
    </row>
    <row r="11">
      <c r="A11" t="inlineStr">
        <is>
          <t>X Column</t>
        </is>
      </c>
      <c r="F11" t="inlineStr">
        <is>
          <t>My primary care doctor was not available due to</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Q57"/>
  <sheetViews>
    <sheetView workbookViewId="0">
      <selection activeCell="G16" sqref="G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do not have a regular doctor/primary care doctor</t>
        </is>
      </c>
      <c r="G6" s="63" t="n">
        <v>0.21</v>
      </c>
      <c r="H6" s="63" t="n">
        <v>0.18</v>
      </c>
      <c r="I6" s="63" t="n">
        <v>0.1</v>
      </c>
      <c r="J6" s="63" t="n">
        <v>0</v>
      </c>
      <c r="K6" s="63" t="n">
        <v>0</v>
      </c>
      <c r="L6" s="69" t="n"/>
      <c r="M6" s="69" t="n"/>
      <c r="N6" s="69" t="n"/>
      <c r="O6" s="69" t="n"/>
    </row>
    <row r="7" ht="15.75" customHeight="1" s="91">
      <c r="F7" t="inlineStr">
        <is>
          <t>The emergency room was more convenient because of location</t>
        </is>
      </c>
      <c r="G7" s="63" t="n">
        <v>0.22</v>
      </c>
      <c r="H7" s="63" t="n">
        <v>0.4</v>
      </c>
      <c r="I7" s="63" t="n">
        <v>0.21</v>
      </c>
      <c r="J7" s="63" t="n">
        <v>0.26</v>
      </c>
      <c r="K7" s="63" t="n">
        <v>0</v>
      </c>
      <c r="L7" s="69" t="n"/>
      <c r="M7" s="69" t="n"/>
      <c r="N7" s="69" t="n"/>
      <c r="O7" s="69" t="n"/>
    </row>
    <row r="8">
      <c r="F8" t="inlineStr">
        <is>
          <t>The emergency room was more convenient because of cost</t>
        </is>
      </c>
      <c r="G8" s="63" t="n">
        <v>0</v>
      </c>
      <c r="H8" s="63" t="n">
        <v>0.06</v>
      </c>
      <c r="I8" s="63" t="n">
        <v>0.06</v>
      </c>
      <c r="J8" s="63" t="n">
        <v>0.36</v>
      </c>
      <c r="K8" s="63" t="n">
        <v>0</v>
      </c>
      <c r="L8" s="69" t="n"/>
      <c r="M8" s="69" t="n"/>
      <c r="N8" s="69" t="n"/>
      <c r="O8" s="69" t="n"/>
    </row>
    <row r="9">
      <c r="A9" s="71" t="inlineStr">
        <is>
          <t>Figure Rules</t>
        </is>
      </c>
      <c r="F9" t="inlineStr">
        <is>
          <t>The emergency room was more convenient because of hours of operation</t>
        </is>
      </c>
      <c r="G9" s="63" t="n">
        <v>0.57</v>
      </c>
      <c r="H9" s="63" t="n">
        <v>0.4</v>
      </c>
      <c r="I9" s="63" t="n">
        <v>0.33</v>
      </c>
      <c r="J9" s="63" t="n">
        <v>0.6</v>
      </c>
      <c r="K9" s="63" t="n">
        <v>0.24</v>
      </c>
      <c r="L9" s="69" t="n"/>
      <c r="M9" s="69" t="n"/>
      <c r="N9" s="69" t="n"/>
      <c r="O9" s="69" t="n"/>
    </row>
    <row r="10">
      <c r="A10" t="inlineStr">
        <is>
          <t>Figure Type</t>
        </is>
      </c>
      <c r="F10" t="inlineStr">
        <is>
          <t>At the time I thought it was a health-related emergency, though I later learned it was NOT an emergency</t>
        </is>
      </c>
      <c r="G10" s="63" t="n">
        <v>0.24</v>
      </c>
      <c r="H10" s="89" t="n">
        <v>0.5</v>
      </c>
      <c r="I10" s="89" t="n">
        <v>0.46</v>
      </c>
      <c r="J10" s="89" t="n">
        <v>0.41</v>
      </c>
      <c r="K10" s="89" t="n">
        <v>0.52</v>
      </c>
    </row>
    <row r="11">
      <c r="A11" t="inlineStr">
        <is>
          <t>X Column</t>
        </is>
      </c>
      <c r="F11" t="inlineStr">
        <is>
          <t>My primary care doctor was not available due to COVID</t>
        </is>
      </c>
      <c r="G11" s="63" t="n">
        <v>0.05</v>
      </c>
      <c r="H11" s="63" t="n">
        <v>0.05</v>
      </c>
      <c r="I11" s="63" t="n">
        <v>0.06</v>
      </c>
      <c r="J11" s="65" t="n">
        <v>0</v>
      </c>
      <c r="K11" s="65" t="n">
        <v>0</v>
      </c>
      <c r="L11" s="68" t="n"/>
      <c r="M11" s="68" t="n"/>
      <c r="N11" s="68" t="n"/>
    </row>
    <row r="12">
      <c r="A12" t="inlineStr">
        <is>
          <t>Y Column</t>
        </is>
      </c>
      <c r="F12" s="21" t="inlineStr">
        <is>
          <t>COVID-19 Testing</t>
        </is>
      </c>
      <c r="G12" s="65" t="n">
        <v>0.07000000000000001</v>
      </c>
      <c r="H12" s="65" t="n">
        <v>0.13</v>
      </c>
      <c r="I12" s="63" t="n">
        <v>0.12</v>
      </c>
      <c r="J12" s="63" t="n">
        <v>0.14</v>
      </c>
      <c r="K12" s="63" t="n">
        <v>0</v>
      </c>
      <c r="L12" s="69" t="n"/>
    </row>
    <row r="13">
      <c r="A13" t="inlineStr">
        <is>
          <t>X Axis Title</t>
        </is>
      </c>
      <c r="F13" t="inlineStr">
        <is>
          <t>Don't know/Refused</t>
        </is>
      </c>
      <c r="G13" s="89" t="n">
        <v>0.07000000000000001</v>
      </c>
      <c r="H13" s="89" t="n">
        <v>0.26</v>
      </c>
      <c r="I13" s="89" t="n">
        <v>0.16</v>
      </c>
      <c r="J13" s="89" t="n">
        <v>0.07000000000000001</v>
      </c>
      <c r="K13" s="89" t="n">
        <v>0.33</v>
      </c>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0.76</v>
      </c>
      <c r="I6" s="63" t="n"/>
      <c r="J6" s="63" t="n"/>
      <c r="K6" s="63" t="n"/>
      <c r="L6" s="69" t="n"/>
      <c r="M6" s="69" t="n"/>
      <c r="N6" s="69" t="n"/>
      <c r="O6" s="69" t="n"/>
    </row>
    <row r="7" ht="15.75" customHeight="1" s="91">
      <c r="F7" t="inlineStr">
        <is>
          <t>$25K-$50K</t>
        </is>
      </c>
      <c r="G7" s="63" t="n">
        <v>0.28</v>
      </c>
      <c r="H7" s="63" t="n">
        <v>0.72</v>
      </c>
      <c r="I7" s="63" t="n"/>
      <c r="J7" s="63" t="n"/>
      <c r="K7" s="63" t="n"/>
      <c r="L7" s="69" t="n"/>
      <c r="M7" s="69" t="n"/>
      <c r="N7" s="69" t="n"/>
      <c r="O7" s="69" t="n"/>
    </row>
    <row r="8">
      <c r="F8" t="inlineStr">
        <is>
          <t>$50K-$100K</t>
        </is>
      </c>
      <c r="G8" s="63" t="n">
        <v>0.19</v>
      </c>
      <c r="H8" s="63" t="n">
        <v>0.8100000000000001</v>
      </c>
      <c r="I8" s="63" t="n"/>
      <c r="J8" s="63" t="n"/>
      <c r="K8" s="63" t="n"/>
      <c r="L8" s="69" t="n"/>
      <c r="M8" s="69" t="n"/>
      <c r="N8" s="69" t="n"/>
      <c r="O8" s="69" t="n"/>
    </row>
    <row r="9">
      <c r="A9" s="71" t="inlineStr">
        <is>
          <t>Figure Rules</t>
        </is>
      </c>
      <c r="F9" t="inlineStr">
        <is>
          <t>$100K-$150K</t>
        </is>
      </c>
      <c r="G9" s="63" t="n">
        <v>0.26</v>
      </c>
      <c r="H9" s="63" t="n">
        <v>0.74</v>
      </c>
      <c r="I9" s="63" t="n"/>
      <c r="J9" s="63" t="n"/>
      <c r="K9" s="63" t="n"/>
      <c r="L9" s="69" t="n"/>
      <c r="M9" s="69" t="n"/>
      <c r="N9" s="69" t="n"/>
      <c r="O9" s="69" t="n"/>
    </row>
    <row r="10">
      <c r="A10" t="inlineStr">
        <is>
          <t>Figure Type</t>
        </is>
      </c>
      <c r="B10" t="inlineStr">
        <is>
          <t>Clustered Bar</t>
        </is>
      </c>
      <c r="F10" t="inlineStr">
        <is>
          <t>$150K+</t>
        </is>
      </c>
      <c r="G10" s="63" t="n">
        <v>0.17</v>
      </c>
      <c r="H10" s="89" t="n">
        <v>0.83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Q57"/>
  <sheetViews>
    <sheetView workbookViewId="0">
      <selection activeCell="I25" sqref="I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a need for mental health services</t>
        </is>
      </c>
      <c r="G6" s="63" t="n">
        <v>0.74</v>
      </c>
      <c r="H6" s="63" t="n">
        <v>0.8100000000000001</v>
      </c>
      <c r="I6" s="63" t="n">
        <v>0.8</v>
      </c>
      <c r="J6" s="63" t="n"/>
      <c r="K6" s="63" t="n"/>
      <c r="L6" s="69" t="n"/>
      <c r="M6" s="69" t="n"/>
      <c r="N6" s="69" t="n"/>
      <c r="O6" s="69" t="n"/>
    </row>
    <row r="7" ht="15.75" customHeight="1" s="91">
      <c r="F7" t="inlineStr">
        <is>
          <t>I did not have insurance</t>
        </is>
      </c>
      <c r="G7" s="63" t="n">
        <v>0.06</v>
      </c>
      <c r="H7" s="63" t="n">
        <v>0.03</v>
      </c>
      <c r="I7" s="63" t="n">
        <v>0.05</v>
      </c>
      <c r="J7" s="63" t="n"/>
      <c r="K7" s="63" t="n"/>
      <c r="L7" s="69" t="n"/>
      <c r="M7" s="69" t="n"/>
      <c r="N7" s="69" t="n"/>
      <c r="O7" s="69" t="n"/>
    </row>
    <row r="8">
      <c r="F8" t="inlineStr">
        <is>
          <t>I did not have enough money</t>
        </is>
      </c>
      <c r="G8" s="63" t="n">
        <v>0.05</v>
      </c>
      <c r="H8" s="63" t="n">
        <v>0.05</v>
      </c>
      <c r="I8" s="63" t="n">
        <v>0.06</v>
      </c>
      <c r="J8" s="63" t="n"/>
      <c r="K8" s="63" t="n"/>
      <c r="L8" s="69" t="n"/>
      <c r="M8" s="69" t="n"/>
      <c r="N8" s="69" t="n"/>
      <c r="O8" s="69" t="n"/>
    </row>
    <row r="9">
      <c r="A9" s="71" t="inlineStr">
        <is>
          <t>Figure Rules</t>
        </is>
      </c>
      <c r="F9" t="inlineStr">
        <is>
          <t>I did not have transportation</t>
        </is>
      </c>
      <c r="G9" s="63" t="n">
        <v>0.02</v>
      </c>
      <c r="H9" s="63" t="n">
        <v>0.01</v>
      </c>
      <c r="I9" s="63" t="n">
        <v>0.02</v>
      </c>
      <c r="J9" s="63" t="n"/>
      <c r="K9" s="63" t="n"/>
      <c r="L9" s="69" t="n"/>
      <c r="M9" s="69" t="n"/>
      <c r="N9" s="69" t="n"/>
      <c r="O9" s="69" t="n"/>
    </row>
    <row r="10">
      <c r="A10" t="inlineStr">
        <is>
          <t>Figure Type</t>
        </is>
      </c>
      <c r="B10" t="inlineStr">
        <is>
          <t>Clustered Bar</t>
        </is>
      </c>
      <c r="F10" t="inlineStr">
        <is>
          <t>I did not have time</t>
        </is>
      </c>
      <c r="G10" s="63" t="n">
        <v>0.07000000000000001</v>
      </c>
      <c r="H10" s="89" t="n">
        <v>0.06</v>
      </c>
      <c r="I10" s="89" t="n">
        <v>0.06</v>
      </c>
      <c r="J10" s="89" t="n"/>
      <c r="K10" s="89" t="n"/>
    </row>
    <row r="11">
      <c r="A11" t="inlineStr">
        <is>
          <t>X Column</t>
        </is>
      </c>
      <c r="F11" t="inlineStr">
        <is>
          <t>I chose not to go</t>
        </is>
      </c>
      <c r="G11" s="63" t="n">
        <v>0.18</v>
      </c>
      <c r="H11" s="63" t="n">
        <v>0.16</v>
      </c>
      <c r="I11" s="63" t="n">
        <v>0.18</v>
      </c>
      <c r="J11" s="65" t="n"/>
      <c r="K11" s="65" t="n"/>
      <c r="L11" s="68" t="n"/>
      <c r="M11" s="68" t="n"/>
      <c r="N11" s="68" t="n"/>
    </row>
    <row r="12">
      <c r="A12" t="inlineStr">
        <is>
          <t>Y Column</t>
        </is>
      </c>
      <c r="F12" s="21" t="inlineStr">
        <is>
          <t>A mental health provider was not available due to COVID</t>
        </is>
      </c>
      <c r="G12" s="65" t="n">
        <v>0.03</v>
      </c>
      <c r="H12" s="65" t="n">
        <v>0.02</v>
      </c>
      <c r="I12" s="63" t="n">
        <v>0.02</v>
      </c>
      <c r="J12" s="63" t="n"/>
      <c r="K12" s="63" t="n"/>
      <c r="L12" s="69" t="n"/>
    </row>
    <row r="13">
      <c r="A13" t="inlineStr">
        <is>
          <t>X Axis Title</t>
        </is>
      </c>
      <c r="F13" t="inlineStr">
        <is>
          <t>Other</t>
        </is>
      </c>
      <c r="G13" s="89" t="n">
        <v>0.01</v>
      </c>
      <c r="H13" s="89" t="n">
        <v>0.02</v>
      </c>
      <c r="I13" s="89" t="n">
        <v>0</v>
      </c>
      <c r="J13" s="89" t="n"/>
      <c r="K13" s="89" t="n"/>
    </row>
    <row r="14">
      <c r="A14" t="inlineStr">
        <is>
          <t>Y Axis Title</t>
        </is>
      </c>
      <c r="F14" t="inlineStr">
        <is>
          <t>Don't know/Refused</t>
        </is>
      </c>
      <c r="G14" s="89" t="n">
        <v>0.04</v>
      </c>
      <c r="H14" s="89" t="n">
        <v>0.03</v>
      </c>
      <c r="I14" s="89" t="n">
        <v>0.04</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a need for mental health services</t>
        </is>
      </c>
      <c r="G6" s="63" t="n">
        <v>0.8</v>
      </c>
      <c r="H6" s="63" t="n">
        <v>0.73</v>
      </c>
      <c r="I6" s="63" t="n">
        <v>0.79</v>
      </c>
      <c r="J6" s="63" t="n">
        <v>0.77</v>
      </c>
      <c r="K6" s="63" t="n">
        <v>0.86</v>
      </c>
      <c r="L6" s="69" t="n"/>
      <c r="M6" s="69" t="n"/>
      <c r="N6" s="69" t="n"/>
      <c r="O6" s="69" t="n"/>
    </row>
    <row r="7" ht="15.75" customHeight="1" s="91">
      <c r="F7" t="inlineStr">
        <is>
          <t>I did not have insurance</t>
        </is>
      </c>
      <c r="G7" s="63" t="n">
        <v>0.08</v>
      </c>
      <c r="H7" s="63" t="n">
        <v>0.08</v>
      </c>
      <c r="I7" s="63" t="n">
        <v>0.05</v>
      </c>
      <c r="J7" s="63" t="n">
        <v>0.04</v>
      </c>
      <c r="K7" s="63" t="n">
        <v>0</v>
      </c>
      <c r="L7" s="69" t="n"/>
      <c r="M7" s="69" t="n"/>
      <c r="N7" s="69" t="n"/>
      <c r="O7" s="69" t="n"/>
    </row>
    <row r="8">
      <c r="F8" t="inlineStr">
        <is>
          <t>I did not have enough money</t>
        </is>
      </c>
      <c r="G8" s="63" t="n">
        <v>0.05</v>
      </c>
      <c r="H8" s="63" t="n">
        <v>0.11</v>
      </c>
      <c r="I8" s="63" t="n">
        <v>0.08</v>
      </c>
      <c r="J8" s="63" t="n">
        <v>0.09</v>
      </c>
      <c r="K8" s="63" t="n">
        <v>0.01</v>
      </c>
      <c r="L8" s="69" t="n"/>
      <c r="M8" s="69" t="n"/>
      <c r="N8" s="69" t="n"/>
      <c r="O8" s="69" t="n"/>
    </row>
    <row r="9">
      <c r="A9" s="71" t="inlineStr">
        <is>
          <t>Figure Rules</t>
        </is>
      </c>
      <c r="F9" t="inlineStr">
        <is>
          <t>I did not have transportation</t>
        </is>
      </c>
      <c r="G9" s="63" t="n">
        <v>0.03</v>
      </c>
      <c r="H9" s="63" t="n">
        <v>0.05</v>
      </c>
      <c r="I9" s="63" t="n">
        <v>0.01</v>
      </c>
      <c r="J9" s="63" t="n">
        <v>0.01</v>
      </c>
      <c r="K9" s="63" t="n">
        <v>0.01</v>
      </c>
      <c r="L9" s="69" t="n"/>
      <c r="M9" s="69" t="n"/>
      <c r="N9" s="69" t="n"/>
      <c r="O9" s="69" t="n"/>
    </row>
    <row r="10">
      <c r="A10" t="inlineStr">
        <is>
          <t>Figure Type</t>
        </is>
      </c>
      <c r="F10" t="inlineStr">
        <is>
          <t>I did not have time</t>
        </is>
      </c>
      <c r="G10" s="63" t="n">
        <v>0.04</v>
      </c>
      <c r="H10" s="89" t="n">
        <v>0.09</v>
      </c>
      <c r="I10" s="89" t="n">
        <v>0.05</v>
      </c>
      <c r="J10" s="89" t="n">
        <v>0.07000000000000001</v>
      </c>
      <c r="K10" s="89" t="n">
        <v>0.06</v>
      </c>
    </row>
    <row r="11">
      <c r="A11" t="inlineStr">
        <is>
          <t>X Column</t>
        </is>
      </c>
      <c r="F11" t="inlineStr">
        <is>
          <t>I chose not to go</t>
        </is>
      </c>
      <c r="G11" s="63" t="n">
        <v>0.17</v>
      </c>
      <c r="H11" s="63" t="n">
        <v>0.18</v>
      </c>
      <c r="I11" s="63" t="n">
        <v>0.21</v>
      </c>
      <c r="J11" s="65" t="n">
        <v>0.19</v>
      </c>
      <c r="K11" s="65" t="n">
        <v>0.14</v>
      </c>
      <c r="L11" s="68" t="n"/>
      <c r="M11" s="68" t="n"/>
      <c r="N11" s="68" t="n"/>
    </row>
    <row r="12">
      <c r="A12" t="inlineStr">
        <is>
          <t>Y Column</t>
        </is>
      </c>
      <c r="F12" s="21" t="inlineStr">
        <is>
          <t>A mental health provider was not available due to COVID</t>
        </is>
      </c>
      <c r="G12" s="65" t="n">
        <v>0.03</v>
      </c>
      <c r="H12" s="65" t="n">
        <v>0.01</v>
      </c>
      <c r="I12" s="63" t="n">
        <v>0.03</v>
      </c>
      <c r="J12" s="63" t="n">
        <v>0.04</v>
      </c>
      <c r="K12" s="63" t="n">
        <v>0.01</v>
      </c>
      <c r="L12" s="69" t="n"/>
    </row>
    <row r="13">
      <c r="A13" t="inlineStr">
        <is>
          <t>X Axis Title</t>
        </is>
      </c>
      <c r="F13" t="inlineStr">
        <is>
          <t>Other</t>
        </is>
      </c>
      <c r="G13" s="89" t="n">
        <v>0</v>
      </c>
      <c r="H13" s="89" t="n">
        <v>0.01</v>
      </c>
      <c r="I13" s="89" t="n">
        <v>0</v>
      </c>
      <c r="J13" s="89" t="n">
        <v>0</v>
      </c>
      <c r="K13" s="89" t="n">
        <v>0</v>
      </c>
    </row>
    <row r="14">
      <c r="A14" t="inlineStr">
        <is>
          <t>Y Axis Title</t>
        </is>
      </c>
      <c r="F14" t="inlineStr">
        <is>
          <t>Don't know/Refused</t>
        </is>
      </c>
      <c r="G14" s="89" t="n">
        <v>0.03</v>
      </c>
      <c r="H14" s="89" t="n">
        <v>0.08</v>
      </c>
      <c r="I14" s="89" t="n">
        <v>0.06</v>
      </c>
      <c r="J14" s="89" t="n">
        <v>0.02</v>
      </c>
      <c r="K14" s="89" t="n">
        <v>0.03</v>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Not sure/Refused</t>
        </is>
      </c>
    </row>
    <row r="6" ht="15" customHeight="1" s="91">
      <c r="A6" t="inlineStr">
        <is>
          <t>Multilevel Headers</t>
        </is>
      </c>
      <c r="B6" t="b">
        <v>0</v>
      </c>
      <c r="F6" t="inlineStr">
        <is>
          <t>&lt;$25K</t>
        </is>
      </c>
      <c r="G6" s="63" t="n">
        <v>0.52</v>
      </c>
      <c r="H6" s="63" t="n">
        <v>0.46</v>
      </c>
      <c r="I6" s="63" t="n">
        <v>0.01</v>
      </c>
      <c r="J6" s="63" t="n"/>
      <c r="K6" s="63" t="n"/>
      <c r="L6" s="69" t="n"/>
      <c r="M6" s="69" t="n"/>
      <c r="N6" s="69" t="n"/>
      <c r="O6" s="69" t="n"/>
    </row>
    <row r="7" ht="15.75" customHeight="1" s="91">
      <c r="F7" t="inlineStr">
        <is>
          <t>$25K-$50K</t>
        </is>
      </c>
      <c r="G7" s="63" t="n">
        <v>0.65</v>
      </c>
      <c r="H7" s="63" t="n">
        <v>0.34</v>
      </c>
      <c r="I7" s="63" t="n">
        <v>0.01</v>
      </c>
      <c r="J7" s="63" t="n"/>
      <c r="K7" s="63" t="n"/>
      <c r="L7" s="69" t="n"/>
      <c r="M7" s="69" t="n"/>
      <c r="N7" s="69" t="n"/>
      <c r="O7" s="69" t="n"/>
    </row>
    <row r="8">
      <c r="F8" t="inlineStr">
        <is>
          <t>$50K-$100K</t>
        </is>
      </c>
      <c r="G8" s="63" t="n">
        <v>0.73</v>
      </c>
      <c r="H8" s="63" t="n">
        <v>0.27</v>
      </c>
      <c r="I8" s="63" t="n">
        <v>0.01</v>
      </c>
      <c r="J8" s="63" t="n"/>
      <c r="K8" s="63" t="n"/>
      <c r="L8" s="69" t="n"/>
      <c r="M8" s="69" t="n"/>
      <c r="N8" s="69" t="n"/>
      <c r="O8" s="69" t="n"/>
    </row>
    <row r="9">
      <c r="A9" s="71" t="inlineStr">
        <is>
          <t>Figure Rules</t>
        </is>
      </c>
      <c r="F9" t="inlineStr">
        <is>
          <t>$100K-$150K</t>
        </is>
      </c>
      <c r="G9" s="63" t="n">
        <v>0.71</v>
      </c>
      <c r="H9" s="63" t="n">
        <v>0.27</v>
      </c>
      <c r="I9" s="63" t="n">
        <v>0.02</v>
      </c>
      <c r="J9" s="63" t="n"/>
      <c r="K9" s="63" t="n"/>
      <c r="L9" s="69" t="n"/>
      <c r="M9" s="69" t="n"/>
      <c r="N9" s="69" t="n"/>
      <c r="O9" s="69" t="n"/>
    </row>
    <row r="10">
      <c r="A10" t="inlineStr">
        <is>
          <t>Figure Type</t>
        </is>
      </c>
      <c r="B10" t="inlineStr">
        <is>
          <t>Clustered Bar</t>
        </is>
      </c>
      <c r="F10" t="inlineStr">
        <is>
          <t>$150K+</t>
        </is>
      </c>
      <c r="G10" s="63" t="n">
        <v>0.6899999999999999</v>
      </c>
      <c r="H10" s="89" t="n">
        <v>0.27</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Long-COVID in Household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0.15</v>
      </c>
      <c r="H6" s="63" t="n">
        <v>0.85</v>
      </c>
      <c r="I6" s="63" t="n">
        <v>0</v>
      </c>
      <c r="J6" s="63" t="n"/>
      <c r="K6" s="63" t="n"/>
      <c r="L6" s="69" t="n"/>
      <c r="M6" s="69" t="n"/>
      <c r="N6" s="69" t="n"/>
      <c r="O6" s="69" t="n"/>
    </row>
    <row r="7" ht="15.75" customHeight="1" s="91">
      <c r="F7" t="inlineStr">
        <is>
          <t>$25K-$50K</t>
        </is>
      </c>
      <c r="G7" s="63" t="n">
        <v>0.18</v>
      </c>
      <c r="H7" s="63" t="n">
        <v>0.79</v>
      </c>
      <c r="I7" s="63" t="n">
        <v>0.03</v>
      </c>
      <c r="J7" s="63" t="n"/>
      <c r="K7" s="63" t="n"/>
      <c r="L7" s="69" t="n"/>
      <c r="M7" s="69" t="n"/>
      <c r="N7" s="69" t="n"/>
      <c r="O7" s="69" t="n"/>
    </row>
    <row r="8">
      <c r="F8" t="inlineStr">
        <is>
          <t>$50K-$100K</t>
        </is>
      </c>
      <c r="G8" s="63" t="n">
        <v>0.15</v>
      </c>
      <c r="H8" s="63" t="n">
        <v>0.85</v>
      </c>
      <c r="I8" s="63" t="n">
        <v>0</v>
      </c>
      <c r="J8" s="63" t="n"/>
      <c r="K8" s="63" t="n"/>
      <c r="L8" s="69" t="n"/>
      <c r="M8" s="69" t="n"/>
      <c r="N8" s="69" t="n"/>
      <c r="O8" s="69" t="n"/>
    </row>
    <row r="9">
      <c r="A9" s="71" t="inlineStr">
        <is>
          <t>Figure Rules</t>
        </is>
      </c>
      <c r="F9" t="inlineStr">
        <is>
          <t>$100K-$150K</t>
        </is>
      </c>
      <c r="G9" s="63" t="n">
        <v>0.22</v>
      </c>
      <c r="H9" s="63" t="n">
        <v>0.76</v>
      </c>
      <c r="I9" s="63" t="n">
        <v>0.02</v>
      </c>
      <c r="J9" s="63" t="n"/>
      <c r="K9" s="63" t="n"/>
      <c r="L9" s="69" t="n"/>
      <c r="M9" s="69" t="n"/>
      <c r="N9" s="69" t="n"/>
      <c r="O9" s="69" t="n"/>
    </row>
    <row r="10">
      <c r="A10" t="inlineStr">
        <is>
          <t>Figure Type</t>
        </is>
      </c>
      <c r="B10" t="inlineStr">
        <is>
          <t>Clustered Bar</t>
        </is>
      </c>
      <c r="F10" t="inlineStr">
        <is>
          <t>$150K+</t>
        </is>
      </c>
      <c r="G10" s="63" t="n">
        <v>0.18</v>
      </c>
      <c r="H10" s="89" t="n">
        <v>0.8100000000000001</v>
      </c>
      <c r="I10" s="89" t="n">
        <v>0.01</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0.75</v>
      </c>
      <c r="H6" s="63" t="n">
        <v>0.25</v>
      </c>
      <c r="I6" s="63" t="n"/>
      <c r="J6" s="63" t="n"/>
      <c r="K6" s="63" t="n"/>
      <c r="L6" s="69" t="n"/>
      <c r="M6" s="69" t="n"/>
      <c r="N6" s="69" t="n"/>
      <c r="O6" s="69" t="n"/>
    </row>
    <row r="7" ht="15.75" customHeight="1" s="91">
      <c r="F7" t="inlineStr">
        <is>
          <t>$25K-$50K</t>
        </is>
      </c>
      <c r="G7" s="63" t="n">
        <v>0.63</v>
      </c>
      <c r="H7" s="63" t="n">
        <v>0.37</v>
      </c>
      <c r="I7" s="63" t="n"/>
      <c r="J7" s="63" t="n"/>
      <c r="K7" s="63" t="n"/>
      <c r="L7" s="69" t="n"/>
      <c r="M7" s="69" t="n"/>
      <c r="N7" s="69" t="n"/>
      <c r="O7" s="69" t="n"/>
    </row>
    <row r="8">
      <c r="F8" t="inlineStr">
        <is>
          <t>$50K-$100K</t>
        </is>
      </c>
      <c r="G8" s="63" t="n">
        <v>0.77</v>
      </c>
      <c r="H8" s="63" t="n">
        <v>0.23</v>
      </c>
      <c r="I8" s="63" t="n"/>
      <c r="J8" s="63" t="n"/>
      <c r="K8" s="63" t="n"/>
      <c r="L8" s="69" t="n"/>
      <c r="M8" s="69" t="n"/>
      <c r="N8" s="69" t="n"/>
      <c r="O8" s="69" t="n"/>
    </row>
    <row r="9">
      <c r="A9" s="71" t="inlineStr">
        <is>
          <t>Figure Rules</t>
        </is>
      </c>
      <c r="F9" t="inlineStr">
        <is>
          <t>$100K-$150K</t>
        </is>
      </c>
      <c r="G9" s="63" t="n">
        <v>0.72</v>
      </c>
      <c r="H9" s="63" t="n">
        <v>0.26</v>
      </c>
      <c r="I9" s="63" t="n"/>
      <c r="J9" s="63" t="n"/>
      <c r="K9" s="63" t="n"/>
      <c r="L9" s="69" t="n"/>
      <c r="M9" s="69" t="n"/>
      <c r="N9" s="69" t="n"/>
      <c r="O9" s="69" t="n"/>
    </row>
    <row r="10">
      <c r="A10" t="inlineStr">
        <is>
          <t>Figure Type</t>
        </is>
      </c>
      <c r="B10" t="inlineStr">
        <is>
          <t>Clustered Bar</t>
        </is>
      </c>
      <c r="F10" t="inlineStr">
        <is>
          <t>$150K+</t>
        </is>
      </c>
      <c r="G10" s="63" t="n">
        <v>0.82</v>
      </c>
      <c r="H10" s="89" t="n">
        <v>0.16</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inlineStr">
        <is>
          <t>&lt;$25K</t>
        </is>
      </c>
      <c r="G6" s="63" t="n">
        <v>0.3</v>
      </c>
      <c r="H6" s="63" t="n">
        <v>0.09</v>
      </c>
      <c r="I6" s="63" t="n">
        <v>0.16</v>
      </c>
      <c r="J6" s="63" t="n">
        <v>0.42</v>
      </c>
      <c r="K6" s="63" t="n">
        <v>0.03</v>
      </c>
      <c r="L6" s="69" t="n"/>
      <c r="M6" s="69" t="n"/>
      <c r="N6" s="69" t="n"/>
      <c r="O6" s="69" t="n"/>
    </row>
    <row r="7" ht="15.75" customHeight="1" s="91">
      <c r="F7" t="inlineStr">
        <is>
          <t>$25K-$50K</t>
        </is>
      </c>
      <c r="G7" s="63" t="n">
        <v>0.2</v>
      </c>
      <c r="H7" s="63" t="n">
        <v>0.09</v>
      </c>
      <c r="I7" s="63" t="n">
        <v>0.14</v>
      </c>
      <c r="J7" s="63" t="n">
        <v>0.53</v>
      </c>
      <c r="K7" s="63" t="n">
        <v>0.04</v>
      </c>
      <c r="L7" s="69" t="n"/>
      <c r="M7" s="69" t="n"/>
      <c r="N7" s="69" t="n"/>
      <c r="O7" s="69" t="n"/>
    </row>
    <row r="8">
      <c r="F8" t="inlineStr">
        <is>
          <t>$50K-$100K</t>
        </is>
      </c>
      <c r="G8" s="63" t="n">
        <v>0.21</v>
      </c>
      <c r="H8" s="63" t="n">
        <v>0.15</v>
      </c>
      <c r="I8" s="63" t="n">
        <v>0.15</v>
      </c>
      <c r="J8" s="63" t="n">
        <v>0.48</v>
      </c>
      <c r="K8" s="63" t="n">
        <v>0.01</v>
      </c>
      <c r="L8" s="69" t="n"/>
      <c r="M8" s="69" t="n"/>
      <c r="N8" s="69" t="n"/>
      <c r="O8" s="69" t="n"/>
    </row>
    <row r="9">
      <c r="A9" s="71" t="inlineStr">
        <is>
          <t>Figure Rules</t>
        </is>
      </c>
      <c r="F9" t="inlineStr">
        <is>
          <t>$100K-$150K</t>
        </is>
      </c>
      <c r="G9" s="63" t="n">
        <v>0.21</v>
      </c>
      <c r="H9" s="63" t="n">
        <v>0.04</v>
      </c>
      <c r="I9" s="63" t="n">
        <v>0.14</v>
      </c>
      <c r="J9" s="63" t="n">
        <v>0.49</v>
      </c>
      <c r="K9" s="63" t="n">
        <v>0.01</v>
      </c>
      <c r="L9" s="69" t="n"/>
      <c r="M9" s="69" t="n"/>
      <c r="N9" s="69" t="n"/>
      <c r="O9" s="69" t="n"/>
    </row>
    <row r="10">
      <c r="A10" t="inlineStr">
        <is>
          <t>Figure Type</t>
        </is>
      </c>
      <c r="B10" t="inlineStr">
        <is>
          <t>Clustered Bar</t>
        </is>
      </c>
      <c r="F10" t="inlineStr">
        <is>
          <t>$150K+</t>
        </is>
      </c>
      <c r="G10" s="63" t="n">
        <v>0.22</v>
      </c>
      <c r="H10" s="89" t="n">
        <v>0.03</v>
      </c>
      <c r="I10" s="89" t="n">
        <v>0.14</v>
      </c>
      <c r="J10" s="89" t="n">
        <v>0.52</v>
      </c>
      <c r="K10" s="89" t="n">
        <v>0</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0.48</v>
      </c>
      <c r="H6" s="63" t="n">
        <v>0.52</v>
      </c>
      <c r="I6" s="63" t="n"/>
      <c r="J6" s="63" t="n"/>
      <c r="K6" s="63" t="n"/>
      <c r="L6" s="69" t="n"/>
      <c r="M6" s="69" t="n"/>
      <c r="N6" s="69" t="n"/>
      <c r="O6" s="69" t="n"/>
    </row>
    <row r="7" ht="15.75" customHeight="1" s="91">
      <c r="F7" t="inlineStr">
        <is>
          <t>$25K-$50K</t>
        </is>
      </c>
      <c r="G7" s="63" t="n">
        <v>0.39</v>
      </c>
      <c r="H7" s="63" t="n">
        <v>0.6</v>
      </c>
      <c r="I7" s="63" t="n"/>
      <c r="J7" s="63" t="n"/>
      <c r="K7" s="63" t="n"/>
      <c r="L7" s="69" t="n"/>
      <c r="M7" s="69" t="n"/>
      <c r="N7" s="69" t="n"/>
      <c r="O7" s="69" t="n"/>
    </row>
    <row r="8">
      <c r="F8" t="inlineStr">
        <is>
          <t>$50K-$100K</t>
        </is>
      </c>
      <c r="G8" s="63" t="n">
        <v>0.45</v>
      </c>
      <c r="H8" s="63" t="n">
        <v>0.55</v>
      </c>
      <c r="I8" s="63" t="n"/>
      <c r="J8" s="63" t="n"/>
      <c r="K8" s="63" t="n"/>
      <c r="L8" s="69" t="n"/>
      <c r="M8" s="69" t="n"/>
      <c r="N8" s="69" t="n"/>
      <c r="O8" s="69" t="n"/>
    </row>
    <row r="9">
      <c r="A9" s="71" t="inlineStr">
        <is>
          <t>Figure Rules</t>
        </is>
      </c>
      <c r="F9" t="inlineStr">
        <is>
          <t>$100K-$150K</t>
        </is>
      </c>
      <c r="G9" s="63" t="n">
        <v>0.45</v>
      </c>
      <c r="H9" s="63" t="n">
        <v>0.54</v>
      </c>
      <c r="I9" s="63" t="n"/>
      <c r="J9" s="63" t="n"/>
      <c r="K9" s="63" t="n"/>
      <c r="L9" s="69" t="n"/>
      <c r="M9" s="69" t="n"/>
      <c r="N9" s="69" t="n"/>
      <c r="O9" s="69" t="n"/>
    </row>
    <row r="10">
      <c r="A10" t="inlineStr">
        <is>
          <t>Figure Type</t>
        </is>
      </c>
      <c r="B10" t="inlineStr">
        <is>
          <t>Clustered Bar</t>
        </is>
      </c>
      <c r="F10" t="inlineStr">
        <is>
          <t>$150K+</t>
        </is>
      </c>
      <c r="G10" s="63" t="n">
        <v>0.48</v>
      </c>
      <c r="H10" s="89" t="n">
        <v>0.52</v>
      </c>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Q57"/>
  <sheetViews>
    <sheetView workbookViewId="0">
      <selection activeCell="L11" sqref="L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0.11</v>
      </c>
      <c r="H6" s="63" t="n">
        <v>0.04</v>
      </c>
      <c r="I6" s="63" t="n">
        <v>0.29</v>
      </c>
      <c r="J6" s="63" t="n">
        <v>0.24</v>
      </c>
      <c r="K6" s="63" t="n">
        <v>0.31</v>
      </c>
      <c r="L6" s="69" t="n"/>
      <c r="M6" s="69" t="n"/>
      <c r="N6" s="69" t="n"/>
      <c r="O6" s="69" t="n"/>
    </row>
    <row r="7" ht="15.75" customHeight="1" s="91">
      <c r="F7" t="inlineStr">
        <is>
          <t>$25K-$50K</t>
        </is>
      </c>
      <c r="G7" s="63" t="n">
        <v>0.08</v>
      </c>
      <c r="H7" s="63" t="n">
        <v>0.09</v>
      </c>
      <c r="I7" s="63" t="n">
        <v>0.22</v>
      </c>
      <c r="J7" s="63" t="n">
        <v>0.23</v>
      </c>
      <c r="K7" s="63" t="n">
        <v>0.38</v>
      </c>
      <c r="L7" s="69" t="n"/>
      <c r="M7" s="69" t="n"/>
      <c r="N7" s="69" t="n"/>
      <c r="O7" s="69" t="n"/>
    </row>
    <row r="8">
      <c r="F8" t="inlineStr">
        <is>
          <t>$50K-$100K</t>
        </is>
      </c>
      <c r="G8" s="63" t="n">
        <v>0.02</v>
      </c>
      <c r="H8" s="63" t="n">
        <v>0.07000000000000001</v>
      </c>
      <c r="I8" s="63" t="n">
        <v>0.25</v>
      </c>
      <c r="J8" s="63" t="n">
        <v>0.24</v>
      </c>
      <c r="K8" s="63" t="n">
        <v>0.41</v>
      </c>
      <c r="L8" s="69" t="n"/>
      <c r="M8" s="69" t="n"/>
      <c r="N8" s="69" t="n"/>
      <c r="O8" s="69" t="n"/>
    </row>
    <row r="9">
      <c r="A9" s="71" t="inlineStr">
        <is>
          <t>Figure Rules</t>
        </is>
      </c>
      <c r="F9" t="inlineStr">
        <is>
          <t>$100K-$150K</t>
        </is>
      </c>
      <c r="G9" s="63" t="n">
        <v>0.04</v>
      </c>
      <c r="H9" s="63" t="n">
        <v>0.09</v>
      </c>
      <c r="I9" s="63" t="n">
        <v>0.27</v>
      </c>
      <c r="J9" s="63" t="n">
        <v>0.23</v>
      </c>
      <c r="K9" s="63" t="n">
        <v>0.37</v>
      </c>
      <c r="L9" s="69" t="n"/>
      <c r="M9" s="69" t="n"/>
      <c r="N9" s="69" t="n"/>
      <c r="O9" s="69" t="n"/>
    </row>
    <row r="10">
      <c r="A10" t="inlineStr">
        <is>
          <t>Figure Type</t>
        </is>
      </c>
      <c r="B10" t="inlineStr">
        <is>
          <t>Clustered Bar</t>
        </is>
      </c>
      <c r="F10" t="inlineStr">
        <is>
          <t>$150K+</t>
        </is>
      </c>
      <c r="G10" s="63" t="n">
        <v>0.02</v>
      </c>
      <c r="H10" s="89" t="n">
        <v>0.08</v>
      </c>
      <c r="I10" s="89" t="n">
        <v>0.17</v>
      </c>
      <c r="J10" s="89" t="n">
        <v>0.26</v>
      </c>
      <c r="K10" s="89" t="n">
        <v>0.46</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by Income, 2024</t>
        </is>
      </c>
    </row>
    <row r="2">
      <c r="A2" s="16" t="inlineStr">
        <is>
          <t>Table/Figure/Both</t>
        </is>
      </c>
      <c r="B2" t="inlineStr">
        <is>
          <t>Both</t>
        </is>
      </c>
    </row>
    <row r="3">
      <c r="A3" s="16" t="inlineStr">
        <is>
          <t xml:space="preserve">Object ID  </t>
        </is>
      </c>
      <c r="B3" t="inlineStr">
        <is>
          <t>tbl-siena-feeling-hopeless-income</t>
        </is>
      </c>
    </row>
    <row r="4">
      <c r="A4" s="16" t="inlineStr">
        <is>
          <t>Figure ID</t>
        </is>
      </c>
      <c r="B4" t="inlineStr">
        <is>
          <t>fig-siena-feeling-hopeless-income</t>
        </is>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0.03</v>
      </c>
      <c r="H6" s="63" t="n">
        <v>0.04</v>
      </c>
      <c r="I6" s="63" t="n">
        <v>0.17</v>
      </c>
      <c r="J6" s="63" t="n">
        <v>0.09</v>
      </c>
      <c r="K6" s="63" t="n">
        <v>0.66</v>
      </c>
      <c r="L6" s="69" t="n"/>
      <c r="M6" s="69" t="n"/>
      <c r="N6" s="69" t="n"/>
      <c r="O6" s="69" t="n"/>
    </row>
    <row r="7" ht="15.75" customHeight="1" s="91">
      <c r="F7" t="inlineStr">
        <is>
          <t>$25K-$50K</t>
        </is>
      </c>
      <c r="G7" s="63" t="n">
        <v>0.02</v>
      </c>
      <c r="H7" s="63" t="n">
        <v>0.06</v>
      </c>
      <c r="I7" s="63" t="n">
        <v>0.11</v>
      </c>
      <c r="J7" s="63" t="n">
        <v>0.14</v>
      </c>
      <c r="K7" s="63" t="n">
        <v>0.65</v>
      </c>
      <c r="L7" s="69" t="n"/>
      <c r="M7" s="69" t="n"/>
      <c r="N7" s="69" t="n"/>
      <c r="O7" s="69" t="n"/>
    </row>
    <row r="8">
      <c r="F8" t="inlineStr">
        <is>
          <t>$50K-$100K</t>
        </is>
      </c>
      <c r="G8" s="63" t="n">
        <v>0.01</v>
      </c>
      <c r="H8" s="63" t="n">
        <v>0.04</v>
      </c>
      <c r="I8" s="63" t="n">
        <v>0.09</v>
      </c>
      <c r="J8" s="63" t="n">
        <v>0.11</v>
      </c>
      <c r="K8" s="63" t="n">
        <v>0.74</v>
      </c>
      <c r="L8" s="69" t="n"/>
      <c r="M8" s="69" t="n"/>
      <c r="N8" s="69" t="n"/>
      <c r="O8" s="69" t="n"/>
    </row>
    <row r="9">
      <c r="A9" s="71" t="inlineStr">
        <is>
          <t>Figure Rules</t>
        </is>
      </c>
      <c r="F9" t="inlineStr">
        <is>
          <t>$100K-$150K</t>
        </is>
      </c>
      <c r="G9" s="63" t="n">
        <v>0.01</v>
      </c>
      <c r="H9" s="63" t="n">
        <v>0.01</v>
      </c>
      <c r="I9" s="63" t="n">
        <v>0.14</v>
      </c>
      <c r="J9" s="63" t="n">
        <v>0.07000000000000001</v>
      </c>
      <c r="K9" s="63" t="n">
        <v>0.76</v>
      </c>
      <c r="L9" s="69" t="n"/>
      <c r="M9" s="69" t="n"/>
      <c r="N9" s="69" t="n"/>
      <c r="O9" s="69" t="n"/>
    </row>
    <row r="10">
      <c r="A10" t="inlineStr">
        <is>
          <t>Figure Type</t>
        </is>
      </c>
      <c r="B10" t="inlineStr">
        <is>
          <t>Clustered Bar</t>
        </is>
      </c>
      <c r="F10" t="inlineStr">
        <is>
          <t>$150K+</t>
        </is>
      </c>
      <c r="G10" s="63" t="n">
        <v>0.01</v>
      </c>
      <c r="H10" s="89" t="n">
        <v>0.02</v>
      </c>
      <c r="I10" s="89" t="n">
        <v>0.09</v>
      </c>
      <c r="J10" s="89" t="n">
        <v>0.07000000000000001</v>
      </c>
      <c r="K10" s="89" t="n">
        <v>0.82</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Q57"/>
  <sheetViews>
    <sheetView workbookViewId="0">
      <selection activeCell="G19" sqref="G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0.06</v>
      </c>
      <c r="H6" s="63" t="n">
        <v>0.09</v>
      </c>
      <c r="I6" s="63" t="n">
        <v>0.27</v>
      </c>
      <c r="J6" s="63" t="n">
        <v>0.25</v>
      </c>
      <c r="K6" s="63" t="n">
        <v>0.33</v>
      </c>
      <c r="L6" s="69" t="n"/>
      <c r="M6" s="69" t="n"/>
      <c r="N6" s="69" t="n"/>
      <c r="O6" s="69" t="n"/>
    </row>
    <row r="7" ht="15.75" customHeight="1" s="91">
      <c r="F7" t="inlineStr">
        <is>
          <t>$25K-$50K</t>
        </is>
      </c>
      <c r="G7" s="63" t="n">
        <v>0.06</v>
      </c>
      <c r="H7" s="63" t="n">
        <v>0.11</v>
      </c>
      <c r="I7" s="63" t="n">
        <v>0.21</v>
      </c>
      <c r="J7" s="63" t="n">
        <v>0.17</v>
      </c>
      <c r="K7" s="63" t="n">
        <v>0.43</v>
      </c>
      <c r="L7" s="69" t="n"/>
      <c r="M7" s="69" t="n"/>
      <c r="N7" s="69" t="n"/>
      <c r="O7" s="69" t="n"/>
    </row>
    <row r="8">
      <c r="F8" t="inlineStr">
        <is>
          <t>$50K-$100K</t>
        </is>
      </c>
      <c r="G8" s="63" t="n">
        <v>0.01</v>
      </c>
      <c r="H8" s="63" t="n">
        <v>0.05</v>
      </c>
      <c r="I8" s="63" t="n">
        <v>0.21</v>
      </c>
      <c r="J8" s="63" t="n">
        <v>0.22</v>
      </c>
      <c r="K8" s="63" t="n">
        <v>0.51</v>
      </c>
      <c r="L8" s="69" t="n"/>
      <c r="M8" s="69" t="n"/>
      <c r="N8" s="69" t="n"/>
      <c r="O8" s="69" t="n"/>
    </row>
    <row r="9">
      <c r="A9" s="71" t="inlineStr">
        <is>
          <t>Figure Rules</t>
        </is>
      </c>
      <c r="F9" t="inlineStr">
        <is>
          <t>$100K-$150K</t>
        </is>
      </c>
      <c r="G9" s="63" t="n">
        <v>0.03</v>
      </c>
      <c r="H9" s="63" t="n">
        <v>0.06</v>
      </c>
      <c r="I9" s="63" t="n">
        <v>0.21</v>
      </c>
      <c r="J9" s="63" t="n">
        <v>0.16</v>
      </c>
      <c r="K9" s="63" t="n">
        <v>0.54</v>
      </c>
      <c r="L9" s="69" t="n"/>
      <c r="M9" s="69" t="n"/>
      <c r="N9" s="69" t="n"/>
      <c r="O9" s="69" t="n"/>
    </row>
    <row r="10">
      <c r="A10" t="inlineStr">
        <is>
          <t>Figure Type</t>
        </is>
      </c>
      <c r="B10" t="inlineStr">
        <is>
          <t>Clustered Bar</t>
        </is>
      </c>
      <c r="F10" t="inlineStr">
        <is>
          <t>$150K+</t>
        </is>
      </c>
      <c r="G10" s="63" t="n">
        <v>0.04</v>
      </c>
      <c r="H10" s="89" t="n">
        <v>0.04</v>
      </c>
      <c r="I10" s="89" t="n">
        <v>0.22</v>
      </c>
      <c r="J10" s="89" t="n">
        <v>0.18</v>
      </c>
      <c r="K10" s="89" t="n">
        <v>0.51</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Q57"/>
  <sheetViews>
    <sheetView workbookViewId="0">
      <selection activeCell="P14" sqref="P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0.04</v>
      </c>
      <c r="H6" s="63" t="n">
        <v>0.04</v>
      </c>
      <c r="I6" s="63" t="n">
        <v>0.17</v>
      </c>
      <c r="J6" s="63" t="n">
        <v>0.15</v>
      </c>
      <c r="K6" s="63" t="n">
        <v>0.6</v>
      </c>
      <c r="L6" s="69" t="n"/>
      <c r="M6" s="69" t="n"/>
      <c r="N6" s="69" t="n"/>
      <c r="O6" s="69" t="n"/>
    </row>
    <row r="7" ht="15.75" customHeight="1" s="91">
      <c r="F7" t="inlineStr">
        <is>
          <t>$25K-$50K</t>
        </is>
      </c>
      <c r="G7" s="63" t="n">
        <v>0.03</v>
      </c>
      <c r="H7" s="63" t="n">
        <v>0.02</v>
      </c>
      <c r="I7" s="63" t="n">
        <v>0.11</v>
      </c>
      <c r="J7" s="63" t="n">
        <v>0.14</v>
      </c>
      <c r="K7" s="63" t="n">
        <v>0.7</v>
      </c>
      <c r="L7" s="69" t="n"/>
      <c r="M7" s="69" t="n"/>
      <c r="N7" s="69" t="n"/>
      <c r="O7" s="69" t="n"/>
    </row>
    <row r="8">
      <c r="F8" t="inlineStr">
        <is>
          <t>$50K-$100K</t>
        </is>
      </c>
      <c r="G8" s="63" t="n">
        <v>0</v>
      </c>
      <c r="H8" s="63" t="n">
        <v>0.01</v>
      </c>
      <c r="I8" s="63" t="n">
        <v>0.08</v>
      </c>
      <c r="J8" s="63" t="n">
        <v>0.1</v>
      </c>
      <c r="K8" s="63" t="n">
        <v>0.8100000000000001</v>
      </c>
      <c r="L8" s="69" t="n"/>
      <c r="M8" s="69" t="n"/>
      <c r="N8" s="69" t="n"/>
      <c r="O8" s="69" t="n"/>
    </row>
    <row r="9">
      <c r="A9" s="71" t="inlineStr">
        <is>
          <t>Figure Rules</t>
        </is>
      </c>
      <c r="F9" t="inlineStr">
        <is>
          <t>$100K-$150K</t>
        </is>
      </c>
      <c r="G9" s="63" t="n">
        <v>0</v>
      </c>
      <c r="H9" s="63" t="n">
        <v>0.03</v>
      </c>
      <c r="I9" s="63" t="n">
        <v>0.08</v>
      </c>
      <c r="J9" s="63" t="n">
        <v>0.09</v>
      </c>
      <c r="K9" s="63" t="n">
        <v>0.8</v>
      </c>
      <c r="L9" s="69" t="n"/>
      <c r="M9" s="69" t="n"/>
      <c r="N9" s="69" t="n"/>
      <c r="O9" s="69" t="n"/>
    </row>
    <row r="10">
      <c r="A10" t="inlineStr">
        <is>
          <t>Figure Type</t>
        </is>
      </c>
      <c r="B10" t="inlineStr">
        <is>
          <t>Clustered Bar</t>
        </is>
      </c>
      <c r="F10" t="inlineStr">
        <is>
          <t>$150K+</t>
        </is>
      </c>
      <c r="G10" s="63" t="n">
        <v>0</v>
      </c>
      <c r="H10" s="89" t="n">
        <v>0.01</v>
      </c>
      <c r="I10" s="89" t="n">
        <v>0.07000000000000001</v>
      </c>
      <c r="J10" s="89" t="n">
        <v>0.03</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0.08</v>
      </c>
      <c r="H6" s="63" t="n">
        <v>0.09</v>
      </c>
      <c r="I6" s="63" t="n">
        <v>0.27</v>
      </c>
      <c r="J6" s="63" t="n">
        <v>0.14</v>
      </c>
      <c r="K6" s="63" t="n">
        <v>0.39</v>
      </c>
      <c r="L6" s="69" t="n"/>
      <c r="M6" s="69" t="n"/>
      <c r="N6" s="69" t="n"/>
      <c r="O6" s="69" t="n"/>
    </row>
    <row r="7" ht="15.75" customHeight="1" s="91">
      <c r="F7" t="inlineStr">
        <is>
          <t>$25K-$50K</t>
        </is>
      </c>
      <c r="G7" s="63" t="n">
        <v>0.06</v>
      </c>
      <c r="H7" s="63" t="n">
        <v>0.12</v>
      </c>
      <c r="I7" s="63" t="n">
        <v>0.22</v>
      </c>
      <c r="J7" s="63" t="n">
        <v>0.16</v>
      </c>
      <c r="K7" s="63" t="n">
        <v>0.43</v>
      </c>
      <c r="L7" s="69" t="n"/>
      <c r="M7" s="69" t="n"/>
      <c r="N7" s="69" t="n"/>
      <c r="O7" s="69" t="n"/>
    </row>
    <row r="8">
      <c r="F8" t="inlineStr">
        <is>
          <t>$50K-$100K</t>
        </is>
      </c>
      <c r="G8" s="63" t="n">
        <v>0.09</v>
      </c>
      <c r="H8" s="63" t="n">
        <v>0.06</v>
      </c>
      <c r="I8" s="63" t="n">
        <v>0.15</v>
      </c>
      <c r="J8" s="63" t="n">
        <v>0.16</v>
      </c>
      <c r="K8" s="63" t="n">
        <v>0.49</v>
      </c>
      <c r="L8" s="69" t="n"/>
      <c r="M8" s="69" t="n"/>
      <c r="N8" s="69" t="n"/>
      <c r="O8" s="69" t="n"/>
    </row>
    <row r="9">
      <c r="A9" s="71" t="inlineStr">
        <is>
          <t>Figure Rules</t>
        </is>
      </c>
      <c r="F9" t="inlineStr">
        <is>
          <t>$100K-$150K</t>
        </is>
      </c>
      <c r="G9" s="63" t="n">
        <v>0.01</v>
      </c>
      <c r="H9" s="63" t="n">
        <v>0.06</v>
      </c>
      <c r="I9" s="63" t="n">
        <v>0.19</v>
      </c>
      <c r="J9" s="63" t="n">
        <v>0.21</v>
      </c>
      <c r="K9" s="63" t="n">
        <v>0.44</v>
      </c>
      <c r="L9" s="69" t="n"/>
      <c r="M9" s="69" t="n"/>
      <c r="N9" s="69" t="n"/>
      <c r="O9" s="69" t="n"/>
    </row>
    <row r="10">
      <c r="A10" t="inlineStr">
        <is>
          <t>Figure Type</t>
        </is>
      </c>
      <c r="B10" t="inlineStr">
        <is>
          <t>Clustered Bar</t>
        </is>
      </c>
      <c r="F10" t="inlineStr">
        <is>
          <t>$150K+</t>
        </is>
      </c>
      <c r="G10" s="63" t="n">
        <v>0.06</v>
      </c>
      <c r="H10" s="89" t="n">
        <v>0.11</v>
      </c>
      <c r="I10" s="89" t="n">
        <v>0.16</v>
      </c>
      <c r="J10" s="89" t="n">
        <v>0.24</v>
      </c>
      <c r="K10" s="89" t="n">
        <v>0.57</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Q57"/>
  <sheetViews>
    <sheetView workbookViewId="0">
      <selection activeCell="C11" sqref="C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3.85546875" bestFit="1" customWidth="1" style="91" min="7" max="7"/>
    <col width="15.85546875" bestFit="1" customWidth="1" style="91" min="8" max="8"/>
    <col width="16.42578125" bestFit="1" customWidth="1" style="91" min="9" max="9"/>
    <col width="17.5703125" bestFit="1" customWidth="1" style="91" min="10" max="10"/>
    <col width="16.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0.03</v>
      </c>
      <c r="I6" s="63" t="n">
        <v>0.07000000000000001</v>
      </c>
      <c r="J6" s="63" t="n">
        <v>0.08</v>
      </c>
      <c r="K6" s="63" t="n">
        <v>0.8</v>
      </c>
      <c r="M6" s="69" t="n"/>
      <c r="N6" s="69" t="n"/>
      <c r="O6" s="69" t="n"/>
    </row>
    <row r="7" ht="15.75" customHeight="1" s="91">
      <c r="F7" t="n">
        <v>2023</v>
      </c>
      <c r="G7" s="63" t="n">
        <v>0.03</v>
      </c>
      <c r="H7" s="63" t="n">
        <v>0.02</v>
      </c>
      <c r="I7" s="63" t="n">
        <v>0.08</v>
      </c>
      <c r="J7" s="63" t="n">
        <v>0.1</v>
      </c>
      <c r="K7" s="63" t="n">
        <v>0.77</v>
      </c>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0.02</v>
      </c>
      <c r="H6" s="63" t="n">
        <v>0.08</v>
      </c>
      <c r="I6" s="63" t="n">
        <v>0.12</v>
      </c>
      <c r="J6" s="63" t="n">
        <v>0.08</v>
      </c>
      <c r="K6" s="63" t="n">
        <v>0.7</v>
      </c>
      <c r="L6" s="69" t="n"/>
      <c r="M6" s="69" t="n"/>
      <c r="N6" s="69" t="n"/>
      <c r="O6" s="69" t="n"/>
    </row>
    <row r="7" ht="15.75" customHeight="1" s="91">
      <c r="F7" t="inlineStr">
        <is>
          <t>$25K-$50K</t>
        </is>
      </c>
      <c r="G7" s="63" t="n">
        <v>0.03</v>
      </c>
      <c r="H7" s="63" t="n">
        <v>0.02</v>
      </c>
      <c r="I7" s="63" t="n">
        <v>0.02</v>
      </c>
      <c r="J7" s="63" t="n">
        <v>0.12</v>
      </c>
      <c r="K7" s="63" t="n">
        <v>0.71</v>
      </c>
      <c r="L7" s="69" t="n"/>
      <c r="M7" s="69" t="n"/>
      <c r="N7" s="69" t="n"/>
      <c r="O7" s="69" t="n"/>
    </row>
    <row r="8">
      <c r="F8" t="inlineStr">
        <is>
          <t>$50K-$100K</t>
        </is>
      </c>
      <c r="G8" s="63" t="n">
        <v>0.01</v>
      </c>
      <c r="H8" s="63" t="n">
        <v>0.04</v>
      </c>
      <c r="I8" s="63" t="n">
        <v>0.04</v>
      </c>
      <c r="J8" s="63" t="n">
        <v>0.07000000000000001</v>
      </c>
      <c r="K8" s="63" t="n">
        <v>0.84</v>
      </c>
      <c r="L8" s="69" t="n"/>
      <c r="M8" s="69" t="n"/>
      <c r="N8" s="69" t="n"/>
      <c r="O8" s="69" t="n"/>
    </row>
    <row r="9">
      <c r="A9" s="71" t="inlineStr">
        <is>
          <t>Figure Rules</t>
        </is>
      </c>
      <c r="F9" t="inlineStr">
        <is>
          <t>$100K-$150K</t>
        </is>
      </c>
      <c r="G9" s="63" t="n">
        <v>0</v>
      </c>
      <c r="H9" s="63" t="n">
        <v>0.04</v>
      </c>
      <c r="I9" s="63" t="n">
        <v>0.06</v>
      </c>
      <c r="J9" s="63" t="n">
        <v>0.06</v>
      </c>
      <c r="K9" s="63" t="n">
        <v>0.77</v>
      </c>
      <c r="L9" s="69" t="n"/>
      <c r="M9" s="69" t="n"/>
      <c r="N9" s="69" t="n"/>
      <c r="O9" s="69" t="n"/>
    </row>
    <row r="10">
      <c r="A10" t="inlineStr">
        <is>
          <t>Figure Type</t>
        </is>
      </c>
      <c r="B10" t="inlineStr">
        <is>
          <t>Clustered Bar</t>
        </is>
      </c>
      <c r="F10" t="inlineStr">
        <is>
          <t>$150K+</t>
        </is>
      </c>
      <c r="G10" s="63" t="n">
        <v>0</v>
      </c>
      <c r="H10" s="89" t="n">
        <v>0.01</v>
      </c>
      <c r="I10" s="89" t="n">
        <v>0.05</v>
      </c>
      <c r="J10" s="89" t="n">
        <v>0.04</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Q57"/>
  <sheetViews>
    <sheetView workbookViewId="0">
      <selection activeCell="L16" sqref="L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None/Low mental distress</t>
        </is>
      </c>
      <c r="H5" t="inlineStr">
        <is>
          <t>Moderate mental distress</t>
        </is>
      </c>
      <c r="I5" t="inlineStr">
        <is>
          <t>Serious Mental distress</t>
        </is>
      </c>
    </row>
    <row r="6" ht="15" customHeight="1" s="91">
      <c r="A6" t="inlineStr">
        <is>
          <t>Multilevel Headers</t>
        </is>
      </c>
      <c r="B6" t="b">
        <v>0</v>
      </c>
      <c r="F6" t="n">
        <v>2024</v>
      </c>
      <c r="G6" s="63" t="n">
        <v>0.64</v>
      </c>
      <c r="H6" s="63" t="n">
        <v>0.28</v>
      </c>
      <c r="I6" s="63" t="n">
        <v>0.08</v>
      </c>
      <c r="J6" s="63" t="n"/>
      <c r="K6" s="63" t="n"/>
      <c r="L6" s="69" t="n"/>
      <c r="M6" s="69" t="n"/>
      <c r="N6" s="69" t="n"/>
      <c r="O6" s="69" t="n"/>
    </row>
    <row r="7" ht="15.75" customHeight="1" s="91">
      <c r="F7" t="n">
        <v>2023</v>
      </c>
      <c r="G7" s="63" t="n">
        <v>0.61</v>
      </c>
      <c r="H7" s="63" t="n">
        <v>0.3</v>
      </c>
      <c r="I7" s="63" t="n">
        <v>0.09</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None/Low mental distress</t>
        </is>
      </c>
      <c r="H5" t="inlineStr">
        <is>
          <t>Moderate mental distress</t>
        </is>
      </c>
      <c r="I5" t="inlineStr">
        <is>
          <t>Serious Mental distress</t>
        </is>
      </c>
    </row>
    <row r="6" ht="15" customHeight="1" s="91">
      <c r="A6" t="inlineStr">
        <is>
          <t>Multilevel Headers</t>
        </is>
      </c>
      <c r="B6" t="b">
        <v>0</v>
      </c>
      <c r="F6" t="inlineStr">
        <is>
          <t>&lt;$25K</t>
        </is>
      </c>
      <c r="G6" s="63" t="n">
        <v>0.53</v>
      </c>
      <c r="H6" s="63" t="n">
        <v>0.33</v>
      </c>
      <c r="I6" s="63" t="n">
        <v>0.14</v>
      </c>
      <c r="J6" s="63" t="n"/>
      <c r="K6" s="63" t="n"/>
      <c r="L6" s="69" t="n"/>
      <c r="M6" s="69" t="n"/>
      <c r="N6" s="69" t="n"/>
      <c r="O6" s="69" t="n"/>
    </row>
    <row r="7" ht="15.75" customHeight="1" s="91">
      <c r="F7" t="inlineStr">
        <is>
          <t>$25K-$50K</t>
        </is>
      </c>
      <c r="G7" s="63" t="n">
        <v>0.59</v>
      </c>
      <c r="H7" s="63" t="n">
        <v>0.26</v>
      </c>
      <c r="I7" s="63" t="n">
        <v>0.15</v>
      </c>
      <c r="J7" s="63" t="n"/>
      <c r="K7" s="63" t="n"/>
      <c r="L7" s="69" t="n"/>
      <c r="M7" s="69" t="n"/>
      <c r="N7" s="69" t="n"/>
      <c r="O7" s="69" t="n"/>
    </row>
    <row r="8">
      <c r="F8" t="inlineStr">
        <is>
          <t>$50K-$100K</t>
        </is>
      </c>
      <c r="G8" s="63" t="n">
        <v>0.67</v>
      </c>
      <c r="H8" s="63" t="n">
        <v>0.28</v>
      </c>
      <c r="I8" s="63" t="n">
        <v>0.05</v>
      </c>
      <c r="J8" s="63" t="n"/>
      <c r="K8" s="63" t="n"/>
      <c r="L8" s="69" t="n"/>
      <c r="M8" s="69" t="n"/>
      <c r="N8" s="69" t="n"/>
      <c r="O8" s="69" t="n"/>
    </row>
    <row r="9">
      <c r="A9" s="71" t="inlineStr">
        <is>
          <t>Figure Rules</t>
        </is>
      </c>
      <c r="F9" t="inlineStr">
        <is>
          <t>$100K-$150K</t>
        </is>
      </c>
      <c r="G9" s="63" t="n">
        <v>0.65</v>
      </c>
      <c r="H9" s="63" t="n">
        <v>0.29</v>
      </c>
      <c r="I9" s="63" t="n">
        <v>0.07000000000000001</v>
      </c>
      <c r="J9" s="63" t="n"/>
      <c r="K9" s="63" t="n"/>
      <c r="L9" s="69" t="n"/>
      <c r="M9" s="69" t="n"/>
      <c r="N9" s="69" t="n"/>
      <c r="O9" s="69" t="n"/>
    </row>
    <row r="10">
      <c r="A10" t="inlineStr">
        <is>
          <t>Figure Type</t>
        </is>
      </c>
      <c r="B10" t="inlineStr">
        <is>
          <t>Clustered Bar</t>
        </is>
      </c>
      <c r="F10" t="inlineStr">
        <is>
          <t>$150K+</t>
        </is>
      </c>
      <c r="G10" s="63" t="n">
        <v>0.7</v>
      </c>
      <c r="H10" s="89" t="n">
        <v>0.26</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Q57"/>
  <sheetViews>
    <sheetView zoomScaleNormal="100" workbookViewId="0">
      <selection activeCell="B13" sqref="B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a Child in the Last 10 Years,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Refused</t>
        </is>
      </c>
    </row>
    <row r="6" ht="15" customHeight="1" s="91">
      <c r="A6" t="inlineStr">
        <is>
          <t>Multilevel Headers</t>
        </is>
      </c>
      <c r="B6" t="b">
        <v>0</v>
      </c>
      <c r="F6" t="n">
        <v>2024</v>
      </c>
      <c r="G6" s="63" t="n">
        <v>0.26</v>
      </c>
      <c r="H6" s="63" t="n">
        <v>0.73</v>
      </c>
      <c r="I6" s="63" t="n">
        <v>0.01</v>
      </c>
      <c r="J6" s="63" t="n"/>
      <c r="K6" s="63" t="n"/>
      <c r="L6" s="69" t="n"/>
      <c r="M6" s="69" t="n"/>
      <c r="N6" s="69" t="n"/>
      <c r="O6" s="69" t="n"/>
    </row>
    <row r="7" ht="15.75" customHeight="1" s="91">
      <c r="F7" t="n">
        <v>2023</v>
      </c>
      <c r="G7" s="63" t="n">
        <v>0.23</v>
      </c>
      <c r="H7" s="63" t="n">
        <v>0.77</v>
      </c>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Q57"/>
  <sheetViews>
    <sheetView workbookViewId="0">
      <selection activeCell="F5" sqref="F5:J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Any Children,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 breastfed all of my children</t>
        </is>
      </c>
      <c r="H5" t="inlineStr">
        <is>
          <t>I breastfed some, but not all</t>
        </is>
      </c>
      <c r="I5" t="inlineStr">
        <is>
          <t>I did not breastfeed any of them</t>
        </is>
      </c>
      <c r="J5" t="inlineStr">
        <is>
          <t>Refused</t>
        </is>
      </c>
    </row>
    <row r="6" ht="15" customHeight="1" s="91">
      <c r="A6" t="inlineStr">
        <is>
          <t>Multilevel Headers</t>
        </is>
      </c>
      <c r="B6" t="b">
        <v>0</v>
      </c>
      <c r="F6" t="n">
        <v>2024</v>
      </c>
      <c r="G6" s="63" t="n">
        <v>0.76</v>
      </c>
      <c r="H6" s="63" t="n">
        <v>0.14</v>
      </c>
      <c r="I6" s="63" t="n">
        <v>0.1</v>
      </c>
      <c r="J6" s="63" t="n">
        <v>0.01</v>
      </c>
      <c r="K6" s="63" t="n"/>
      <c r="L6" s="69" t="n"/>
      <c r="M6" s="69" t="n"/>
      <c r="N6" s="69" t="n"/>
      <c r="O6" s="69" t="n"/>
    </row>
    <row r="7" ht="15.75" customHeight="1" s="91">
      <c r="F7" t="n">
        <v>2023</v>
      </c>
      <c r="G7" s="63" t="n">
        <v>0.76</v>
      </c>
      <c r="H7" s="63" t="n">
        <v>0.08</v>
      </c>
      <c r="I7" s="63" t="n">
        <v>0.16</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Q57"/>
  <sheetViews>
    <sheetView workbookViewId="0">
      <selection activeCell="A30" sqref="A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Duration,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Less than one month</t>
        </is>
      </c>
      <c r="H5" t="inlineStr">
        <is>
          <t>One month to just under 3 months</t>
        </is>
      </c>
      <c r="I5" t="inlineStr">
        <is>
          <t>Three months to just under 6 months</t>
        </is>
      </c>
      <c r="J5" t="inlineStr">
        <is>
          <t>Six months to just under a year</t>
        </is>
      </c>
      <c r="K5" t="inlineStr">
        <is>
          <t>A year or more</t>
        </is>
      </c>
      <c r="L5" t="inlineStr">
        <is>
          <t>Don't know/Refused</t>
        </is>
      </c>
    </row>
    <row r="6" ht="15" customHeight="1" s="91">
      <c r="A6" t="inlineStr">
        <is>
          <t>Multilevel Headers</t>
        </is>
      </c>
      <c r="B6" t="b">
        <v>0</v>
      </c>
      <c r="F6" t="n">
        <v>2024</v>
      </c>
      <c r="G6" s="63" t="n">
        <v>0.03</v>
      </c>
      <c r="H6" s="63" t="n">
        <v>0.11</v>
      </c>
      <c r="I6" s="63" t="n">
        <v>0.13</v>
      </c>
      <c r="J6" s="63" t="n">
        <v>0.29</v>
      </c>
      <c r="K6" s="63" t="n">
        <v>0.42</v>
      </c>
      <c r="L6" s="63" t="n">
        <v>0.02</v>
      </c>
      <c r="M6" s="69" t="n"/>
      <c r="N6" s="69" t="n"/>
      <c r="O6" s="69" t="n"/>
    </row>
    <row r="7" ht="15.75" customHeight="1" s="91">
      <c r="F7" t="n">
        <v>2023</v>
      </c>
      <c r="G7" s="63" t="n">
        <v>0.05</v>
      </c>
      <c r="H7" s="63" t="n">
        <v>0.12</v>
      </c>
      <c r="I7" s="63" t="n">
        <v>0.14</v>
      </c>
      <c r="J7" s="63" t="n">
        <v>0.2</v>
      </c>
      <c r="K7" s="63" t="n">
        <v>0.48</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Q57"/>
  <sheetViews>
    <sheetView workbookViewId="0">
      <selection activeCell="B10" sqref="B10: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needed help with basic needs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Percentage</t>
        </is>
      </c>
    </row>
    <row r="6" ht="15" customHeight="1" s="91">
      <c r="A6" t="inlineStr">
        <is>
          <t>Multilevel Headers</t>
        </is>
      </c>
      <c r="B6" t="b">
        <v>0</v>
      </c>
      <c r="F6" t="inlineStr">
        <is>
          <t>Pediatrician or healthcare provider</t>
        </is>
      </c>
      <c r="G6" s="63" t="n">
        <v>0.1</v>
      </c>
      <c r="H6" s="63" t="n"/>
      <c r="I6" s="63" t="n"/>
      <c r="J6" s="63" t="n"/>
      <c r="K6" s="63" t="n"/>
      <c r="L6" s="69" t="n"/>
      <c r="M6" s="69" t="n"/>
      <c r="N6" s="69" t="n"/>
      <c r="O6" s="69" t="n"/>
    </row>
    <row r="7" ht="15.75" customHeight="1" s="91">
      <c r="F7" t="inlineStr">
        <is>
          <t>Day care provider</t>
        </is>
      </c>
      <c r="G7" s="63" t="n">
        <v>0.03</v>
      </c>
      <c r="H7" s="63" t="n"/>
      <c r="I7" s="63" t="n"/>
      <c r="J7" s="63" t="n"/>
      <c r="K7" s="63" t="n"/>
      <c r="L7" s="69" t="n"/>
      <c r="M7" s="69" t="n"/>
      <c r="N7" s="69" t="n"/>
      <c r="O7" s="69" t="n"/>
    </row>
    <row r="8">
      <c r="F8" t="inlineStr">
        <is>
          <t>Community organization</t>
        </is>
      </c>
      <c r="G8" s="63" t="n">
        <v>0.26</v>
      </c>
      <c r="H8" s="63" t="n"/>
      <c r="I8" s="63" t="n"/>
      <c r="J8" s="63" t="n"/>
      <c r="K8" s="63" t="n"/>
      <c r="L8" s="69" t="n"/>
      <c r="M8" s="69" t="n"/>
      <c r="N8" s="69" t="n"/>
      <c r="O8" s="69" t="n"/>
    </row>
    <row r="9">
      <c r="A9" s="71" t="inlineStr">
        <is>
          <t>Figure Rules</t>
        </is>
      </c>
      <c r="F9" t="inlineStr">
        <is>
          <t>Early Intervention (i.e. County Health Department)</t>
        </is>
      </c>
      <c r="G9" s="63" t="n">
        <v>0.02</v>
      </c>
      <c r="H9" s="63" t="n"/>
      <c r="I9" s="63" t="n"/>
      <c r="J9" s="63" t="n"/>
      <c r="K9" s="63" t="n"/>
      <c r="L9" s="69" t="n"/>
      <c r="M9" s="69" t="n"/>
      <c r="N9" s="69" t="n"/>
      <c r="O9" s="69" t="n"/>
    </row>
    <row r="10">
      <c r="A10" t="inlineStr">
        <is>
          <t>Figure Type</t>
        </is>
      </c>
      <c r="F10" t="inlineStr">
        <is>
          <t>County Social Services or Mental Health Departments</t>
        </is>
      </c>
      <c r="G10" s="63" t="n">
        <v>0.1</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0.02</v>
      </c>
      <c r="H12" s="65" t="n"/>
      <c r="I12" s="63" t="n"/>
      <c r="J12" s="63" t="n"/>
      <c r="K12" s="63" t="n"/>
      <c r="L12" s="69" t="n"/>
    </row>
    <row r="13">
      <c r="A13" t="inlineStr">
        <is>
          <t>X Axis Title</t>
        </is>
      </c>
      <c r="F13" t="inlineStr">
        <is>
          <t>Friend or Family</t>
        </is>
      </c>
      <c r="G13" s="89" t="n">
        <v>0.28</v>
      </c>
      <c r="H13" s="89" t="n"/>
      <c r="I13" s="89" t="n"/>
      <c r="J13" s="89" t="n"/>
      <c r="K13" s="89" t="n"/>
    </row>
    <row r="14">
      <c r="A14" t="inlineStr">
        <is>
          <t>Y Axis Title</t>
        </is>
      </c>
      <c r="F14" t="inlineStr">
        <is>
          <t>Other</t>
        </is>
      </c>
      <c r="G14" s="89" t="n">
        <v>0.01</v>
      </c>
      <c r="H14" s="89" t="n"/>
      <c r="I14" s="89" t="n"/>
      <c r="J14" s="89" t="n"/>
      <c r="K14" s="89" t="n"/>
    </row>
    <row r="15">
      <c r="A15" t="inlineStr">
        <is>
          <t>Start at Zero</t>
        </is>
      </c>
      <c r="F15" t="inlineStr">
        <is>
          <t>I wouldn't know who to contact</t>
        </is>
      </c>
      <c r="G15" s="89" t="n">
        <v>0.19</v>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had concerns about a child's behavior or development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Total</t>
        </is>
      </c>
    </row>
    <row r="6" ht="15" customHeight="1" s="91">
      <c r="A6" t="inlineStr">
        <is>
          <t>Multilevel Headers</t>
        </is>
      </c>
      <c r="B6" t="b">
        <v>0</v>
      </c>
      <c r="F6" t="inlineStr">
        <is>
          <t>Pediatrician or healthcare provider</t>
        </is>
      </c>
      <c r="G6" s="63" t="n">
        <v>0.68</v>
      </c>
      <c r="H6" s="63" t="n"/>
      <c r="I6" s="63" t="n"/>
      <c r="J6" s="63" t="n"/>
      <c r="K6" s="63" t="n"/>
      <c r="L6" s="69" t="n"/>
      <c r="M6" s="69" t="n"/>
      <c r="N6" s="69" t="n"/>
      <c r="O6" s="69" t="n"/>
    </row>
    <row r="7" ht="15.75" customHeight="1" s="91">
      <c r="F7" t="inlineStr">
        <is>
          <t>Day care provider</t>
        </is>
      </c>
      <c r="G7" s="63" t="n">
        <v>0.02</v>
      </c>
      <c r="H7" s="63" t="n"/>
      <c r="I7" s="63" t="n"/>
      <c r="J7" s="63" t="n"/>
      <c r="K7" s="63" t="n"/>
      <c r="L7" s="69" t="n"/>
      <c r="M7" s="69" t="n"/>
      <c r="N7" s="69" t="n"/>
      <c r="O7" s="69" t="n"/>
    </row>
    <row r="8">
      <c r="F8" t="inlineStr">
        <is>
          <t>Community organization</t>
        </is>
      </c>
      <c r="G8" s="63" t="n">
        <v>0.02</v>
      </c>
      <c r="H8" s="63" t="n"/>
      <c r="I8" s="63" t="n"/>
      <c r="J8" s="63" t="n"/>
      <c r="K8" s="63" t="n"/>
      <c r="L8" s="69" t="n"/>
      <c r="M8" s="69" t="n"/>
      <c r="N8" s="69" t="n"/>
      <c r="O8" s="69" t="n"/>
    </row>
    <row r="9">
      <c r="A9" s="71" t="inlineStr">
        <is>
          <t>Figure Rules</t>
        </is>
      </c>
      <c r="F9" t="inlineStr">
        <is>
          <t>Early Intervention (i.e. County Health Department)</t>
        </is>
      </c>
      <c r="G9" s="63" t="n">
        <v>0.12</v>
      </c>
      <c r="H9" s="63" t="n"/>
      <c r="I9" s="63" t="n"/>
      <c r="J9" s="63" t="n"/>
      <c r="K9" s="63" t="n"/>
      <c r="L9" s="69" t="n"/>
      <c r="M9" s="69" t="n"/>
      <c r="N9" s="69" t="n"/>
      <c r="O9" s="69" t="n"/>
    </row>
    <row r="10">
      <c r="A10" t="inlineStr">
        <is>
          <t>Figure Type</t>
        </is>
      </c>
      <c r="F10" t="inlineStr">
        <is>
          <t>County Social Services or Mental Health Departments</t>
        </is>
      </c>
      <c r="G10" s="63" t="n">
        <v>0.03</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v>
      </c>
      <c r="H12" s="65" t="n"/>
      <c r="I12" s="63" t="n"/>
      <c r="J12" s="63" t="n"/>
      <c r="K12" s="63" t="n"/>
      <c r="L12" s="69" t="n"/>
    </row>
    <row r="13">
      <c r="A13" t="inlineStr">
        <is>
          <t>X Axis Title</t>
        </is>
      </c>
      <c r="F13" t="inlineStr">
        <is>
          <t>Other</t>
        </is>
      </c>
      <c r="G13" s="89" t="n">
        <v>0.05</v>
      </c>
      <c r="H13" s="89" t="n"/>
      <c r="I13" s="89" t="n"/>
      <c r="J13" s="89" t="n"/>
      <c r="K13" s="89" t="n"/>
    </row>
    <row r="14">
      <c r="A14" t="inlineStr">
        <is>
          <t>Y Axis Title</t>
        </is>
      </c>
      <c r="F14" t="inlineStr">
        <is>
          <t>I wouldn't know who to contact</t>
        </is>
      </c>
      <c r="G14" s="89" t="n">
        <v>0.07000000000000001</v>
      </c>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8" defaultColWidth="8.7109375" defaultRowHeight="15"/>
  <cols>
    <col width="20" bestFit="1" customWidth="1" style="91" min="1" max="1"/>
    <col width="22.140625" bestFit="1" customWidth="1" style="91" min="2" max="2"/>
    <col width="6.7109375" customWidth="1" style="91" min="5" max="5"/>
    <col width="44.42578125" bestFit="1" customWidth="1" style="91" min="6" max="6"/>
    <col width="150.28515625" bestFit="1" customWidth="1" style="91" min="7" max="7"/>
    <col width="144.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Evidence-Based Strategies and Long-Term Objectives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Evidence-Based Strategies</t>
        </is>
      </c>
      <c r="H5" s="16" t="inlineStr">
        <is>
          <t>Long-Term Objectives and Progress as of 2024</t>
        </is>
      </c>
    </row>
    <row r="6" ht="15" customHeight="1" s="91">
      <c r="A6" t="inlineStr">
        <is>
          <t>Multilevel Headers</t>
        </is>
      </c>
      <c r="B6" t="b">
        <v>1</v>
      </c>
      <c r="F6" s="86" t="inlineStr">
        <is>
          <t>Healthy Eating and Food Security</t>
        </is>
      </c>
      <c r="G6" s="82" t="inlineStr">
        <is>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is>
      </c>
      <c r="H6" s="82" t="inlineStr">
        <is>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is>
      </c>
      <c r="I6" s="63" t="n"/>
      <c r="J6" s="63" t="n"/>
      <c r="K6" s="63" t="n"/>
      <c r="L6" s="69" t="n"/>
      <c r="M6" s="69" t="n"/>
      <c r="N6" s="69" t="n"/>
      <c r="O6" s="69" t="n"/>
    </row>
    <row r="7" ht="15.75" customHeight="1" s="91">
      <c r="I7" s="63" t="n"/>
      <c r="J7" s="63" t="n"/>
      <c r="K7" s="63" t="n"/>
      <c r="L7" s="69" t="n"/>
      <c r="M7" s="69" t="n"/>
      <c r="N7" s="69" t="n"/>
      <c r="O7" s="69" t="n"/>
    </row>
    <row r="8">
      <c r="I8" s="63" t="n"/>
      <c r="J8" s="63" t="n"/>
      <c r="K8" s="63" t="n"/>
      <c r="L8" s="69" t="n"/>
      <c r="M8" s="69" t="n"/>
      <c r="N8" s="69" t="n"/>
      <c r="O8" s="69" t="n"/>
    </row>
    <row r="9" ht="105" customHeight="1" s="91">
      <c r="A9" s="71" t="inlineStr">
        <is>
          <t>Figure Rules</t>
        </is>
      </c>
      <c r="F9" s="86" t="inlineStr">
        <is>
          <t>Preventative Care and Management</t>
        </is>
      </c>
      <c r="G9" s="82" t="inlineStr">
        <is>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is>
      </c>
      <c r="H9" s="85" t="inlineStr">
        <is>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is>
      </c>
      <c r="I9" s="63" t="n"/>
      <c r="J9" s="63" t="n"/>
      <c r="K9" s="63" t="n"/>
      <c r="L9" s="69" t="n"/>
      <c r="M9" s="69" t="n"/>
      <c r="N9" s="69" t="n"/>
      <c r="O9" s="69" t="n"/>
    </row>
    <row r="10">
      <c r="A10" t="inlineStr">
        <is>
          <t>Figure Type</t>
        </is>
      </c>
      <c r="I10" s="89" t="n"/>
      <c r="J10" s="89" t="n"/>
      <c r="K10" s="89" t="n"/>
    </row>
    <row r="11">
      <c r="A11" t="inlineStr">
        <is>
          <t>X Column</t>
        </is>
      </c>
      <c r="I11" s="63" t="n"/>
      <c r="J11" s="65" t="n"/>
      <c r="K11" s="65" t="n"/>
      <c r="L11" s="68" t="n"/>
      <c r="M11" s="68" t="n"/>
      <c r="N11" s="68" t="n"/>
    </row>
    <row r="12" ht="60" customHeight="1" s="91">
      <c r="A12" t="inlineStr">
        <is>
          <t>Y Column</t>
        </is>
      </c>
      <c r="F12" s="86" t="inlineStr">
        <is>
          <t>Mental and Substance Use Disorders Prevention</t>
        </is>
      </c>
      <c r="G12" s="85" t="inlineStr">
        <is>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is>
      </c>
      <c r="H12" s="65" t="inlineStr">
        <is>
          <t>Reduce the age-adjusted overdose death involving any opioid by 7% from 22.5 to 20.9 per 100,000 population MET: 14.6 per 100,000 in 2024</t>
        </is>
      </c>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pageSetup orientation="portrait"/>
</worksheet>
</file>

<file path=xl/worksheets/sheet273.xml><?xml version="1.0" encoding="utf-8"?>
<worksheet xmlns="http://schemas.openxmlformats.org/spreadsheetml/2006/main">
  <sheetPr>
    <outlinePr summaryBelow="1" summaryRight="1"/>
    <pageSetUpPr/>
  </sheetPr>
  <dimension ref="A1:Q57"/>
  <sheetViews>
    <sheetView tabSelected="1" topLeftCell="F1" workbookViewId="0">
      <selection activeCell="H9" sqref="H9"/>
    </sheetView>
  </sheetViews>
  <sheetFormatPr baseColWidth="8" defaultColWidth="8.7109375" defaultRowHeight="15"/>
  <cols>
    <col width="20" bestFit="1" customWidth="1" style="91" min="1" max="1"/>
    <col width="22.140625" bestFit="1" customWidth="1" style="91" min="2" max="2"/>
    <col width="6.7109375" customWidth="1" style="91" min="5" max="5"/>
    <col width="71.42578125" bestFit="1" customWidth="1" style="91" min="6" max="6"/>
    <col width="151.7109375" bestFit="1" customWidth="1" style="91" min="7" max="7"/>
    <col width="4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Short Term Process Indicators and Progress at of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Short Term Process Indicators</t>
        </is>
      </c>
      <c r="H5" s="16" t="inlineStr">
        <is>
          <t>Progress as of 2024</t>
        </is>
      </c>
    </row>
    <row r="6" ht="15" customHeight="1" s="91">
      <c r="A6" t="inlineStr">
        <is>
          <t>Multilevel Headers</t>
        </is>
      </c>
      <c r="B6" t="b">
        <v>1</v>
      </c>
      <c r="F6" s="72" t="inlineStr">
        <is>
          <t>Healthy Eating and Food Security</t>
        </is>
      </c>
      <c r="G6" s="89" t="inlineStr">
        <is>
          <t>Increase the number of healthcare practices that screen for food insecurity by 3</t>
        </is>
      </c>
      <c r="H6" s="87" t="inlineStr">
        <is>
          <t>MET: 4</t>
        </is>
      </c>
      <c r="I6" s="63" t="n"/>
      <c r="J6" s="63" t="n"/>
      <c r="K6" s="63" t="n"/>
      <c r="L6" s="69" t="n"/>
      <c r="M6" s="69" t="n"/>
      <c r="N6" s="69" t="n"/>
      <c r="O6" s="69" t="n"/>
    </row>
    <row r="7" ht="15.75" customHeight="1" s="91">
      <c r="G7" s="89" t="inlineStr">
        <is>
          <t>Increase the number of health care settings with an established food security screening policy by 4</t>
        </is>
      </c>
      <c r="H7" s="87" t="inlineStr">
        <is>
          <t>NOT MET: 2</t>
        </is>
      </c>
      <c r="I7" s="63" t="n"/>
      <c r="J7" s="63" t="n"/>
      <c r="K7" s="63" t="n"/>
      <c r="L7" s="69" t="n"/>
      <c r="M7" s="69" t="n"/>
      <c r="N7" s="69" t="n"/>
      <c r="O7" s="69" t="n"/>
    </row>
    <row r="8">
      <c r="G8" s="89" t="inlineStr">
        <is>
          <t>Increase the number of people screened for food insecurity and facilitate appropriate referrals</t>
        </is>
      </c>
      <c r="H8" s="87" t="inlineStr">
        <is>
          <t>MET: 62,252 individuals screened &amp; 2,778 referred</t>
        </is>
      </c>
      <c r="I8" s="63" t="n"/>
      <c r="J8" s="63" t="n"/>
      <c r="K8" s="63" t="n"/>
      <c r="L8" s="69" t="n"/>
      <c r="M8" s="69" t="n"/>
      <c r="N8" s="69" t="n"/>
      <c r="O8" s="69" t="n"/>
    </row>
    <row r="9">
      <c r="A9" s="71" t="inlineStr">
        <is>
          <t>Figure Rules</t>
        </is>
      </c>
      <c r="G9" s="89" t="inlineStr">
        <is>
          <t>Create and adopt a procedure at OCDOH for screening and referring clients to SNAP and/or WIC</t>
        </is>
      </c>
      <c r="H9" s="87" t="inlineStr">
        <is>
          <t>MET: In the Pregnant or Parenting People's Initiative</t>
        </is>
      </c>
      <c r="I9" s="63" t="n"/>
      <c r="J9" s="63" t="n"/>
      <c r="K9" s="63" t="n"/>
      <c r="L9" s="69" t="n"/>
      <c r="M9" s="69" t="n"/>
      <c r="N9" s="69" t="n"/>
      <c r="O9" s="69" t="n"/>
    </row>
    <row r="10">
      <c r="A10" t="inlineStr">
        <is>
          <t>Figure Type</t>
        </is>
      </c>
      <c r="G10" s="89" t="inlineStr">
        <is>
          <t>Increase the number of participants utilizing the farmers markets in Newburgh by 10% from 3,425 to 3,767</t>
        </is>
      </c>
      <c r="H10" s="87" t="inlineStr">
        <is>
          <t>MET: 4,185</t>
        </is>
      </c>
      <c r="I10" s="89" t="n"/>
      <c r="J10" s="89" t="n"/>
      <c r="K10" s="89" t="n"/>
    </row>
    <row r="11">
      <c r="A11" t="inlineStr">
        <is>
          <t>X Column</t>
        </is>
      </c>
      <c r="G11" s="89" t="inlineStr">
        <is>
          <t>Increase the number of participants utilizing the farmers markets in Port Jervis by 10% from 3,200 to 3,520</t>
        </is>
      </c>
      <c r="H11" s="87" t="inlineStr">
        <is>
          <t>MET: 5,410</t>
        </is>
      </c>
      <c r="I11" s="63" t="n"/>
      <c r="J11" s="65" t="n"/>
      <c r="K11" s="65" t="n"/>
      <c r="L11" s="68" t="n"/>
      <c r="M11" s="68" t="n"/>
      <c r="N11" s="68" t="n"/>
    </row>
    <row r="12">
      <c r="A12" t="inlineStr">
        <is>
          <t>Y Column</t>
        </is>
      </c>
      <c r="G12" s="90" t="inlineStr">
        <is>
          <t>Increase the number of vendors participating in the Newburgh farmers markets from 4 to 6</t>
        </is>
      </c>
      <c r="H12" s="88" t="inlineStr">
        <is>
          <t>NOT MET: (4)</t>
        </is>
      </c>
      <c r="I12" s="63" t="n"/>
      <c r="J12" s="63" t="n"/>
      <c r="K12" s="63" t="n"/>
      <c r="L12" s="69" t="n"/>
    </row>
    <row r="13">
      <c r="A13" t="inlineStr">
        <is>
          <t>X Axis Title</t>
        </is>
      </c>
      <c r="G13" s="89" t="inlineStr">
        <is>
          <t>Increase the percentage of veteran coupons redeemed at the Newburgh market by 25% from 40.2% to 50.1%</t>
        </is>
      </c>
      <c r="H13" s="87" t="inlineStr">
        <is>
          <t>MET: 53%</t>
        </is>
      </c>
      <c r="I13" s="89" t="n"/>
      <c r="J13" s="89" t="n"/>
      <c r="K13" s="89" t="n"/>
    </row>
    <row r="14">
      <c r="A14" t="inlineStr">
        <is>
          <t>Y Axis Title</t>
        </is>
      </c>
      <c r="G14" s="89" t="inlineStr">
        <is>
          <t>Increase the EBT transaction dollar amount at the Newburgh market by 20% from $1,506 to $1,807</t>
        </is>
      </c>
      <c r="H14" s="87" t="inlineStr">
        <is>
          <t>NOT MET: $1,608</t>
        </is>
      </c>
      <c r="I14" s="89" t="n"/>
      <c r="J14" s="89" t="n"/>
      <c r="K14" s="89" t="n"/>
    </row>
    <row r="15">
      <c r="A15" t="inlineStr">
        <is>
          <t>Start at Zero</t>
        </is>
      </c>
      <c r="G15" t="inlineStr">
        <is>
          <t>Increase the EBT transaction dollar amount at the Port Jervis market by 20% from $1,051 to $1,261</t>
        </is>
      </c>
      <c r="H15" s="72" t="inlineStr">
        <is>
          <t>NOT MET: $719</t>
        </is>
      </c>
    </row>
    <row r="16">
      <c r="A16" t="inlineStr">
        <is>
          <t>Pivot For Chart</t>
        </is>
      </c>
      <c r="G16" t="inlineStr">
        <is>
          <t>Identify alternate forms of farmer market coupons for Newburgh and Port Jervis residents including Fresh Connect, WIC and Senior Farmers Market Nutrition Program</t>
        </is>
      </c>
      <c r="H16" s="72" t="inlineStr">
        <is>
          <t>MET: $13,667 worth of coupons</t>
        </is>
      </c>
    </row>
    <row r="17">
      <c r="F17" s="86" t="inlineStr">
        <is>
          <t>Preventative Care and Management</t>
        </is>
      </c>
      <c r="G17" t="inlineStr">
        <is>
          <t>Determine a baseline of Chamber of Commerce members with policies that allow for paid time off or flex time for cancer screenings</t>
        </is>
      </c>
      <c r="H17" s="72" t="inlineStr">
        <is>
          <t>Unable to determine</t>
        </is>
      </c>
    </row>
    <row r="18">
      <c r="A18" s="71" t="inlineStr">
        <is>
          <t>Source Specifications</t>
        </is>
      </c>
      <c r="G18" t="inlineStr">
        <is>
          <t>Increase the number of Chamber of Commerce membership worksites with cancer screening policies by 5</t>
        </is>
      </c>
      <c r="H18" s="72" t="inlineStr">
        <is>
          <t>Unable to determine</t>
        </is>
      </c>
    </row>
    <row r="19">
      <c r="A19" t="inlineStr">
        <is>
          <t>Source</t>
        </is>
      </c>
      <c r="G19" t="inlineStr">
        <is>
          <t>Increase the number of referrals made to primary care from the emergency department or urgent care in hospital settings</t>
        </is>
      </c>
      <c r="H19" s="72" t="inlineStr">
        <is>
          <t>Unable to determine</t>
        </is>
      </c>
    </row>
    <row r="20">
      <c r="G20" t="inlineStr">
        <is>
          <t>Increase the number of patients enrolled in health insurance through emergency department</t>
        </is>
      </c>
      <c r="H20" s="72" t="inlineStr">
        <is>
          <t>Unable to conduct strategy</t>
        </is>
      </c>
    </row>
    <row r="21">
      <c r="A21" s="69" t="inlineStr">
        <is>
          <t>Note Specfications</t>
        </is>
      </c>
      <c r="G21" t="inlineStr">
        <is>
          <t>Identify alternative venues to create cancer screening opportunities for residents to remove structural barriers to cancer screening</t>
        </is>
      </c>
      <c r="H21" s="72" t="inlineStr">
        <is>
          <t>MET: 4 events held</t>
        </is>
      </c>
    </row>
    <row r="22">
      <c r="A22" t="inlineStr">
        <is>
          <t xml:space="preserve">Note </t>
        </is>
      </c>
      <c r="F22" s="86" t="inlineStr">
        <is>
          <t>Promote Well-Being and Prevent Mental Health and Substance Use Disorders</t>
        </is>
      </c>
      <c r="G22" t="inlineStr">
        <is>
          <t>Increase the number of hospitals providing MOUD in the emergency departments from 1 to 4</t>
        </is>
      </c>
      <c r="H22" s="72" t="inlineStr">
        <is>
          <t>NOT MET: 2</t>
        </is>
      </c>
    </row>
    <row r="23">
      <c r="G23" t="inlineStr">
        <is>
          <t>Increase the number of patients being prescribed MOUD in the emergency departments</t>
        </is>
      </c>
      <c r="H23" s="72" t="inlineStr">
        <is>
          <t>Unable to measure</t>
        </is>
      </c>
    </row>
    <row r="24">
      <c r="G24" t="inlineStr">
        <is>
          <t>Host at least one implementation training for health care providers to provide MOUD</t>
        </is>
      </c>
      <c r="H24" s="72" t="inlineStr">
        <is>
          <t>MET: 4</t>
        </is>
      </c>
    </row>
    <row r="25">
      <c r="G25" t="inlineStr">
        <is>
          <t>Develop a baseline for the number of peer referrals made in each hospital system implanting the Peer Rx application</t>
        </is>
      </c>
      <c r="H25" s="72" t="inlineStr">
        <is>
          <t>MET: 133 in 2022</t>
        </is>
      </c>
      <c r="K25" t="inlineStr">
        <is>
          <t xml:space="preserve"> </t>
        </is>
      </c>
    </row>
    <row r="26">
      <c r="G26" t="inlineStr">
        <is>
          <t>Increase the number of hospitals utilizing the Peer Rx application by 1</t>
        </is>
      </c>
      <c r="H26" s="72" t="inlineStr">
        <is>
          <t>Unable to expand due to funding constraints</t>
        </is>
      </c>
    </row>
    <row r="27">
      <c r="A27" s="69" t="n"/>
      <c r="G27" t="inlineStr">
        <is>
          <t>Increase the number of peer referrals made by 10% from baseline (419)</t>
        </is>
      </c>
      <c r="H27" s="72" t="inlineStr">
        <is>
          <t>NOT MET: 128 in 2024</t>
        </is>
      </c>
    </row>
    <row r="28">
      <c r="G28" t="inlineStr">
        <is>
          <t>Create at least 2 permanent safe disposal sites for prescription drugs</t>
        </is>
      </c>
      <c r="H28" s="72" t="inlineStr">
        <is>
          <t>MET: Yes</t>
        </is>
      </c>
    </row>
    <row r="29">
      <c r="G29" t="inlineStr">
        <is>
          <t>Create at least 2 permanent Naloxone box sites</t>
        </is>
      </c>
      <c r="H29" s="72" t="inlineStr">
        <is>
          <t>MET: 190 installed</t>
        </is>
      </c>
    </row>
    <row r="30">
      <c r="G30" t="inlineStr">
        <is>
          <t>Identify alternate forms to referral patients to peers by utilizing the 311 Call Center hotline</t>
        </is>
      </c>
      <c r="H30" s="72" t="inlineStr">
        <is>
          <t>MET: Yes</t>
        </is>
      </c>
    </row>
    <row r="31">
      <c r="F31" s="69" t="n"/>
      <c r="H31" s="72" t="n"/>
    </row>
    <row r="32">
      <c r="H32" s="72" t="n"/>
    </row>
    <row r="33">
      <c r="F33" s="69" t="n"/>
      <c r="H33" s="72" t="n"/>
    </row>
    <row r="34">
      <c r="F34" s="69" t="n"/>
      <c r="H34" s="72" t="n"/>
      <c r="I34" s="68" t="n"/>
    </row>
    <row r="35">
      <c r="F35" s="69" t="n"/>
      <c r="H35" s="72" t="n"/>
      <c r="I35" s="68" t="n"/>
    </row>
    <row r="36">
      <c r="F36" s="69" t="n"/>
      <c r="H36" s="72" t="n"/>
      <c r="I36" s="68" t="n"/>
    </row>
    <row r="37">
      <c r="F37" s="69" t="n"/>
      <c r="H37" s="72" t="n"/>
      <c r="I37" s="68" t="n"/>
    </row>
    <row r="38">
      <c r="H38" s="72" t="n"/>
    </row>
    <row r="39">
      <c r="H39" s="72" t="n"/>
    </row>
    <row r="40">
      <c r="H40" s="72" t="n"/>
    </row>
    <row r="41">
      <c r="H41" s="72" t="n"/>
    </row>
    <row r="42">
      <c r="H42" s="72" t="n"/>
    </row>
    <row r="43">
      <c r="H43" s="72" t="n"/>
    </row>
    <row r="44">
      <c r="H44" s="72" t="n"/>
    </row>
    <row r="45">
      <c r="H45" s="72" t="n"/>
    </row>
    <row r="46">
      <c r="H46" s="72" t="n"/>
    </row>
    <row r="47">
      <c r="H47" s="72" t="n"/>
    </row>
    <row r="48">
      <c r="H48" s="72" t="n"/>
    </row>
    <row r="49">
      <c r="H49" s="72" t="n"/>
    </row>
    <row r="50">
      <c r="H50" s="72" t="n"/>
    </row>
    <row r="51"/>
    <row r="52"/>
    <row r="53"/>
    <row r="54"/>
    <row r="55"/>
    <row r="56"/>
    <row r="57"/>
  </sheetData>
  <mergeCells count="10">
    <mergeCell ref="F22:F30"/>
    <mergeCell ref="B1:O1"/>
    <mergeCell ref="A21:B21"/>
    <mergeCell ref="E5:E57"/>
    <mergeCell ref="F17:F21"/>
    <mergeCell ref="A9:B9"/>
    <mergeCell ref="A5:B5"/>
    <mergeCell ref="F6:F1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4.xml><?xml version="1.0" encoding="utf-8"?>
<worksheet xmlns="http://schemas.openxmlformats.org/spreadsheetml/2006/main">
  <sheetPr>
    <tabColor rgb="FFFFFF00"/>
    <outlinePr summaryBelow="1" summaryRight="1"/>
    <pageSetUpPr/>
  </sheetPr>
  <dimension ref="A1:A1"/>
  <sheetViews>
    <sheetView workbookViewId="0">
      <selection activeCell="O30" sqref="O30"/>
    </sheetView>
  </sheetViews>
  <sheetFormatPr baseColWidth="8" defaultColWidth="8.85546875" defaultRowHeight="15"/>
  <sheetData>
    <row r="1">
      <c r="A1" t="inlineStr">
        <is>
          <t>`</t>
        </is>
      </c>
    </row>
  </sheetData>
  <pageMargins left="0.7" right="0.7" top="0.75" bottom="0.75" header="0.3" footer="0.3"/>
</worksheet>
</file>

<file path=xl/worksheets/sheet275.xml><?xml version="1.0" encoding="utf-8"?>
<worksheet xmlns="http://schemas.openxmlformats.org/spreadsheetml/2006/main">
  <sheetPr>
    <outlinePr summaryBelow="1" summaryRight="1"/>
    <pageSetUpPr/>
  </sheetPr>
  <dimension ref="A1:Q57"/>
  <sheetViews>
    <sheetView workbookViewId="0">
      <selection activeCell="I19" sqref="I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n"/>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or Help</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Response</t>
        </is>
      </c>
      <c r="G5" t="inlineStr">
        <is>
          <t>Percentage</t>
        </is>
      </c>
    </row>
    <row r="6" ht="15" customHeight="1" s="91">
      <c r="A6" t="inlineStr">
        <is>
          <t>Multilevel Headers</t>
        </is>
      </c>
      <c r="B6" t="b">
        <v>0</v>
      </c>
      <c r="F6" t="inlineStr">
        <is>
          <t>Yes</t>
        </is>
      </c>
      <c r="G6" s="63" t="n">
        <v>0.12</v>
      </c>
      <c r="H6" s="63" t="n"/>
      <c r="I6" s="63" t="n"/>
      <c r="J6" s="63" t="n"/>
      <c r="K6" s="63" t="n"/>
      <c r="L6" s="69" t="n"/>
      <c r="M6" s="69" t="n"/>
      <c r="N6" s="69" t="n"/>
      <c r="O6" s="69" t="n"/>
    </row>
    <row r="7" ht="15.75" customHeight="1" s="91">
      <c r="F7" t="inlineStr">
        <is>
          <t>No</t>
        </is>
      </c>
      <c r="G7" s="63" t="n">
        <v>0.88</v>
      </c>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0.06</v>
      </c>
      <c r="H6" s="63" t="n">
        <v>0.09</v>
      </c>
      <c r="I6" s="63" t="n">
        <v>0.18</v>
      </c>
      <c r="J6" s="63" t="n">
        <v>0.18</v>
      </c>
      <c r="K6" s="63" t="n">
        <v>0.48</v>
      </c>
      <c r="L6" s="63" t="n">
        <v>0.01</v>
      </c>
      <c r="M6" s="69" t="n"/>
      <c r="N6" s="69" t="n"/>
      <c r="O6" s="69" t="n"/>
    </row>
    <row r="7" ht="15.75" customHeight="1" s="91">
      <c r="F7" t="n">
        <v>2023</v>
      </c>
      <c r="G7" s="63" t="n">
        <v>0.07000000000000001</v>
      </c>
      <c r="H7" s="63" t="n">
        <v>0.07000000000000001</v>
      </c>
      <c r="I7" s="63" t="n">
        <v>0.2</v>
      </c>
      <c r="J7" s="63" t="n">
        <v>0.19</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Q57"/>
  <sheetViews>
    <sheetView workbookViewId="0">
      <selection activeCell="I12" sqref="I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0.09</v>
      </c>
      <c r="J6" s="63" t="n">
        <v>0.1</v>
      </c>
      <c r="K6" s="63" t="n">
        <v>0.78</v>
      </c>
      <c r="L6" s="69" t="n"/>
      <c r="M6" s="69" t="n"/>
      <c r="N6" s="69" t="n"/>
      <c r="O6" s="69" t="n"/>
    </row>
    <row r="7" ht="15.75" customHeight="1" s="91">
      <c r="F7" t="n">
        <v>2023</v>
      </c>
      <c r="G7" s="63" t="n">
        <v>0.02</v>
      </c>
      <c r="H7" s="63" t="n">
        <v>0.03</v>
      </c>
      <c r="I7" s="63" t="n">
        <v>0.08</v>
      </c>
      <c r="J7" s="63" t="n">
        <v>0.13</v>
      </c>
      <c r="K7" s="63" t="n">
        <v>0.73</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0.07000000000000001</v>
      </c>
      <c r="I6" s="63" t="n">
        <v>0.21</v>
      </c>
      <c r="J6" s="63" t="n">
        <v>0.19</v>
      </c>
      <c r="K6" s="63" t="n">
        <v>0.49</v>
      </c>
      <c r="L6" s="69" t="n"/>
      <c r="M6" s="69" t="n"/>
      <c r="N6" s="69" t="n"/>
      <c r="O6" s="69" t="n"/>
    </row>
    <row r="7" ht="15.75" customHeight="1" s="91">
      <c r="F7" t="n">
        <v>2023</v>
      </c>
      <c r="G7" s="63" t="n">
        <v>0.07000000000000001</v>
      </c>
      <c r="H7" s="63" t="n">
        <v>0.07000000000000001</v>
      </c>
      <c r="I7" s="63" t="n">
        <v>0.21</v>
      </c>
      <c r="J7" s="63" t="n">
        <v>0.18</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0.03</v>
      </c>
      <c r="J6" s="63" t="n">
        <v>0.11</v>
      </c>
      <c r="K6" s="63" t="n">
        <v>0.1</v>
      </c>
      <c r="L6" s="63" t="n">
        <v>0.74</v>
      </c>
      <c r="M6" s="69" t="n"/>
      <c r="N6" s="69" t="n"/>
      <c r="O6" s="69" t="n"/>
    </row>
    <row r="7" ht="15.75" customHeight="1" s="91">
      <c r="F7" t="n">
        <v>2023</v>
      </c>
      <c r="G7" s="63" t="n">
        <v>0.03</v>
      </c>
      <c r="H7" s="63" t="n">
        <v>0.03</v>
      </c>
      <c r="I7" s="63" t="n">
        <v>0.09</v>
      </c>
      <c r="J7" s="63" t="n">
        <v>0.15</v>
      </c>
      <c r="K7" s="63" t="n">
        <v>0.6899999999999999</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0.08</v>
      </c>
      <c r="I6" s="63" t="n">
        <v>0.24</v>
      </c>
      <c r="J6" s="63" t="n">
        <v>0.24</v>
      </c>
      <c r="K6" s="63" t="n">
        <v>0.4</v>
      </c>
      <c r="L6" s="69" t="n"/>
      <c r="M6" s="69" t="n"/>
      <c r="N6" s="69" t="n"/>
      <c r="O6" s="69" t="n"/>
    </row>
    <row r="7" ht="15.75" customHeight="1" s="91">
      <c r="F7" t="n">
        <v>2023</v>
      </c>
      <c r="G7" s="63" t="n">
        <v>0.05</v>
      </c>
      <c r="H7" s="63" t="n">
        <v>0.08</v>
      </c>
      <c r="I7" s="63" t="n">
        <v>0.22</v>
      </c>
      <c r="J7" s="63" t="n">
        <v>0.25</v>
      </c>
      <c r="K7" s="63" t="n">
        <v>0.38</v>
      </c>
      <c r="L7" s="63" t="n">
        <v>0.02</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60+,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t>
        </is>
      </c>
    </row>
    <row r="6" ht="15" customHeight="1" s="91">
      <c r="A6" t="inlineStr">
        <is>
          <t>Multilevel Headers</t>
        </is>
      </c>
      <c r="B6" t="b">
        <v>0</v>
      </c>
      <c r="F6" t="n">
        <v>2024</v>
      </c>
      <c r="G6" s="63" t="n">
        <v>0.19</v>
      </c>
      <c r="H6" s="63" t="n">
        <v>0.72</v>
      </c>
      <c r="I6" s="63" t="n">
        <v>0.08</v>
      </c>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0.46</v>
      </c>
      <c r="H6" s="63" t="n">
        <v>0.53</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4.xml><?xml version="1.0" encoding="utf-8"?>
<worksheet xmlns="http://schemas.openxmlformats.org/spreadsheetml/2006/main">
  <sheetPr>
    <tabColor rgb="FFFF0000"/>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n">
        <v>2024</v>
      </c>
      <c r="G6" s="63" t="n">
        <v>0.22</v>
      </c>
      <c r="H6" s="63" t="n">
        <v>0.13</v>
      </c>
      <c r="I6" s="63" t="n">
        <v>0.14</v>
      </c>
      <c r="J6" s="63" t="n">
        <v>0.49</v>
      </c>
      <c r="K6" s="63" t="n">
        <v>0.01</v>
      </c>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0.74</v>
      </c>
      <c r="H6" s="63" t="n">
        <v>0.25</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Long-COVID,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0.8100000000000001</v>
      </c>
      <c r="I6" s="63" t="n">
        <v>0.01</v>
      </c>
      <c r="J6" s="63" t="n"/>
      <c r="K6" s="63" t="n"/>
      <c r="L6" s="69" t="n"/>
      <c r="M6" s="69" t="n"/>
      <c r="N6" s="69" t="n"/>
      <c r="O6" s="69" t="n"/>
    </row>
    <row r="7" ht="15.75" customHeight="1" s="91">
      <c r="F7" t="n">
        <v>2023</v>
      </c>
      <c r="G7" s="63" t="n">
        <v>0.22</v>
      </c>
      <c r="H7" s="63" t="n">
        <v>0.75</v>
      </c>
      <c r="I7" s="63" t="n">
        <v>0.03</v>
      </c>
      <c r="J7" s="63" t="n"/>
      <c r="K7" s="63" t="n"/>
      <c r="L7" s="69" t="n"/>
      <c r="M7" s="69" t="n"/>
      <c r="N7" s="69" t="n"/>
      <c r="O7" s="69" t="n"/>
    </row>
    <row r="8">
      <c r="F8" t="n">
        <v>2022</v>
      </c>
      <c r="G8" s="63" t="n">
        <v>0.23</v>
      </c>
      <c r="H8" s="63" t="n">
        <v>0.74</v>
      </c>
      <c r="I8" s="63" t="n">
        <v>0.04</v>
      </c>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Q57"/>
  <sheetViews>
    <sheetView workbookViewId="0">
      <selection activeCell="I28" sqref="I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0.22</v>
      </c>
      <c r="H6" s="63" t="n">
        <v>0.78</v>
      </c>
      <c r="I6" s="63" t="n"/>
      <c r="J6" s="63" t="n"/>
      <c r="K6" s="63" t="n"/>
      <c r="L6" s="69" t="n"/>
      <c r="M6" s="69" t="n"/>
      <c r="N6" s="69" t="n"/>
      <c r="O6" s="69" t="n"/>
    </row>
    <row r="7" ht="15.75" customHeight="1" s="91">
      <c r="F7" t="n">
        <v>2023</v>
      </c>
      <c r="G7" s="63" t="n">
        <v>0.22</v>
      </c>
      <c r="H7" s="63" t="n">
        <v>0.78</v>
      </c>
      <c r="I7" s="63" t="n"/>
      <c r="J7" s="63" t="n"/>
      <c r="K7" s="63" t="n"/>
      <c r="L7" s="69" t="n"/>
      <c r="M7" s="69" t="n"/>
      <c r="N7" s="69" t="n"/>
      <c r="O7" s="69" t="n"/>
    </row>
    <row r="8">
      <c r="F8" t="n">
        <v>2022</v>
      </c>
      <c r="G8" s="63" t="n">
        <v>0.17</v>
      </c>
      <c r="H8" s="63" t="n">
        <v>0.83</v>
      </c>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Q57"/>
  <sheetViews>
    <sheetView workbookViewId="0">
      <selection activeCell="S4" sqref="S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0.68</v>
      </c>
      <c r="H6" s="63" t="n">
        <v>0.32</v>
      </c>
      <c r="I6" s="63" t="n"/>
      <c r="J6" s="63" t="n"/>
      <c r="K6" s="63" t="n"/>
      <c r="L6" s="69" t="n"/>
      <c r="M6" s="69" t="n"/>
      <c r="N6" s="69" t="n"/>
      <c r="O6" s="69" t="n"/>
    </row>
    <row r="7" ht="15.75" customHeight="1" s="91">
      <c r="F7" t="n">
        <v>2023</v>
      </c>
      <c r="G7" s="63" t="n">
        <v>0.63</v>
      </c>
      <c r="H7" s="63" t="n">
        <v>0.37</v>
      </c>
      <c r="I7" s="63" t="n"/>
      <c r="J7" s="63" t="n"/>
      <c r="K7" s="63" t="n"/>
      <c r="L7" s="69" t="n"/>
      <c r="M7" s="69" t="n"/>
      <c r="N7" s="69" t="n"/>
      <c r="O7" s="69" t="n"/>
    </row>
    <row r="8">
      <c r="F8" t="n">
        <v>2022</v>
      </c>
      <c r="G8" s="63" t="n">
        <v>0.63</v>
      </c>
      <c r="H8" s="63" t="n">
        <v>0.36</v>
      </c>
      <c r="I8" s="63" t="n">
        <v>0.01</v>
      </c>
      <c r="J8" s="63" t="n"/>
      <c r="K8" s="63" t="n"/>
      <c r="L8" s="69" t="n"/>
      <c r="M8" s="69" t="n"/>
      <c r="N8" s="69" t="n"/>
      <c r="O8" s="69" t="n"/>
    </row>
    <row r="9">
      <c r="A9" s="71" t="inlineStr">
        <is>
          <t>Figure Rules</t>
        </is>
      </c>
      <c r="F9" t="n">
        <v>2018</v>
      </c>
      <c r="G9" s="63" t="n">
        <v>0.7</v>
      </c>
      <c r="H9" s="63" t="n">
        <v>0.3</v>
      </c>
      <c r="I9" s="63" t="n"/>
      <c r="J9" s="63" t="n"/>
      <c r="K9" s="63" t="n"/>
      <c r="L9" s="69" t="n"/>
      <c r="M9" s="69" t="n"/>
      <c r="N9" s="69" t="n"/>
      <c r="O9" s="69" t="n"/>
    </row>
    <row r="10">
      <c r="A10" t="inlineStr">
        <is>
          <t>Figure Type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Visit to Primary Care Physician for Routine Physical,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0.79</v>
      </c>
      <c r="H6" s="63" t="n">
        <v>0.21</v>
      </c>
      <c r="I6" s="69" t="n"/>
      <c r="J6" s="69" t="n"/>
      <c r="K6" s="69" t="n"/>
      <c r="L6" s="69" t="n"/>
      <c r="M6" s="69" t="n"/>
      <c r="N6" s="69" t="n"/>
      <c r="O6" s="69" t="n"/>
    </row>
    <row r="7" ht="15.75" customHeight="1" s="91">
      <c r="F7" t="n">
        <v>2023</v>
      </c>
      <c r="G7" s="63" t="n">
        <v>0.78</v>
      </c>
      <c r="H7" s="63" t="n">
        <v>0.22</v>
      </c>
      <c r="I7" s="69" t="n"/>
      <c r="J7" s="69" t="n"/>
      <c r="K7" s="69" t="n"/>
      <c r="L7" s="69" t="n"/>
      <c r="M7" s="69" t="n"/>
      <c r="N7" s="69" t="n"/>
      <c r="O7" s="69" t="n"/>
    </row>
    <row r="8">
      <c r="F8" t="n">
        <v>2022</v>
      </c>
      <c r="G8" s="63" t="n">
        <v>0.75</v>
      </c>
      <c r="H8" s="63" t="n">
        <v>0.24</v>
      </c>
      <c r="I8" s="63" t="n">
        <v>0.01</v>
      </c>
      <c r="J8" s="69" t="n"/>
      <c r="K8" s="69" t="n"/>
      <c r="L8" s="69" t="n"/>
      <c r="M8" s="69" t="n"/>
      <c r="N8" s="69" t="n"/>
      <c r="O8" s="69" t="n"/>
    </row>
    <row r="9">
      <c r="A9" s="71" t="inlineStr">
        <is>
          <t>Figure Rules</t>
        </is>
      </c>
      <c r="F9" t="n">
        <v>2018</v>
      </c>
      <c r="G9" s="63" t="n">
        <v>0.82</v>
      </c>
      <c r="H9" s="63" t="n">
        <v>0.17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0.18</v>
      </c>
      <c r="H6" s="63" t="n">
        <v>0.8</v>
      </c>
      <c r="I6" s="63" t="n">
        <v>0.02</v>
      </c>
      <c r="J6" s="69" t="n"/>
      <c r="K6" s="69" t="n"/>
      <c r="L6" s="69" t="n"/>
      <c r="M6" s="69" t="n"/>
      <c r="N6" s="69" t="n"/>
      <c r="O6" s="69" t="n"/>
    </row>
    <row r="7" ht="15.75" customHeight="1" s="91">
      <c r="F7" t="n">
        <v>2023</v>
      </c>
      <c r="G7" s="63" t="n">
        <v>0.18</v>
      </c>
      <c r="H7" s="63" t="n">
        <v>0.8100000000000001</v>
      </c>
      <c r="I7" s="63" t="n">
        <v>0.01</v>
      </c>
      <c r="J7" s="69" t="n"/>
      <c r="K7" s="69" t="n"/>
      <c r="L7" s="69" t="n"/>
      <c r="M7" s="69" t="n"/>
      <c r="N7" s="69" t="n"/>
      <c r="O7" s="69" t="n"/>
    </row>
    <row r="8">
      <c r="F8" t="n">
        <v>2022</v>
      </c>
      <c r="G8" s="63" t="n">
        <v>0.17</v>
      </c>
      <c r="H8" s="63" t="n">
        <v>0.8100000000000001</v>
      </c>
      <c r="I8" s="63" t="n">
        <v>0.02</v>
      </c>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0.09</v>
      </c>
      <c r="H6" s="63" t="n">
        <v>0.82</v>
      </c>
      <c r="I6" s="63" t="n">
        <v>0.05</v>
      </c>
      <c r="J6" s="69" t="n"/>
      <c r="K6" s="69" t="n"/>
      <c r="L6" s="69" t="n"/>
      <c r="M6" s="69" t="n"/>
      <c r="N6" s="69" t="n"/>
      <c r="O6" s="69" t="n"/>
    </row>
    <row r="7" ht="15.75" customHeight="1" s="91">
      <c r="F7" t="n">
        <v>2023</v>
      </c>
      <c r="G7" s="63" t="n">
        <v>0.09</v>
      </c>
      <c r="H7" s="63" t="n">
        <v>0.82</v>
      </c>
      <c r="I7" s="63" t="n">
        <v>0.1</v>
      </c>
      <c r="J7" s="69" t="n"/>
      <c r="K7" s="69" t="n"/>
      <c r="L7" s="69" t="n"/>
      <c r="M7" s="69" t="n"/>
      <c r="N7" s="69" t="n"/>
      <c r="O7" s="69" t="n"/>
    </row>
    <row r="8">
      <c r="F8" t="n">
        <v>2022</v>
      </c>
      <c r="G8" s="63" t="n">
        <v>0.11</v>
      </c>
      <c r="H8" s="63" t="n">
        <v>0.8</v>
      </c>
      <c r="I8" s="63" t="n">
        <v>0.1</v>
      </c>
      <c r="J8" s="69" t="n"/>
      <c r="K8" s="69" t="n"/>
      <c r="L8" s="69" t="n"/>
      <c r="M8" s="69" t="n"/>
      <c r="N8" s="69" t="n"/>
      <c r="O8" s="69" t="n"/>
    </row>
    <row r="9">
      <c r="A9" s="71" t="inlineStr">
        <is>
          <t>Figure Rules</t>
        </is>
      </c>
      <c r="F9" t="n">
        <v>2018</v>
      </c>
      <c r="G9" s="63" t="n">
        <v>0.06</v>
      </c>
      <c r="H9" s="63" t="n">
        <v>0.85</v>
      </c>
      <c r="I9" s="63" t="n">
        <v>0.09</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0.14</v>
      </c>
      <c r="H6" s="63" t="n">
        <v>0.86</v>
      </c>
      <c r="I6" s="69" t="n"/>
      <c r="J6" s="69" t="n"/>
      <c r="K6" s="69" t="n"/>
      <c r="L6" s="69" t="n"/>
      <c r="M6" s="69" t="n"/>
      <c r="N6" s="69" t="n"/>
      <c r="O6" s="69" t="n"/>
    </row>
    <row r="7" ht="15.75" customHeight="1" s="91">
      <c r="F7" t="n">
        <v>2023</v>
      </c>
      <c r="G7" s="63" t="n">
        <v>0.12</v>
      </c>
      <c r="H7" s="63" t="n">
        <v>0.87</v>
      </c>
      <c r="I7" s="63" t="n">
        <v>0.01</v>
      </c>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0.14</v>
      </c>
      <c r="H9" s="63" t="n">
        <v>0.85</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0.83</v>
      </c>
      <c r="I6" s="69" t="n"/>
      <c r="J6" s="69" t="n"/>
      <c r="K6" s="69" t="n"/>
      <c r="L6" s="69" t="n"/>
      <c r="M6" s="69" t="n"/>
      <c r="N6" s="69" t="n"/>
      <c r="O6" s="69" t="n"/>
    </row>
    <row r="7" ht="15.75" customHeight="1" s="91">
      <c r="F7" t="n">
        <v>2023</v>
      </c>
      <c r="G7" s="63" t="n">
        <v>0.17</v>
      </c>
      <c r="H7" s="63" t="n">
        <v>0.83</v>
      </c>
      <c r="I7" s="69" t="n"/>
      <c r="J7" s="69" t="n"/>
      <c r="K7" s="69" t="n"/>
      <c r="L7" s="69" t="n"/>
      <c r="M7" s="69" t="n"/>
      <c r="N7" s="69" t="n"/>
      <c r="O7" s="69" t="n"/>
    </row>
    <row r="8">
      <c r="F8" t="n">
        <v>2022</v>
      </c>
      <c r="G8" s="63" t="n">
        <v>0.17</v>
      </c>
      <c r="H8" s="63" t="n">
        <v>0.83</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sheetPr>
    <tabColor rgb="FFFF0000"/>
    <outlinePr summaryBelow="1" summaryRight="1"/>
    <pageSetUpPr/>
  </sheetPr>
  <dimension ref="A1:Q57"/>
  <sheetViews>
    <sheetView workbookViewId="0">
      <selection activeCell="H16" sqref="H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0.16</v>
      </c>
      <c r="H7" s="63" t="n">
        <v>0.84</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0.12</v>
      </c>
      <c r="H9" s="63" t="n">
        <v>0.87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7.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0.21</v>
      </c>
      <c r="H6" s="63" t="n">
        <v>0.78</v>
      </c>
      <c r="I6" s="63" t="n">
        <v>0.01</v>
      </c>
      <c r="J6" s="69" t="n"/>
      <c r="K6" s="69" t="n"/>
      <c r="L6" s="69" t="n"/>
      <c r="M6" s="69" t="n"/>
      <c r="N6" s="69" t="n"/>
      <c r="O6" s="69" t="n"/>
    </row>
    <row r="7" ht="15.75" customHeight="1" s="91">
      <c r="F7" t="n">
        <v>2023</v>
      </c>
      <c r="G7" s="63" t="n">
        <v>0.21</v>
      </c>
      <c r="H7" s="63" t="n">
        <v>0.79</v>
      </c>
      <c r="I7" s="69" t="n"/>
      <c r="J7" s="69" t="n"/>
      <c r="K7" s="69" t="n"/>
      <c r="L7" s="69" t="n"/>
      <c r="M7" s="69" t="n"/>
      <c r="N7" s="69" t="n"/>
      <c r="O7" s="69" t="n"/>
    </row>
    <row r="8">
      <c r="F8" t="n">
        <v>2022</v>
      </c>
      <c r="G8" s="63" t="n">
        <v>0.21</v>
      </c>
      <c r="H8" s="63" t="n">
        <v>0.78</v>
      </c>
      <c r="I8" s="63" t="n">
        <v>0.01</v>
      </c>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8.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Utilities, Including Heat and Electricity,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0.85</v>
      </c>
      <c r="I6" s="69" t="n"/>
      <c r="J6" s="69" t="n"/>
      <c r="K6" s="69" t="n"/>
      <c r="L6" s="69" t="n"/>
      <c r="M6" s="69" t="n"/>
      <c r="N6" s="69" t="n"/>
      <c r="O6" s="69" t="n"/>
    </row>
    <row r="7" ht="15.75" customHeight="1" s="91">
      <c r="F7" t="n">
        <v>2023</v>
      </c>
      <c r="G7" s="63" t="n">
        <v>0.14</v>
      </c>
      <c r="H7" s="63" t="n">
        <v>0.86</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9.xml><?xml version="1.0" encoding="utf-8"?>
<worksheet xmlns="http://schemas.openxmlformats.org/spreadsheetml/2006/main">
  <sheetPr>
    <tabColor rgb="FFFF0000"/>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0.15</v>
      </c>
      <c r="H7" s="63" t="n">
        <v>0.84</v>
      </c>
      <c r="I7" s="63" t="n">
        <v>0.01</v>
      </c>
      <c r="J7" s="69" t="n"/>
      <c r="K7" s="69" t="n"/>
      <c r="L7" s="69" t="n"/>
      <c r="M7" s="69" t="n"/>
      <c r="N7" s="69" t="n"/>
      <c r="O7" s="69" t="n"/>
    </row>
    <row r="8">
      <c r="F8" t="n">
        <v>2022</v>
      </c>
      <c r="G8" s="63" t="n">
        <v>0.12</v>
      </c>
      <c r="H8" s="63" t="n">
        <v>0.88</v>
      </c>
      <c r="I8" s="69" t="n"/>
      <c r="J8" s="69" t="n"/>
      <c r="K8" s="69" t="n"/>
      <c r="L8" s="69" t="n"/>
      <c r="M8" s="69" t="n"/>
      <c r="N8" s="69" t="n"/>
      <c r="O8" s="69" t="n"/>
    </row>
    <row r="9">
      <c r="A9" s="71" t="inlineStr">
        <is>
          <t>Figure Rules</t>
        </is>
      </c>
      <c r="F9" t="n">
        <v>2018</v>
      </c>
      <c r="G9" s="63" t="n">
        <v>0.11</v>
      </c>
      <c r="H9" s="63" t="n">
        <v>0.89</v>
      </c>
      <c r="I9" s="69" t="n"/>
      <c r="J9" s="69" t="n"/>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0.xml><?xml version="1.0" encoding="utf-8"?>
<worksheet xmlns="http://schemas.openxmlformats.org/spreadsheetml/2006/main">
  <sheetPr>
    <tabColor rgb="FFFF0000"/>
    <outlinePr summaryBelow="1" summaryRight="1"/>
    <pageSetUpPr/>
  </sheetPr>
  <dimension ref="A1:Q57"/>
  <sheetViews>
    <sheetView workbookViewId="0">
      <selection activeCell="F5" sqref="F5:J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Every day</t>
        </is>
      </c>
      <c r="H5" t="inlineStr">
        <is>
          <t>Some days</t>
        </is>
      </c>
      <c r="I5" t="inlineStr">
        <is>
          <t>Not at all</t>
        </is>
      </c>
      <c r="J5" t="inlineStr">
        <is>
          <t>Refused</t>
        </is>
      </c>
    </row>
    <row r="6" ht="15" customHeight="1" s="91">
      <c r="A6" t="inlineStr">
        <is>
          <t>Multilevel Headers</t>
        </is>
      </c>
      <c r="B6" t="b">
        <v>0</v>
      </c>
      <c r="F6" t="n">
        <v>2024</v>
      </c>
      <c r="G6" s="63" t="n">
        <v>0.06</v>
      </c>
      <c r="H6" s="63" t="n">
        <v>0.12</v>
      </c>
      <c r="I6" s="63" t="n">
        <v>0.8</v>
      </c>
      <c r="J6" s="63" t="n">
        <v>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1.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0.78</v>
      </c>
      <c r="H6" s="63" t="n">
        <v>0.07000000000000001</v>
      </c>
      <c r="I6" s="63" t="n">
        <v>0.04</v>
      </c>
      <c r="J6" s="63" t="n">
        <v>0.02</v>
      </c>
      <c r="K6" s="63" t="n">
        <v>0.08</v>
      </c>
      <c r="L6" s="69" t="n"/>
      <c r="M6" s="69" t="n"/>
      <c r="N6" s="69" t="n"/>
      <c r="O6" s="69" t="n"/>
    </row>
    <row r="7" ht="15.75" customHeight="1" s="91">
      <c r="F7" t="n">
        <v>2023</v>
      </c>
      <c r="G7" s="63" t="n">
        <v>0.73</v>
      </c>
      <c r="H7" s="63" t="n">
        <v>0.09</v>
      </c>
      <c r="I7" s="63" t="n">
        <v>0.04</v>
      </c>
      <c r="J7" s="63" t="n">
        <v>0.03</v>
      </c>
      <c r="K7" s="63" t="n">
        <v>0.09</v>
      </c>
      <c r="L7" s="63" t="n">
        <v>0.02</v>
      </c>
      <c r="M7" s="69" t="n"/>
      <c r="N7" s="69" t="n"/>
      <c r="O7" s="69" t="n"/>
    </row>
    <row r="8">
      <c r="F8" t="n">
        <v>2022</v>
      </c>
      <c r="G8" s="63" t="n">
        <v>0.76</v>
      </c>
      <c r="H8" s="63" t="n">
        <v>0.06</v>
      </c>
      <c r="I8" s="63" t="n">
        <v>0.04</v>
      </c>
      <c r="J8" s="63" t="n">
        <v>0.03</v>
      </c>
      <c r="K8" s="63" t="n">
        <v>0.1</v>
      </c>
      <c r="L8" s="63" t="n">
        <v>0.01</v>
      </c>
      <c r="M8" s="69" t="n"/>
      <c r="N8" s="69" t="n"/>
      <c r="O8" s="69" t="n"/>
    </row>
    <row r="9">
      <c r="A9" s="71" t="inlineStr">
        <is>
          <t>Figure Rules</t>
        </is>
      </c>
      <c r="F9" t="n">
        <v>2018</v>
      </c>
      <c r="G9" s="63" t="n">
        <v>0.91</v>
      </c>
      <c r="H9" s="63" t="n">
        <v>0.02</v>
      </c>
      <c r="I9" s="63" t="n">
        <v>0.01</v>
      </c>
      <c r="J9" s="63" t="n">
        <v>0.01</v>
      </c>
      <c r="K9" s="63" t="n">
        <v>0.01</v>
      </c>
      <c r="L9" s="63" t="n">
        <v>0.04</v>
      </c>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2.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0.34</v>
      </c>
      <c r="H6" s="63" t="n">
        <v>0.23</v>
      </c>
      <c r="I6" s="63" t="n">
        <v>0.21</v>
      </c>
      <c r="J6" s="63" t="n">
        <v>0.17</v>
      </c>
      <c r="K6" s="63" t="n">
        <v>0.04</v>
      </c>
      <c r="L6" s="69" t="n"/>
      <c r="M6" s="69" t="n"/>
      <c r="N6" s="69" t="n"/>
      <c r="O6" s="69" t="n"/>
    </row>
    <row r="7" ht="15.75" customHeight="1" s="91">
      <c r="F7" t="n">
        <v>2023</v>
      </c>
      <c r="G7" s="63" t="n">
        <v>0.29</v>
      </c>
      <c r="H7" s="63" t="n">
        <v>0.23</v>
      </c>
      <c r="I7" s="63" t="n">
        <v>0.21</v>
      </c>
      <c r="J7" s="63" t="n">
        <v>0.21</v>
      </c>
      <c r="K7" s="63" t="n">
        <v>0.05</v>
      </c>
      <c r="L7" s="63" t="n">
        <v>0.01</v>
      </c>
      <c r="M7" s="69" t="n"/>
      <c r="N7" s="69" t="n"/>
      <c r="O7" s="69" t="n"/>
    </row>
    <row r="8">
      <c r="F8" t="n">
        <v>2022</v>
      </c>
      <c r="G8" s="63" t="n">
        <v>0.33</v>
      </c>
      <c r="H8" s="63" t="n">
        <v>0.22</v>
      </c>
      <c r="I8" s="63" t="n">
        <v>0.18</v>
      </c>
      <c r="J8" s="63" t="n">
        <v>0.19</v>
      </c>
      <c r="K8" s="63" t="n">
        <v>0.07000000000000001</v>
      </c>
      <c r="L8" s="63" t="n">
        <v>0.01</v>
      </c>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3.xml><?xml version="1.0" encoding="utf-8"?>
<worksheet xmlns="http://schemas.openxmlformats.org/spreadsheetml/2006/main">
  <sheetPr>
    <tabColor rgb="FFFF0000"/>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Less than once a week</t>
        </is>
      </c>
      <c r="H5" t="inlineStr">
        <is>
          <t>1 to 2 times a week</t>
        </is>
      </c>
      <c r="I5" t="inlineStr">
        <is>
          <t>3 to 5 times a week</t>
        </is>
      </c>
      <c r="J5" t="inlineStr">
        <is>
          <t>More than 5 times a week</t>
        </is>
      </c>
      <c r="K5" t="inlineStr">
        <is>
          <t>Don't know/Refused</t>
        </is>
      </c>
    </row>
    <row r="6" ht="15" customHeight="1" s="91">
      <c r="A6" t="inlineStr">
        <is>
          <t>Multilevel Headers</t>
        </is>
      </c>
      <c r="B6" t="b">
        <v>0</v>
      </c>
      <c r="F6" t="n">
        <v>2024</v>
      </c>
      <c r="G6" s="63" t="n">
        <v>0.08</v>
      </c>
      <c r="H6" s="63" t="n">
        <v>0.22</v>
      </c>
      <c r="I6" s="63" t="n">
        <v>0.31</v>
      </c>
      <c r="J6" s="63" t="n">
        <v>0.38</v>
      </c>
      <c r="K6" s="63" t="n">
        <v>0.01</v>
      </c>
      <c r="L6" s="69" t="n"/>
      <c r="M6" s="69" t="n"/>
      <c r="N6" s="69" t="n"/>
      <c r="O6" s="69" t="n"/>
    </row>
    <row r="7" ht="15.75" customHeight="1" s="91">
      <c r="F7" t="n">
        <v>2023</v>
      </c>
      <c r="G7" s="63" t="n">
        <v>0.09</v>
      </c>
      <c r="H7" s="63" t="n">
        <v>0.18</v>
      </c>
      <c r="I7" s="63" t="n">
        <v>0.27</v>
      </c>
      <c r="J7" s="63" t="n">
        <v>0.44</v>
      </c>
      <c r="K7" s="63" t="n">
        <v>0.02</v>
      </c>
      <c r="L7" s="69" t="n"/>
      <c r="M7" s="69" t="n"/>
      <c r="N7" s="69" t="n"/>
      <c r="O7" s="69" t="n"/>
    </row>
    <row r="8">
      <c r="F8" t="n">
        <v>2022</v>
      </c>
      <c r="G8" s="63" t="n">
        <v>0.12</v>
      </c>
      <c r="H8" s="63" t="n">
        <v>0.22</v>
      </c>
      <c r="I8" s="63" t="n">
        <v>0.26</v>
      </c>
      <c r="J8" s="63" t="n">
        <v>0.38</v>
      </c>
      <c r="K8" s="63" t="n">
        <v>0.02</v>
      </c>
      <c r="L8" s="69" t="n"/>
      <c r="M8" s="69" t="n"/>
      <c r="N8" s="69" t="n"/>
      <c r="O8" s="69" t="n"/>
    </row>
    <row r="9">
      <c r="A9" s="71" t="inlineStr">
        <is>
          <t>Figure Rules</t>
        </is>
      </c>
      <c r="F9" t="n">
        <v>2018</v>
      </c>
      <c r="G9" s="63" t="n">
        <v>0.08</v>
      </c>
      <c r="H9" s="63" t="n">
        <v>0.13</v>
      </c>
      <c r="I9" s="63" t="n">
        <v>0.25</v>
      </c>
      <c r="J9" s="63" t="n">
        <v>0.53</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4.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Not at all stressed</t>
        </is>
      </c>
      <c r="H5" t="inlineStr">
        <is>
          <t>Not very stressed</t>
        </is>
      </c>
      <c r="I5" t="inlineStr">
        <is>
          <t>Somewhat stressed</t>
        </is>
      </c>
      <c r="J5" t="inlineStr">
        <is>
          <t>Very stressed</t>
        </is>
      </c>
      <c r="K5" t="inlineStr">
        <is>
          <t>Don't know/Refused</t>
        </is>
      </c>
    </row>
    <row r="6" ht="15" customHeight="1" s="91">
      <c r="A6" t="inlineStr">
        <is>
          <t>Multilevel Headers</t>
        </is>
      </c>
      <c r="B6" t="b">
        <v>0</v>
      </c>
      <c r="F6" t="n">
        <v>2024</v>
      </c>
      <c r="G6" s="63" t="n">
        <v>0.14</v>
      </c>
      <c r="H6" s="63" t="n">
        <v>0.23</v>
      </c>
      <c r="I6" s="63" t="n">
        <v>0.47</v>
      </c>
      <c r="J6" s="63" t="n">
        <v>0.16</v>
      </c>
      <c r="K6" s="69" t="n"/>
      <c r="L6" s="69" t="n"/>
      <c r="M6" s="69" t="n"/>
      <c r="N6" s="69" t="n"/>
      <c r="O6" s="69" t="n"/>
    </row>
    <row r="7" ht="15.75" customHeight="1" s="91">
      <c r="F7" t="n">
        <v>2023</v>
      </c>
      <c r="G7" s="63" t="n">
        <v>0.14</v>
      </c>
      <c r="H7" s="63" t="n">
        <v>0.23</v>
      </c>
      <c r="I7" s="63" t="n">
        <v>0.45</v>
      </c>
      <c r="J7" s="63" t="n">
        <v>0.17</v>
      </c>
      <c r="K7" s="63" t="n">
        <v>0.01</v>
      </c>
      <c r="L7" s="69" t="n"/>
      <c r="M7" s="69" t="n"/>
      <c r="N7" s="69" t="n"/>
      <c r="O7" s="69" t="n"/>
    </row>
    <row r="8">
      <c r="F8" t="n">
        <v>2022</v>
      </c>
      <c r="G8" s="63" t="n">
        <v>0.1</v>
      </c>
      <c r="H8" s="63" t="n">
        <v>0.25</v>
      </c>
      <c r="I8" s="63" t="n">
        <v>0.46</v>
      </c>
      <c r="J8" s="63" t="n">
        <v>0.17</v>
      </c>
      <c r="K8" s="63" t="n">
        <v>0.02</v>
      </c>
      <c r="L8" s="69" t="n"/>
      <c r="M8" s="69" t="n"/>
      <c r="N8" s="69" t="n"/>
      <c r="O8" s="69" t="n"/>
    </row>
    <row r="9">
      <c r="A9" s="71" t="inlineStr">
        <is>
          <t>Figure Rules</t>
        </is>
      </c>
      <c r="F9" t="n">
        <v>2018</v>
      </c>
      <c r="G9" s="63" t="n">
        <v>0.16</v>
      </c>
      <c r="H9" s="63" t="n">
        <v>0.24</v>
      </c>
      <c r="I9" s="63" t="n">
        <v>0.48</v>
      </c>
      <c r="J9" s="63" t="n">
        <v>0.12</v>
      </c>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5.xml><?xml version="1.0" encoding="utf-8"?>
<worksheet xmlns="http://schemas.openxmlformats.org/spreadsheetml/2006/main">
  <sheetPr>
    <tabColor rgb="FFFF0000"/>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0.14</v>
      </c>
      <c r="H6" s="63" t="n">
        <v>0.29</v>
      </c>
      <c r="I6" s="63" t="n">
        <v>0.34</v>
      </c>
      <c r="J6" s="63" t="n">
        <v>0.23</v>
      </c>
      <c r="K6" s="69" t="n"/>
      <c r="L6" s="69" t="n"/>
      <c r="M6" s="69" t="n"/>
      <c r="N6" s="69" t="n"/>
      <c r="O6" s="69" t="n"/>
    </row>
    <row r="7" ht="15.75" customHeight="1" s="91">
      <c r="F7" t="n">
        <v>2023</v>
      </c>
      <c r="G7" s="63" t="n">
        <v>0.14</v>
      </c>
      <c r="H7" s="63" t="n">
        <v>0.28</v>
      </c>
      <c r="I7" s="63" t="n">
        <v>0.33</v>
      </c>
      <c r="J7" s="63" t="n">
        <v>0.24</v>
      </c>
      <c r="K7" s="63" t="n">
        <v>0.01</v>
      </c>
      <c r="L7" s="69" t="n"/>
      <c r="M7" s="69" t="n"/>
      <c r="N7" s="69" t="n"/>
      <c r="O7" s="69" t="n"/>
    </row>
    <row r="8">
      <c r="F8" t="n">
        <v>2022</v>
      </c>
      <c r="G8" s="63" t="n">
        <v>0.15</v>
      </c>
      <c r="H8" s="63" t="n">
        <v>0.28</v>
      </c>
      <c r="I8" s="63" t="n">
        <v>0.32</v>
      </c>
      <c r="J8" s="63" t="n">
        <v>0.24</v>
      </c>
      <c r="K8" s="63" t="n">
        <v>0.01</v>
      </c>
      <c r="L8" s="69" t="n"/>
      <c r="M8" s="69" t="n"/>
      <c r="N8" s="69" t="n"/>
      <c r="O8" s="69" t="n"/>
    </row>
    <row r="9">
      <c r="A9" s="71" t="inlineStr">
        <is>
          <t>Figure Rules</t>
        </is>
      </c>
      <c r="F9" t="n">
        <v>2018</v>
      </c>
      <c r="G9" s="63" t="n">
        <v>0.12</v>
      </c>
      <c r="H9" s="63" t="n">
        <v>0.25</v>
      </c>
      <c r="I9" s="63" t="n">
        <v>0.36</v>
      </c>
      <c r="J9" s="63" t="n">
        <v>0.26</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6.xml><?xml version="1.0" encoding="utf-8"?>
<worksheet xmlns="http://schemas.openxmlformats.org/spreadsheetml/2006/main">
  <sheetPr>
    <tabColor rgb="FFFF0000"/>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28515625" bestFit="1" customWidth="1" style="91" min="10" max="10"/>
    <col width="19.425781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0.18</v>
      </c>
      <c r="H6" s="63" t="n">
        <v>0.4</v>
      </c>
      <c r="I6" s="63" t="n">
        <v>0.29</v>
      </c>
      <c r="J6" s="63" t="n">
        <v>0.13</v>
      </c>
      <c r="K6" s="69" t="n"/>
      <c r="L6" s="69" t="n"/>
      <c r="M6" s="69" t="n"/>
      <c r="N6" s="69" t="n"/>
      <c r="O6" s="69" t="n"/>
    </row>
    <row r="7" ht="15.75" customHeight="1" s="91">
      <c r="F7" t="n">
        <v>2023</v>
      </c>
      <c r="G7" s="63" t="n">
        <v>0.17</v>
      </c>
      <c r="H7" s="63" t="n">
        <v>0.41</v>
      </c>
      <c r="I7" s="63" t="n">
        <v>0.28</v>
      </c>
      <c r="J7" s="63" t="n">
        <v>0.14</v>
      </c>
      <c r="K7" s="69" t="n"/>
      <c r="L7" s="69" t="n"/>
      <c r="M7" s="69" t="n"/>
      <c r="N7" s="69" t="n"/>
      <c r="O7" s="69" t="n"/>
    </row>
    <row r="8">
      <c r="F8" t="n">
        <v>2023</v>
      </c>
      <c r="G8" s="63" t="n">
        <v>0.2</v>
      </c>
      <c r="H8" s="63" t="n">
        <v>0.38</v>
      </c>
      <c r="I8" s="63" t="n">
        <v>0.23</v>
      </c>
      <c r="J8" s="63" t="n">
        <v>0.17</v>
      </c>
      <c r="K8" s="63" t="n">
        <v>0.02</v>
      </c>
      <c r="L8" s="69" t="n"/>
      <c r="M8" s="69" t="n"/>
      <c r="N8" s="69" t="n"/>
      <c r="O8" s="69" t="n"/>
    </row>
    <row r="9">
      <c r="A9" s="71" t="inlineStr">
        <is>
          <t>Figure Rules</t>
        </is>
      </c>
      <c r="F9" t="n">
        <v>2018</v>
      </c>
      <c r="G9" s="63" t="n">
        <v>0.2</v>
      </c>
      <c r="H9" s="63" t="n">
        <v>0.38</v>
      </c>
      <c r="I9" s="63" t="n">
        <v>0.25</v>
      </c>
      <c r="J9" s="63" t="n">
        <v>0.15</v>
      </c>
      <c r="K9" s="63" t="n">
        <v>0.02</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7.xml><?xml version="1.0" encoding="utf-8"?>
<worksheet xmlns="http://schemas.openxmlformats.org/spreadsheetml/2006/main">
  <sheetPr>
    <tabColor rgb="FFFF0000"/>
    <outlinePr summaryBelow="1" summaryRight="1"/>
    <pageSetUpPr/>
  </sheetPr>
  <dimension ref="A1:Q57"/>
  <sheetViews>
    <sheetView workbookViewId="0">
      <selection activeCell="G21" sqref="G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0.04</v>
      </c>
      <c r="H6" s="63" t="n">
        <v>0.23</v>
      </c>
      <c r="I6" s="63" t="n">
        <v>0.43</v>
      </c>
      <c r="J6" s="63" t="n">
        <v>0.29</v>
      </c>
      <c r="K6" s="63" t="n">
        <v>0.01</v>
      </c>
      <c r="L6" s="69" t="n"/>
      <c r="M6" s="69" t="n"/>
      <c r="N6" s="69" t="n"/>
      <c r="O6" s="69" t="n"/>
    </row>
    <row r="7" ht="15.75" customHeight="1" s="91">
      <c r="F7" t="n">
        <v>2023</v>
      </c>
      <c r="G7" s="63" t="n">
        <v>0.05</v>
      </c>
      <c r="H7" s="63" t="n">
        <v>0.23</v>
      </c>
      <c r="I7" s="63" t="n">
        <v>0.43</v>
      </c>
      <c r="J7" s="63" t="n">
        <v>0.27</v>
      </c>
      <c r="K7" s="63" t="n">
        <v>0.02</v>
      </c>
      <c r="L7" s="69" t="n"/>
      <c r="M7" s="69" t="n"/>
      <c r="N7" s="69" t="n"/>
      <c r="O7" s="69" t="n"/>
    </row>
    <row r="8">
      <c r="F8" t="n">
        <v>2022</v>
      </c>
      <c r="G8" s="63" t="n">
        <v>0.05</v>
      </c>
      <c r="H8" s="63" t="n">
        <v>0.26</v>
      </c>
      <c r="I8" s="63" t="n">
        <v>0.37</v>
      </c>
      <c r="J8" s="63" t="n">
        <v>0.31</v>
      </c>
      <c r="K8" s="63" t="n">
        <v>0.01</v>
      </c>
      <c r="L8" s="69" t="n"/>
      <c r="M8" s="69" t="n"/>
      <c r="N8" s="69" t="n"/>
      <c r="O8" s="69" t="n"/>
    </row>
    <row r="9">
      <c r="A9" s="71" t="inlineStr">
        <is>
          <t>Figure Rules</t>
        </is>
      </c>
      <c r="F9" t="n">
        <v>2018</v>
      </c>
      <c r="G9" s="63" t="n">
        <v>0.05</v>
      </c>
      <c r="H9" s="63" t="n">
        <v>0.21</v>
      </c>
      <c r="I9" s="63" t="n">
        <v>0.4</v>
      </c>
      <c r="J9" s="63" t="n">
        <v>0.33</v>
      </c>
      <c r="K9" s="63" t="n">
        <v>0.01</v>
      </c>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8.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0.37</v>
      </c>
      <c r="H6" s="63" t="n">
        <v>0.42</v>
      </c>
      <c r="I6" s="63" t="n">
        <v>0.16</v>
      </c>
      <c r="J6" s="63" t="n">
        <v>0.05</v>
      </c>
      <c r="K6" s="69" t="n"/>
      <c r="L6" s="69" t="n"/>
      <c r="M6" s="69" t="n"/>
      <c r="N6" s="69" t="n"/>
      <c r="O6" s="69" t="n"/>
    </row>
    <row r="7" ht="15.75" customHeight="1" s="91">
      <c r="F7" t="n">
        <v>2023</v>
      </c>
      <c r="G7" s="63" t="n">
        <v>0.35</v>
      </c>
      <c r="H7" s="63" t="n">
        <v>0.42</v>
      </c>
      <c r="I7" s="63" t="n">
        <v>0.16</v>
      </c>
      <c r="J7" s="63" t="n">
        <v>0.07000000000000001</v>
      </c>
      <c r="K7" s="69" t="n"/>
      <c r="L7" s="69" t="n"/>
      <c r="M7" s="69" t="n"/>
      <c r="N7" s="69" t="n"/>
      <c r="O7" s="69" t="n"/>
    </row>
    <row r="8">
      <c r="F8" t="n">
        <v>2022</v>
      </c>
      <c r="G8" s="63" t="n">
        <v>0.3</v>
      </c>
      <c r="H8" s="63" t="n">
        <v>0.45</v>
      </c>
      <c r="I8" s="63" t="n">
        <v>0.18</v>
      </c>
      <c r="J8" s="63" t="n">
        <v>0.06</v>
      </c>
      <c r="K8" s="63" t="n">
        <v>0.01</v>
      </c>
      <c r="L8" s="69" t="n"/>
      <c r="M8" s="69" t="n"/>
      <c r="N8" s="69" t="n"/>
      <c r="O8" s="69" t="n"/>
    </row>
    <row r="9">
      <c r="A9" s="71" t="inlineStr">
        <is>
          <t>Figure Rules</t>
        </is>
      </c>
      <c r="F9" t="n">
        <v>2018</v>
      </c>
      <c r="G9" s="63" t="n">
        <v>0.52</v>
      </c>
      <c r="H9" s="63" t="n">
        <v>0.32</v>
      </c>
      <c r="I9" s="63" t="n">
        <v>0.12</v>
      </c>
      <c r="J9" s="63" t="n">
        <v>0.03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9.xml><?xml version="1.0" encoding="utf-8"?>
<worksheet xmlns="http://schemas.openxmlformats.org/spreadsheetml/2006/main">
  <sheetPr>
    <tabColor rgb="FFFF0000"/>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Rating the Community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0.27</v>
      </c>
      <c r="H6" s="63" t="n">
        <v>0.27</v>
      </c>
      <c r="I6" s="63" t="n">
        <v>0.27</v>
      </c>
      <c r="J6" s="63" t="n">
        <v>0.19</v>
      </c>
      <c r="K6" s="69" t="n"/>
      <c r="L6" s="69" t="n"/>
      <c r="M6" s="69" t="n"/>
      <c r="N6" s="69" t="n"/>
      <c r="O6" s="69" t="n"/>
    </row>
    <row r="7" ht="15.75" customHeight="1" s="91">
      <c r="F7" t="inlineStr">
        <is>
          <t>$25K-$50K</t>
        </is>
      </c>
      <c r="G7" s="63" t="n">
        <v>0.31</v>
      </c>
      <c r="H7" s="63" t="n">
        <v>0.3</v>
      </c>
      <c r="I7" s="63" t="n">
        <v>0.28</v>
      </c>
      <c r="J7" s="63" t="n">
        <v>0.1</v>
      </c>
      <c r="K7" s="69" t="n"/>
      <c r="L7" s="69" t="n"/>
      <c r="M7" s="69" t="n"/>
      <c r="N7" s="69" t="n"/>
      <c r="O7" s="69" t="n"/>
    </row>
    <row r="8">
      <c r="F8" t="inlineStr">
        <is>
          <t>$50K-$100K</t>
        </is>
      </c>
      <c r="G8" s="63" t="n">
        <v>0.2</v>
      </c>
      <c r="H8" s="63" t="n">
        <v>0.39</v>
      </c>
      <c r="I8" s="63" t="n">
        <v>0.31</v>
      </c>
      <c r="J8" s="63" t="n">
        <v>0.1</v>
      </c>
      <c r="K8" s="69" t="n"/>
      <c r="L8" s="69" t="n"/>
      <c r="M8" s="69" t="n"/>
      <c r="N8" s="69" t="n"/>
      <c r="O8" s="69" t="n"/>
    </row>
    <row r="9">
      <c r="A9" s="71" t="inlineStr">
        <is>
          <t>Figure Rules</t>
        </is>
      </c>
      <c r="F9" t="inlineStr">
        <is>
          <t>$100K-$150K</t>
        </is>
      </c>
      <c r="G9" s="63" t="n">
        <v>0.16</v>
      </c>
      <c r="H9" s="63" t="n">
        <v>0.4</v>
      </c>
      <c r="I9" s="63" t="n">
        <v>0.3</v>
      </c>
      <c r="J9" s="63" t="n">
        <v>0.13</v>
      </c>
      <c r="K9" s="69" t="n"/>
      <c r="L9" s="69" t="n"/>
      <c r="M9" s="69" t="n"/>
      <c r="N9" s="69" t="n"/>
      <c r="O9" s="69" t="n"/>
    </row>
    <row r="10">
      <c r="A10" t="inlineStr">
        <is>
          <t>Figure Type</t>
        </is>
      </c>
      <c r="B10" t="inlineStr">
        <is>
          <t>Horizontal Stacked Bar</t>
        </is>
      </c>
      <c r="F10" t="inlineStr">
        <is>
          <t>$150K+</t>
        </is>
      </c>
      <c r="G10" s="63" t="n">
        <v>0.26</v>
      </c>
      <c r="H10" s="89" t="n">
        <v>0.38</v>
      </c>
      <c r="I10" s="89" t="n">
        <v>0.23</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0.xml><?xml version="1.0" encoding="utf-8"?>
<worksheet xmlns="http://schemas.openxmlformats.org/spreadsheetml/2006/main">
  <sheetPr>
    <tabColor rgb="FFFF0000"/>
    <outlinePr summaryBelow="1" summaryRight="1"/>
    <pageSetUpPr/>
  </sheetPr>
  <dimension ref="A1:Q57"/>
  <sheetViews>
    <sheetView workbookViewId="0">
      <selection activeCell="J28" sqref="J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9" t="n"/>
      <c r="H6" s="69" t="n"/>
      <c r="I6" s="69" t="n"/>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2026-07-31T13:16:06Z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