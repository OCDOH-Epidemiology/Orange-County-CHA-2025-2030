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Volumes/Work Drive/GitHub/Orange County CHA/data/raw/"/>
    </mc:Choice>
  </mc:AlternateContent>
  <xr:revisionPtr revIDLastSave="0" documentId="13_ncr:1_{FC9AE5BD-D305-8A46-905A-E97A5687AA91}" xr6:coauthVersionLast="47" xr6:coauthVersionMax="47" xr10:uidLastSave="{00000000-0000-0000-0000-000000000000}"/>
  <bookViews>
    <workbookView xWindow="0" yWindow="660" windowWidth="34560" windowHeight="21680" xr2:uid="{00000000-000D-0000-FFFF-FFFF00000000}"/>
  </bookViews>
  <sheets>
    <sheet name="Master" sheetId="1" r:id="rId1"/>
    <sheet name="Dropdowns" sheetId="2" r:id="rId2"/>
    <sheet name="Demographic Summary" sheetId="3" r:id="rId3"/>
    <sheet name="Population by Municipality" sheetId="4" r:id="rId4"/>
    <sheet name="Population Growth" sheetId="5" r:id="rId5"/>
    <sheet name="Population and Housing Unit Den" sheetId="6" r:id="rId6"/>
    <sheet name="Pop of Mun by Sex and Age" sheetId="7" r:id="rId7"/>
    <sheet name="POP Mun Race-Eth" sheetId="8" r:id="rId8"/>
    <sheet name="Employed Civilians by Industry" sheetId="9" r:id="rId9"/>
    <sheet name="Employed Civilian Occupations b" sheetId="10" r:id="rId10"/>
    <sheet name="All-Cause Mortality, Rate Zip" sheetId="11" r:id="rId11"/>
    <sheet name="All-Cause Mort AAR RE" sheetId="12" r:id="rId12"/>
    <sheet name="All-Cause Mort Rate Zip" sheetId="13" r:id="rId13"/>
    <sheet name="All-Cause Mort Rate Sex" sheetId="14" r:id="rId14"/>
    <sheet name="Top 5 Leading Death AAR" sheetId="15" r:id="rId15"/>
    <sheet name="Number fo Deaths by Sex" sheetId="16" r:id="rId16"/>
    <sheet name="Premature Deaths RE" sheetId="17" r:id="rId17"/>
    <sheet name="HMI Pov GINI" sheetId="18" r:id="rId18"/>
    <sheet name="POV Thresh Size Fam #" sheetId="19" r:id="rId19"/>
    <sheet name="Pop Living in POV Age RE" sheetId="20" r:id="rId20"/>
    <sheet name="Pop in Poverty" sheetId="21" r:id="rId21"/>
    <sheet name="Pov Status 12M RE" sheetId="22" r:id="rId22"/>
    <sheet name="Fam Pov Status 12M RE" sheetId="23" r:id="rId23"/>
    <sheet name="Children Below POV Thresh" sheetId="24" r:id="rId24"/>
    <sheet name="Employment Status Municipali" sheetId="25" r:id="rId25"/>
    <sheet name="Percentage of Labor Force Unemp" sheetId="26" r:id="rId26"/>
    <sheet name="Demo Prof Grad Rate" sheetId="27" r:id="rId27"/>
    <sheet name="Educ Person 25+" sheetId="28" r:id="rId28"/>
    <sheet name="High School Grad RE" sheetId="29" r:id="rId29"/>
    <sheet name="Lang Spoken Home" sheetId="30" r:id="rId30"/>
    <sheet name="Eng Learners Disav Disab" sheetId="31" r:id="rId31"/>
    <sheet name="Uninsured Civ Pop RE" sheetId="32" r:id="rId32"/>
    <sheet name="Cars Avail per Household" sheetId="33" r:id="rId33"/>
    <sheet name="Commuting to Work" sheetId="34" r:id="rId34"/>
    <sheet name="Housing Tenure and Vacancy" sheetId="35" r:id="rId35"/>
    <sheet name="Housing Unit Ages" sheetId="36" r:id="rId36"/>
    <sheet name="Selected Housing Characteristic" sheetId="37" r:id="rId37"/>
    <sheet name="Selected Housing Renters " sheetId="38" r:id="rId38"/>
    <sheet name="Owner vs Renter Per Room" sheetId="39" r:id="rId39"/>
    <sheet name="High Blood Level &lt;72Mon" sheetId="40" r:id="rId40"/>
    <sheet name="Type Internet Access" sheetId="41" r:id="rId41"/>
    <sheet name="Pop Served OCDOS" sheetId="42" r:id="rId42"/>
    <sheet name="Diseases of the Circulatory Sys" sheetId="43" r:id="rId43"/>
    <sheet name="Diseases Circ Mort AAR" sheetId="44" r:id="rId44"/>
    <sheet name="Diseases Circ Mort AAR RE" sheetId="45" r:id="rId45"/>
    <sheet name="Diseases Circ Mort AAR ZIP" sheetId="46" r:id="rId46"/>
    <sheet name="Diseases Circ Mort AAR SEX" sheetId="47" r:id="rId47"/>
    <sheet name="HD Mort Age RE ZIP" sheetId="48" r:id="rId48"/>
    <sheet name="Dis HM AAR" sheetId="49" r:id="rId49"/>
    <sheet name="Dis HM AAR RE" sheetId="50" r:id="rId50"/>
    <sheet name="Dis HM AAR Zip" sheetId="51" r:id="rId51"/>
    <sheet name="Dis HM AAR Sex" sheetId="52" r:id="rId52"/>
    <sheet name="CB Hosp AAR RE" sheetId="53" r:id="rId53"/>
    <sheet name="CB Mort Age Sex RE Zip" sheetId="54" r:id="rId54"/>
    <sheet name="CB Mort AAR" sheetId="55" r:id="rId55"/>
    <sheet name="CB AAR Sex" sheetId="56" r:id="rId56"/>
    <sheet name="Other D CSM Age RE Zip" sheetId="57" r:id="rId57"/>
    <sheet name="Other D CSM AAR" sheetId="58" r:id="rId58"/>
    <sheet name="Other D CSM AAR RE" sheetId="59" r:id="rId59"/>
    <sheet name="CSDM Zip" sheetId="60" r:id="rId60"/>
    <sheet name="CSDM Sex" sheetId="61" r:id="rId61"/>
    <sheet name="CLRDH RE" sheetId="62" r:id="rId62"/>
    <sheet name="CLRDH RE ZIP" sheetId="63" r:id="rId63"/>
    <sheet name="CLRD MORT" sheetId="64" r:id="rId64"/>
    <sheet name="CLRD Mort Sex" sheetId="65" r:id="rId65"/>
    <sheet name="Asthma HOSP RE" sheetId="66" r:id="rId66"/>
    <sheet name="Asthma 0-17 RE" sheetId="67" r:id="rId67"/>
    <sheet name="PPAA CR 2-17" sheetId="68" r:id="rId68"/>
    <sheet name="PPCAPA Adults" sheetId="69" r:id="rId69"/>
    <sheet name="PIMort Age RE" sheetId="70" r:id="rId70"/>
    <sheet name="PIM Rate" sheetId="71" r:id="rId71"/>
    <sheet name="PIM Sex" sheetId="72" r:id="rId72"/>
    <sheet name="Diabetes Hosp RE" sheetId="73" r:id="rId73"/>
    <sheet name="Diabetes Hosp Prim Diag" sheetId="74" r:id="rId74"/>
    <sheet name="Diabetes Mort Age RE Zip" sheetId="75" r:id="rId75"/>
    <sheet name="Diabetes Mort AAR" sheetId="76" r:id="rId76"/>
    <sheet name="Diabetes Mort Sex" sheetId="77" r:id="rId77"/>
    <sheet name="% Overweight-Obese" sheetId="78" r:id="rId78"/>
    <sheet name="% Obese" sheetId="79" r:id="rId79"/>
    <sheet name="Liver Cirr Mort Age RE ZIP" sheetId="80" r:id="rId80"/>
    <sheet name="Liver Cirr AAR" sheetId="81" r:id="rId81"/>
    <sheet name="Liver Cirr Sex" sheetId="82" r:id="rId82"/>
    <sheet name="Kidney ED AAR" sheetId="83" r:id="rId83"/>
    <sheet name="Chronic Kidney Hosp" sheetId="84" r:id="rId84"/>
    <sheet name="All Sites Cancer AAR" sheetId="85" r:id="rId85"/>
    <sheet name="All Sites Cancer RE" sheetId="86" r:id="rId86"/>
    <sheet name="Malignant Age RE ZIP" sheetId="87" r:id="rId87"/>
    <sheet name="Malignant Mort AAR" sheetId="88" r:id="rId88"/>
    <sheet name="Malignant Mort RE" sheetId="89" r:id="rId89"/>
    <sheet name="Malignant Mort Zip" sheetId="90" r:id="rId90"/>
    <sheet name="Malignant Mort Sex" sheetId="91" r:id="rId91"/>
    <sheet name="All Cancer Mort AAR" sheetId="92" r:id="rId92"/>
    <sheet name="All Cancer Mort AAR 2018-2022" sheetId="93" r:id="rId93"/>
    <sheet name="All Cancer AAR RE" sheetId="94" r:id="rId94"/>
    <sheet name="Lung Bronchus Cr AAR 17-20" sheetId="95" r:id="rId95"/>
    <sheet name="Lung Bronchus Cr AAR 18-22" sheetId="96" r:id="rId96"/>
    <sheet name="Lung Bronchus Cr AAR 18-22 RE" sheetId="97" r:id="rId97"/>
    <sheet name="Lung Bronchus Cr AAR Mort 17-20" sheetId="98" r:id="rId98"/>
    <sheet name="Lung Bronchus Cr AAR Mort 18-22" sheetId="99" r:id="rId99"/>
    <sheet name="Lung Bronchus Cr AAR M 18-22 RE" sheetId="100" r:id="rId100"/>
    <sheet name="Col Rec Cr 18-22" sheetId="101" r:id="rId101"/>
    <sheet name="Col Rec Cr 18-22 RE" sheetId="102" r:id="rId102"/>
    <sheet name="Col Rec Cr Mort 18-22" sheetId="103" r:id="rId103"/>
    <sheet name="Col Rec Cr Mort 18-22 RE" sheetId="104" r:id="rId104"/>
    <sheet name="F Breast Cr 16-21" sheetId="105" r:id="rId105"/>
    <sheet name="F Breast Cr 18-22" sheetId="106" r:id="rId106"/>
    <sheet name="F Breast Cr 18-22 RE" sheetId="107" r:id="rId107"/>
    <sheet name="F Breast Cr Mort 16-21" sheetId="108" r:id="rId108"/>
    <sheet name="F Breast Cr Mort 18-22" sheetId="109" r:id="rId109"/>
    <sheet name="F Breast Cr Mort 18-22 RE" sheetId="110" r:id="rId110"/>
    <sheet name="Cerv Cr 17-21" sheetId="111" r:id="rId111"/>
    <sheet name="Cerv Cr 18-22" sheetId="112" r:id="rId112"/>
    <sheet name="Cerv Cr Mort 17-21" sheetId="113" r:id="rId113"/>
    <sheet name="Cerv Cr Mort 18-22" sheetId="114" r:id="rId114"/>
    <sheet name="Prostate Cr 17-21" sheetId="115" r:id="rId115"/>
    <sheet name="Prostate Cr 18-22" sheetId="116" r:id="rId116"/>
    <sheet name="Prostate Cr 18-22 RE" sheetId="117" r:id="rId117"/>
    <sheet name="Prostate Cr Mort 17-21" sheetId="118" r:id="rId118"/>
    <sheet name="Prostate Cr Mort 18-22" sheetId="119" r:id="rId119"/>
    <sheet name="Prostate Cr Mort 18-22 RE" sheetId="120" r:id="rId120"/>
    <sheet name="Gen Comm Case Rate" sheetId="121" r:id="rId121"/>
    <sheet name="Hep A 20-23" sheetId="122" r:id="rId122"/>
    <sheet name="Hep B 20-23" sheetId="123" r:id="rId123"/>
    <sheet name="Hep C 20-23" sheetId="124" r:id="rId124"/>
    <sheet name="Chronic Hep C 20-23" sheetId="125" r:id="rId125"/>
    <sheet name="Chlamydia Sx RE Age Zip" sheetId="126" r:id="rId126"/>
    <sheet name="Chlamydia AAR" sheetId="127" r:id="rId127"/>
    <sheet name="Chlamydia RE" sheetId="128" r:id="rId128"/>
    <sheet name="Gonorrhea CC Sex RE Age Zip" sheetId="129" r:id="rId129"/>
    <sheet name="Gonorrhea AA CR" sheetId="130" r:id="rId130"/>
    <sheet name="Gonnorhea CR RE" sheetId="131" r:id="rId131"/>
    <sheet name="HIV Prevalnce RE Age Sex" sheetId="132" r:id="rId132"/>
    <sheet name="HIV AIDS AAR" sheetId="133" r:id="rId133"/>
    <sheet name="HIV Transmission" sheetId="134" r:id="rId134"/>
    <sheet name="% HIV Care RE" sheetId="135" r:id="rId135"/>
    <sheet name="PrEP Coverage" sheetId="136" r:id="rId136"/>
    <sheet name="Syphillis Sex RE Age Zip" sheetId="137" r:id="rId137"/>
    <sheet name="Early Syphilis" sheetId="138" r:id="rId138"/>
    <sheet name="Syphilis RE 21-24" sheetId="139" r:id="rId139"/>
    <sheet name="Fertility 15-44 Age RE Zip" sheetId="140" r:id="rId140"/>
    <sheet name="Fertility 15-44 20-23" sheetId="141" r:id="rId141"/>
    <sheet name="Fertility 15-44 RE 20-23" sheetId="142" r:id="rId142"/>
    <sheet name="Fertility Zip" sheetId="143" r:id="rId143"/>
    <sheet name="All Births 17- Age RE ZIP" sheetId="144" r:id="rId144"/>
    <sheet name="All Births SP Age RE ZIP" sheetId="145" r:id="rId145"/>
    <sheet name="Maternal Mort LB" sheetId="146" r:id="rId146"/>
    <sheet name="Child Adol Mort 10-19" sheetId="147" r:id="rId147"/>
    <sheet name="Infrant Mort RE 20-22" sheetId="148" r:id="rId148"/>
    <sheet name="All Births EPC RE Zip" sheetId="149" r:id="rId149"/>
    <sheet name="% All Births EPC" sheetId="150" r:id="rId150"/>
    <sheet name="% All Births EPC RE" sheetId="151" r:id="rId151"/>
    <sheet name="All Births EPC Zip" sheetId="152" r:id="rId152"/>
    <sheet name="All Births EPC Age RE ZIP" sheetId="153" r:id="rId153"/>
    <sheet name="% All Births Late No PC" sheetId="154" r:id="rId154"/>
    <sheet name="% All Births LPC RE" sheetId="155" r:id="rId155"/>
    <sheet name="% All Births LPC Zip" sheetId="156" r:id="rId156"/>
    <sheet name="% Births Adequate PC" sheetId="157" r:id="rId157"/>
    <sheet name="Premature Births LB Age RE ZIP" sheetId="158" r:id="rId158"/>
    <sheet name="% PB 100 LB" sheetId="159" r:id="rId159"/>
    <sheet name="% PB RE 20-22" sheetId="160" r:id="rId160"/>
    <sheet name="All infants LB Age RE Zip" sheetId="161" r:id="rId161"/>
    <sheet name="% Infants LB 20-22" sheetId="162" r:id="rId162"/>
    <sheet name="% Infants LB RE" sheetId="163" r:id="rId163"/>
    <sheet name="ED Visits AAR 19-22" sheetId="164" r:id="rId164"/>
    <sheet name="ED Visits HD OA " sheetId="165" r:id="rId165"/>
    <sheet name="Newborns Neontal WDS Mat Use" sheetId="166" r:id="rId166"/>
    <sheet name="Opioid A Presc 1000 21-24" sheetId="167" r:id="rId167"/>
    <sheet name="% Opioid Naive Pt 7Day" sheetId="168" r:id="rId168"/>
    <sheet name="Benzodiazepine Pres AAR 1000" sheetId="169" r:id="rId169"/>
    <sheet name="% Pts Overlapping Benzodiazepin" sheetId="170" r:id="rId170"/>
    <sheet name="Pts 1 Buprenorphine" sheetId="171" r:id="rId171"/>
    <sheet name="% Pts Buprenorphine Opioid Use " sheetId="172" r:id="rId172"/>
    <sheet name="% Perc Harm SU" sheetId="173" r:id="rId173"/>
    <sheet name="Lifetime Use of Substance" sheetId="174" r:id="rId174"/>
    <sheet name="Past 30 Day Use Grade" sheetId="175" r:id="rId175"/>
    <sheet name="% Marijuana Reported Use" sheetId="176" r:id="rId176"/>
    <sheet name="Opioid Overdose Fat Age Sex" sheetId="177" r:id="rId177"/>
    <sheet name="Opioid Overdose Fatalites Pop" sheetId="178" r:id="rId178"/>
    <sheet name="Opioid Overdose Fatalites Age" sheetId="179" r:id="rId179"/>
    <sheet name="Opioid Overdose Fatalites Sex" sheetId="180" r:id="rId180"/>
    <sheet name="Adults Binge Drinking " sheetId="181" r:id="rId181"/>
    <sheet name="Alcohol MVA Deaths 18-21" sheetId="182" r:id="rId182"/>
    <sheet name="Access to Alcohol" sheetId="183" r:id="rId183"/>
    <sheet name="% Adults Smokers 2016,2018,2021" sheetId="184" r:id="rId184"/>
    <sheet name="Uninten Injury Hosp RE" sheetId="185" r:id="rId185"/>
    <sheet name="Uninten Injury Mort Age RE Zip " sheetId="186" r:id="rId186"/>
    <sheet name="Uninten Injury Mort AAR" sheetId="187" r:id="rId187"/>
    <sheet name="Uninten Injury Mort Age" sheetId="188" r:id="rId188"/>
    <sheet name="Uninten Injury Mort Zip" sheetId="189" r:id="rId189"/>
    <sheet name="Uninten Injury Mort Sex" sheetId="190" r:id="rId190"/>
    <sheet name="Falls Hosp 65 RE" sheetId="191" r:id="rId191"/>
    <sheet name="Self Inflicted AAR 18-21" sheetId="192" r:id="rId192"/>
    <sheet name="Self Inflicted Hosp 15-19YO" sheetId="193" r:id="rId193"/>
    <sheet name="Suicide Mort 18-21" sheetId="194" r:id="rId194"/>
    <sheet name="% 50-64 No Col Can Scren" sheetId="195" r:id="rId195"/>
    <sheet name="% Woman 21-65 Cerv Can Scren" sheetId="196" r:id="rId196"/>
    <sheet name="% Woman 50-74 Breast Can Scren" sheetId="197" r:id="rId197"/>
    <sheet name="% Adults Asthma" sheetId="198" r:id="rId198"/>
    <sheet name="Prediabetes and Diabetes %" sheetId="199" r:id="rId199"/>
    <sheet name="% High Blood Sugar Diabetes" sheetId="200" r:id="rId200"/>
    <sheet name="Excerpt Data Update" sheetId="201" r:id="rId201"/>
    <sheet name="Themes Focus Groups" sheetId="202" r:id="rId202"/>
    <sheet name="Zip Code" sheetId="203" r:id="rId203"/>
    <sheet name="Greatest Strengths" sheetId="204" r:id="rId204"/>
    <sheet name="Community Focus" sheetId="205" r:id="rId205"/>
    <sheet name="Health Issues" sheetId="206" r:id="rId206"/>
    <sheet name="Health Issues Prevention Agenda" sheetId="207" r:id="rId207"/>
    <sheet name="CAS Strength Longitude" sheetId="208" r:id="rId208"/>
    <sheet name="CAS Focus Longitude" sheetId="209" r:id="rId209"/>
    <sheet name="CAS Health Issues Longitude" sheetId="210" r:id="rId210"/>
    <sheet name="Health Problems Fix" sheetId="211" r:id="rId211"/>
    <sheet name="Respondent Demographic Breakdow" sheetId="212" r:id="rId212"/>
    <sheet name="Lived in Orange County" sheetId="213" r:id="rId213"/>
    <sheet name="Perception Overall Quality Life" sheetId="214" r:id="rId214"/>
    <sheet name="Perception Overall Quality Inco" sheetId="215" r:id="rId215"/>
    <sheet name="Information Weather Emergencies" sheetId="216" r:id="rId216"/>
    <sheet name="Information Weather Eme Income" sheetId="217" r:id="rId217"/>
    <sheet name="Public Health Emergencies" sheetId="218" r:id="rId218"/>
    <sheet name="Public Health Emer Income" sheetId="219" r:id="rId219"/>
    <sheet name="Walk Bike Safe Traffic" sheetId="220" r:id="rId220"/>
    <sheet name="Walk Bike Safe Traffic Income" sheetId="221" r:id="rId221"/>
    <sheet name="Safety Walking Biking" sheetId="222" r:id="rId222"/>
    <sheet name="Safety Walking Biking Income" sheetId="223" r:id="rId223"/>
    <sheet name="Rating Com Age" sheetId="224" r:id="rId224"/>
    <sheet name="Perception Physical Health" sheetId="225" r:id="rId225"/>
    <sheet name="Perception Physical Health Inco" sheetId="226" r:id="rId226"/>
    <sheet name="Perception of MH Income" sheetId="227" r:id="rId227"/>
    <sheet name="Average Days Healthy Diet Incom" sheetId="228" r:id="rId228"/>
    <sheet name="Avg Days Excercise Income" sheetId="229" r:id="rId229"/>
    <sheet name="Avg Days 7-9H Income" sheetId="230" r:id="rId230"/>
    <sheet name="Lvl Stress Avg Day Income" sheetId="231" r:id="rId231"/>
    <sheet name="Feelings Qual Income" sheetId="232" r:id="rId232"/>
    <sheet name="Alcohol Consumption Past Yr Inc" sheetId="233" r:id="rId233"/>
    <sheet name="Freq Drug Use Non Med Income" sheetId="234" r:id="rId234"/>
    <sheet name="Consume Cannabis Income" sheetId="235" r:id="rId235"/>
    <sheet name="Unable to Get Food Income" sheetId="236" r:id="rId236"/>
    <sheet name="_dup_Unable Utilities Income" sheetId="237" r:id="rId237"/>
    <sheet name="Unable Dental Vision Income" sheetId="238" r:id="rId238"/>
    <sheet name="Unable to Get Phone Serv Inc" sheetId="239" r:id="rId239"/>
    <sheet name="Unable Transport Income" sheetId="240" r:id="rId240"/>
    <sheet name="Unable Housing Income" sheetId="241" r:id="rId241"/>
    <sheet name="Unable Children Income" sheetId="242" r:id="rId242"/>
    <sheet name="Unable Access Internet Income" sheetId="243" r:id="rId243"/>
    <sheet name="_dup_Visit PCP RP Income" sheetId="244" r:id="rId244"/>
    <sheet name="Reasons not Visit PCP" sheetId="245" r:id="rId245"/>
    <sheet name="Reasons not Visit PCP Income" sheetId="246" r:id="rId246"/>
    <sheet name="Dentist Visitation 12M Income" sheetId="247" r:id="rId247"/>
    <sheet name="_dup_Reasons Not PCP Income" sheetId="248" r:id="rId248"/>
    <sheet name="Reasons Not Dentist Income" sheetId="249" r:id="rId249"/>
    <sheet name="Emerg Room Visit Non Med Iss In" sheetId="250" r:id="rId250"/>
    <sheet name="Reasons Visit ED Non ED" sheetId="251" r:id="rId251"/>
    <sheet name="Reasons Visit ED Non ED Income" sheetId="252" r:id="rId252"/>
    <sheet name="MH Visit 12M Income" sheetId="253" r:id="rId253"/>
    <sheet name="Reasons Not Visit MH Provider" sheetId="254" r:id="rId254"/>
    <sheet name="Reasons Not Visit MH Provider I" sheetId="255" r:id="rId255"/>
    <sheet name="Had COVID Income" sheetId="256" r:id="rId256"/>
    <sheet name="Long COVID in Household Income" sheetId="257" r:id="rId257"/>
    <sheet name="Vaccinated COVID Income" sheetId="258" r:id="rId258"/>
    <sheet name="Updated COVID Vaccine Income" sheetId="259" r:id="rId259"/>
    <sheet name="Vaccinated Flu Income" sheetId="260" r:id="rId260"/>
    <sheet name="Feelings Nervous Income" sheetId="261" r:id="rId261"/>
    <sheet name="Feeling Hopeless Income" sheetId="262" r:id="rId262"/>
    <sheet name="Feeling Restless or Fidgety Inc" sheetId="263" r:id="rId263"/>
    <sheet name="Feeling Depressed Income" sheetId="264" r:id="rId264"/>
    <sheet name="Feeling Everything Effort Incom" sheetId="265" r:id="rId265"/>
    <sheet name="Feeling Worthless" sheetId="266" r:id="rId266"/>
    <sheet name="Feeling Worthless Income" sheetId="267" r:id="rId267"/>
    <sheet name="Kessler Score" sheetId="268" r:id="rId268"/>
    <sheet name="Kessler Score Income" sheetId="269" r:id="rId269"/>
    <sheet name="Had Child Last 10 Y" sheetId="270" r:id="rId270"/>
    <sheet name="Breastfed Any Child" sheetId="271" r:id="rId271"/>
    <sheet name="Breastfed Duration" sheetId="272" r:id="rId272"/>
    <sheet name="Contact Basic Needs" sheetId="273" r:id="rId273"/>
    <sheet name="Contat Childs Behavior" sheetId="274" r:id="rId274"/>
    <sheet name="Evidence Based Strats" sheetId="275" r:id="rId275"/>
    <sheet name="Short Term Progress" sheetId="276" r:id="rId276"/>
    <sheet name="Top Areas of Concern" sheetId="277" r:id="rId277"/>
    <sheet name="Percep MH" sheetId="278" r:id="rId278"/>
    <sheet name="Avg Day Healthy Diet" sheetId="279" r:id="rId279"/>
    <sheet name="Avg Day Exercise" sheetId="280" r:id="rId280"/>
    <sheet name="Avg 7-9H Sleep" sheetId="281" r:id="rId281"/>
    <sheet name="Lvl Stress Avg Day 18-24" sheetId="282" r:id="rId282"/>
    <sheet name="Unable to Get Utilities Income" sheetId="283" r:id="rId283"/>
    <sheet name="Unable to Get Internet" sheetId="284" r:id="rId284"/>
    <sheet name="Unable to Get Transportation" sheetId="285" r:id="rId285"/>
    <sheet name="Routine Physical Income" sheetId="286" r:id="rId286"/>
    <sheet name="Reasons for Not Visiting Dentis" sheetId="287" r:id="rId287"/>
    <sheet name="BLANK" sheetId="288" r:id="rId288"/>
    <sheet name="Template2" sheetId="289" r:id="rId289"/>
    <sheet name="Information or Help" sheetId="290" r:id="rId290"/>
    <sheet name="Feeling Everything Effort" sheetId="291" r:id="rId291"/>
    <sheet name="Feeling Depressed" sheetId="292" r:id="rId292"/>
    <sheet name="Feeling Restless or Fidgety" sheetId="293" r:id="rId293"/>
    <sheet name="Feeling Hopeless" sheetId="294" r:id="rId294"/>
    <sheet name="Feelings Nervous" sheetId="295" r:id="rId295"/>
    <sheet name="Vaccunated Flu 60+" sheetId="296" r:id="rId296"/>
    <sheet name="Vaccinated Flu" sheetId="297" r:id="rId297"/>
    <sheet name="Updated COVID Vaccine" sheetId="298" r:id="rId298"/>
    <sheet name="Vaccinated COVID" sheetId="299" r:id="rId299"/>
    <sheet name="Had Long COVID" sheetId="300" r:id="rId300"/>
    <sheet name="Had COVID" sheetId="301" r:id="rId301"/>
    <sheet name="MH Visit 12M" sheetId="302" r:id="rId302"/>
    <sheet name="Emerg Room Visit Non Med Issues" sheetId="303" r:id="rId303"/>
    <sheet name="Dentist Visitation 12m" sheetId="304" r:id="rId304"/>
    <sheet name="Visit PCP RP" sheetId="305" r:id="rId305"/>
    <sheet name="_dup_Unable Access Internet" sheetId="306" r:id="rId306"/>
    <sheet name="Unable Childcare" sheetId="307" r:id="rId307"/>
    <sheet name="Unable Housing" sheetId="308" r:id="rId308"/>
    <sheet name="_dup_Unable Transport" sheetId="309" r:id="rId309"/>
    <sheet name="Unable to Get Phone Services" sheetId="310" r:id="rId310"/>
    <sheet name="Unable Dental Vision" sheetId="311" r:id="rId311"/>
    <sheet name="Unable Utilities" sheetId="312" r:id="rId312"/>
    <sheet name="Unable to Get Food" sheetId="313" r:id="rId313"/>
    <sheet name="Consume Cannabis" sheetId="314" r:id="rId314"/>
    <sheet name="Freq Drug Use Non Med" sheetId="315" r:id="rId315"/>
    <sheet name="Alcohol Consumption Past Year" sheetId="316" r:id="rId316"/>
    <sheet name="Feelings Quality Encounters" sheetId="317" r:id="rId317"/>
    <sheet name="_dup_Lvl Stress Avg Day" sheetId="318" r:id="rId318"/>
    <sheet name="_dup_Avg Days 7-9H Sleep" sheetId="319" r:id="rId319"/>
    <sheet name="_dup_Avg Days Excercise" sheetId="320" r:id="rId320"/>
    <sheet name="_dup_Average Days Healthy Diet" sheetId="321" r:id="rId321"/>
    <sheet name="_dup_Perception of MH" sheetId="322" r:id="rId322"/>
    <sheet name="Rating Com Income" sheetId="323" r:id="rId3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3" l="1"/>
  <c r="B3" i="323"/>
  <c r="B4" i="322"/>
  <c r="B3" i="322"/>
  <c r="B4" i="321"/>
  <c r="B3" i="321"/>
  <c r="B4" i="320"/>
  <c r="B3" i="320"/>
  <c r="B4" i="319"/>
  <c r="B3" i="319"/>
  <c r="B4" i="318"/>
  <c r="B3" i="318"/>
  <c r="B4" i="317"/>
  <c r="B3" i="317"/>
  <c r="B4" i="316"/>
  <c r="B3" i="316"/>
  <c r="B4" i="315"/>
  <c r="B3" i="315"/>
  <c r="B4" i="314"/>
  <c r="B3" i="314"/>
  <c r="B4" i="313"/>
  <c r="B3" i="313"/>
  <c r="B4" i="312"/>
  <c r="B3" i="312"/>
  <c r="B4" i="311"/>
  <c r="B3" i="311"/>
  <c r="B4" i="310"/>
  <c r="B3" i="310"/>
  <c r="B4" i="309"/>
  <c r="B3" i="309"/>
  <c r="B4" i="308"/>
  <c r="B3" i="308"/>
  <c r="B4" i="307"/>
  <c r="B3" i="307"/>
  <c r="B4" i="306"/>
  <c r="B3" i="306"/>
  <c r="B4" i="305"/>
  <c r="B3" i="305"/>
  <c r="B4" i="304"/>
  <c r="B3" i="304"/>
  <c r="B4" i="303"/>
  <c r="B3" i="303"/>
  <c r="B4" i="302"/>
  <c r="B3" i="302"/>
  <c r="B4" i="301"/>
  <c r="B3" i="301"/>
  <c r="B4" i="300"/>
  <c r="B3" i="300"/>
  <c r="B4" i="299"/>
  <c r="B3" i="299"/>
  <c r="B4" i="298"/>
  <c r="B3" i="298"/>
  <c r="B4" i="297"/>
  <c r="B3" i="297"/>
  <c r="B4" i="296"/>
  <c r="B3" i="296"/>
  <c r="B4" i="295"/>
  <c r="B3" i="295"/>
  <c r="B4" i="294"/>
  <c r="B3" i="294"/>
  <c r="B4" i="293"/>
  <c r="B3" i="293"/>
  <c r="B4" i="292"/>
  <c r="B3" i="292"/>
  <c r="B4" i="291"/>
  <c r="B3" i="291"/>
  <c r="B4" i="290"/>
  <c r="B3" i="290"/>
  <c r="B4" i="289"/>
  <c r="B3" i="289"/>
  <c r="B4" i="287"/>
  <c r="B3" i="287"/>
  <c r="B4" i="286"/>
  <c r="B3" i="286"/>
  <c r="B4" i="285"/>
  <c r="B3" i="285"/>
  <c r="B4" i="284"/>
  <c r="B3" i="284"/>
  <c r="B4" i="283"/>
  <c r="B3" i="283"/>
  <c r="B4" i="282"/>
  <c r="B3" i="282"/>
  <c r="B4" i="281"/>
  <c r="B3" i="281"/>
  <c r="B4" i="280"/>
  <c r="B3" i="280"/>
  <c r="B4" i="279"/>
  <c r="B3" i="279"/>
  <c r="B4" i="278"/>
  <c r="B3" i="278"/>
  <c r="B4" i="277"/>
  <c r="B3" i="277"/>
  <c r="B4" i="276"/>
  <c r="B3" i="276"/>
  <c r="B4" i="275"/>
  <c r="B3" i="275"/>
  <c r="B4" i="274"/>
  <c r="B3" i="274"/>
  <c r="B4" i="273"/>
  <c r="B3" i="273"/>
  <c r="B4" i="272"/>
  <c r="B3" i="272"/>
  <c r="B4" i="271"/>
  <c r="B3" i="271"/>
  <c r="B4" i="270"/>
  <c r="B3" i="270"/>
  <c r="B4" i="269"/>
  <c r="B3" i="269"/>
  <c r="B4" i="268"/>
  <c r="B3" i="268"/>
  <c r="B4" i="267"/>
  <c r="B3" i="267"/>
  <c r="B4" i="266"/>
  <c r="B3" i="266"/>
  <c r="B4" i="265"/>
  <c r="B3" i="265"/>
  <c r="B4" i="264"/>
  <c r="B3" i="264"/>
  <c r="B4" i="263"/>
  <c r="B3" i="263"/>
  <c r="B4" i="261"/>
  <c r="B3" i="261"/>
  <c r="B4" i="260"/>
  <c r="B3" i="260"/>
  <c r="B4" i="259"/>
  <c r="B3" i="259"/>
  <c r="B4" i="258"/>
  <c r="B3" i="258"/>
  <c r="B4" i="257"/>
  <c r="B3" i="257"/>
  <c r="B4" i="256"/>
  <c r="B3" i="256"/>
  <c r="B4" i="255"/>
  <c r="B3" i="255"/>
  <c r="B4" i="254"/>
  <c r="B3" i="254"/>
  <c r="B4" i="253"/>
  <c r="B3" i="253"/>
  <c r="B4" i="252"/>
  <c r="B3" i="252"/>
  <c r="B4" i="251"/>
  <c r="B3" i="251"/>
  <c r="B4" i="250"/>
  <c r="B3" i="250"/>
  <c r="B4" i="249"/>
  <c r="B3" i="249"/>
  <c r="B4" i="248"/>
  <c r="B3" i="248"/>
  <c r="B4" i="247"/>
  <c r="B3" i="247"/>
  <c r="B4" i="246"/>
  <c r="B3" i="246"/>
  <c r="B4" i="245"/>
  <c r="B3" i="245"/>
  <c r="B4" i="244"/>
  <c r="B3" i="244"/>
  <c r="B4" i="243"/>
  <c r="B3" i="243"/>
  <c r="B4" i="242"/>
  <c r="B3" i="242"/>
  <c r="B4" i="241"/>
  <c r="B3" i="241"/>
  <c r="B4" i="240"/>
  <c r="B3" i="240"/>
  <c r="B4" i="239"/>
  <c r="B3" i="239"/>
  <c r="B4" i="238"/>
  <c r="B3" i="238"/>
  <c r="B4" i="237"/>
  <c r="B3" i="237"/>
  <c r="B4" i="236"/>
  <c r="B3" i="236"/>
  <c r="B4" i="235"/>
  <c r="B3" i="235"/>
  <c r="B4" i="234"/>
  <c r="B3" i="234"/>
  <c r="B4" i="233"/>
  <c r="B3" i="233"/>
  <c r="B4" i="232"/>
  <c r="B3" i="232"/>
  <c r="B4" i="231"/>
  <c r="B3" i="231"/>
  <c r="B4" i="230"/>
  <c r="B3" i="230"/>
  <c r="B4" i="229"/>
  <c r="B3" i="229"/>
  <c r="B4" i="228"/>
  <c r="B3" i="228"/>
  <c r="B4" i="227"/>
  <c r="B3" i="227"/>
  <c r="B4" i="226"/>
  <c r="B3" i="226"/>
  <c r="B4" i="225"/>
  <c r="B3" i="225"/>
  <c r="B4" i="224"/>
  <c r="B3" i="224"/>
  <c r="B4" i="223"/>
  <c r="B3" i="223"/>
  <c r="B4" i="222"/>
  <c r="B3" i="222"/>
  <c r="B4" i="221"/>
  <c r="B3" i="221"/>
  <c r="B4" i="220"/>
  <c r="B3" i="220"/>
  <c r="B4" i="219"/>
  <c r="B3" i="219"/>
  <c r="B4" i="218"/>
  <c r="B3" i="218"/>
  <c r="B4" i="217"/>
  <c r="B3" i="217"/>
  <c r="B4" i="216"/>
  <c r="B3" i="216"/>
  <c r="B4" i="215"/>
  <c r="B3" i="215"/>
  <c r="B4" i="214"/>
  <c r="B3" i="214"/>
  <c r="B4" i="213"/>
  <c r="B3" i="213"/>
  <c r="B4" i="212"/>
  <c r="B3" i="212"/>
  <c r="B4" i="211"/>
  <c r="B3" i="211"/>
  <c r="B4" i="210"/>
  <c r="B3" i="210"/>
  <c r="B4" i="209"/>
  <c r="B3" i="209"/>
  <c r="B4" i="208"/>
  <c r="B3" i="208"/>
  <c r="B4" i="207"/>
  <c r="B3" i="207"/>
  <c r="B4" i="206"/>
  <c r="B3" i="206"/>
  <c r="B4" i="205"/>
  <c r="B3" i="205"/>
  <c r="B4" i="204"/>
  <c r="B3" i="204"/>
  <c r="B4" i="203"/>
  <c r="B3" i="203"/>
  <c r="B4" i="202"/>
  <c r="B3" i="202"/>
  <c r="B4" i="201"/>
  <c r="B3" i="201"/>
  <c r="B4" i="200"/>
  <c r="B3" i="200"/>
  <c r="B4" i="199"/>
  <c r="B3" i="199"/>
  <c r="B4" i="198"/>
  <c r="B3" i="198"/>
  <c r="B4" i="197"/>
  <c r="B3" i="197"/>
  <c r="B4" i="196"/>
  <c r="B3" i="196"/>
  <c r="B4" i="195"/>
  <c r="B3" i="195"/>
  <c r="B4" i="194"/>
  <c r="B3" i="194"/>
  <c r="B4" i="193"/>
  <c r="B3" i="193"/>
  <c r="B4" i="192"/>
  <c r="B3" i="192"/>
  <c r="B4" i="191"/>
  <c r="B3" i="191"/>
  <c r="B4" i="190"/>
  <c r="B3" i="190"/>
  <c r="B4" i="189"/>
  <c r="B3" i="189"/>
  <c r="B4" i="188"/>
  <c r="B3" i="188"/>
  <c r="B4" i="187"/>
  <c r="B3" i="187"/>
  <c r="B4" i="186"/>
  <c r="B3" i="186"/>
  <c r="B4" i="185"/>
  <c r="B3" i="185"/>
  <c r="B4" i="184"/>
  <c r="B3" i="184"/>
  <c r="B4" i="183"/>
  <c r="B3" i="183"/>
  <c r="B4" i="182"/>
  <c r="B3" i="182"/>
  <c r="B4" i="181"/>
  <c r="B3" i="181"/>
  <c r="B4" i="180"/>
  <c r="B3" i="180"/>
  <c r="B4" i="179"/>
  <c r="B3" i="179"/>
  <c r="B4" i="178"/>
  <c r="B3" i="178"/>
  <c r="B4" i="177"/>
  <c r="B3" i="177"/>
  <c r="B4" i="176"/>
  <c r="B3" i="176"/>
  <c r="B4" i="175"/>
  <c r="B3" i="175"/>
  <c r="B4" i="174"/>
  <c r="B3" i="174"/>
  <c r="B4" i="173"/>
  <c r="B3" i="173"/>
  <c r="B4" i="172"/>
  <c r="B3" i="172"/>
  <c r="B4" i="171"/>
  <c r="B3" i="171"/>
  <c r="B4" i="170"/>
  <c r="B3" i="170"/>
  <c r="B4" i="169"/>
  <c r="B3" i="169"/>
  <c r="B4" i="168"/>
  <c r="B3" i="168"/>
  <c r="B4" i="167"/>
  <c r="B3" i="167"/>
  <c r="B4" i="166"/>
  <c r="B3" i="166"/>
  <c r="B4" i="165"/>
  <c r="B3" i="165"/>
  <c r="B4" i="164"/>
  <c r="B3" i="164"/>
  <c r="B4" i="163"/>
  <c r="B3" i="163"/>
  <c r="B4" i="162"/>
  <c r="B3" i="162"/>
  <c r="B4" i="161"/>
  <c r="B3" i="161"/>
  <c r="B4" i="160"/>
  <c r="B3" i="160"/>
  <c r="B4" i="159"/>
  <c r="B3" i="159"/>
  <c r="B4" i="158"/>
  <c r="B3" i="158"/>
  <c r="B4" i="157"/>
  <c r="B3" i="157"/>
  <c r="B4" i="156"/>
  <c r="B3" i="156"/>
  <c r="B4" i="155"/>
  <c r="B3" i="155"/>
  <c r="B4" i="154"/>
  <c r="B3" i="154"/>
  <c r="B4" i="153"/>
  <c r="B3" i="153"/>
  <c r="B4" i="152"/>
  <c r="B3" i="152"/>
  <c r="B4" i="151"/>
  <c r="B3" i="151"/>
  <c r="B4" i="150"/>
  <c r="B3" i="150"/>
  <c r="B4" i="149"/>
  <c r="B3" i="149"/>
  <c r="B4" i="148"/>
  <c r="B3" i="148"/>
  <c r="B4" i="147"/>
  <c r="B3" i="147"/>
  <c r="B4" i="146"/>
  <c r="B3" i="146"/>
  <c r="B4" i="145"/>
  <c r="B3" i="145"/>
  <c r="B4" i="144"/>
  <c r="B3" i="144"/>
  <c r="B4" i="143"/>
  <c r="B3" i="143"/>
  <c r="B4" i="142"/>
  <c r="B3" i="142"/>
  <c r="B4" i="141"/>
  <c r="B3" i="141"/>
  <c r="B4" i="140"/>
  <c r="B3" i="140"/>
  <c r="B4" i="139"/>
  <c r="B3" i="139"/>
  <c r="B4" i="138"/>
  <c r="B3" i="138"/>
  <c r="B4" i="137"/>
  <c r="B3" i="137"/>
  <c r="B4" i="136"/>
  <c r="B3" i="136"/>
  <c r="B4" i="135"/>
  <c r="B3" i="135"/>
  <c r="B4" i="134"/>
  <c r="B3" i="134"/>
  <c r="B4" i="133"/>
  <c r="B3" i="133"/>
  <c r="B4" i="132"/>
  <c r="B3" i="132"/>
  <c r="B4" i="131"/>
  <c r="B3" i="131"/>
  <c r="B4" i="130"/>
  <c r="B3" i="130"/>
  <c r="B4" i="129"/>
  <c r="B3" i="129"/>
  <c r="B4" i="128"/>
  <c r="B3" i="128"/>
  <c r="B4" i="127"/>
  <c r="B3" i="127"/>
  <c r="B4" i="126"/>
  <c r="B3" i="126"/>
  <c r="B4" i="125"/>
  <c r="B3" i="125"/>
  <c r="B4" i="124"/>
  <c r="B3" i="124"/>
  <c r="B4" i="123"/>
  <c r="B3" i="123"/>
  <c r="B4" i="122"/>
  <c r="B3" i="122"/>
  <c r="B4" i="121"/>
  <c r="B3" i="121"/>
  <c r="B4" i="120"/>
  <c r="B3" i="120"/>
  <c r="B4" i="119"/>
  <c r="B3" i="119"/>
  <c r="B4" i="118"/>
  <c r="B3" i="118"/>
  <c r="B4" i="117"/>
  <c r="B3" i="117"/>
  <c r="B4" i="116"/>
  <c r="B3" i="116"/>
  <c r="B4" i="115"/>
  <c r="B3" i="115"/>
  <c r="B4" i="114"/>
  <c r="B3" i="114"/>
  <c r="B4" i="113"/>
  <c r="B3" i="113"/>
  <c r="B4" i="112"/>
  <c r="B3" i="112"/>
  <c r="B4" i="111"/>
  <c r="B3" i="111"/>
  <c r="B4" i="110"/>
  <c r="B3" i="110"/>
  <c r="B4" i="109"/>
  <c r="B3" i="109"/>
  <c r="B4" i="108"/>
  <c r="B3" i="108"/>
  <c r="B4" i="107"/>
  <c r="B3" i="107"/>
  <c r="B4" i="106"/>
  <c r="B3" i="106"/>
  <c r="B13" i="105"/>
  <c r="B4" i="105"/>
  <c r="B3" i="105"/>
  <c r="B13" i="104"/>
  <c r="B4" i="104"/>
  <c r="B3" i="104"/>
  <c r="B13" i="103"/>
  <c r="B4" i="103"/>
  <c r="B3" i="103"/>
  <c r="B13" i="102"/>
  <c r="B4" i="102"/>
  <c r="B3" i="102"/>
  <c r="B4" i="101"/>
  <c r="B3" i="101"/>
  <c r="B13" i="100"/>
  <c r="B4" i="100"/>
  <c r="B3" i="100"/>
  <c r="B4" i="99"/>
  <c r="B3" i="99"/>
  <c r="B4" i="98"/>
  <c r="B3" i="98"/>
  <c r="B4" i="97"/>
  <c r="B3" i="97"/>
  <c r="B13" i="96"/>
  <c r="B4" i="96"/>
  <c r="B3" i="96"/>
  <c r="B4" i="95"/>
  <c r="B3" i="95"/>
  <c r="B4" i="94"/>
  <c r="B3" i="94"/>
  <c r="B4" i="93"/>
  <c r="B3" i="93"/>
  <c r="B4" i="92"/>
  <c r="B3" i="92"/>
  <c r="B4" i="91"/>
  <c r="B3" i="91"/>
  <c r="B4" i="90"/>
  <c r="B3" i="90"/>
  <c r="B4" i="89"/>
  <c r="B3" i="89"/>
  <c r="B4" i="88"/>
  <c r="B3" i="88"/>
  <c r="B4" i="87"/>
  <c r="B3" i="87"/>
  <c r="B4" i="86"/>
  <c r="B3" i="86"/>
  <c r="B4" i="85"/>
  <c r="B3" i="85"/>
  <c r="B4" i="84"/>
  <c r="B3" i="84"/>
  <c r="B4" i="83"/>
  <c r="B3" i="83"/>
  <c r="B4" i="82"/>
  <c r="B3" i="82"/>
  <c r="B4" i="81"/>
  <c r="B3" i="81"/>
  <c r="B4" i="80"/>
  <c r="B3" i="80"/>
  <c r="B4" i="79"/>
  <c r="B3" i="79"/>
  <c r="B4" i="78"/>
  <c r="B3" i="78"/>
  <c r="B4" i="77"/>
  <c r="B3" i="77"/>
  <c r="B4" i="76"/>
  <c r="B3" i="76"/>
  <c r="B4" i="75"/>
  <c r="B3" i="75"/>
  <c r="B4" i="74"/>
  <c r="B3" i="74"/>
  <c r="B4" i="73"/>
  <c r="B3" i="73"/>
  <c r="B4" i="72"/>
  <c r="B3" i="72"/>
  <c r="B4" i="71"/>
  <c r="B3" i="71"/>
  <c r="B4" i="70"/>
  <c r="B3" i="70"/>
  <c r="B4" i="69"/>
  <c r="B3" i="69"/>
  <c r="B4" i="68"/>
  <c r="B3" i="68"/>
  <c r="B4" i="67"/>
  <c r="B3" i="67"/>
  <c r="B4" i="66"/>
  <c r="B3" i="66"/>
  <c r="B4" i="65"/>
  <c r="B3" i="65"/>
  <c r="B4" i="64"/>
  <c r="B3" i="64"/>
  <c r="B4" i="63"/>
  <c r="B3" i="63"/>
  <c r="B4" i="62"/>
  <c r="B3" i="62"/>
  <c r="B4" i="61"/>
  <c r="B3" i="61"/>
  <c r="B4" i="60"/>
  <c r="B3" i="60"/>
  <c r="B4" i="59"/>
  <c r="B3" i="59"/>
  <c r="B4" i="58"/>
  <c r="B3" i="58"/>
  <c r="B4" i="57"/>
  <c r="B3" i="57"/>
  <c r="B4" i="56"/>
  <c r="B3" i="56"/>
  <c r="B4" i="55"/>
  <c r="B3" i="55"/>
  <c r="B3" i="54"/>
  <c r="B4" i="53"/>
  <c r="B3" i="53"/>
  <c r="B4" i="52"/>
  <c r="B3" i="52"/>
  <c r="B4" i="51"/>
  <c r="B3" i="51"/>
  <c r="B4" i="50"/>
  <c r="B3" i="50"/>
  <c r="B4" i="49"/>
  <c r="B3" i="49"/>
  <c r="B4" i="48"/>
  <c r="B3" i="48"/>
  <c r="B4" i="47"/>
  <c r="B3" i="47"/>
  <c r="B4" i="46"/>
  <c r="B3" i="46"/>
  <c r="B4" i="45"/>
  <c r="B3" i="45"/>
  <c r="B4" i="44"/>
  <c r="B3" i="44"/>
  <c r="B4" i="43"/>
  <c r="B3" i="43"/>
  <c r="B4" i="42"/>
  <c r="B3" i="42"/>
  <c r="B4" i="41"/>
  <c r="B3" i="41"/>
  <c r="B4" i="40"/>
  <c r="B3" i="40"/>
  <c r="B4" i="39"/>
  <c r="B3" i="39"/>
  <c r="B4" i="38"/>
  <c r="B3" i="38"/>
  <c r="B4" i="37"/>
  <c r="B3" i="37"/>
  <c r="B4" i="36"/>
  <c r="B3" i="36"/>
  <c r="B4" i="35"/>
  <c r="B3" i="35"/>
  <c r="B4" i="34"/>
  <c r="B3" i="34"/>
  <c r="B4" i="33"/>
  <c r="B3" i="33"/>
  <c r="B4" i="32"/>
  <c r="B3" i="32"/>
  <c r="B4" i="31"/>
  <c r="B3" i="31"/>
  <c r="B4" i="30"/>
  <c r="B3" i="30"/>
  <c r="B4" i="29"/>
  <c r="B3" i="29"/>
  <c r="B4" i="28"/>
  <c r="B3" i="28"/>
  <c r="B4" i="27"/>
  <c r="B3" i="27"/>
  <c r="B4" i="26"/>
  <c r="B3" i="26"/>
  <c r="B4" i="25"/>
  <c r="B3" i="25"/>
  <c r="B4" i="20"/>
  <c r="B3" i="20"/>
  <c r="B4" i="19"/>
  <c r="B3" i="19"/>
  <c r="B4" i="18"/>
  <c r="B3" i="18"/>
  <c r="B4" i="17"/>
  <c r="B3" i="17"/>
  <c r="B4" i="16"/>
  <c r="B3" i="16"/>
  <c r="B4" i="15"/>
  <c r="B3" i="15"/>
  <c r="B4" i="14"/>
  <c r="B3" i="14"/>
  <c r="B4" i="13"/>
  <c r="B3" i="13"/>
  <c r="B4" i="12"/>
  <c r="B3" i="12"/>
  <c r="B4" i="11"/>
  <c r="B3" i="11"/>
  <c r="B4" i="10"/>
  <c r="B3" i="10"/>
  <c r="B4" i="9"/>
  <c r="B3" i="9"/>
  <c r="B4" i="8"/>
  <c r="B3" i="8"/>
  <c r="B4" i="7"/>
  <c r="B3" i="7"/>
  <c r="B4" i="6"/>
  <c r="B3" i="6"/>
  <c r="B4" i="5"/>
  <c r="B3" i="5"/>
  <c r="B4" i="4"/>
  <c r="B3" i="4"/>
  <c r="B4" i="3"/>
  <c r="B3" i="3"/>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B4" i="54" s="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<sst xmlns="http://schemas.openxmlformats.org/spreadsheetml/2006/main" count="17105" uniqueCount="2360">
  <si>
    <t>Activate/Deactivate</t>
  </si>
  <si>
    <t>Count</t>
  </si>
  <si>
    <t>Object_Type</t>
  </si>
  <si>
    <t>Column1</t>
  </si>
  <si>
    <t>F or T #</t>
  </si>
  <si>
    <t>Indicator Name</t>
  </si>
  <si>
    <t>Object ID</t>
  </si>
  <si>
    <t>Figure ID</t>
  </si>
  <si>
    <t>Activate</t>
  </si>
  <si>
    <t>Table</t>
  </si>
  <si>
    <t>T1</t>
  </si>
  <si>
    <t>Demographic Summary by Municipality, 2023</t>
  </si>
  <si>
    <t>tbl-demographics-sum</t>
  </si>
  <si>
    <t>T2</t>
  </si>
  <si>
    <t>Population by Municipality, 1970–2020</t>
  </si>
  <si>
    <t>tbl-pop</t>
  </si>
  <si>
    <t>Figure</t>
  </si>
  <si>
    <t>F1</t>
  </si>
  <si>
    <t>Total Population by Municipality, 2023</t>
  </si>
  <si>
    <t>tbl-total-pop</t>
  </si>
  <si>
    <t>T3</t>
  </si>
  <si>
    <t>Population Growth by Municipality, 2000–2020</t>
  </si>
  <si>
    <t>tbl-pop-growth</t>
  </si>
  <si>
    <t>T4</t>
  </si>
  <si>
    <t>Population and Housing Unit Density by Municipality, 2023</t>
  </si>
  <si>
    <t>tbl-pop-housing-density</t>
  </si>
  <si>
    <t>T5</t>
  </si>
  <si>
    <t>Population of Municipalities by Sex and Age, 2023</t>
  </si>
  <si>
    <t>tbl-pop-sex-age</t>
  </si>
  <si>
    <t>F2</t>
  </si>
  <si>
    <t>Median Age by Municipality, 2023</t>
  </si>
  <si>
    <t>tbl-median-age</t>
  </si>
  <si>
    <t>T6</t>
  </si>
  <si>
    <t>Population of Municipalities by Race and Ethnicity, 2020</t>
  </si>
  <si>
    <t>tbl-pop-race-ethnicity</t>
  </si>
  <si>
    <t>T7</t>
  </si>
  <si>
    <t>Employed Civilians by Industry and Municipality, 2023</t>
  </si>
  <si>
    <t>tbl-employed-civilians-industry</t>
  </si>
  <si>
    <t>T8</t>
  </si>
  <si>
    <t>Employed Civilian Occupations by Municipality, 2023</t>
  </si>
  <si>
    <t>tbl-employed-civilian-occupations</t>
  </si>
  <si>
    <t>T9</t>
  </si>
  <si>
    <t>All-Cause Mortality, Rate per 100,000 Population by Age, ZIP Code, Race and Ethnicity, 2020–2023</t>
  </si>
  <si>
    <t>tbl-all-cause-mortal-rate-age-zip-code-rande</t>
  </si>
  <si>
    <t>F3</t>
  </si>
  <si>
    <t>All-Cause Mortality, Age-Adjusted Rate per 100,000 Population by Race and Ethnicity, 2020–2022</t>
  </si>
  <si>
    <t>tbl-all-cause-mortal-aar-rande</t>
  </si>
  <si>
    <t>F4</t>
  </si>
  <si>
    <t>All-Cause Mortality, Rate per 100,000 Population by ZIP Code, 2020–2023</t>
  </si>
  <si>
    <t>tbl-all-cause-mortal-rate-ZIP</t>
  </si>
  <si>
    <t>F5</t>
  </si>
  <si>
    <t>All-Cause Mortality, Age-Adjusted Rate per 100,000 Population by Sex, 2020–2023</t>
  </si>
  <si>
    <t>tbl-all-cause-mortal-aar-sex</t>
  </si>
  <si>
    <t>T10</t>
  </si>
  <si>
    <t>Top Five Leading Causes of Death, by Count and Age-Adjusted Rate per 100,000 Population, 2022</t>
  </si>
  <si>
    <t>tbl-top-five-leading-death-count-aar</t>
  </si>
  <si>
    <t>T11</t>
  </si>
  <si>
    <t>Number of Deaths from Leading Causes by Sex, 2020–2022</t>
  </si>
  <si>
    <t>tbl-number-deaths-leading-sex</t>
  </si>
  <si>
    <t>F6</t>
  </si>
  <si>
    <t>Percentage of Premature Deaths Under 65 Years by Minor Civil Division, 2019–2022</t>
  </si>
  <si>
    <t>tbl-premature-deaths-65</t>
  </si>
  <si>
    <t>F7</t>
  </si>
  <si>
    <t>Percentage of Deaths that are Premature, by Race and Ethnicity, 2018–2020</t>
  </si>
  <si>
    <t>tbl-premature-deaths-rande</t>
  </si>
  <si>
    <t>T12</t>
  </si>
  <si>
    <t>Household Median Income, Poverty Status, and GINI Index by Municipality, 2023</t>
  </si>
  <si>
    <t>tbl-income-poverty-gini</t>
  </si>
  <si>
    <t>T13</t>
  </si>
  <si>
    <t>Poverty Threshold by Size of Family and Number of Related Children Under 18 Years, 2024</t>
  </si>
  <si>
    <t>tbl-poverty-threshold</t>
  </si>
  <si>
    <t>T14</t>
  </si>
  <si>
    <t>Population Living in Poverty by Age Group, Race and Ethnicity, 2023</t>
  </si>
  <si>
    <t>tbl-poverty-age-rande</t>
  </si>
  <si>
    <t>F8</t>
  </si>
  <si>
    <t>Population in Poverty, 2019–2022</t>
  </si>
  <si>
    <t>tbl-poverty-pop</t>
  </si>
  <si>
    <t>F9</t>
  </si>
  <si>
    <t>Percentage of Individual Poverty Status in the Past 12 Months, by Race and Ethnicity, 2023</t>
  </si>
  <si>
    <t>tbl-poverty-individual-rande</t>
  </si>
  <si>
    <t>F10</t>
  </si>
  <si>
    <t>Percentage of Poverty Status of Families in the Past 12 Months, by Race and Ethnicity, 2023</t>
  </si>
  <si>
    <t>tbl-poverty-family-rande</t>
  </si>
  <si>
    <t>F11</t>
  </si>
  <si>
    <t>Percentage of Children Living Below the Poverty Threshold, 2019–2022</t>
  </si>
  <si>
    <t>tbl-children-poverty-threshold</t>
  </si>
  <si>
    <t>T15</t>
  </si>
  <si>
    <t>Employment Status by Municipality, 2023</t>
  </si>
  <si>
    <t>tbl-employment</t>
  </si>
  <si>
    <t>F12</t>
  </si>
  <si>
    <t>Percentage of Labor Force Unemployed, 2020–2023</t>
  </si>
  <si>
    <t>tbl-labor-force-unemployed</t>
  </si>
  <si>
    <t>T16</t>
  </si>
  <si>
    <t>Demographic Profile and Graduation Rates by Public School District, 2023–2024</t>
  </si>
  <si>
    <t>tbl-graudation-rate-demographic</t>
  </si>
  <si>
    <t>T17</t>
  </si>
  <si>
    <t>Educational Attainment of Persons 25 years and Over, 2023</t>
  </si>
  <si>
    <t>tbl-educational-attain</t>
  </si>
  <si>
    <t>F13</t>
  </si>
  <si>
    <t>High School Graduation Rate, by Race and Ethnicity, 2023</t>
  </si>
  <si>
    <t>tbl-hs-graduation-rande</t>
  </si>
  <si>
    <t>T18</t>
  </si>
  <si>
    <t>Language Spoken at Home by Municipality, 2023</t>
  </si>
  <si>
    <t>tbl-language-spoken-home</t>
  </si>
  <si>
    <t>T19</t>
  </si>
  <si>
    <t>English Language Learners, Economically Disadvantaged, and Students with Disabilities by Public School District, 2023–2024</t>
  </si>
  <si>
    <t>tbl-english-language-eco-disad-disability</t>
  </si>
  <si>
    <t>F14</t>
  </si>
  <si>
    <t>Potentially Preventable Hospitalizations, Age-Adjusted Rate per 10,000 Adults by ZIP Code, 2021–2024</t>
  </si>
  <si>
    <t>tbl-pphospital-aar-zip</t>
  </si>
  <si>
    <t>F15</t>
  </si>
  <si>
    <t>tbl-uninsured-rande</t>
  </si>
  <si>
    <t>T20</t>
  </si>
  <si>
    <t>tbl-cars-household</t>
  </si>
  <si>
    <t>T21</t>
  </si>
  <si>
    <t>Commuting to Work by Municipality, 2023</t>
  </si>
  <si>
    <t>tbl-commute-work</t>
  </si>
  <si>
    <t>T22</t>
  </si>
  <si>
    <t>Housing Tenure and Vacancy Status by Municipality, 2023</t>
  </si>
  <si>
    <t>tbl-house-tenure-vacancy</t>
  </si>
  <si>
    <t>T23</t>
  </si>
  <si>
    <t>Housing Unit Ages by Municipality, 202</t>
  </si>
  <si>
    <t>tbl-house-unit-age</t>
  </si>
  <si>
    <t>T24</t>
  </si>
  <si>
    <t>Selected Housing Characteristics for Homeowners by Municipality, 2023</t>
  </si>
  <si>
    <t>tbl-house-characteristics-homeowner</t>
  </si>
  <si>
    <t>F16</t>
  </si>
  <si>
    <t>Owner Occupied Housing Units as a Percentage of Occupied Housing Units, 2023</t>
  </si>
  <si>
    <t>tbl-owner-occupy-of-occupy-housing</t>
  </si>
  <si>
    <t>T25</t>
  </si>
  <si>
    <t>Selected Housing Characteristics for Renters by Municipality, 2023</t>
  </si>
  <si>
    <t>tbl-house-characteristics-renters</t>
  </si>
  <si>
    <t>F17</t>
  </si>
  <si>
    <t>Renter Occupied Housing Units as a Percentage of Occupied Housing Units, 2023</t>
  </si>
  <si>
    <t>tbl-renter-occupy-of-occupy-housing</t>
  </si>
  <si>
    <t>T26</t>
  </si>
  <si>
    <t>Owner versus Renter Occupancy Per Room by Municipality, 2023</t>
  </si>
  <si>
    <t>tbl-own-vs-rent-per-room</t>
  </si>
  <si>
    <t>F18</t>
  </si>
  <si>
    <t>Owner and Renter Occupied Units with &gt;1 Occupant per Room, Orange County and Selected Cities, 2023</t>
  </si>
  <si>
    <t>tbl-own-vs-rent-more1-room</t>
  </si>
  <si>
    <t>F19</t>
  </si>
  <si>
    <t>Incidence of Confirmed High Blood Lead Level, Rate per 1,000 Tested Children Aged &lt; 72 Months, 2018–2021</t>
  </si>
  <si>
    <t>tbl-high-bll</t>
  </si>
  <si>
    <t>T27</t>
  </si>
  <si>
    <t>Type of Internet Access per Household by Municipality, 2023</t>
  </si>
  <si>
    <t>tbl-internet-access</t>
  </si>
  <si>
    <t>T28</t>
  </si>
  <si>
    <t>Population Served by Orange County Department of Social Services, 2022–2024</t>
  </si>
  <si>
    <t>tbl-pop-served-ocdss</t>
  </si>
  <si>
    <t>T29</t>
  </si>
  <si>
    <t>Diseases of the Circulatory System Mortality, Case Counts and Rates per 100,000 Population by Age, Race and Ethnicity, and ZIP Code, 2020–2023</t>
  </si>
  <si>
    <t>tbl-dzcircsystem-count-rate-age-rande-zip</t>
  </si>
  <si>
    <t>F20</t>
  </si>
  <si>
    <t>Diseases of the Circulatory System Mortality, Age-Adjusted Rate per 100,000, 2020–2023</t>
  </si>
  <si>
    <t>tbl-dzcircsystem-mortal-aar</t>
  </si>
  <si>
    <t>F21</t>
  </si>
  <si>
    <t>Diseases of the Circulatory System Mortality, Rate per 100,000 Population by Race and Ethnicity, 2020–2023</t>
  </si>
  <si>
    <t>tbl-dzcircsystem--mortal-rande</t>
  </si>
  <si>
    <t>F22</t>
  </si>
  <si>
    <t>Diseases of the Circulatory System Mortality, Rate per 100,000 Population by ZIP Code, 2020–2023</t>
  </si>
  <si>
    <t>tbl-dzcircsystem--mortal-zip</t>
  </si>
  <si>
    <t>F23</t>
  </si>
  <si>
    <t>Diseases of the Circulatory System Mortality, Age-Adjusted Rate per 100,000 by Sex, 2020–2023</t>
  </si>
  <si>
    <t>tbl-dzcircsystem-mortal-sex-aar</t>
  </si>
  <si>
    <t>T30</t>
  </si>
  <si>
    <t>Heart Disease Mortality, Case Counts and Rates per 100,000 Population by Age, Race and Ethnicity, and ZIP Code, 2020–2023</t>
  </si>
  <si>
    <t>tbl-heartdz-count-rate-age-rande-zip</t>
  </si>
  <si>
    <t>F24</t>
  </si>
  <si>
    <t>Diseases of the Heart Mortality, Age-Adjusted Rate per 100,000,2020–2023</t>
  </si>
  <si>
    <t>tbl-heartdz-mortal-aar</t>
  </si>
  <si>
    <t>F25</t>
  </si>
  <si>
    <t>Diseases of the Heart Mortality, Age-Adjusted Rate per 100,000 Population by Race and Ethnicity, 2020–2022</t>
  </si>
  <si>
    <t>tbl-heartdz-mortal-rande</t>
  </si>
  <si>
    <t>F26</t>
  </si>
  <si>
    <t>Diseases of the Heart Mortality, Rate per 100,000 Population by ZIP Code, 2020–2023</t>
  </si>
  <si>
    <t>tbl-heartdz-mortal-zip</t>
  </si>
  <si>
    <t>F27</t>
  </si>
  <si>
    <t>Diseases of the Heart Mortality, Age-Adjusted Rate per 100,000 by Sex, 2020–2023</t>
  </si>
  <si>
    <t>tbl-heartdz-mortal-sex-aar</t>
  </si>
  <si>
    <t>F28</t>
  </si>
  <si>
    <t>Cerebrovascular Disease Hospitalizations, Age-Adjusted Rate per 10,000 Population by Race and Ethnicity, 2020–2022</t>
  </si>
  <si>
    <t>tbl-cerebrovascdz-hosp-rande-aar</t>
  </si>
  <si>
    <t>T31</t>
  </si>
  <si>
    <t>Cerebrovascular Disease Mortality, Case Counts and Rates per 100,000 Population by Age, Sex, Race and Ethnicity, and ZIP Code, 2020–2023</t>
  </si>
  <si>
    <t>tbl-cerebrovascdz-count-rate-age-rande-zip</t>
  </si>
  <si>
    <t>F29</t>
  </si>
  <si>
    <t>Cerebrovascular Disease Mortality, Age-Adjusted Rate per 100,000, 2020–2023</t>
  </si>
  <si>
    <t>tbl-cerebrovascdz-mortal-aar</t>
  </si>
  <si>
    <t>F30</t>
  </si>
  <si>
    <t>Cerebrovascular Disease Mortality, Age-Adjusted Rate per 100,000 by Sex, 2020–2023</t>
  </si>
  <si>
    <t>tbl-cerebrovascdz-mortal-sex-aar</t>
  </si>
  <si>
    <t>T32</t>
  </si>
  <si>
    <t>Other Diseases of the Circulatory System Mortality, Case Counts and Rates per 100,000 Population by Age, Race and Ethnicity, and ZIP Code, 2020–2023</t>
  </si>
  <si>
    <t>tbl-other-dzcircsystem-count-rate-age-rande-zip</t>
  </si>
  <si>
    <t>F31</t>
  </si>
  <si>
    <t>Other Diseases of the Circulatory System Mortality, Age-Adjusted Rate per 100,000, 2020–2023</t>
  </si>
  <si>
    <t>tbl-other-dzcircsystem-mortal-aar</t>
  </si>
  <si>
    <t>F32</t>
  </si>
  <si>
    <t>Other Diseases of the Circulatory System Mortality, Rate per 100,000 by Race and Ethnicity, 2020–2023</t>
  </si>
  <si>
    <t>tbl-other-dzcircsystem-mortal-rande</t>
  </si>
  <si>
    <t>F33</t>
  </si>
  <si>
    <t>Circulatory System Disease Mortality, Rate per 100,000 by ZIP Code, 2020–2023</t>
  </si>
  <si>
    <t>tbl-circsystemdz-mortal-zip</t>
  </si>
  <si>
    <t>F34</t>
  </si>
  <si>
    <t>Circulatory System Disease Mortality, Age-Adjusted Rate per 100,000 by Sex, 2020–2023</t>
  </si>
  <si>
    <t>tbl-circsystemdz-mortal-sex-aar</t>
  </si>
  <si>
    <t>F35</t>
  </si>
  <si>
    <t>Chronic Lower Respiratory Disease Hospitalization, Age-Adjusted Rate per 10,000 Population by Race and Ethnicity, 2020–2022</t>
  </si>
  <si>
    <t>tbl-clrd-hosp-rande-aar</t>
  </si>
  <si>
    <t>T33</t>
  </si>
  <si>
    <t>Chronic Lower Respiratory Disease Mortality, Case Counts and Rates per 100,000 Population by Age, Race and Ethnicity, and ZIP Code, 2020–2023</t>
  </si>
  <si>
    <t>tbl-clrd-count-rate-age-rande-zip</t>
  </si>
  <si>
    <t>F36</t>
  </si>
  <si>
    <t>Chronic Lower Respiratory Disease Mortality, Age-Adjusted Rate per 100,000, 2020–2023</t>
  </si>
  <si>
    <t>tbl-clrd-mortal-aar</t>
  </si>
  <si>
    <t>F37</t>
  </si>
  <si>
    <t>Chronic Lower Respiratory Disease Mortality, Rate per 100,000 Population by Sex, 2020–2023</t>
  </si>
  <si>
    <t>tbl-clrd-mortal-sex-aar</t>
  </si>
  <si>
    <t>F38</t>
  </si>
  <si>
    <t>Asthma Hospitalization, Age-Adjusted Rate per 10,000 Population by Race and Ethnicity, 2020–2022</t>
  </si>
  <si>
    <t>tbl-asthma-hosp-rande-aar</t>
  </si>
  <si>
    <t>F39</t>
  </si>
  <si>
    <t>Asthma Hospitalization, Age-Adjusted Rate per 10,000, Aged 0–17 Years Population by Race and Ethnicity, 2020–2022</t>
  </si>
  <si>
    <t>tbl-asthma-hosp-0to17-rande-aar</t>
  </si>
  <si>
    <t>F40</t>
  </si>
  <si>
    <t>Potentially Preventable Asthma Admissions, Crude Rate per 10,000 Children Aged 2–17 Years, 2021–2024</t>
  </si>
  <si>
    <t>tbl-ppasthma-2to17-crude</t>
  </si>
  <si>
    <t>F41</t>
  </si>
  <si>
    <t>Potentially Preventable Community Acquired Pneumonia Admissions, Age-Adjusted Rate per 10,000 Adults, 2021–2024</t>
  </si>
  <si>
    <t>tbl-pppneumonia-adult-aar</t>
  </si>
  <si>
    <t>T34</t>
  </si>
  <si>
    <t>Pneumonia and Influenza Mortality, Case Counts and Rates per 100,000 Population by Age, Race and Ethnicity, and ZIP Code, 2020–2023</t>
  </si>
  <si>
    <t>tbl-pneumoniaflu-count-rate-age-rande-zip</t>
  </si>
  <si>
    <t>F42</t>
  </si>
  <si>
    <t>Pneumonia and Influenza Mortality, Rate per 100,000 Population, 2020–2023</t>
  </si>
  <si>
    <t>tbl-pneumoniaflu-mortal-aar</t>
  </si>
  <si>
    <t>F43</t>
  </si>
  <si>
    <t>Pneumonia and Influenza Mortality, Age-Adjusted Rate per 100,000 by Sex, 2020–2023</t>
  </si>
  <si>
    <t>tbl-pneumoniaflu-mortal-sex-aar</t>
  </si>
  <si>
    <t>F44</t>
  </si>
  <si>
    <t>Diabetes Hospitalizations as Any Diagnosis, Age-Adjusted Rate per 10,000 Population by Race and Ethnicity, 2020–2022</t>
  </si>
  <si>
    <t>tbl-dm-anydx-hosp-rande-aar</t>
  </si>
  <si>
    <t>F45</t>
  </si>
  <si>
    <t>Diabetes Hospitalizations as Primary Diagnosis, Age-Adjusted Rate per 10,000 Population by Race and Ethnicity, 2020–2022</t>
  </si>
  <si>
    <t>tbl-dm-primarydx-hosp-rande-aar</t>
  </si>
  <si>
    <t>T35</t>
  </si>
  <si>
    <t>Diabetes Mortality, Case Counts and Rates per 100,000 Population by Age, and Race and Ethnicity, and ZIP Code, 2020–2023</t>
  </si>
  <si>
    <t>tbl-dm-count-rate-age-rande-zip</t>
  </si>
  <si>
    <t>F46</t>
  </si>
  <si>
    <t>Diabetes Mortality, Age-Adjusted Rate per 100,000, 2020–2023</t>
  </si>
  <si>
    <t>tbl-dm-mortal-aar</t>
  </si>
  <si>
    <t>F47</t>
  </si>
  <si>
    <t>Diabetes Mortality, Age-Adjusted Rate per 100,000 by Sex, 2020–2023</t>
  </si>
  <si>
    <t>tbl-dm-mortal-sex-aar</t>
  </si>
  <si>
    <t>F48</t>
  </si>
  <si>
    <t>Percentage of Adults Overweight or Obese, 2013–2014, 2016, 2018, 2021</t>
  </si>
  <si>
    <t>tbl-overweight-obese-adult</t>
  </si>
  <si>
    <t>F49</t>
  </si>
  <si>
    <t>Percentage of Adults who are Obese, 2013–2014, 2016, 2018, and 2021</t>
  </si>
  <si>
    <t>tbl-obese-adult</t>
  </si>
  <si>
    <t>F50</t>
  </si>
  <si>
    <t xml:space="preserve">Percentage of Children and Adolescents with Obesity, by School District, </t>
  </si>
  <si>
    <t>tbl-obese-child</t>
  </si>
  <si>
    <t>T36</t>
  </si>
  <si>
    <t>Liver Disease and Cirrhosis Mortality, Case Counts and Rates per 100,000 Population by Age, and Race and Ethnicity, and ZIP Code, 2020–2023</t>
  </si>
  <si>
    <t>tbl-liverdz-count-rate-age-rande-zip</t>
  </si>
  <si>
    <t>F51</t>
  </si>
  <si>
    <t>Liver Disease and Cirrhosis Mortality, Age-Adjusted Rate per 100,000, 2020–2023</t>
  </si>
  <si>
    <t>tbl-liverdz-mortal-aar</t>
  </si>
  <si>
    <t>F52</t>
  </si>
  <si>
    <t>Liver Disease and Cirrhosis Mortality, Age-Adjusted Rate per 100,000 by Sex, 2020–2023</t>
  </si>
  <si>
    <t>tbl-liverdz-mortal-sex-aar</t>
  </si>
  <si>
    <t>F53</t>
  </si>
  <si>
    <t>Chronic Kidney Disease Emergency Department Visits, Age-Adjusted Rate per 10,000 Population, 2017–2022</t>
  </si>
  <si>
    <t>tbl-ckd-edvisit-aar</t>
  </si>
  <si>
    <t>F54</t>
  </si>
  <si>
    <t>Chronic Kidney Disease Hospitalization, Rate per 10,000, 2017–2022</t>
  </si>
  <si>
    <t>tbl-ckd-hosp-rate</t>
  </si>
  <si>
    <t>F55</t>
  </si>
  <si>
    <t>All Sites Combined Cancer Incidence, Age-Adjusted Rate per 100,000 Population, 2018–2022</t>
  </si>
  <si>
    <t>tbl-allsitesca-incidence-aar</t>
  </si>
  <si>
    <t>F56</t>
  </si>
  <si>
    <t>All Sites Combined Cancer Incidence, Age-Adjusted Rate per 100,000 Population by Race and Ethnicity, 2018–2022</t>
  </si>
  <si>
    <t>tbl-allsitesca-incidence-rande-aar</t>
  </si>
  <si>
    <t>T37</t>
  </si>
  <si>
    <t>Malignant Neoplasm Mortality, Case Counts and Rates per 100,000 Population by Age, and Race and Ethnicity, and ZIP Code, 2020–2023</t>
  </si>
  <si>
    <t>tbl-neoplasm-count-rate-age-rande-zip</t>
  </si>
  <si>
    <t>F57</t>
  </si>
  <si>
    <t>Malignant Neoplasms Mortality, Age-Adjusted Rate per 100,000, 2020–2023</t>
  </si>
  <si>
    <t>tbl-neoplasm-mortal-aar</t>
  </si>
  <si>
    <t>F58</t>
  </si>
  <si>
    <t>Malignant Neoplasm Mortality, Rate per 100,000 Population by Race and Ethnicity, 2020–2023</t>
  </si>
  <si>
    <t>tbl-neoplasm-mortal-rande</t>
  </si>
  <si>
    <t>F59</t>
  </si>
  <si>
    <t>Malignant Neoplasm Mortality, Rate per 100,000 Population by ZIP Code, 2022–2023</t>
  </si>
  <si>
    <t>tbl-neoplasm-mortal-zip</t>
  </si>
  <si>
    <t>F60</t>
  </si>
  <si>
    <t>Malignant Neoplasms Mortality, Age-Adjusted Rate per 100,000 by Sex, 2022–2023</t>
  </si>
  <si>
    <t>tbl-neoplasm-mortal-sex-aar</t>
  </si>
  <si>
    <t>F61</t>
  </si>
  <si>
    <t>All Cancer Mortality, Age-Adjusted Rate per 100,000 Population, 2017–2020</t>
  </si>
  <si>
    <t>tbl-cancerall-mortal-aar-three</t>
  </si>
  <si>
    <t>F62</t>
  </si>
  <si>
    <t>All Cancer Mortality, Age-Adjusted Rate per 100,000 Population, 2018–2022</t>
  </si>
  <si>
    <t>tbl-cancerall-mortal-aar-five</t>
  </si>
  <si>
    <t>F63</t>
  </si>
  <si>
    <t>All Cancer Incidence, Age-Adjusted Rate per 100,000 Population by Race and Ethnicity, 2018–2022</t>
  </si>
  <si>
    <t>tbl-cancerall-incidence-rande-aar-five</t>
  </si>
  <si>
    <t>F64</t>
  </si>
  <si>
    <t>Lung and Bronchus Cancer Incidence, Age-Adjusted Rate per 100,000 Population, 2017–2020</t>
  </si>
  <si>
    <t>tbl-lungbronchus-incidence-aar-single</t>
  </si>
  <si>
    <t>F65</t>
  </si>
  <si>
    <t>Lung and Bronchus Cancer Incidence, Age-Adjusted Rate per 100,000 Population, 2018–2022</t>
  </si>
  <si>
    <t>tbl-lungbronchus-incidence-aar-five</t>
  </si>
  <si>
    <t>F66</t>
  </si>
  <si>
    <t>Lung and Bronchus Cancer Incidence, Age-Adjusted Rate per 100,000 Population by Race and Ethnicity, 2018–2022</t>
  </si>
  <si>
    <t>tbl-lungbronchus-incidence-rande-aar-five</t>
  </si>
  <si>
    <t>F67</t>
  </si>
  <si>
    <t>Lung and Bronchus Cancer Mortality, Age-Adjusted Rate per 100,000 Population, 2017–2020</t>
  </si>
  <si>
    <t>tbl-lungbronchus-mortal-aar-single</t>
  </si>
  <si>
    <t>F68</t>
  </si>
  <si>
    <t>Lung and Bronchus Cancer Mortality, Age-Adjusted Rate per 100,000 Population, 2018–2022</t>
  </si>
  <si>
    <t>tbl-lungbronchus-mortal-aar-five</t>
  </si>
  <si>
    <t>F69</t>
  </si>
  <si>
    <t>Lung and Bronchus Cancer Mortality, Age-Adjusted Rate per 100,000 Population by Race and Ethnicity, 2018–2022</t>
  </si>
  <si>
    <t>tbl-lungbronchus-mortal-rande-aar-five</t>
  </si>
  <si>
    <t>F70</t>
  </si>
  <si>
    <t>Colon and Rectum Cancer Incidence, Age-Adjusted Rate per 100,000 Population, 2018–2022</t>
  </si>
  <si>
    <t>tbl-colonrectum-incidence-aar-five</t>
  </si>
  <si>
    <t>F71</t>
  </si>
  <si>
    <t>Colon and Rectum Cance Incidence, Age-Adjusted Rate per 100,000 Population by Race and Ethnicity, 2018–2022</t>
  </si>
  <si>
    <t>tbl-colonrectum-incidence-rande-aar-five</t>
  </si>
  <si>
    <t>F72</t>
  </si>
  <si>
    <t>Colon and Rectum Cancer Mortality, Age-Adjusted Rate per 100,000 Population, 2018–2022</t>
  </si>
  <si>
    <t>tbl-colonrectum-mortal-aar-five</t>
  </si>
  <si>
    <t>F73</t>
  </si>
  <si>
    <t>Colon and Rectum Cancer Mortality, Age-Adjusted Rate per 100,000 Population by Race and Ethnicity, 2018–2022</t>
  </si>
  <si>
    <t>tbl-colonrectum-mortal-rande-aar-five</t>
  </si>
  <si>
    <t>F74</t>
  </si>
  <si>
    <t>Female Breast Cancer Incidence, Age-Adjusted Rate per 100,000 Population, 2017–2021</t>
  </si>
  <si>
    <t>tbl-femalebreast-incidence-aar-single</t>
  </si>
  <si>
    <t>F75</t>
  </si>
  <si>
    <t>Female Breast Cancer Incidence, Age-Adjusted Rate per 100,000 Population, 2018–2022</t>
  </si>
  <si>
    <t>tbl-femalebreast-incidence-aar-five</t>
  </si>
  <si>
    <t>F76</t>
  </si>
  <si>
    <t>Female Breast Cancer Incidence, Age-Adjusted Rate per 100,000 Population by Race and Ethnicity, 2018–2022</t>
  </si>
  <si>
    <t>tbl-femalebreast-incidence-rande-aar-five</t>
  </si>
  <si>
    <t>F77</t>
  </si>
  <si>
    <t>Female Breast Cancer Mortality, Age-Adjusted Rate per 100,000 Population, 2017–2021</t>
  </si>
  <si>
    <t>tbl-femalebreast-mortal-aar-single</t>
  </si>
  <si>
    <t>F78</t>
  </si>
  <si>
    <t>Female Breast Cancer Mortality, Age-Adjusted Rate per 100,000 Population, 2018–2022</t>
  </si>
  <si>
    <t>tbl-femalebreast-mortal-aar-five</t>
  </si>
  <si>
    <t>F79</t>
  </si>
  <si>
    <t>Female Breast Cancer Mortality, Age-Adjusted Rate per 100,000 Population by Race and Ethnicity, 2018–2022</t>
  </si>
  <si>
    <t>tbl-femalebreast-mortal-rande-aar-five</t>
  </si>
  <si>
    <t>F80</t>
  </si>
  <si>
    <t>Cervix Uteri Cancer Incidence, Age-Adjusted Rate per 100,000 Population, 2017–2021</t>
  </si>
  <si>
    <t>tbl-cervixuteri-incidence-aar-single</t>
  </si>
  <si>
    <t>F81</t>
  </si>
  <si>
    <t>Cervix Uteri Cancer Incidence, Age-Adjusted Rate per 100,000 Population, 2018–2022</t>
  </si>
  <si>
    <t>tbl-cervixuteri-incidence-aar-five</t>
  </si>
  <si>
    <t>F82</t>
  </si>
  <si>
    <t>Cervix Uteri Cancer Mortality, Age-Adjusted Rate per 100,000 Population, 2017–2021</t>
  </si>
  <si>
    <t>tbl-cervixuteri-mortal-aar-single</t>
  </si>
  <si>
    <t>F83</t>
  </si>
  <si>
    <t>Cervix Uteri Cancer Mortality, Age-Adjusted Rate per 100,000 Population, 2018–2022</t>
  </si>
  <si>
    <t>tbl-cervixuteri-mortal-aar-five</t>
  </si>
  <si>
    <t>F84</t>
  </si>
  <si>
    <t>Prostate Cancer Incidence, Age-Adjusted Rate per 100,000 Population, 2017–2021</t>
  </si>
  <si>
    <t>tbl-prostate-incidence-aar-single</t>
  </si>
  <si>
    <t>F85</t>
  </si>
  <si>
    <t>Prostate Cancer Incidence, Age-Adjusted Rate per 100,000 Population, 2018–2022</t>
  </si>
  <si>
    <t>tbl-prostate-incidence-aar-five</t>
  </si>
  <si>
    <t>F86</t>
  </si>
  <si>
    <t>Prostate Cancer Incidence, Age-Adjusted Rate per 100,000 Population by Race and Ethnicity, 2018–2022</t>
  </si>
  <si>
    <t>tbl-prostate-incidence-rande-aar-five</t>
  </si>
  <si>
    <t>F87</t>
  </si>
  <si>
    <t>Prostate Cancer Mortality, Age-Adjusted Rate per 100,000 Population, 2017–2021</t>
  </si>
  <si>
    <t>tbl-prostate-mortal-aar-single</t>
  </si>
  <si>
    <t>F88</t>
  </si>
  <si>
    <t>Prostate Cancer Mortality, Age-Adjusted Rate per 100,000 Population, 2018–2022</t>
  </si>
  <si>
    <t>tbl-prostate-mortal-aar-five</t>
  </si>
  <si>
    <t>F89</t>
  </si>
  <si>
    <t>Prostate Cancer Mortality, Age-Adjusted Rate per 100,000 Population by Race and Ethnicity, 2018–2022</t>
  </si>
  <si>
    <t>tbl-prostate-mortal-rande-aar-five</t>
  </si>
  <si>
    <t>T38</t>
  </si>
  <si>
    <t>General Communicable Diseases, Case Counts and Rates per 100,000 Residents, 2021–2023</t>
  </si>
  <si>
    <t>tbl-cd-count-rate</t>
  </si>
  <si>
    <t>F90</t>
  </si>
  <si>
    <t>Hepatitis A, Rate per 100,000 Population, 2020–2023</t>
  </si>
  <si>
    <t>tbl-hepatitisa-rate</t>
  </si>
  <si>
    <t>F91</t>
  </si>
  <si>
    <t>Chronic Hepatitis B, Rate per 100,000 Population, 2020–2023</t>
  </si>
  <si>
    <t>tbl-hepatitisb-chronic-rate</t>
  </si>
  <si>
    <t>F92</t>
  </si>
  <si>
    <t>Acute Hepatitis C, Rate per 100,000 Population, 2020–2023</t>
  </si>
  <si>
    <t>tbl-hepatitisc-acute-rate</t>
  </si>
  <si>
    <t>F93</t>
  </si>
  <si>
    <t>Chronic Hepatitis C, Rate per 100,000 Population, 2020–2023</t>
  </si>
  <si>
    <t>tbl-hepatitisc-chronic-rate</t>
  </si>
  <si>
    <t>T40</t>
  </si>
  <si>
    <t>Chlamydia, Case Counts and Infection Rates per 100,000 by Sex, Race and Ethnicity, Age, and ZIP Code, 2021–2024</t>
  </si>
  <si>
    <t>tbl-chlamydia-count-rate-sex-rande-age-zip</t>
  </si>
  <si>
    <t>F94</t>
  </si>
  <si>
    <t>Chlamydia, Age-Adjusted Rate per 100,000 Population, 2020–2023</t>
  </si>
  <si>
    <t>tbl-chlamydia-aar</t>
  </si>
  <si>
    <t>F95</t>
  </si>
  <si>
    <t>Chlamydia, Rate per 100,000 Population by Race and Ethnicity, 2021–2024</t>
  </si>
  <si>
    <t>tbl-chlamydia-rande</t>
  </si>
  <si>
    <t>T41</t>
  </si>
  <si>
    <t>Gonorrhea, Case Counts and Infection Rates per 100,000 by Sex, Race and Ethnicity, Age, and ZIP Code, 2021–2024</t>
  </si>
  <si>
    <t>tbl-gonorrhea-count-rate-sex-rande-age-zip</t>
  </si>
  <si>
    <t>F96</t>
  </si>
  <si>
    <t>Gonorrhea, Age-Adjusted Case Rate per 100,000 Population, 2020–2023</t>
  </si>
  <si>
    <t>tbl-gonorrhea-aar</t>
  </si>
  <si>
    <t>F97</t>
  </si>
  <si>
    <t>Gonorrhea, Case Rate per 100,000 Population by Race and Ethnicity, 2021–2024</t>
  </si>
  <si>
    <t>tbl-gonorrhea-rande</t>
  </si>
  <si>
    <t>T42</t>
  </si>
  <si>
    <t>HIV Prevalence, Rate per 100,000 Population by Race and Ethnicity, Age, and Sex, 2020–2023</t>
  </si>
  <si>
    <t>tbl-hiv-prevalence-rate-rande-age-sex</t>
  </si>
  <si>
    <t>F98</t>
  </si>
  <si>
    <t>HIV and AIDS Incidence, Age-Adjusted Rate per 100,000 Population, 2020–2023</t>
  </si>
  <si>
    <t>tbl-hiv-aids-incidence-aar</t>
  </si>
  <si>
    <t>F99</t>
  </si>
  <si>
    <t>HIV Prevalence by Transmission Category, Count, 2020–2023</t>
  </si>
  <si>
    <t>tbl-hiv-prevalence-transmission-category</t>
  </si>
  <si>
    <t>F100</t>
  </si>
  <si>
    <t>Percentage of HIV Linkage to Care by Race and Ethnicity, 2020–2023</t>
  </si>
  <si>
    <t>tbl-hiv-linkage-care-rande</t>
  </si>
  <si>
    <t>F101</t>
  </si>
  <si>
    <t>Percentage of PrEP Coverage, 2020-2023</t>
  </si>
  <si>
    <t>tbl-prep-coverage</t>
  </si>
  <si>
    <t>T43</t>
  </si>
  <si>
    <t>Syphilis, Case Counts and Infection Rates per 100,000 by Sex, Race and Ethnicity, Age, and ZIP Code, 2021–2024</t>
  </si>
  <si>
    <t>tbl-syphilis-count-rate-sex-rande-age-zip</t>
  </si>
  <si>
    <t>F102</t>
  </si>
  <si>
    <t>Early Syphilis, Age-Adjusted Case Rate per 100,000 Population, 2020–2023</t>
  </si>
  <si>
    <t>tbl-syphilis-early-aar</t>
  </si>
  <si>
    <t>F103</t>
  </si>
  <si>
    <t>Syphilis, Case Rate per 100,000 by Race and Ethnicity, 2021–2024</t>
  </si>
  <si>
    <t>tbl-syphilis-rande</t>
  </si>
  <si>
    <t>T44</t>
  </si>
  <si>
    <t>Fertility, Rate per 1,000 Females Aged 15–44 Years, by Maternal Age, Race and Ethnicity, and ZIP Code, 2020–2023</t>
  </si>
  <si>
    <t>tbl-fertility-rate-age-rande-zip</t>
  </si>
  <si>
    <t>F104</t>
  </si>
  <si>
    <t>Fertility, Rate per 1,000 Females Aged 15–44 Years, 2020–2023</t>
  </si>
  <si>
    <t>tbl-fertility</t>
  </si>
  <si>
    <t>F105</t>
  </si>
  <si>
    <t>Fertility, Rate per 1,000 Females Aged 15–44 Years by Race and Ethnicity, 2020–2023</t>
  </si>
  <si>
    <t>tbl-fertility-rande</t>
  </si>
  <si>
    <t>F106</t>
  </si>
  <si>
    <t>Fertility, Rate per 1,000 Females Aged 15–44 Years by ZIP Code, 2020–2023</t>
  </si>
  <si>
    <t>tbl-fertility-sex</t>
  </si>
  <si>
    <t>T45</t>
  </si>
  <si>
    <t>All Births to Mothers 17 Years and Younger, by Age, Race and Ethnicity, and ZIP Code, 2020–2023</t>
  </si>
  <si>
    <t>tbl-allbirths-under17-age-rande-zip</t>
  </si>
  <si>
    <t>T46</t>
  </si>
  <si>
    <t>All Births with Medicaid or Self-Pay, by Age, Race and Ethnicity, and ZIP Code, 2020–2023</t>
  </si>
  <si>
    <t>tbl-allbirths-medicaid-selfpay-age-rande-zip</t>
  </si>
  <si>
    <t>F107</t>
  </si>
  <si>
    <t>Maternal Mortality, Rate per 100,000 Live Births, 2018–2021</t>
  </si>
  <si>
    <t>tbl-maternal-mortal</t>
  </si>
  <si>
    <t>F108</t>
  </si>
  <si>
    <t>Child and Adolescent Mortality, Rate per 100,000 Population Aged 10–19 Years, 2018–2021</t>
  </si>
  <si>
    <t>tbl-child-adolescent-mortal</t>
  </si>
  <si>
    <t>F109</t>
  </si>
  <si>
    <t>Infant Mortality, Rate per 1,000 Births by Race and Ethnicity, 2020–2022</t>
  </si>
  <si>
    <t>tbl-infant-mortal</t>
  </si>
  <si>
    <t>T47</t>
  </si>
  <si>
    <t>All Births with Early Prenatal Care, by Age, Race and Ethnicity, and ZIP Code, 2020–2023</t>
  </si>
  <si>
    <t>tbl-early-pnc-age-rande-zip</t>
  </si>
  <si>
    <t>F110</t>
  </si>
  <si>
    <t>Percentage of All Births with Early Prenatal Care, 2020–2023</t>
  </si>
  <si>
    <t>tbl-early-pnc</t>
  </si>
  <si>
    <t>F111</t>
  </si>
  <si>
    <t>Percentage of All Births with Early Prenatal Care, by Race and Ethnicity, 2020–2023</t>
  </si>
  <si>
    <t>tbl-early-pnc-rande</t>
  </si>
  <si>
    <t>F112</t>
  </si>
  <si>
    <t>Percent of All Births with Early Prenatal Care, by ZIP Code, 2020–2023</t>
  </si>
  <si>
    <t>tbl-early-pnc-zip</t>
  </si>
  <si>
    <t>T48</t>
  </si>
  <si>
    <t>All Births with Late or No Prenatal Care, by Age, Race and Ethnicity, and ZIP Code, 2020–2023</t>
  </si>
  <si>
    <t>tbl-late-no-pnc-age-rande-zip</t>
  </si>
  <si>
    <t>F113</t>
  </si>
  <si>
    <t>Percentage of All Births with Late or No Prenatal Care, 2020–2023</t>
  </si>
  <si>
    <t>tbl-late-no-pnc</t>
  </si>
  <si>
    <t>F114</t>
  </si>
  <si>
    <t>Percentage of All Births with Late or No Prenatal Care, by Race and Ethnicity, 2020–2023</t>
  </si>
  <si>
    <t>tbl-late-no-pnc-rande</t>
  </si>
  <si>
    <t>F115</t>
  </si>
  <si>
    <t>Percentage of All Births with Late or No Prenatal Care, by ZIP Code, 2020–2023</t>
  </si>
  <si>
    <t>tbl-late-no-pnc-zip</t>
  </si>
  <si>
    <t>F116</t>
  </si>
  <si>
    <t>Percentage of Births with Adequate Prenatal Care, 2017–2022</t>
  </si>
  <si>
    <t>tbl-adequate-pnc</t>
  </si>
  <si>
    <t>T49</t>
  </si>
  <si>
    <t>Premature Births, per 100 Live Births by Age, Race and Ethnicity, and ZIP Code, 2020–2023</t>
  </si>
  <si>
    <t>tbl-premature-birth-age-rande-zip</t>
  </si>
  <si>
    <t>F117</t>
  </si>
  <si>
    <t>Percentage of Premature Births, per 100 Live Births , 2020–2023</t>
  </si>
  <si>
    <t>tbl-premature-birth</t>
  </si>
  <si>
    <t>F118</t>
  </si>
  <si>
    <t>Percentage of Premature Births, by Race and Ethnicity, 2020–2022</t>
  </si>
  <si>
    <t>tbl-premature-birth-rande</t>
  </si>
  <si>
    <t>T50</t>
  </si>
  <si>
    <t>All Infants Born with Low Birthweight, by Age, Race and Ethnicity, and ZIP Code, 2020–2023</t>
  </si>
  <si>
    <t>tbl-lbw-age-rande-zip</t>
  </si>
  <si>
    <t>F119</t>
  </si>
  <si>
    <t>Percentage of Infants Born Low Birthweight, 2020–2022</t>
  </si>
  <si>
    <t>tbl-lbw-birth</t>
  </si>
  <si>
    <t>F120</t>
  </si>
  <si>
    <t>Percentage of Infants Born Low Birthweight, by Race and Ethnicity, 2020–2022</t>
  </si>
  <si>
    <t>tbl-lbw-birth-rande</t>
  </si>
  <si>
    <t>F121</t>
  </si>
  <si>
    <t>Emergency Department Visits Involving Any Drug Overdose, Age-Adjusted Rate per 100,000 Population, 2019–2022</t>
  </si>
  <si>
    <t>tbl-ed-any-drug-od-aar</t>
  </si>
  <si>
    <t>F122</t>
  </si>
  <si>
    <t>Outpatient ED Visits and Hospital Discharges Involving Opioid Abuse, Dependence and Unspecified Use, Crude Rate per 100,000, 2019–2022</t>
  </si>
  <si>
    <t>tbl-outpatiented-hopsitaldc-opioid-abuse-depend-crude</t>
  </si>
  <si>
    <t>F123</t>
  </si>
  <si>
    <t>Newborns with Neonatal Withdrawal Symptoms and/or Affected by Maternal Use of Drugs of Addiction, Crude Rate per 1,000 Newborn Discharges, 2019–2022</t>
  </si>
  <si>
    <t>tbl-neonatal-withdraw-maternal-drug-crude</t>
  </si>
  <si>
    <t>F124</t>
  </si>
  <si>
    <t>Opioid Analgesics Prescriptions, Age-Adjusted Rate per 1,000 Person-Years, 2021–2024</t>
  </si>
  <si>
    <t>tbl-opioid-rx-aar</t>
  </si>
  <si>
    <t>F125</t>
  </si>
  <si>
    <t>Percentage of Opioid Naïve Patients Receiving More than a 7-Day Supply, 2021–2024</t>
  </si>
  <si>
    <t>tbl-opioid-naïve-7day-rx</t>
  </si>
  <si>
    <t>F126</t>
  </si>
  <si>
    <t>Benzodiazepine Prescriptions, Age-Adjusted Rate per 1,000 Person-Years, 2021–2024</t>
  </si>
  <si>
    <t>tbl-benzo-rx-aar</t>
  </si>
  <si>
    <t>F127</t>
  </si>
  <si>
    <t>Percentage of Patients With Overlapping Opioid Analgesic and Benzodiazepine Prescriptions, 2021–2024</t>
  </si>
  <si>
    <t>tbl-overlap-opioid-benzo-rx</t>
  </si>
  <si>
    <t>F128</t>
  </si>
  <si>
    <t>Patients Who Received at Least One Buprenorphine Prescription for Opioid Use Disorder, Age-Adjusted Rate per 100,000 Population, 2021–2024</t>
  </si>
  <si>
    <t>tbl-opioidud-atleast1rx-bup-aar</t>
  </si>
  <si>
    <t>F129</t>
  </si>
  <si>
    <t>Percentage of Patients Receiving Continuous Buprenorphine for Treatment of Opioid Use Disorder, 2021–2024</t>
  </si>
  <si>
    <t>tbl-opioidud-continuous-bup-rx</t>
  </si>
  <si>
    <t>F130</t>
  </si>
  <si>
    <t>Percentage Perception of Harm of Substance use, Moderate Risk or Great Risk, 2025</t>
  </si>
  <si>
    <t>tbl-perception-harm-su</t>
  </si>
  <si>
    <t>T51</t>
  </si>
  <si>
    <t>Lifetime Use of Substance by Grade</t>
  </si>
  <si>
    <t>tbl-lifetime-su</t>
  </si>
  <si>
    <t>T52</t>
  </si>
  <si>
    <t>Past 30 Day Use of Substance by Grade</t>
  </si>
  <si>
    <t>tlb-past-30day-su</t>
  </si>
  <si>
    <t>T53</t>
  </si>
  <si>
    <t>Percentage of Sources of Marijuana for Those Who Reported Use</t>
  </si>
  <si>
    <t>tbl-source-marijuana-ifused</t>
  </si>
  <si>
    <t>T54</t>
  </si>
  <si>
    <t>Opioid-Related Overdose Fatalities, Rate per 100,000 Population by Age and Sex, 2021–2024</t>
  </si>
  <si>
    <t>tbl-opioid-od-fatal-age-sex</t>
  </si>
  <si>
    <t>F131</t>
  </si>
  <si>
    <t>Opioid-Related Overdose Fatalities, Rate per 100,000 Population, 2021–2024</t>
  </si>
  <si>
    <t>tbl-opioid-od-fatal</t>
  </si>
  <si>
    <t>F132</t>
  </si>
  <si>
    <t>Opioid-Related Overdose Fatalities, Rate per 100,000 Population by Age, 2021–2024</t>
  </si>
  <si>
    <t>tbl-opioid-od-fatal-age</t>
  </si>
  <si>
    <t>F133</t>
  </si>
  <si>
    <t>Opioid-Related Overdose Fatalities, Rate per 100,000 Population by Sex, 2021–2024</t>
  </si>
  <si>
    <t>tbl-opioid-od-fatal-sex</t>
  </si>
  <si>
    <t>F134</t>
  </si>
  <si>
    <t>Percentage of Adults Binge Drinking During the Past Month, 2016, 2018, and 2021</t>
  </si>
  <si>
    <t>tbl-binge-drinking-last-month</t>
  </si>
  <si>
    <t>F135</t>
  </si>
  <si>
    <t>Alcohol Related Motor Vehicle Injuries and Deaths, Rate per 100,000 Population, 2018–2021</t>
  </si>
  <si>
    <t>tbl-alcohol-mva-injury-death</t>
  </si>
  <si>
    <t>T55</t>
  </si>
  <si>
    <t>Sources of Access to Alcohol by Grade</t>
  </si>
  <si>
    <t>tlb-source-alcohol-ifused</t>
  </si>
  <si>
    <t>F136</t>
  </si>
  <si>
    <t>Percentage of Adults Who Are Current Smokers, 2016, 2018, and 2021</t>
  </si>
  <si>
    <t>tbl-current-smoker</t>
  </si>
  <si>
    <t>F137</t>
  </si>
  <si>
    <t>Unintentional Injury Hospitalization, Age-Adjusted Rate per 10,000 Population by Race and Ethnicity, 2020–2022</t>
  </si>
  <si>
    <t>tbl-unintent-injury-hospital-rande-aar</t>
  </si>
  <si>
    <t>T56</t>
  </si>
  <si>
    <t>Unintentional Injury Mortality, Rate per 100,000 Population by Age, Race and Ethnicity, and ZIP Code, 2020–2023</t>
  </si>
  <si>
    <t>tbl-unintent-injury-mortal-age-rande-zip</t>
  </si>
  <si>
    <t>F138</t>
  </si>
  <si>
    <t>Unintentional Injury Mortality, Age-Adjusted Rate per 100,000, 2020–2023</t>
  </si>
  <si>
    <t>tbl-unintent-injury-mortal-aar</t>
  </si>
  <si>
    <t>F139</t>
  </si>
  <si>
    <t>Unintentional Injury Mortality, Rate per 100,000 Population by Age, 2020–2023</t>
  </si>
  <si>
    <t>tbl-unintent-injury-mortal-age</t>
  </si>
  <si>
    <t>F140</t>
  </si>
  <si>
    <t>Unintentional Injury Mortality, Rate per 100,000 Population by ZIP Code, 2020–2023</t>
  </si>
  <si>
    <t>tbl-unintent-injury-mortal-zip</t>
  </si>
  <si>
    <t>F141</t>
  </si>
  <si>
    <t>Unintentional Injury Mortality, Age-Adjusted Rate per 100,000 by Sex, 2020–2023</t>
  </si>
  <si>
    <t>tbl-unintent-injury-mortal-sex-aar</t>
  </si>
  <si>
    <t>F142</t>
  </si>
  <si>
    <t>Falls Hospitalization, Rate per 10,000 Population Aged 65 Years and Older, by Race and Ethnicity, 2020–2022</t>
  </si>
  <si>
    <t>tbl-falls-65-rande</t>
  </si>
  <si>
    <t>F143</t>
  </si>
  <si>
    <t>Self Inflicted Injury Hospitalization, Age-Adjusted Rate per 10,000, 2018–2021</t>
  </si>
  <si>
    <t>tbl-self-inflict-injury-hospital-aar</t>
  </si>
  <si>
    <t>F144</t>
  </si>
  <si>
    <t>Self-Inflicted Injury Hospitalization, Rate per 10,000 Aged 15-19 Years, 2018–2021</t>
  </si>
  <si>
    <t>tbl-self-inflict-injury-hospital-15-19</t>
  </si>
  <si>
    <t>F145</t>
  </si>
  <si>
    <t>Suicide Mortality, Age-Adjusted Rate per 100,000 Population, 2018–2021</t>
  </si>
  <si>
    <t>tbl-suicide-mortal-aar</t>
  </si>
  <si>
    <t>F146</t>
  </si>
  <si>
    <t>Percentage of Adults 50–64 Years Old Who Received a Colorectal Cancer Screening Based on the Most Recent Guidelines, 2016 and 2018</t>
  </si>
  <si>
    <t>tbl-50to64-colorectal-screen</t>
  </si>
  <si>
    <t>F147</t>
  </si>
  <si>
    <t>Percentage of Women 21–65 Years Old Receiving Cervical Cancer Screening Based on Most Recent Guidelines, 2018</t>
  </si>
  <si>
    <t>tbl-21to64-women-cervical-ca-screen</t>
  </si>
  <si>
    <t>F148</t>
  </si>
  <si>
    <t>Percentage of Women 50-74 Old Years Receiving Breast Cancer Screening Based on the Most Recent Guidelines, 2013-2014, 2016, 2018, and 2021</t>
  </si>
  <si>
    <t>tbl-50to74-women-breast-ca-screen</t>
  </si>
  <si>
    <t>F149</t>
  </si>
  <si>
    <t>Percentage of Adults with Current Asthma, 2016, 2018, and 2021</t>
  </si>
  <si>
    <t>tbl-adults-asthma</t>
  </si>
  <si>
    <t>F150</t>
  </si>
  <si>
    <t>Percentage of Adults with Physician Diagnosed Prediabetes and Diabetes, 2021</t>
  </si>
  <si>
    <t>tbl-md-dx-dm-predm</t>
  </si>
  <si>
    <t>F151</t>
  </si>
  <si>
    <t>Percentage of Adults Who Had a Test for High Blood Sugar or Diabetes Within the Past Three Years, 2013–2014, 2016, 2018, and 2021</t>
  </si>
  <si>
    <t>tbl-test-high-bs-dm</t>
  </si>
  <si>
    <t>T57</t>
  </si>
  <si>
    <t>Excerpt from Data Update</t>
  </si>
  <si>
    <t>tbl-excerpt</t>
  </si>
  <si>
    <t>T58</t>
  </si>
  <si>
    <t xml:space="preserve">Themes Identified Across Focus Groups </t>
  </si>
  <si>
    <t>tbl-themes-focus-group</t>
  </si>
  <si>
    <t>T59</t>
  </si>
  <si>
    <t>ZIP Code Representation</t>
  </si>
  <si>
    <t>tbl-zip-code</t>
  </si>
  <si>
    <t>F152</t>
  </si>
  <si>
    <t>Number of Responses to the Question: "What are the greatest strengths of our community?"</t>
  </si>
  <si>
    <t>tbl-great-strengths-community</t>
  </si>
  <si>
    <t>F153</t>
  </si>
  <si>
    <t>Number of Responses to the Question: "Where should the community focus its resources and attention to improve the quality of life in our community?"</t>
  </si>
  <si>
    <t>tbl-focus-resources-improve-life</t>
  </si>
  <si>
    <t>F154</t>
  </si>
  <si>
    <t>Number of Responses to the Question: "What are the most important health issues that our community should focus on?"</t>
  </si>
  <si>
    <t>tbl-important-health-issues</t>
  </si>
  <si>
    <t>F155</t>
  </si>
  <si>
    <t>Responses to: "What are the most important health issues that our community should focus on?" by Prevention Agenda Area</t>
  </si>
  <si>
    <t>tbl-important-health-issues-PA-area</t>
  </si>
  <si>
    <t>F156</t>
  </si>
  <si>
    <t>Community Strength Perception in 2022 and 2025</t>
  </si>
  <si>
    <t>tbl-cas-great-strength-community-longitude</t>
  </si>
  <si>
    <t>F157</t>
  </si>
  <si>
    <t>Community Priorities to Improve Quality of Life in 2022 and 2025</t>
  </si>
  <si>
    <t>tbl-cas-focus-resources-improve-life-longitude</t>
  </si>
  <si>
    <t>F158</t>
  </si>
  <si>
    <t>Community Perceptions on the Most Important Health Issues in 2022 and 2025</t>
  </si>
  <si>
    <t>tbl-cas-important-health-issues-longitude</t>
  </si>
  <si>
    <t>F159</t>
  </si>
  <si>
    <t>Which of the following health problems in Orange County would you fix first?</t>
  </si>
  <si>
    <t>tbl-health-problem-fix-first</t>
  </si>
  <si>
    <t>T60</t>
  </si>
  <si>
    <t>Respondent Demographic Breakdown</t>
  </si>
  <si>
    <t>tbl-siena-demographic-break-down</t>
  </si>
  <si>
    <t>F160</t>
  </si>
  <si>
    <t>Lived in Orange County</t>
  </si>
  <si>
    <t>tbl-siena-live-oc</t>
  </si>
  <si>
    <t>F161</t>
  </si>
  <si>
    <t>Perception of Overall Quality of Life, 2024</t>
  </si>
  <si>
    <t>tbl-siena-quality-life</t>
  </si>
  <si>
    <t>F162</t>
  </si>
  <si>
    <t>Perception of Overall Quality of Life by Income, 2024</t>
  </si>
  <si>
    <t>tbl-siena-quality-life-income</t>
  </si>
  <si>
    <t>F163</t>
  </si>
  <si>
    <t>Information During Weather Emergencies, 2024</t>
  </si>
  <si>
    <t>tbl-siena-info-bad-weather</t>
  </si>
  <si>
    <t>F164</t>
  </si>
  <si>
    <t>Information During Weather Emergencies by Income, 2024</t>
  </si>
  <si>
    <t>tbl-siena-info-bad-weather-income</t>
  </si>
  <si>
    <t>F165</t>
  </si>
  <si>
    <t>Information During Public Health Emergencies, 2024</t>
  </si>
  <si>
    <t>tbl-siena-ph-emergency</t>
  </si>
  <si>
    <t>F166</t>
  </si>
  <si>
    <t>Information During Public Health Emergencies by Income, 2024</t>
  </si>
  <si>
    <t>tbl-siena-ph-emergency-income</t>
  </si>
  <si>
    <t>F167</t>
  </si>
  <si>
    <t>Places to Walk or Bicycle in the Neighborhood Safe from Traffic, 2024</t>
  </si>
  <si>
    <t>tbl-siena-safe-place-walk-bike</t>
  </si>
  <si>
    <t>F168</t>
  </si>
  <si>
    <t>Places to Walk or Bicycle in the Neighborhood Safe from Traffic by Income, 2024</t>
  </si>
  <si>
    <t>tbl-siena-safe-place-walk-bike-income</t>
  </si>
  <si>
    <t>F169</t>
  </si>
  <si>
    <t>Safety of Walking or Biking, 2024</t>
  </si>
  <si>
    <t>tbl-siena-walk-bike-safe</t>
  </si>
  <si>
    <t>F170</t>
  </si>
  <si>
    <t>Safety of Walking or Biking by Income, 2024</t>
  </si>
  <si>
    <t>tbl-siena-walk-bike-safe-income</t>
  </si>
  <si>
    <t>F171</t>
  </si>
  <si>
    <t>How would you rate the community you live in as a place for people to live as they age?</t>
  </si>
  <si>
    <t>tbl-siena-rate-community-as-place-to-age</t>
  </si>
  <si>
    <t>F172</t>
  </si>
  <si>
    <t>Rating the Community by Income, 2024</t>
  </si>
  <si>
    <t>tbl-siena-rate-community-as-place-to-age-income</t>
  </si>
  <si>
    <t>F173</t>
  </si>
  <si>
    <t>Perception of Physical Health, 2018-2024</t>
  </si>
  <si>
    <t>tbl-siena-physical-health</t>
  </si>
  <si>
    <t>F174</t>
  </si>
  <si>
    <t>Perception of Physical Health by Income, 2024</t>
  </si>
  <si>
    <t>tbl-siena-physical-health-income</t>
  </si>
  <si>
    <t>F175</t>
  </si>
  <si>
    <t>Perception of Mental Health, 2018-2024</t>
  </si>
  <si>
    <t>tbl-siena-mental-health</t>
  </si>
  <si>
    <t>F176</t>
  </si>
  <si>
    <t>Perception of Mental Health by Income, 2024</t>
  </si>
  <si>
    <t>tbl-siena-mental-health-income</t>
  </si>
  <si>
    <t>F177</t>
  </si>
  <si>
    <t>Average Days a Week: Healthy Diet, 2018-2024</t>
  </si>
  <si>
    <t>tbl-siena-healthy-diet</t>
  </si>
  <si>
    <t>F178</t>
  </si>
  <si>
    <t>Average Days a Week: Healthy Diet, by Income, 2024</t>
  </si>
  <si>
    <t>tbl-siena-healthy-diet-income</t>
  </si>
  <si>
    <t>F179</t>
  </si>
  <si>
    <t>Average Days a Week: Exercise, 2018-2024</t>
  </si>
  <si>
    <t>tbl-siena-exercise</t>
  </si>
  <si>
    <t>F180</t>
  </si>
  <si>
    <t>Average Days a Week: Exercise, by Income, 2024</t>
  </si>
  <si>
    <t>tbl-siena-exercise-income</t>
  </si>
  <si>
    <t>F181</t>
  </si>
  <si>
    <t>Average Days a Week: 7-9 Hours of Sleep a Night, 2018-2024</t>
  </si>
  <si>
    <t>tbl-siena-sleep</t>
  </si>
  <si>
    <t>F182</t>
  </si>
  <si>
    <t>Average Days a Week: 7-9 Hours of Sleep a Night, by Income, 2024</t>
  </si>
  <si>
    <t>tbl-siena-sleep-income</t>
  </si>
  <si>
    <t>F183</t>
  </si>
  <si>
    <t>Level of Stress on an Average Day, 2018-2024</t>
  </si>
  <si>
    <t>tbl-siena-stress</t>
  </si>
  <si>
    <t>F184</t>
  </si>
  <si>
    <t>Level of Stress on an Average Day by Income, 2024</t>
  </si>
  <si>
    <t>tbl-siena-stress-income</t>
  </si>
  <si>
    <t>F185</t>
  </si>
  <si>
    <t>Feelings of Quality Encounters, 2018-2024</t>
  </si>
  <si>
    <t>tbl-siena-quality-encounter</t>
  </si>
  <si>
    <t>F186</t>
  </si>
  <si>
    <t>Feelings of Quality Encounters by Income, 2024</t>
  </si>
  <si>
    <t>tbl-siena-quality-encounter-income</t>
  </si>
  <si>
    <t>F187</t>
  </si>
  <si>
    <t>Alcohol Consumption in the Past Year, 2022-2024</t>
  </si>
  <si>
    <t>tbl-siena-alcohol</t>
  </si>
  <si>
    <t>F188</t>
  </si>
  <si>
    <t>Alcohol Consumption in the Past Year by Income, 2024</t>
  </si>
  <si>
    <t>tbl-siena-alcohol-income</t>
  </si>
  <si>
    <t>F189</t>
  </si>
  <si>
    <t>Frequency of Drug Use for Non-Medical Reasons, 2018-2024</t>
  </si>
  <si>
    <t>tbl-siena-non-medical-drug-use</t>
  </si>
  <si>
    <t>F190</t>
  </si>
  <si>
    <t>Frequency of Drug Use for Non-Medical Reasons by Income, 2024</t>
  </si>
  <si>
    <t>tbl-siena-non-medical-drug-use-income</t>
  </si>
  <si>
    <t>F191</t>
  </si>
  <si>
    <t>Consume Cannabis, 2024</t>
  </si>
  <si>
    <t>tbl-siena-cannabis</t>
  </si>
  <si>
    <t>F192</t>
  </si>
  <si>
    <t>Consume Cannabis by Income, 2024</t>
  </si>
  <si>
    <t>tbl-siena-cannabis-income</t>
  </si>
  <si>
    <t>F193</t>
  </si>
  <si>
    <t>Unable to Get Food, 2018-2024</t>
  </si>
  <si>
    <t>tbl-siena-unable-food</t>
  </si>
  <si>
    <t>F194</t>
  </si>
  <si>
    <t>Unable to Get Food by Income, 2024</t>
  </si>
  <si>
    <t>tbl-siena-unable-food-income</t>
  </si>
  <si>
    <t>F195</t>
  </si>
  <si>
    <t>Unable to Get Utilities, Including Heat and Electricity, 2018-2024</t>
  </si>
  <si>
    <t>tbl-siena-unable-utilities</t>
  </si>
  <si>
    <t>F196</t>
  </si>
  <si>
    <t>Unable to Get Utilities, Including Heat and Electricity by Income, 2024</t>
  </si>
  <si>
    <t>tbl-siena-unable-utilities-income</t>
  </si>
  <si>
    <t>F197</t>
  </si>
  <si>
    <t>Unable to Get Healthcare, Including Dental or Vision, 2018-2024</t>
  </si>
  <si>
    <t>tbl-siena-unable-dental-vision</t>
  </si>
  <si>
    <t>F198</t>
  </si>
  <si>
    <t>Unable to Get Healthcare, Including Dental or Vision by Income, 2024</t>
  </si>
  <si>
    <t>tbl-siena-unable-dental-vision-income</t>
  </si>
  <si>
    <t>F199</t>
  </si>
  <si>
    <t>Unable to Get Phone Services, 2018-2024</t>
  </si>
  <si>
    <t>tbl-siena-unable-phone</t>
  </si>
  <si>
    <t>F200</t>
  </si>
  <si>
    <t>Unable to Get Phone Services by Income, 2024</t>
  </si>
  <si>
    <t>tbl-siena-unable-phone-income</t>
  </si>
  <si>
    <t>F201</t>
  </si>
  <si>
    <t>Unable to Get Transportation, 2018-2024</t>
  </si>
  <si>
    <t>tbl-siena-unable-transportation</t>
  </si>
  <si>
    <t>F202</t>
  </si>
  <si>
    <t>Unable to Get Transportation by Income, 2024</t>
  </si>
  <si>
    <t>tbl-siena-unable-transportation-income</t>
  </si>
  <si>
    <t>F203</t>
  </si>
  <si>
    <t>Unable to Get Housing, 2018-2024</t>
  </si>
  <si>
    <t>tbl-siena-unable-housing</t>
  </si>
  <si>
    <t>F204</t>
  </si>
  <si>
    <t>Unable to Get Housing by Income, 2024</t>
  </si>
  <si>
    <t>tbl-siena-unable-housing-income</t>
  </si>
  <si>
    <t>F205</t>
  </si>
  <si>
    <t>Unable to Get Childcare, 2018-2024</t>
  </si>
  <si>
    <t>tbl-siena-unable-childcare</t>
  </si>
  <si>
    <t>F206</t>
  </si>
  <si>
    <t>Unable to Get Childcare by Income, 2024</t>
  </si>
  <si>
    <t>tbl-siena-unable-childcare-income</t>
  </si>
  <si>
    <t>F207</t>
  </si>
  <si>
    <t>Unable to Get Access to the Internet, 2022-2024</t>
  </si>
  <si>
    <t>tbl-siena-unable-internet</t>
  </si>
  <si>
    <t>F208</t>
  </si>
  <si>
    <t>Unable to Get Access to the Internet by Income, 2024</t>
  </si>
  <si>
    <t>tbl-siena-unable-internet-income</t>
  </si>
  <si>
    <t>F209</t>
  </si>
  <si>
    <t>Visit to Primary Care Physician for Routine Physical, 2018-2024</t>
  </si>
  <si>
    <t>tbl-siena-routine-physical</t>
  </si>
  <si>
    <t>F210</t>
  </si>
  <si>
    <t>Visit to Primary Care Physician for Routine  by Income, 2024</t>
  </si>
  <si>
    <t>tbl-siena-routine-physical-income</t>
  </si>
  <si>
    <t>F211</t>
  </si>
  <si>
    <t>Reasons for Not Visiting a Primary Care Provider, 2022-2024</t>
  </si>
  <si>
    <t>tbl-siena-not-routine-physical</t>
  </si>
  <si>
    <t>T61</t>
  </si>
  <si>
    <t>Reasons for Not Visiting a Primary Care Provider by Income, 2024</t>
  </si>
  <si>
    <t>tbl-siena-not-routine-physical-income</t>
  </si>
  <si>
    <t>F212</t>
  </si>
  <si>
    <t>Dentist Visitation Within the Last 12 Months, 2018-2024</t>
  </si>
  <si>
    <t>tbl-siena-routine-dentist</t>
  </si>
  <si>
    <t>F213</t>
  </si>
  <si>
    <t>Dentist Visitation Within the Last 12 Months by Income, 2024</t>
  </si>
  <si>
    <t>tbl-siena-routine-dentist-income</t>
  </si>
  <si>
    <t>F214</t>
  </si>
  <si>
    <t>Reasons for Not Visiting a Dentist, 2022-2024</t>
  </si>
  <si>
    <t>tbl-siena-not-routine-dentist</t>
  </si>
  <si>
    <t>T62</t>
  </si>
  <si>
    <t>Reasons for Not Visiting a Dentist by Income, 2024</t>
  </si>
  <si>
    <t>tbl-siena-not-routine-dentist-income</t>
  </si>
  <si>
    <t>F215</t>
  </si>
  <si>
    <t>Emergency Room Visitation for Non-Emergency Medical Issues, 2018-2024</t>
  </si>
  <si>
    <t>tbl-siena-ed-not-for-emergency</t>
  </si>
  <si>
    <t>F216</t>
  </si>
  <si>
    <t>Emergency Room Visitation for Non-Emergency Medical Issues by Income, 2024</t>
  </si>
  <si>
    <t>tbl-siena-ed-not-for-emergency-income</t>
  </si>
  <si>
    <t>F217</t>
  </si>
  <si>
    <t>Reasons for Visiting an Emergency Room for Non-Emergencies, 2024</t>
  </si>
  <si>
    <t>tbl-siena-reason-ed-not-emergency</t>
  </si>
  <si>
    <t>T63</t>
  </si>
  <si>
    <t>Reasons for Visiting an Emergency Room for Non-Emergencies by Income, 2024</t>
  </si>
  <si>
    <t>tbl-siena-reason-ed-not-emergency-income</t>
  </si>
  <si>
    <t>F218</t>
  </si>
  <si>
    <t>Mental Health Visitation Within the Last 12 Months, 2022-2024</t>
  </si>
  <si>
    <t>tbl-siena-routine-mh-visit</t>
  </si>
  <si>
    <t>F219</t>
  </si>
  <si>
    <t>Mental Health Visitation Within the Last 12 Months by Income, 2024</t>
  </si>
  <si>
    <t>tbl-siena-routine-mh-visit-income</t>
  </si>
  <si>
    <t>F220</t>
  </si>
  <si>
    <t>Reasons for Not Visiting a Mental Health Provider, 2022-2024</t>
  </si>
  <si>
    <t>tbl-siena-reason-not-mh-visist</t>
  </si>
  <si>
    <t>T64</t>
  </si>
  <si>
    <t>Reasons for Not Visiting a Mental Health Provider by Income, 2024</t>
  </si>
  <si>
    <t>tbl-siena-reason-not-mh-visist-income</t>
  </si>
  <si>
    <t>F221</t>
  </si>
  <si>
    <t>Had COVID, 2022-2024</t>
  </si>
  <si>
    <t>tbl-siena-had-covid</t>
  </si>
  <si>
    <t>F222</t>
  </si>
  <si>
    <t>Had COVID by Income, 2024</t>
  </si>
  <si>
    <t>tbl-siena-had-covid-income</t>
  </si>
  <si>
    <t>F223</t>
  </si>
  <si>
    <t>Had Long-COVID, 2022-2024</t>
  </si>
  <si>
    <t>tbl-siena-had-long-covid</t>
  </si>
  <si>
    <t>F224</t>
  </si>
  <si>
    <t>Long-COVID in Household by Income, 2024</t>
  </si>
  <si>
    <t>tbl-siena-had-long-covid-income</t>
  </si>
  <si>
    <t>F225</t>
  </si>
  <si>
    <t>Vaccinated for COVID, 2024</t>
  </si>
  <si>
    <t>tbl-siena-covid-vaccine</t>
  </si>
  <si>
    <t>F226</t>
  </si>
  <si>
    <t>Vaccinated for COVID by Income, 2024</t>
  </si>
  <si>
    <t>tbl-siena-covid-vaccine-income</t>
  </si>
  <si>
    <t>F227</t>
  </si>
  <si>
    <t>Getting an Updated COVID Vaccine, 2024</t>
  </si>
  <si>
    <t>tbl-siena-updated-covid-vaccine</t>
  </si>
  <si>
    <t>F228</t>
  </si>
  <si>
    <t>Getting an Updated COVID Vaccine by Income, 2024</t>
  </si>
  <si>
    <t>tbl-siena-updated-covid-vaccine-income</t>
  </si>
  <si>
    <t>F229</t>
  </si>
  <si>
    <t>Vaccinated for Flu, 2024</t>
  </si>
  <si>
    <t>tbl-siena-flu-vaccine</t>
  </si>
  <si>
    <t>F230</t>
  </si>
  <si>
    <t>Vaccinated for Flu by Income, 2024</t>
  </si>
  <si>
    <t>tbl-siena-flu-vaccine-income</t>
  </si>
  <si>
    <t>F231</t>
  </si>
  <si>
    <t>Vaccinated for Flu 60+, 2024</t>
  </si>
  <si>
    <t>tbl-siena-flu-vaccine-60yo</t>
  </si>
  <si>
    <t>F232</t>
  </si>
  <si>
    <t>Feeling Nervous, 2023-2024</t>
  </si>
  <si>
    <t>tbl-siena-feeling-nervous</t>
  </si>
  <si>
    <t>F233</t>
  </si>
  <si>
    <t>Feeling Nervous by Income, 2024</t>
  </si>
  <si>
    <t>tbl-siena-feeling-nervous-income</t>
  </si>
  <si>
    <t>F234</t>
  </si>
  <si>
    <t>Feeling Hopeless, 2023-2024</t>
  </si>
  <si>
    <t>tbl-siena-feeling-hopeless</t>
  </si>
  <si>
    <t>F235</t>
  </si>
  <si>
    <t>Feeling Hopeless by Income, 2024</t>
  </si>
  <si>
    <t>tbl-siena-feeling-hopeless-income</t>
  </si>
  <si>
    <t>F236</t>
  </si>
  <si>
    <t>Feeling Restless or Fidgety, 2023-2024</t>
  </si>
  <si>
    <t>tbl-siena-restless-fidgety</t>
  </si>
  <si>
    <t>F237</t>
  </si>
  <si>
    <t>Feeling Restless or Fidgety by Income, 2024</t>
  </si>
  <si>
    <t>tbl-siena-restless-fidgety-income</t>
  </si>
  <si>
    <t>F238</t>
  </si>
  <si>
    <t>Feeling Depressed, 2023-2024</t>
  </si>
  <si>
    <t>tbl-siena-depressed</t>
  </si>
  <si>
    <t>F239</t>
  </si>
  <si>
    <t>Feeling Depressed by Income, 2024</t>
  </si>
  <si>
    <t>tbl-siena-depressed-income</t>
  </si>
  <si>
    <t>F240</t>
  </si>
  <si>
    <t>Feeling that Everything was an Effort, 2023-2024</t>
  </si>
  <si>
    <t>tbl-siena-everything-effort</t>
  </si>
  <si>
    <t>F241</t>
  </si>
  <si>
    <t>Feeling that Everything was an Effort by Income, 2024</t>
  </si>
  <si>
    <t>tbl-siena-everything-effort-income</t>
  </si>
  <si>
    <t>F242</t>
  </si>
  <si>
    <t>Feeling Worthless, 2023-2024</t>
  </si>
  <si>
    <t>tbl-siena-worthless</t>
  </si>
  <si>
    <t>F243</t>
  </si>
  <si>
    <t>Feeling Worthless by Income, 2024</t>
  </si>
  <si>
    <t>tbl-siena-worthless-income</t>
  </si>
  <si>
    <t>F244</t>
  </si>
  <si>
    <t>Kessler Score, 2023-2024</t>
  </si>
  <si>
    <t>tbl-siena-kessler</t>
  </si>
  <si>
    <t>F245</t>
  </si>
  <si>
    <t>Kessler Score by Income, 2024</t>
  </si>
  <si>
    <t>tbl-siena-kessler-income</t>
  </si>
  <si>
    <t>F246</t>
  </si>
  <si>
    <t>Had a Child in the Last 10 Years, 2023-2024</t>
  </si>
  <si>
    <t>tbl-siena-had-a-child</t>
  </si>
  <si>
    <t>F247</t>
  </si>
  <si>
    <t>Breastfed Any Children, 2024</t>
  </si>
  <si>
    <t>tbl-siena-bf-any-child</t>
  </si>
  <si>
    <t>F248</t>
  </si>
  <si>
    <t>Breastfed Duration, 2024</t>
  </si>
  <si>
    <t>tbl-siena-bf-duration</t>
  </si>
  <si>
    <t>T65</t>
  </si>
  <si>
    <t>Who would you contact if you needed help with basic needs</t>
  </si>
  <si>
    <t>tbl-siena-help-basic-needs</t>
  </si>
  <si>
    <t>T66</t>
  </si>
  <si>
    <t>Who would you contact if you had concerns about a child's behavior or development</t>
  </si>
  <si>
    <t>tbl-siena-help-child-behavior-develop</t>
  </si>
  <si>
    <t>F249</t>
  </si>
  <si>
    <t>Information or Help</t>
  </si>
  <si>
    <t>tbl-siena-difficulty-help-for-child</t>
  </si>
  <si>
    <t>F250</t>
  </si>
  <si>
    <t>Annual Data Review Guide</t>
  </si>
  <si>
    <t>tbl-data-review-guide</t>
  </si>
  <si>
    <t>T67</t>
  </si>
  <si>
    <t>Top Areas of Concern Across All Assessments</t>
  </si>
  <si>
    <t>tbl-top-areas-concern</t>
  </si>
  <si>
    <t>F251</t>
  </si>
  <si>
    <t>Data Review and Priority Selection Process</t>
  </si>
  <si>
    <t>tbl-data-review-process</t>
  </si>
  <si>
    <t>T68</t>
  </si>
  <si>
    <t>Evidence-Based Strategies and Long-Term Objectives</t>
  </si>
  <si>
    <t>tbl-ebi-long-term-objective</t>
  </si>
  <si>
    <t>T69</t>
  </si>
  <si>
    <t>Short Term Process Indicators and Progress at of 2024</t>
  </si>
  <si>
    <t>tbl-short-term-process</t>
  </si>
  <si>
    <t>Primary Focus Groups Themes</t>
  </si>
  <si>
    <t>tbl-primary-focus-groups</t>
  </si>
  <si>
    <t>integer</t>
  </si>
  <si>
    <t>Y-labels</t>
  </si>
  <si>
    <t>Footnotes</t>
  </si>
  <si>
    <t>Sources</t>
  </si>
  <si>
    <t>Links</t>
  </si>
  <si>
    <t>number</t>
  </si>
  <si>
    <t>Case Rate</t>
  </si>
  <si>
    <t>*</t>
  </si>
  <si>
    <t>*: BRFSS - Crude rate is unreliable due to large standard error.</t>
  </si>
  <si>
    <t>Source: Centers for Disease Control and Prevention</t>
  </si>
  <si>
    <t>https://health.data.ny.gov/Health/Behavioral-Risk-Factor-Surveillance-System-BRFSS-H/jsy7-eb4n/data</t>
  </si>
  <si>
    <t>percent1</t>
  </si>
  <si>
    <t>Index</t>
  </si>
  <si>
    <t>*: BRFSS - Percentage is unreliable due to large standard error.</t>
  </si>
  <si>
    <t>Source: Community Partner Survey Focus Groups</t>
  </si>
  <si>
    <t>https://www.cdc.gov/places/</t>
  </si>
  <si>
    <t>percent2</t>
  </si>
  <si>
    <t>Number of Cases</t>
  </si>
  <si>
    <t>*: Data are unstable due to a margin of error greater than 10%.</t>
  </si>
  <si>
    <t>Source: Feeding America</t>
  </si>
  <si>
    <t>https://webbi1.health.ny.gov/SASStoredProcess/guest?_program=%2FEBI%2FPHIG%2Fapps%2Fchir_dashboard%2Fchir_dashboard&amp;p=ch&amp;cos=33</t>
  </si>
  <si>
    <t>currency</t>
  </si>
  <si>
    <t>Percent</t>
  </si>
  <si>
    <t>*: Data are unstable due to fewer than 10 events in the numerator.</t>
  </si>
  <si>
    <t>Source: Health Resources and Services Administration Data Warehouse</t>
  </si>
  <si>
    <t>https://www.health.ny.gov/statistics/community/minority/county/orange.htm</t>
  </si>
  <si>
    <t>currency2</t>
  </si>
  <si>
    <t>Rate per 1,000</t>
  </si>
  <si>
    <t>*: Data are unstable due to fewer than 20 events in the numerator.</t>
  </si>
  <si>
    <t>Source: NYC Poison Center</t>
  </si>
  <si>
    <t>https://www.health.ny.gov/statistics/diseases/communicable/docs/2019_hepc_regional.pdf</t>
  </si>
  <si>
    <t>ratio</t>
  </si>
  <si>
    <t>Rate per 10,000</t>
  </si>
  <si>
    <t>*: The percentage is unstable.</t>
  </si>
  <si>
    <t>Source: NYS Board of Elections</t>
  </si>
  <si>
    <t>https://www.health.ny.gov/statistics/chac/perinatal/county/2018-2020/orange.htm</t>
  </si>
  <si>
    <t>date</t>
  </si>
  <si>
    <t>Rate per 100,000</t>
  </si>
  <si>
    <t>*: The rate is unstable.</t>
  </si>
  <si>
    <t>Source: NYS Cancer Registry and Cancer Statistics</t>
  </si>
  <si>
    <t>https://www.criminaljustice.ny.gov/crimnet/ojsa/arrests/index.htm</t>
  </si>
  <si>
    <t>text</t>
  </si>
  <si>
    <t>Ratio</t>
  </si>
  <si>
    <t>+</t>
  </si>
  <si>
    <t>: The 2019 ED data in NYC may be incomplete and subject to change. Thus, the state rates may be underestimated and subject to change.</t>
  </si>
  <si>
    <t xml:space="preserve">Source: NYS Community Health Indicator Reports Dashboard </t>
  </si>
  <si>
    <t>https://data.nysed.gov/gradrate.php?year=2022&amp;county=44</t>
  </si>
  <si>
    <t>Other</t>
  </si>
  <si>
    <t>Other (please specify): Some additional responses from participants include access to healthy affordable food, transportation, valuing health as a family priority, affordable housing, lack of chronic disease self-management programs, lack of social support systems, language barriers.</t>
  </si>
  <si>
    <t xml:space="preserve">Source: NYS County Health Indicators by Race and Ethnicity </t>
  </si>
  <si>
    <t>https://webbi1.health.ny.gov/SASStoredProcess/guest?_program=%2FEBI%2FPHIG%2Fapps%2Fmch_dashboard%2Fmch_dashboard&amp;p=ch&amp;cos=33</t>
  </si>
  <si>
    <t>Other (please specify): Some additional responses from participants include finding child care, access to health care providers who are trained in LGBTQIA+ health care needs, mental health services, immigration issues, language and cultural barriers, and financial issues.</t>
  </si>
  <si>
    <t>Source: NYS Department of Health Office of Sexual Health and Epidemiology</t>
  </si>
  <si>
    <t>https://webbi1.health.ny.gov/SASStoredProcess/guest?_program=%2FEBI%2FPHIG%2Fapps%2Fopioid_dashboard%2Fop_dashboard&amp;p=ch&amp;cos=33</t>
  </si>
  <si>
    <t>Other (please specify): Some additional responses from participants include location of services, lack of financial resources, transportation, affordable housing, and service providers not being aware of biases they bring into marginalized communities.</t>
  </si>
  <si>
    <t>Source: NYS Division of Criminal Justice Services</t>
  </si>
  <si>
    <t>https://webbi1.health.ny.gov/SASStoredProcess/guest?_program=%2FEBI%2FPHIG%2Fapps%2Fdashboard%2Fpa_dashboard&amp;p=ch&amp;cos=33</t>
  </si>
  <si>
    <t>Other (please specify): Some additional responses from participants include navigating health care access, poverty, affordable transportation, and accessibility and availability of quality services.</t>
  </si>
  <si>
    <t>Source: NYS Education Department</t>
  </si>
  <si>
    <t>https://www.health.ny.gov/statistics/diseases/communicable/std/docs/sti_surveillance_report_2021.pdf</t>
  </si>
  <si>
    <t>Other (please specify): Some additional responses from participants include stigma, language barrier as a large portion of the population being served speaks Spanish, navigating the health system, and places to play and/or exercise.</t>
  </si>
  <si>
    <t>Source: NYS Leading Causes of Death Dashboard</t>
  </si>
  <si>
    <t>https://statecancerprofiles.cancer.gov/</t>
  </si>
  <si>
    <t>s</t>
  </si>
  <si>
    <t xml:space="preserve">s: Data are suppressed due to unreliable or missing data. </t>
  </si>
  <si>
    <t>Source: NYS Opioid Data Dashboard</t>
  </si>
  <si>
    <t>https://data.census.gov/cedsci/</t>
  </si>
  <si>
    <t>s: Data are suppressed due to not meeting reporting criteria.</t>
  </si>
  <si>
    <t>Source: NYS Prevention Agenda Tracking Dashboard</t>
  </si>
  <si>
    <t>https://www.americashealthrankings.org/</t>
  </si>
  <si>
    <t xml:space="preserve">s: Data are suppressed due to lack of preliminary data. </t>
  </si>
  <si>
    <t>Source: NYS Smoker's Quitline</t>
  </si>
  <si>
    <t>https://ahead.hiv.gov/</t>
  </si>
  <si>
    <t xml:space="preserve">s: Data are suppressed due to not meeting confidentialty criteria. </t>
  </si>
  <si>
    <t>Source: NYSDOH Behavioral Risk Factor Surveillance System</t>
  </si>
  <si>
    <t>https://wonder.cdc.gov/</t>
  </si>
  <si>
    <t xml:space="preserve">s: Data are suppressed due to small sample size. </t>
  </si>
  <si>
    <t>Source: NYSDOH Bureau of Communicable Disease Control</t>
  </si>
  <si>
    <t>https://nccd.cdc.gov/Youthonline/App/Results.aspx?LID=XX</t>
  </si>
  <si>
    <t>Source: NYSDOH Communicable Disease Annual Reports</t>
  </si>
  <si>
    <t>https://www.cdc.gov/injury/wisqars/index.html</t>
  </si>
  <si>
    <t xml:space="preserve">Source: NYSDOH Communicable Disease Electronic Surveillance System </t>
  </si>
  <si>
    <t>https://www.cdc.gov/mmwr/index.html</t>
  </si>
  <si>
    <t>Source: NYSDOH, Wadsworth Center Rabies Laboratory</t>
  </si>
  <si>
    <t>https://www.cdc.gov/asthma/asthmadata.htm</t>
  </si>
  <si>
    <t>Source: United for ALICE</t>
  </si>
  <si>
    <t>https://www.cdc.gov/nceh/</t>
  </si>
  <si>
    <t>Source: University of Wisconsin Population Health Institute. County Health Rankings &amp; Roadmaps</t>
  </si>
  <si>
    <t>https://www.cdc.gov/nchs/index.htm</t>
  </si>
  <si>
    <t>Source: Upstate NY Poison Center</t>
  </si>
  <si>
    <t>https://www.cdc.gov/nchs/nhis/shs.htm</t>
  </si>
  <si>
    <t>Source: US Census Bureau</t>
  </si>
  <si>
    <t>https://www.cdc.gov/diabetes/data/index.html</t>
  </si>
  <si>
    <t>Source: US Census Bureau; American Community Survey</t>
  </si>
  <si>
    <t>https://www.cdc.gov/nchhstp/atlas/index.htm</t>
  </si>
  <si>
    <t>Source: Vital Statistics of NYS</t>
  </si>
  <si>
    <t>https://www.cdc.gov/std/statistics/2021/default.htm</t>
  </si>
  <si>
    <t>https://www.cdc.gov/vaccines/imz-managers/coverage/teenvaxview/data-reports/index.html</t>
  </si>
  <si>
    <t>https://gis.cdc.gov/grasp/diabetes/diabetesatlas-surveillance.html</t>
  </si>
  <si>
    <t>https://www.cdc.gov/hepatitis/statistics/SurveillanceRpts.htm</t>
  </si>
  <si>
    <t>https://www.ghrconnects.org/indicators</t>
  </si>
  <si>
    <t>https://www.kff.org/</t>
  </si>
  <si>
    <t>https://progressreport.cancer.gov/detection</t>
  </si>
  <si>
    <t>https://statecancerprofiles.cancer.gov/index.html</t>
  </si>
  <si>
    <t>https://nces.ed.gov/</t>
  </si>
  <si>
    <t>https://www.niaaa.nih.gov/</t>
  </si>
  <si>
    <t>https://data.oecd.org/</t>
  </si>
  <si>
    <t>https://www.bls.gov/cps/data-overview.htm</t>
  </si>
  <si>
    <t>https://health.gov/healthypeople</t>
  </si>
  <si>
    <t>Name</t>
  </si>
  <si>
    <t>Table/Figure/Both</t>
  </si>
  <si>
    <t>Both</t>
  </si>
  <si>
    <t xml:space="preserve">Object ID  </t>
  </si>
  <si>
    <t>Table Rules</t>
  </si>
  <si>
    <t xml:space="preserve">Enter Data </t>
  </si>
  <si>
    <t>Geographic Area</t>
  </si>
  <si>
    <t xml:space="preserve">Population </t>
  </si>
  <si>
    <t>Age</t>
  </si>
  <si>
    <t>Sex</t>
  </si>
  <si>
    <t>Median Age</t>
  </si>
  <si>
    <t>Multilevel Headers</t>
  </si>
  <si>
    <t>Total</t>
  </si>
  <si>
    <t xml:space="preserve"> 0-17 year</t>
  </si>
  <si>
    <t>18-24 years</t>
  </si>
  <si>
    <t>25-64 years</t>
  </si>
  <si>
    <t>65+ years</t>
  </si>
  <si>
    <t>Male</t>
  </si>
  <si>
    <t>Female</t>
  </si>
  <si>
    <t>Orange County</t>
  </si>
  <si>
    <t>Blooming Grove Town</t>
  </si>
  <si>
    <t>Figure Rules</t>
  </si>
  <si>
    <t>South Blooming Grove Village</t>
  </si>
  <si>
    <t>Figure Type</t>
  </si>
  <si>
    <t>Washingtonville Village</t>
  </si>
  <si>
    <t>X Column</t>
  </si>
  <si>
    <t>Chester Town</t>
  </si>
  <si>
    <t>Y Column</t>
  </si>
  <si>
    <t>Chester Village</t>
  </si>
  <si>
    <t>2,091</t>
  </si>
  <si>
    <t>36.5</t>
  </si>
  <si>
    <t>X Axis Title</t>
  </si>
  <si>
    <t>Cornwall Town</t>
  </si>
  <si>
    <t>6,583</t>
  </si>
  <si>
    <t>42.4</t>
  </si>
  <si>
    <t>Y Axis Title</t>
  </si>
  <si>
    <t>Cornwall-on-Hudson Village</t>
  </si>
  <si>
    <t>Start at Zero</t>
  </si>
  <si>
    <t>Crawford Town</t>
  </si>
  <si>
    <t>Pivot For Chart</t>
  </si>
  <si>
    <t>Deerpark Town</t>
  </si>
  <si>
    <t>Goshen Town</t>
  </si>
  <si>
    <t>Source Specifications</t>
  </si>
  <si>
    <t>Goshen Village</t>
  </si>
  <si>
    <t>Source</t>
  </si>
  <si>
    <t>Source: US Census Bureau, American Community Survey, 2019–2023 5-Year Population Estimates, Table DP05-Demographic and Housing Estimates, November 2025 https://data.census.gov/table/ACSDP5Y2023.DP05?q=DP05+Orange+County,+NY&amp;g=050XX00US36071</t>
  </si>
  <si>
    <t>Greenville Town</t>
  </si>
  <si>
    <t>Hamptonburgh Town</t>
  </si>
  <si>
    <t>Note Specfications</t>
  </si>
  <si>
    <t>Highlands Town</t>
  </si>
  <si>
    <t>12,894</t>
  </si>
  <si>
    <t>3,027</t>
  </si>
  <si>
    <t>3,203</t>
  </si>
  <si>
    <t>5,600</t>
  </si>
  <si>
    <t>1,064</t>
  </si>
  <si>
    <t>7,397</t>
  </si>
  <si>
    <t>5,497</t>
  </si>
  <si>
    <t>27.2</t>
  </si>
  <si>
    <t xml:space="preserve">Note </t>
  </si>
  <si>
    <t>Note: Town totals include Village totals. The Village of Harriman is split between the Towns of Monroe and Woodbury.</t>
  </si>
  <si>
    <t>Highland Falls Village</t>
  </si>
  <si>
    <t>3,696</t>
  </si>
  <si>
    <t>773</t>
  </si>
  <si>
    <t>278</t>
  </si>
  <si>
    <t>2,198</t>
  </si>
  <si>
    <t>447</t>
  </si>
  <si>
    <t>2,000</t>
  </si>
  <si>
    <t>1,696</t>
  </si>
  <si>
    <t>40.7</t>
  </si>
  <si>
    <t>Middletown City</t>
  </si>
  <si>
    <t>30,227</t>
  </si>
  <si>
    <t>7,796</t>
  </si>
  <si>
    <t>2,553</t>
  </si>
  <si>
    <t>Minisink Town</t>
  </si>
  <si>
    <t>4,648</t>
  </si>
  <si>
    <t>1,277</t>
  </si>
  <si>
    <t>476</t>
  </si>
  <si>
    <t>Unionville Village</t>
  </si>
  <si>
    <t>684</t>
  </si>
  <si>
    <t>222</t>
  </si>
  <si>
    <t>79</t>
  </si>
  <si>
    <t>Monroe Town</t>
  </si>
  <si>
    <t>21,299</t>
  </si>
  <si>
    <t>5,787</t>
  </si>
  <si>
    <t>2,035</t>
  </si>
  <si>
    <t>Harriman Village (portion)</t>
  </si>
  <si>
    <t>95</t>
  </si>
  <si>
    <t>Monroe Village</t>
  </si>
  <si>
    <t>1,118</t>
  </si>
  <si>
    <t>Montgomery Town</t>
  </si>
  <si>
    <t>2,052</t>
  </si>
  <si>
    <t>Maybrook Village</t>
  </si>
  <si>
    <t>208</t>
  </si>
  <si>
    <t>Montgomery Village</t>
  </si>
  <si>
    <t>325</t>
  </si>
  <si>
    <t>Walden Village</t>
  </si>
  <si>
    <t>659</t>
  </si>
  <si>
    <t>Mount Hope Town</t>
  </si>
  <si>
    <t>6,500</t>
  </si>
  <si>
    <t>1,080</t>
  </si>
  <si>
    <t>485</t>
  </si>
  <si>
    <t>Otisville Village</t>
  </si>
  <si>
    <t>56</t>
  </si>
  <si>
    <t>Newburgh City</t>
  </si>
  <si>
    <t>3,337</t>
  </si>
  <si>
    <t>Newburgh Town</t>
  </si>
  <si>
    <t>2,988</t>
  </si>
  <si>
    <t>New Windsor Town</t>
  </si>
  <si>
    <t>2,448</t>
  </si>
  <si>
    <t>Palm Tree Town</t>
  </si>
  <si>
    <t>5,257</t>
  </si>
  <si>
    <t>Kiryas Joel Village</t>
  </si>
  <si>
    <t>36,572</t>
  </si>
  <si>
    <t>20,811</t>
  </si>
  <si>
    <t>Port Jervis City</t>
  </si>
  <si>
    <t>8,709</t>
  </si>
  <si>
    <t>1,809</t>
  </si>
  <si>
    <t>1,076</t>
  </si>
  <si>
    <t>Tuxedo Town</t>
  </si>
  <si>
    <t>3,765</t>
  </si>
  <si>
    <t>702</t>
  </si>
  <si>
    <t>240</t>
  </si>
  <si>
    <t>Tuxedo Village</t>
  </si>
  <si>
    <t>Tuxedo Park Village</t>
  </si>
  <si>
    <t>Wallkill Town</t>
  </si>
  <si>
    <t>Warwick Town</t>
  </si>
  <si>
    <t>Florida Village</t>
  </si>
  <si>
    <t>Greenwood Lake Village</t>
  </si>
  <si>
    <t>Warwick Village</t>
  </si>
  <si>
    <t>Wawayanda Town</t>
  </si>
  <si>
    <t>Woodbury Town</t>
  </si>
  <si>
    <t>Woodbury Village</t>
  </si>
  <si>
    <t>Population</t>
  </si>
  <si>
    <t>N/A</t>
  </si>
  <si>
    <t>Source: US Census Bureau, 2020 Decennial Redistricting Data (PL 94-171), Table P1-Total Population, November 2025 https://data.census.gov/table/DECENNIALPL2020.P1?q=PL+94-171&amp;g=050XX00US36071</t>
  </si>
  <si>
    <t>Note: Town totals include Village totals; Village of Kiryas Joel was incorporated in 1977; Villages of South Blooming Grove and Woodbury were incorporated in 2006; Town of Palm Tree was incorporated in 2017 and made coterminous to the Village of Kiryas Joel thereafter. Prior to incorporation of Town of Palm Tree, the Village of Kiryas Joel was incorporated within the boundaries of the Town of Monroe</t>
  </si>
  <si>
    <t>Total Population</t>
  </si>
  <si>
    <t>Percent Change</t>
  </si>
  <si>
    <t>2000-2010</t>
  </si>
  <si>
    <t>2010-2020</t>
  </si>
  <si>
    <t>2000-20</t>
  </si>
  <si>
    <t>n/a</t>
  </si>
  <si>
    <t>Source: US Census Bureau, 2020 Decennial Redistricting Data (PL 94-171), Table P, November 2025 https://data.census.gov/table/DECENNIALPL2020.P1?q=PL+94-171&amp;g=050XX00US36071</t>
  </si>
  <si>
    <t>Note: Town totals include Village totals; Villages of South Blooming Grove and Woodbury were incorporated in 2006; Town of Palm Tree was incorporated in 2017 and made coterminous to the Village of Kiryas Joel thereafter. Prior to incorporation of Town of Palm Tree, the Village of Kiryas Joel was incorporated within the boundaries of the Town of Monroe.</t>
  </si>
  <si>
    <t>Land Area per Square Mile</t>
  </si>
  <si>
    <t>People per Square Mile</t>
  </si>
  <si>
    <t>Housing Units per Square Mile</t>
  </si>
  <si>
    <t>Source: US Census Bureau, Quick Facts, November 2025 https://www.census.gov/quickfacts/orangecountynewyork</t>
  </si>
  <si>
    <t>Note: Town totals include Village totals. Land area calculated as of 2020 Census. Population density and housing unit density calculated using 2019-2023 estimates divided by land area.</t>
  </si>
  <si>
    <t xml:space="preserve"> </t>
  </si>
  <si>
    <t>`</t>
  </si>
  <si>
    <t>Population &gt;18 years</t>
  </si>
  <si>
    <t>Population Age 15-44 year</t>
  </si>
  <si>
    <t>Population 65+ years</t>
  </si>
  <si>
    <t>Source: US Census Bureau, American Community Survey 2019–2023 5-Year Population Estimates, Table S0101-Age and Sex, November 2025 https://data.census.gov/table?q=S0101+Orange+County,+NY&amp;g=050XX00US36071</t>
  </si>
  <si>
    <t>Note: Town totals include Village totals.</t>
  </si>
  <si>
    <t>Total Pop</t>
  </si>
  <si>
    <t>White Alone</t>
  </si>
  <si>
    <t>Black Alone</t>
  </si>
  <si>
    <t>American Indian/Alaska Native Alone</t>
  </si>
  <si>
    <t>Asian Alone</t>
  </si>
  <si>
    <t>Native Hawaiian/Pacific Islander Alone</t>
  </si>
  <si>
    <t>Some Other Race Alone</t>
  </si>
  <si>
    <t>Two or More Races</t>
  </si>
  <si>
    <t>Hispanic or Latino</t>
  </si>
  <si>
    <t>Not Hispanic or Latino</t>
  </si>
  <si>
    <t>Note: Town totals include Village totals</t>
  </si>
  <si>
    <t>Harriman Village (total)*</t>
  </si>
  <si>
    <t>Civilian Employed Population Age 16+</t>
  </si>
  <si>
    <t>Industry</t>
  </si>
  <si>
    <t>Agriculture, Forestry, Fishing, Hunting, Mining</t>
  </si>
  <si>
    <t>Construction</t>
  </si>
  <si>
    <t>Manufacturing</t>
  </si>
  <si>
    <t>Wholesale Trade</t>
  </si>
  <si>
    <t>Retail Trade</t>
  </si>
  <si>
    <t>Transportation, Warehousing, Utilities</t>
  </si>
  <si>
    <t>Information</t>
  </si>
  <si>
    <t>Finance, Insurance, Real Estate, Rental/Leasing</t>
  </si>
  <si>
    <t>Professional, Scientific, Management, Administrative, Waste Management</t>
  </si>
  <si>
    <t>Educational Services, Health Care, Social Assistance</t>
  </si>
  <si>
    <t>Arts, Entertainment, Recreation, Accommodation, Food Services</t>
  </si>
  <si>
    <t>Public Administration</t>
  </si>
  <si>
    <t>Other Services</t>
  </si>
  <si>
    <t>Source: US Census Bureau, American Community Survey 2019–2023 5-Year Population Estimates, S2403-Industry by Sex for the Civilian Employed Population 16 Years and Over, November 2025 https://data.census.gov/table/ACSST5Y2023.S2403?q=S2403+Orange+County,+NY&amp;g=060XX00US3607134550,3607156185,3607148857,3607182755,3607147042,3607148153,3607178839,3607130631,3607 118300,3607175781,3607150045,3607147713,3607147999,3607150848,3607129553,3607107003,3607115308,3607131907,3607118916,3607178366,3607177992,3607119961,3607150034,3607159388_ 160XX00US3646162,3629542,3630752,3655673,3678355,3676210,3634495,3615297,3675803,3682750,3677849,3632325,3647988,3678465,3639853,3618333,3668610,3648142_050XX00US36071</t>
  </si>
  <si>
    <t>Note: Town totals include Village totals. Industry titles and their 4-digit codes are based on the North American Industry Classification System (NAICS). The Census industry codes for 2023 and later years are based on the 2022 revision of the NAICS. To allow for the creation of multiyear tables, industry data in the multiyear files (prior to data year 2023) were recoded to the 2022 Census industry codes. We recommend using caution when comparing data coded using 2022 Census industry codes with data coded using Census industry codes prior to data year 2023.</t>
  </si>
  <si>
    <t>Occupations</t>
  </si>
  <si>
    <t>Management, Business, Science and Arts</t>
  </si>
  <si>
    <t>Service</t>
  </si>
  <si>
    <t>Sales and Office</t>
  </si>
  <si>
    <t>Natural Resources, Construction, Maintenance</t>
  </si>
  <si>
    <t>Production, Transportation, Material Moving</t>
  </si>
  <si>
    <t>Source: US Census Bureau, American Community Survey 2019–2023 5-Year Population Estimates, S2401-Occupation by Sex for the Civilian Employed Population 16 Years and Over, November 2025 https://data.census.gov/table/ACSST5Y2023.S2401?q=S2401+Orange+County,+NY&amp;g=060XX00US3607134550,3607156185,3 607148857,3607182755,3607147042,3607148153,3607178839,3607130631,3607118300,3607175781,3607150045,3607 147713,3607147999,3607150848,3607129553,3607107003,3607115308,3607131907,3607118916,3607178366,3607177 992,3607119961,3607150034,3607159388_160XX00US3646162,3629542,3630752,3655673,3678355,3676210,3634495,3 615297,3675803,3682750,3677849,3632325,3647988,3678465,3639853,3618333,3668610,3648142_050XX00US36071</t>
  </si>
  <si>
    <t>Note: Town totals include Village totals. Occupation titles and their 4-digit codes are based on the 2018 Standard Occupational Classification.</t>
  </si>
  <si>
    <t>Harriman Village (partial)</t>
  </si>
  <si>
    <t>Total 2020-2023</t>
  </si>
  <si>
    <t>#</t>
  </si>
  <si>
    <t>Rate</t>
  </si>
  <si>
    <t>Total #</t>
  </si>
  <si>
    <t>Average Rate</t>
  </si>
  <si>
    <t>Age Intervals</t>
  </si>
  <si>
    <t>&lt;1</t>
  </si>
  <si>
    <t>1–9</t>
  </si>
  <si>
    <t>10–19</t>
  </si>
  <si>
    <t>20–24</t>
  </si>
  <si>
    <t>25–34</t>
  </si>
  <si>
    <t>35–44</t>
  </si>
  <si>
    <t>45–54</t>
  </si>
  <si>
    <t>55–64</t>
  </si>
  <si>
    <t>65–74</t>
  </si>
  <si>
    <t>75–84</t>
  </si>
  <si>
    <t>Source: Special request from NYSDOH Bureau of Vital Records, July 2025</t>
  </si>
  <si>
    <t>85+</t>
  </si>
  <si>
    <t>Race and Ethnicity</t>
  </si>
  <si>
    <t>Non-Hispanic White</t>
  </si>
  <si>
    <t>Note: See Data Note section for more information regarding this request. Birth and death data for Orange County excludes events recorded in NYC. All rates use ACS 5-year population estimates, except for the ages under 1 year and 1-9 years, which are based on crude live births in Orange County.</t>
  </si>
  <si>
    <t>Non-Hispanic Black</t>
  </si>
  <si>
    <t>Hispanic</t>
  </si>
  <si>
    <t>ZIP Code</t>
  </si>
  <si>
    <t>Region/County</t>
  </si>
  <si>
    <t>Non-Hispanic Asian/Pacific Islander</t>
  </si>
  <si>
    <t>Orange</t>
  </si>
  <si>
    <t>NYS excl NYC</t>
  </si>
  <si>
    <t>NYS</t>
  </si>
  <si>
    <t>Clustered Bar</t>
  </si>
  <si>
    <t>Source: NYS County Health Indicators by Race and Ethnicity, August 2025 sourced from Vital Statistics of NYS https://www.health.ny.gov/community/health_equity/reports/county/</t>
  </si>
  <si>
    <t>Note: The 2018 population estimates are also used to calculate rates for 2019, 2020, and 2021.</t>
  </si>
  <si>
    <t>Year</t>
  </si>
  <si>
    <t>Line</t>
  </si>
  <si>
    <t>Males</t>
  </si>
  <si>
    <t>Females</t>
  </si>
  <si>
    <t>Source: Vital Statistics of NYS, July 2025</t>
  </si>
  <si>
    <t>All Deaths</t>
  </si>
  <si>
    <t>#1 Cause of Death</t>
  </si>
  <si>
    <t>#2 Cause of Death</t>
  </si>
  <si>
    <t>#3 Cause of Death</t>
  </si>
  <si>
    <t>#4 Cause of Death</t>
  </si>
  <si>
    <t>#5 Cause of Death</t>
  </si>
  <si>
    <t>Heart Disease</t>
  </si>
  <si>
    <t>Cancer</t>
  </si>
  <si>
    <t>Unintentional Injury</t>
  </si>
  <si>
    <t>COVID-19</t>
  </si>
  <si>
    <t>CLRD</t>
  </si>
  <si>
    <t>NYS Excl NYC</t>
  </si>
  <si>
    <t>Cerebrovascular
Disease</t>
  </si>
  <si>
    <t>Source: Vital Statistics of NYS, November 2025 https://apps.health.ny.gov/public/tabvis/PHIG_Public/lcd</t>
  </si>
  <si>
    <t>Note: Premature death includes deaths occurring before the age of 75.</t>
  </si>
  <si>
    <t>Cause of Death</t>
  </si>
  <si>
    <t>Number of Deaths</t>
  </si>
  <si>
    <t>All Causes</t>
  </si>
  <si>
    <t>Disease of the Heart</t>
  </si>
  <si>
    <t>Malignant Neoplasms</t>
  </si>
  <si>
    <t>COPD/CLRD</t>
  </si>
  <si>
    <t>Cerebrovascular Disease</t>
  </si>
  <si>
    <t>Alzheimer's Disease</t>
  </si>
  <si>
    <t>Diabetes</t>
  </si>
  <si>
    <t>Pneumonia</t>
  </si>
  <si>
    <t>Septicemia</t>
  </si>
  <si>
    <t>Suicide</t>
  </si>
  <si>
    <t>Cirrhosis of Liver</t>
  </si>
  <si>
    <t>Source: NYS County Health Indicators by Race and Ethnicity, November 2025 sourced from Vital Statistics of NYS https://www.health.ny.gov/community/health_equity/reports/county/orange.htm</t>
  </si>
  <si>
    <t>Note: Premature death includes deaths occurring before the age of 75. The 2018 population estimates are also used to calculate rates for 2019 and 2020. Later years are from the most recent Vintage estimates.</t>
  </si>
  <si>
    <t>Total Households</t>
  </si>
  <si>
    <t>Median Household Income</t>
  </si>
  <si>
    <t>Households Below Federal Poverty Level</t>
  </si>
  <si>
    <t>Households Below Local Poverty Level</t>
  </si>
  <si>
    <t>Households with Income Over $150,000</t>
  </si>
  <si>
    <t>GINI Index</t>
  </si>
  <si>
    <t>%</t>
  </si>
  <si>
    <t>Source: US Census Bureau, American Community Survey 2019–2023 5-Year Population Estimates, Table DP03-Selected Economic Characteristics, Table B11001-Household Type (Including Living Alone), Table B17001-Poverty Status in the Past 12 Months by Sex by Age, Table B19001-Household Income in the Past 12 Months (in 2023 Inflation-Adjusted Dollars), and Table B19083-GINI Index of Income Inequality, November 2025 https://data.census.gov/table/ACSDP5Y2023.DP03?q=DP03+Orange+County,+NY&amp;g=050XX00US36071, https://data.census.gov/table/ACSDT5Y2022.B11001?q=B11001+Orange+County,+NY&amp;g=060XX00US3607134550,360715618 5,3607148857,3607182755,3607147042,3607148153,3607178839,3607130631,3607118300,3607175781,3607150045,36 07147713,3607147999,3607150848,3607129553,3607107003,3607115308,3607131907,3607118916,3607178366,360717 7992,3607119961,3607150034,3607159388_160XX00US3646162,3629542,3630752,3655673,3678355,3676210,3634495, 3615297,3675803,3682750,3677849,3632325,3647988,3678465,3639853,3618333,3668610,3648142_050XX00US36071; https://data.census.gov/table/ACSDT5Y2022.B17001?q=B17001+Orange+County,+NY&amp;g=060XX00US3607134550,360715618 5,3607148857,3607182755,3607147042,3607148153,3607178839,3607130631,3607118300,3607175781,3607150045,36 07147713,3607147999,3607150848,3607129553,3607107003,3607115308,3607131907,3607118916,3607178366,360717 7992,3607119961,3607150034,3607159388_160XX00US3646162,3629542,3630752,3655673,3678355,3676210,3634495, 3615297,3675803,3682750,3677849,3632325,3647988,3678465,3639853,3618333,3668610,3648142_050XX00US36071; https://data.census.gov/table/ACSDT5Y2023.B19001?q=B19001+Orange+County,+NY&amp;g=060XX00US3607134550,360715618 5,3607148857,3607182755,3607147042,3607148153,3607178839,3607130631,3607118300,3607175781,3607150045,36 07147713,3607147999,3607150848,3607129553,3607107003,3607115308,3607131907,3607118916,3607178366,360717 7992,3607119961,3607150034,3607159388_160XX00US3646162,3629542,3630752,3655673,3678355,3676210,3634495, 3615297,3675803,3682750,3677849,3632325,3647988,3678465,3639853,3618333,3668610,3648142_050XX00US36071; and https://data.census.gov/table/ACSDT5Y2023.B19083?q=B19083+Orange+County,+NY&amp;g=060XX00US3607134550,3607156185 ,3607148857,3607182755,3607147042,3607148153,3607178839,3607130631,3607118300,3607175781,3607150045,36 07147713,3607147999,3607150848,3607129553,3607107003,3607115308,3607131907,3607118916,3607178366,36071 77992,3607119961,3607150034,3607159388_160XX00US3646162,3629542,3630752,3655673,3678355,3676210,363449 5,3615297,3675803,3682750,3677849,3632325,3647988,3678465,3639853,3618333,3668610,3648142_050XX00US3607 1</t>
  </si>
  <si>
    <t>Note: Town totals include Village totals. The "local poverty level" standard was initially developed by RECAP and is defined as 50% of the County median household income; in 2023, this was $48,249. The federal poverty level for 2023 is assumed to be a four-person household and is set at $30,000 for 2023. The GINI Index of Income Inequality is a statistical measure of how wealth is concentrated in a location or group. It measures how far a municipalities wealth or income distribution deviated from a perfectly equal distribution. The scale ranges from 0 to 1. A GINI of 0 represents prefect equality or every household has the same income. A GINI of 1 represents perfect inequality or when one household has all the income and everyone else has none. All dollar amounts are indexed to 2023 dollars.</t>
  </si>
  <si>
    <t>$250,000+</t>
  </si>
  <si>
    <t>Size of family unit</t>
  </si>
  <si>
    <t>Related children under 18 years</t>
  </si>
  <si>
    <t>None</t>
  </si>
  <si>
    <t>One</t>
  </si>
  <si>
    <t>Two</t>
  </si>
  <si>
    <t>Three</t>
  </si>
  <si>
    <t>Four</t>
  </si>
  <si>
    <t>Five</t>
  </si>
  <si>
    <t>Six</t>
  </si>
  <si>
    <t>Seven</t>
  </si>
  <si>
    <t>Eight or more</t>
  </si>
  <si>
    <t>One person (unrelated individual)</t>
  </si>
  <si>
    <t xml:space="preserve">  Under age 65</t>
  </si>
  <si>
    <t xml:space="preserve">  Aged 65 and older</t>
  </si>
  <si>
    <t>Two people</t>
  </si>
  <si>
    <t>Householder under age 65</t>
  </si>
  <si>
    <t>Householder aged 65 and older</t>
  </si>
  <si>
    <t>Three people</t>
  </si>
  <si>
    <t>Four people</t>
  </si>
  <si>
    <t>Five people</t>
  </si>
  <si>
    <t>Six people</t>
  </si>
  <si>
    <t>Seven people</t>
  </si>
  <si>
    <t>Eight people</t>
  </si>
  <si>
    <t>Source: US Census Bureau, Poverty Thresholds by Size of Family and Number of Children, 2024, November 2025 https://www.census.gov/data/tables/time-series/demo/income-poverty/historical-poverty-thresholds.html</t>
  </si>
  <si>
    <t>Nine people or more</t>
  </si>
  <si>
    <t>Note: The source of the weighted average thresholds is the 2025 Current Population Survey Annual Social and Economic Supplement (CPS ASEC). The official poverty measure compares a family's total before-tax money income to the specific dollar threshold that matches their family size, number of related children under 18, and age of the householder.</t>
  </si>
  <si>
    <t>Population with Known Poverty Status</t>
  </si>
  <si>
    <t>Population Living in Poverty</t>
  </si>
  <si>
    <t>Poverty by Age Group</t>
  </si>
  <si>
    <t>Poverty by Race and Ethnicity</t>
  </si>
  <si>
    <t>Under Age 18 years</t>
  </si>
  <si>
    <t>Age 18–64 years</t>
  </si>
  <si>
    <t>Age 65+ years</t>
  </si>
  <si>
    <t>White</t>
  </si>
  <si>
    <t>Black</t>
  </si>
  <si>
    <t>Asian</t>
  </si>
  <si>
    <t>Multiracial</t>
  </si>
  <si>
    <t>Hispanic/Latino</t>
  </si>
  <si>
    <t>Source: US Census Bureau, American Community Survey 2019–2023 5-Year Population Estimates, Table S1701-Poverty Status in the Last 12 Months, November 2025 https://data.census.gov/table/ACSST5Y2023.S1701?q=S1701+Orange+County,+NY&amp;g=050XX00US36071</t>
  </si>
  <si>
    <t>fig-poverty-pop</t>
  </si>
  <si>
    <t>Source: NYS Community Health Indicator Reports Dashboard, August 2025 sourced from US Census Bureau, Small Area Income and Poverty Estimates https://webbi1.health.ny.gov/SASStoredProcess/guest?_program=%2FEBI%2FPHIG%2Fapps%2Fchir_dashboard%2Fchir_dashboard&amp; p=ch&amp;cos=33</t>
  </si>
  <si>
    <t>Note: This includes the population who live below the federally determined guidelines for poverty.</t>
  </si>
  <si>
    <t>fig-poverty-individual-rande</t>
  </si>
  <si>
    <t>Region</t>
  </si>
  <si>
    <t>Black or African American Alone</t>
  </si>
  <si>
    <t>American Indian and Alaska Native Alone</t>
  </si>
  <si>
    <t>Native Hawaiian and Other Pacific Islander Alone</t>
  </si>
  <si>
    <t>Hispanic or Latino Origin (Any Race)</t>
  </si>
  <si>
    <t>White Alone, Not Hispanic or Latino</t>
  </si>
  <si>
    <t>US</t>
  </si>
  <si>
    <t>Race/Ethnicity</t>
  </si>
  <si>
    <t>County/State/Country</t>
  </si>
  <si>
    <t>Source: US Census Bureau; American Community Survey, 2019–2023 5-Year Population Estimates, Table S1701-Poverty Status in the Past 12 Months, August 2025 https://data.census.gov/table/ACSST5Y2023.S1701?q=s1701&amp;g=050XX00US36071_010XX00US_040XX00US36</t>
  </si>
  <si>
    <t>Note: The American Community Survey asks respondents their income in the past 12 months. This is for income that is received on a regular basis before payments for taxes, social security, etc. and only includes those above 15 years old.</t>
  </si>
  <si>
    <t>fig-poverty-family-rande</t>
  </si>
  <si>
    <t>Source: US Census Bureau; American Community Survey, 2017–2021 American Community Survey 5-Year Estimates, Table S1702-Poverty Status in the Past 12 Months of Families, August 2025 https://data.census.gov/table/ACSST5Y2023.S1702?q=S1702:+POVERTY+STATUS+IN+THE+PAST+12+MONTHS+OF+FAMILIES&amp; g=010XX00US_040XX00US36_050XX00US36071</t>
  </si>
  <si>
    <t>Note: The American Community Survey asks respondents their income in the past 12 months for all related members of the family living in the household. This is for income that is received on a regular basis before payments for taxes, social security, etc. and only includes those above 15 years old.</t>
  </si>
  <si>
    <t>fig-children-poverty-threshold</t>
  </si>
  <si>
    <t>Source: NYS Community Health Indicator Reports Dashboard, August 2025 sourced from US Census Bureau, Small Area Income and Poverty Estimates https://webbi1.health.ny.gov/SASStoredProcess/guest?_program=%2FEBI%2FPHIG%2Fapps%2Fchir_dashboard%2Fchir_dashboard &amp;p=ch&amp;cos=33</t>
  </si>
  <si>
    <t>Note: This includes children less than 18 years old who live below the federally determined guidelines for poverty.</t>
  </si>
  <si>
    <t>Total Population Age 16+</t>
  </si>
  <si>
    <t>Population Age 16+ in Labor Force</t>
  </si>
  <si>
    <t>Civilian Labor Force</t>
  </si>
  <si>
    <t>Armed Forces</t>
  </si>
  <si>
    <t>Population Age 16+ Not In Labor Force</t>
  </si>
  <si>
    <t>Employed</t>
  </si>
  <si>
    <t>Unemployed</t>
  </si>
  <si>
    <t>Source: US Census Bureau, American Community Survey 2019–2023 5-Year Population Estimates, Table DP03-Selected Economic Characteristics, November 2025 https://data.census.gov/table/ACSDP5Y2023.DP03?q=DP03+Orange+County,+NY&amp;g=060XX00US3607134550,3607156185,36 07148857,3607182755,3607147042,3607148153,3607178839,3607130631,3607118300,3607175781,3607150045,360714 7713,3607147999,3607150848,3607129553,3607107003,3607115308,3607131907,3607118916,3607178366,3607177992 ,3607119961,3607150034,3607159388_160XX00US3646162,3629542,3630752,3655673,3678355,3676210,3634495,3615 297,3675803,3682750,3677849,3632325,3647988,3678465,3639853,3618333,3668610,3648142_050XX00US36071</t>
  </si>
  <si>
    <t>Note: Town totals include Village totals. Armed Forces includes active-duty members of the US Air Force, Army, Coast Guard, Marines, or Navy. They are counted as part of the total labor force but are categorized separately from civilians.</t>
  </si>
  <si>
    <t>Source: NYS Community Health Indicator Reports Dashboard, September 2024 sourced from US Department of Labor https://webbi1.health.ny.gov/SASStoredProcess/guest?_program=%2FEBI%2FPHIG%2Fapps%2Fchir_dashboard%2Fchir_dashboard &amp;p=ch&amp;cos=33</t>
  </si>
  <si>
    <t>Note: Unemployed is defined as a person actively seeking employment and available for work. Part-time workers are considered employed. The annual average "Percentage Unemployed" aged 16 years and older was calculated by dividing the number unemployed by the total labor force (employed and unemployed) times 100.</t>
  </si>
  <si>
    <t>School District</t>
  </si>
  <si>
    <t>Racial and Ethnic Origins of Students Enrolled</t>
  </si>
  <si>
    <t>Drop-Out and Four-Year Graduation Rate</t>
  </si>
  <si>
    <t>American Indian or Alaska Native # (%)</t>
  </si>
  <si>
    <t>Asian or Native Hawaiian/Other Pacific Islander # (%)</t>
  </si>
  <si>
    <t>Black or African American # (%)</t>
  </si>
  <si>
    <t>Hispanic or Latino # (%)</t>
  </si>
  <si>
    <t>White # (%)</t>
  </si>
  <si>
    <t>Multiracial # (%)</t>
  </si>
  <si>
    <t>Drop-Out Rate # (%)</t>
  </si>
  <si>
    <t>Four-Year Graduation Rate (%)</t>
  </si>
  <si>
    <t>Chester Union Free</t>
  </si>
  <si>
    <t>1 (0)</t>
  </si>
  <si>
    <t>32 (4)</t>
  </si>
  <si>
    <t>118 (13)</t>
  </si>
  <si>
    <t>367 (41)</t>
  </si>
  <si>
    <t>362 (40)</t>
  </si>
  <si>
    <t>25 (3)</t>
  </si>
  <si>
    <t>2 (2)</t>
  </si>
  <si>
    <t>94 (91)</t>
  </si>
  <si>
    <t>Cornwall Central</t>
  </si>
  <si>
    <t>3 (0)</t>
  </si>
  <si>
    <t>187 (6)</t>
  </si>
  <si>
    <t>197 (7)</t>
  </si>
  <si>
    <t>733 (25)</t>
  </si>
  <si>
    <t>1,730 (58)</t>
  </si>
  <si>
    <t>139 (5)</t>
  </si>
  <si>
    <t>3 (1)</t>
  </si>
  <si>
    <t>263 (97)</t>
  </si>
  <si>
    <t>Florida Union Free</t>
  </si>
  <si>
    <t>17 (2)</t>
  </si>
  <si>
    <t>50 (7)</t>
  </si>
  <si>
    <t>201 (29)</t>
  </si>
  <si>
    <t>408 (58)</t>
  </si>
  <si>
    <t>22 (3)</t>
  </si>
  <si>
    <t>1 (2)</t>
  </si>
  <si>
    <t>46 (92)</t>
  </si>
  <si>
    <t>Goshen Central</t>
  </si>
  <si>
    <t>119 (4)</t>
  </si>
  <si>
    <t>162 (6)</t>
  </si>
  <si>
    <t>607 (22)</t>
  </si>
  <si>
    <t>1,812 (66)</t>
  </si>
  <si>
    <t>60 (2)</t>
  </si>
  <si>
    <t>6 (2)</t>
  </si>
  <si>
    <t>232 (94)</t>
  </si>
  <si>
    <t>Greenwood Lake Union Free*</t>
  </si>
  <si>
    <t>2 (0)</t>
  </si>
  <si>
    <t>10 (2)</t>
  </si>
  <si>
    <t>11 (3)</t>
  </si>
  <si>
    <t>110 (26)</t>
  </si>
  <si>
    <t>280 (66)</t>
  </si>
  <si>
    <t>13 (3)</t>
  </si>
  <si>
    <t>Highland Falls Central</t>
  </si>
  <si>
    <t>44 (3)</t>
  </si>
  <si>
    <t>119 (8)</t>
  </si>
  <si>
    <t>240 (16)</t>
  </si>
  <si>
    <t>1,034 (69)</t>
  </si>
  <si>
    <t>68 (5)</t>
  </si>
  <si>
    <t>0 (0)</t>
  </si>
  <si>
    <t>92 (88)</t>
  </si>
  <si>
    <t>Kiryas Joel Village Union Free*</t>
  </si>
  <si>
    <t>176 (100)</t>
  </si>
  <si>
    <t>Middletown Enlarged City</t>
  </si>
  <si>
    <t>13 (0)</t>
  </si>
  <si>
    <t>191 (3)</t>
  </si>
  <si>
    <t>1,537 (21)</t>
  </si>
  <si>
    <t>4,520 (63)</t>
  </si>
  <si>
    <t>687 (10)</t>
  </si>
  <si>
    <t>268 (4)</t>
  </si>
  <si>
    <t>32 (5)</t>
  </si>
  <si>
    <t>615 (91)</t>
  </si>
  <si>
    <t>Minisink Valley Central</t>
  </si>
  <si>
    <t>5 (0)</t>
  </si>
  <si>
    <t>71 (2)</t>
  </si>
  <si>
    <t>226 (7)</t>
  </si>
  <si>
    <t>804 (23)</t>
  </si>
  <si>
    <t>2,311 (67)</t>
  </si>
  <si>
    <t>34 (1)</t>
  </si>
  <si>
    <t>9 (3)</t>
  </si>
  <si>
    <t>261 (92)</t>
  </si>
  <si>
    <t>Monroe-Woodbury Central</t>
  </si>
  <si>
    <t>11 (0)</t>
  </si>
  <si>
    <t>411 (7)</t>
  </si>
  <si>
    <t>725 (11)</t>
  </si>
  <si>
    <t>2,911 (46)</t>
  </si>
  <si>
    <t>2,051 (32)</t>
  </si>
  <si>
    <t>211 (3)</t>
  </si>
  <si>
    <t>18 (3)</t>
  </si>
  <si>
    <t>555 (90)</t>
  </si>
  <si>
    <t>Newburgh Enlarged City</t>
  </si>
  <si>
    <t>31 (0)</t>
  </si>
  <si>
    <t>216 (2)</t>
  </si>
  <si>
    <t>2,019 (19)</t>
  </si>
  <si>
    <t>6,410 (61)</t>
  </si>
  <si>
    <t>1,364 (13)</t>
  </si>
  <si>
    <t>476 (5)</t>
  </si>
  <si>
    <t>140 (15)</t>
  </si>
  <si>
    <t>665 (71)</t>
  </si>
  <si>
    <t>Pine Bush Central</t>
  </si>
  <si>
    <t>12 (0)</t>
  </si>
  <si>
    <t>127 (3)</t>
  </si>
  <si>
    <t>549 (12)</t>
  </si>
  <si>
    <t>1,213 (27)</t>
  </si>
  <si>
    <t>2,489 (55)</t>
  </si>
  <si>
    <t>161 (4)</t>
  </si>
  <si>
    <t>17 (4)</t>
  </si>
  <si>
    <t>419 (92)</t>
  </si>
  <si>
    <t>Source: NYS Education Department, November 2025 https://data.nysed.gov/enrollment.php?county=44&amp;year=2024&amp;ethnicity5B5D=I&amp;ethnicity5B5D=B&amp;ethnicity5B5D=H&amp;ethnicity5B5D=AP&amp;ethnicity5B5D=W&amp;ethnicity5B5D=M</t>
  </si>
  <si>
    <t>9 (0)</t>
  </si>
  <si>
    <t>36 (2)</t>
  </si>
  <si>
    <t>191 (8)</t>
  </si>
  <si>
    <t>520 (23)</t>
  </si>
  <si>
    <t>1,359 (59)</t>
  </si>
  <si>
    <t>185 (8)</t>
  </si>
  <si>
    <t>25 (13)</t>
  </si>
  <si>
    <t>157 (80)</t>
  </si>
  <si>
    <t>Tuxedo Union Free*</t>
  </si>
  <si>
    <t>6 (3)</t>
  </si>
  <si>
    <t>26 (14)</t>
  </si>
  <si>
    <t>59 (31)</t>
  </si>
  <si>
    <t>101 (53)</t>
  </si>
  <si>
    <t>Valley Central</t>
  </si>
  <si>
    <t>6 (0)</t>
  </si>
  <si>
    <t>61 (1)</t>
  </si>
  <si>
    <t>316 (8)</t>
  </si>
  <si>
    <t>1,352 (33)</t>
  </si>
  <si>
    <t>2,155 (52)</t>
  </si>
  <si>
    <t>234 (6)</t>
  </si>
  <si>
    <t>26 (7)</t>
  </si>
  <si>
    <t>301 (86)</t>
  </si>
  <si>
    <t>*: These school districts do not have high schools. Note: Race or races with which the student primarily identifies are indicated by the student or the parent/guardian. Multiracial includes Non-Hispanic students who reported more than one race. Dropout refers to students who were exited as a dropout on or before June 30th of the selected school year. Graduation rate is the percentage of students within a cohort earning a Regents, Regents with Advanced Designation, or a Local Diploma. Students earning a Non Diploma Credential are not counted as graduates.</t>
  </si>
  <si>
    <t>Warwick Valley Central</t>
  </si>
  <si>
    <t>4 (0)</t>
  </si>
  <si>
    <t>90 (2)</t>
  </si>
  <si>
    <t>162 (4)</t>
  </si>
  <si>
    <t>664 (18)</t>
  </si>
  <si>
    <t>2,608 (71)</t>
  </si>
  <si>
    <t>4 (1)</t>
  </si>
  <si>
    <t>331 (95)</t>
  </si>
  <si>
    <t>Washingtonville Central</t>
  </si>
  <si>
    <t>8 (0)</t>
  </si>
  <si>
    <t>72 (2)</t>
  </si>
  <si>
    <t>415 (11)</t>
  </si>
  <si>
    <t>1,278 (34)</t>
  </si>
  <si>
    <t>1,912 (50)</t>
  </si>
  <si>
    <t>121 (3)</t>
  </si>
  <si>
    <t>9 (2)</t>
  </si>
  <si>
    <t>358 (95)</t>
  </si>
  <si>
    <t>Total Population Age 25 and Over</t>
  </si>
  <si>
    <t>Highest Level of Schooling Achieved</t>
  </si>
  <si>
    <t>&lt; 9th Grade</t>
  </si>
  <si>
    <t>9–12th Grade, No Diploma</t>
  </si>
  <si>
    <t>High School Graduate</t>
  </si>
  <si>
    <t>Some College, No Degree</t>
  </si>
  <si>
    <t>Associate's Degree</t>
  </si>
  <si>
    <t>Bachelor's Degree</t>
  </si>
  <si>
    <t>Graduate/Professional Degree</t>
  </si>
  <si>
    <t>Source: US Census Bureau, American Community Survey, 2019–2023 5-Year Population Estimates, Table S1501-Educational Attainment, November 2025 https://data.census.gov/table/ACSST5Y2023.S1501?q=S1501+Orange+County,+NY&amp;g=050XX00US36071</t>
  </si>
  <si>
    <t>Note: Town totals include Village totals. The category "High School Diploma" includes those who have received a GED or other equivalent document.</t>
  </si>
  <si>
    <t>American Indian or Alaska Native</t>
  </si>
  <si>
    <t>Asian or Native Hawaiian/Other Pacific Islander</t>
  </si>
  <si>
    <t>Black or African American</t>
  </si>
  <si>
    <t>Source: NYS Education Department, August 2025 https://data.nysed.gov/gradrate.php?year=2022&amp;county=44</t>
  </si>
  <si>
    <t>Note: Graduation rate is the percentage of students within a cohort earning a Regents, Regents with Advanced Designation, or a Local Diploma. Students earning a Non Diploma Credential are not counted as graduates.</t>
  </si>
  <si>
    <t>Total Population Age 5+</t>
  </si>
  <si>
    <t>Language Spoken At Home</t>
  </si>
  <si>
    <t>English Only</t>
  </si>
  <si>
    <t>Spanish</t>
  </si>
  <si>
    <t>Other Indo-European</t>
  </si>
  <si>
    <t>Asian/Pacific Island</t>
  </si>
  <si>
    <t>Source: US Census Bureau, American Community Survey 2019–2023 5-Year Population Estimates, Table S1601-Language Spoken at Home, November 2025 https://data.census.gov/table/ACSST5Y2023.S1601?q=S1601+Orange+County,+NY&amp;g=060XX00US3607134550,3607156185,3607148857,3607182755,3607147042,360 7148153,3607178839,3607130631,3607118300,3607175781,3607150045,3607147713,3607147999,3607150848,3607129553,3607107003,3607115308,3607131 907,3607118916,3607178366,3607177992,3607119961,3607150034,3607159388_160XX00US3646162,3629542,3630752,3655673,3678355,3676210,3634495,36 15297,3675803,3682750,3677849,3632325,3647988,3678465,3639853,3618333,3668610,3648142_050XX00US36071</t>
  </si>
  <si>
    <t>Source: NYS Education Department, November 2025 https://data.nysed.gov/enrollment.php?county=44&amp;year=2024&amp;ethnicity%5B%5D=I&amp;ethnicity%5B%5D=B&amp;ethnicity%5B%5D=H&amp;et hnicity%5B%5D=AP&amp;ethnicity%5B%5D=W&amp;ethnicity%5B%5D=M</t>
  </si>
  <si>
    <t>*: These school districts do not have high schools. Note: English Language Learners (ELLs) are those who by reason of foreign birth or ancestry, speak or understand a language other than English or understand little or no English, and require support in order to become proficient in English and are identified pursuant to Section 154.3 of Commissioner's Regulations. Student who participates in, or whose family participates in, economic assistance programs, such as the Free or Reduced-Price Lunch Programs; Social Security Insurance (SSI); Supplemental Nutrition Assistance Program (SNAP); Foster Care; Refugee Assistance (cash or medical assistance); Earned Income Tax Credit (EITC); Home Energy Assistance Program (HEAP); Safety Net Assistance (SNA); Bureau of Indian Affairs (BIA); or Family Assistance: Temporary Assistance for Needy Families (TANF). If one student in a family is identified as low income, all students from that household (economic unit) may be identified as low income. Students with disabilities are those who have been identified as such by the Committee on Special Education and are receiving services under the Individuals with Disabilities Education Act (IDEA). Students with disabilities include those having an intellectual disability; hearing impairment, including deafness; speech or language impairment; visual impairment, including blindness; emotional disability; orthopedic impairment; autism; traumatic brain injury; developmental delay; other health impairment; specific learning disability; deaf-blindness; or multiple disabilities and who, by reason thereof, receive special education and related services under the IDEA according to an Individualized Education Program (IEP), Individualized Family Service Plan (IFSP), or a services plan.</t>
  </si>
  <si>
    <t>Source: US Census Bureau, American Community Survey, 2017–2021 American Community Survey 5-Year Estimates, Table S2701- Selected Characteristics of Health Insurance Coverage in the United States, August 2025 https://data.census.gov/table/ACSST5Y2023.S2701?q=uninsured&amp;g=010XX00US_040XX00US36_050XX00US36071</t>
  </si>
  <si>
    <t>Note: The American Community Survey asks respondents about health insurance coverage for each person in the household. A person is considered insured if they have marked "Yes" for at least one of the comprehensive coverage types (insurance through a current or former employer; insurance purchased directly from an insurance company; TRICARE or military health care; Medicare; Medicaid or government assistance plans; or VA healthcare).</t>
  </si>
  <si>
    <t>Vehicles Available by Household</t>
  </si>
  <si>
    <t>4+</t>
  </si>
  <si>
    <t>Source: US Census Bureau, American Community Survey 2019–2023 5-Year Population Estimates, Table B08201-Household Size by Vehicles Available, November 2025 https://data.census.gov/table/ACSDT5Y2023.B08201?q=B08201+Orange+County,+NY&amp;g=060XX00US3607134550,360715618 5,3607148857,3607182755,3607147042,3607148153,3607178839,3607130631,3607118300,3607175781,3607150045,36 07147713,3607147999,3607150848,3607129553,3607107003,3607115308,3607131907,3607118916,3607178366,360717 7992,3607119961,3607150034,3607159388_160XX00US3646162,3629542,3630752,3655673,3678355,3676210,3634495, 3615297,3675803,3682750,3677849,3632325,3647988,3678465,3639853,3618333,3668610,3648142_050XX00US36071</t>
  </si>
  <si>
    <t>Total Workers Age 16+</t>
  </si>
  <si>
    <t>Journey to Work</t>
  </si>
  <si>
    <t>Mean Travel Time in Minutes</t>
  </si>
  <si>
    <t>Drove Alone (Car, Truck, Van)</t>
  </si>
  <si>
    <t>Carpooled (Car, Truck, Van)</t>
  </si>
  <si>
    <t>Public Transit (Not Taxicab)</t>
  </si>
  <si>
    <t>Walked</t>
  </si>
  <si>
    <t>Other Means</t>
  </si>
  <si>
    <t>Worked From Home</t>
  </si>
  <si>
    <t>Source: US Census Bureau, American Community Survey 2019–2023 5-Year Population Estimates, Table DP03-Selected Economic Characteristics, November 2025 https://data.census.gov/table/ACSDP5Y2023.DP03?q=DP03+Orange+County,+NY&amp;g=060XX00US3607134550,3607156185,3607148857,3607182755,3607147042,3607148153,3607178839,3607130631,36071 18300,3607175781,3607150045,3607147713,3607147999,3607150848,3607129553,3607107003,3607115308,3607131907,3607118916,3607178366,3607177992,3607119961,3607150034,3607159388_1 60XX00US3646162,3629542,3630752,3655673,3678355,3676210,3634495,3615297,3675803,3682750,3677849,3632325,3647988,3678465,3639853,3618333,3668610,3648142_050XX00US36071</t>
  </si>
  <si>
    <t>Total Housing Units</t>
  </si>
  <si>
    <t>Occupied Housing Units</t>
  </si>
  <si>
    <t>Vacant Housing Units</t>
  </si>
  <si>
    <t>Total Number</t>
  </si>
  <si>
    <t>Owner-Occupied</t>
  </si>
  <si>
    <t>Renter-Occupied</t>
  </si>
  <si>
    <t>For Rent</t>
  </si>
  <si>
    <t>Rented, Not Occupied</t>
  </si>
  <si>
    <t>For Sale</t>
  </si>
  <si>
    <t>Sold, Not Occupied</t>
  </si>
  <si>
    <t>Seasonal/Recreational</t>
  </si>
  <si>
    <t>Migrant Labor Housing</t>
  </si>
  <si>
    <t>Source: US Census Bureau, American Community Survey 2019–2023 5-Year Population Estimates, Table B25003-Tenure and Table B25004-Vacancy Status, November 2025 https://data.census.gov/table/ACSDT5Y2023.B25003?q=B25003+Orange+County,+NY&amp;g=060XX00US3607134550,3607156185,3607148857,3607182755,3607147042,3607148153,3607178839,3607130631,3 607118300,3607175781,3607150045,3607147713,3607147999,3607150848,3607129553,3607107003,3607115308,3607131907,3607118916,3607178366,3607177992,3607119961,3607150034,36071593 88_160XX00US3646162,3629542,3630752,3655673,3678355,3676210,3634495,3615297,3675803,3682750,3677849,3632325,3647988,3678465,3639853,3618333,3668610,3648142_050XX00US36071 and https://data.census.gov/table/ACSDT5Y2023.B25004?q=B25004+Orange+County,+NY&amp;g=060XX00US3607134550,3607156185,3607148857,3607182755,3607147042,3607148153,3607178839,3607130631,3 607118300,3607175781,3607150045,3607147713,3607147999,3607150848,3607129553,3607107003,3607115308,3607131907,3607118916,3607178366,3607177992,3607119961,3607150034,36071593 88_160XX00US3646162,3629542,3630752,3655673,3678355,3676210,3634495,3615297,3675803,3682750,3677849,3632325,3647988,3678465,3639853,3618333,3668610,3648142_050XX00US36071</t>
  </si>
  <si>
    <t>Total # of Housing Units</t>
  </si>
  <si>
    <t>Year Structure Built</t>
  </si>
  <si>
    <t>2020 or later</t>
  </si>
  <si>
    <t>1949 or earlier</t>
  </si>
  <si>
    <t>Source: US Census Bureau, American Community Survey 2019–2023 5-Year Population Estimates, Table B25034-Year Structure Built, November 2025 https://data.census.gov/table/ACSDT5Y2023.B25034?q=B25034+Orange+County,+NY&amp;g=050XX00US36071</t>
  </si>
  <si>
    <t>Housing Costs, Home Values, Vacancy Rates and Cost-Stressed Households</t>
  </si>
  <si>
    <t># of Occupied Housing Units</t>
  </si>
  <si>
    <t># of Owner-Occupied Housing Units</t>
  </si>
  <si>
    <t>% Homeowner Vacancy Rate</t>
  </si>
  <si>
    <t>Median Home Value $</t>
  </si>
  <si>
    <t>Median Selected Monthly Owner Costs (Mortgage) $</t>
  </si>
  <si>
    <t># of Cost-Stressed Homeowner Households</t>
  </si>
  <si>
    <t>Source: US Census Bureau, American Community Survey 2019–2023 5-Year Population Estimates, DP04-Selected Housing Characteristics, November 2025 https://data.census.gov/table/ACSDP5Y2023.DP04?q=dp04+Orange+County,+NY&amp;g=060XX00US3607134550,3607156185,3607148857,3607182755,3607147042,3607 148153,3607178839,3607130631,3607118300,3607175781,3607150045,3607147713,3607147999,3607150848,3607129553,3607107003,3607115308,360713190 7,3607118916,3607178366,3607177992,3607119961,3607150034,3607159388_160XX00US3646162,3629542,3630752,3655673,3678355,3676210,3634495,36152 97,3675803,3682750,3677849,3632325,3647988,3678465,3639853,3618333,3668610,3648142_050XX00US36071</t>
  </si>
  <si>
    <t>Note: Town totals include Village totals. Although the Village of Harriman is split between the Towns of Monroe and Woodbury, the total is included under the Town of Monroe for simplicity</t>
  </si>
  <si>
    <t># of Renter-Occupied Housing Units</t>
  </si>
  <si>
    <t>% Rental Vacancy Rate</t>
  </si>
  <si>
    <t>Median Gross Rent $</t>
  </si>
  <si>
    <t># of Cost-Stressed Renter Households</t>
  </si>
  <si>
    <t>Source: US Census Bureau, American Community Survey 2019–2023 5-Year Population Estimates, Table B25003-Tenure and Table B25004-Vacancy Status, November 2025 https://data.census.gov/table/ACSDT5Y2023.B25003?q=B25003+Orange+County,+NY&amp;g=060XX00US3607134550,3607156185 ,3607148857,3607182755,3607147042,3607148153,3607178839,3607130631,3607118300,3607175781,3607150045,360 7147713,3607147999,3607150848,3607129553,3607107003,3607115308,3607131907,3607118916,3607178366,3607177 992,3607119961,3607150034,3607159388_160XX00US3646162,3629542,3630752,3655673,3678355,3676210,3634495,3 615297,3675803,3682750,3677849,3632325,3647988,3678465,3639853,3618333,3668610,3648142_050XX00US36071 and https://data.census.gov/table/ACSDT5Y2023.B25004?q=B25004+Orange+County,+NY&amp;g=060XX00US3607134550,3607156185 ,3607148857,3607182755,3607147042,3607148153,3607178839,3607130631,3607118300,3607175781,3607150045,36 07147713,3607147999,3607150848,3607129553,3607107003,3607115308,3607131907,3607118916,3607178366,36071 77992,3607119961,3607150034,3607159388_160XX00US3646162,3629542,3630752,3655673,3678355,3676210,363449 5,3615297,3675803,3682750,3677849,3632325,3647988,3678465,3639853,3618333,3668610,3648142_050XX00US3607 1</t>
  </si>
  <si>
    <t>Note: Town totals include Village totals. Although the Village of Harriman is split between the Towns of Monroe and Woodbury, the total is included under the Town of Monroe for simplicity.</t>
  </si>
  <si>
    <t>Total # of Occupied Housing Units</t>
  </si>
  <si>
    <t>&gt;1 Occupants Per Room</t>
  </si>
  <si>
    <t>Owner</t>
  </si>
  <si>
    <t>Renter</t>
  </si>
  <si>
    <t>Source: US Census Bureau, American Community Survey 2019–2023 5-Year Population Estimates, Table B25014-Tenure by Occupants per Room, November 2025 https://data.census.gov/table/ACSDT5Y2023.B25014?q=B25014+Orange+County,+NY&amp;g=060XX00US3607134550,360715618 5,3607148857,3607182755,3607147042,3607148153,3607178839,3607130631,3607118300,3607175781,3607150045,36 07147713,3607147999,3607150848,3607129553,3607107003,3607115308,3607131907,3607118916,3607178366,360717 7992,3607119961,3607150034,3607159388_160XX00US3646162,3629542,3630752,3655673,3678355,3676210,3634495, 3615297,3675803,3682750,3677849,3632325,3647988,3678465,3639853,3618333,3668610,3648142_050XX00US36071</t>
  </si>
  <si>
    <t>Mid-Hudson</t>
  </si>
  <si>
    <t>Source: NYS Community Health Indicator Reports Dashboard, August 2025 sourced from NYS Childhood Lead Poisoning Prevention Program https://webbi1.health.ny.gov/SASStoredProcess/guest?_program=%2FEBI%2FPHIG%2Fapps%2Fchir_dashboard%2Fchir_dashboard&amp; p=ch&amp;cos=33</t>
  </si>
  <si>
    <t>Note: High blood lead level is considered &gt;10 Micrograms per Deciliter. Three-year averages for Orange County and single-year estimates for the Mid-Hudson Region, NYS excl NYC, and NYS.</t>
  </si>
  <si>
    <t>Total # of Households</t>
  </si>
  <si>
    <t>Households Without Internet Access</t>
  </si>
  <si>
    <t>Households with Internet Subscription</t>
  </si>
  <si>
    <t>Households with Access but no Subscription</t>
  </si>
  <si>
    <t>Households with Cellular Data Only</t>
  </si>
  <si>
    <t>Source: US Census Bureau, American Community Survey 2019–2023 5-Year Population Estimates, Table B28002-Household Income in the Last 12 Months by Presence and Type of Internet Subscription in Household, November 2025 https://data.census.gov/table/ACSDT5Y2023.B28002?q=B28002+Orange+County,+NY&amp;g=060XX00US3607134550,360715618 5,3607148857,3607182755,3607147042,3607148153,3607178839,3607130631,3607118300,3607175781,3607150045,36 07147713,3607147999,3607150848,3607129553,3607107003,3607115308,3607131907,3607118916,3607178366,360717 7992,3607119961,3607150034,3607159388_160XX00US3646162,3629542,3630752,3655673,3678355,3676210,3634495, 3615297,3675803,3682750,3677849,3632325,3647988,3678465,3639853,3618333,3668610,3648142_050XX00US36071</t>
  </si>
  <si>
    <t>Harriman Village (partial)*</t>
  </si>
  <si>
    <t>Human Services</t>
  </si>
  <si>
    <t>Number of Children Protective Services reports (children under 18 years)</t>
  </si>
  <si>
    <t>Children in care (monthly average)</t>
  </si>
  <si>
    <t>Number of families receiving preventive services</t>
  </si>
  <si>
    <t>Children discharged to adoption total end of year</t>
  </si>
  <si>
    <t>Average number of youths receiving Persons in Need of Supervision (PINS)/Juvenile Detention (JD) Prevention Services per month</t>
  </si>
  <si>
    <t>Economic Independence</t>
  </si>
  <si>
    <t>Temporary Assistance (TA) applications filed total end of year</t>
  </si>
  <si>
    <t>TA cases (end of year)</t>
  </si>
  <si>
    <t>TA recipients (end of year)</t>
  </si>
  <si>
    <t>-Family Assistance (FA) cases (end of year)</t>
  </si>
  <si>
    <t>-Safety Net Assistance (SNA) cases (end of year)</t>
  </si>
  <si>
    <t>Home Energy Assistance Program (HEAP) payments</t>
  </si>
  <si>
    <t>Medicaid applications filed total end of year</t>
  </si>
  <si>
    <t>Source: Data request from Orange County Department of Social Services, November 2025</t>
  </si>
  <si>
    <t>Medicaid only (MA) cases (end of year)</t>
  </si>
  <si>
    <t>Family Health Plus (FHP) cases (end of year) (including in MA only cases)</t>
  </si>
  <si>
    <t>SNAP applications filed total at end of year</t>
  </si>
  <si>
    <t>Note: All end of year figures equal the amounts on December 31st of the indicated year. All counts have been rounded to the nearest whole number. Dollar amounts have been rounded to the nearest tenth.</t>
  </si>
  <si>
    <t>SNAP cases (end of year)</t>
  </si>
  <si>
    <t>SNAP Dollars (TA-SNAP and NTA-SNAP) for Orange County only</t>
  </si>
  <si>
    <t>Employment of TA recipients (via Employment &amp; Training Adm.)</t>
  </si>
  <si>
    <t>Homeless applicants/cases</t>
  </si>
  <si>
    <t>Families: 13
Singles: 45</t>
  </si>
  <si>
    <t>Families: 19
Singles: 56</t>
  </si>
  <si>
    <t>Families: 18 
Singles: 58</t>
  </si>
  <si>
    <t>Cases diverted to other housing remedies or ineligible</t>
  </si>
  <si>
    <t>Homeless individuals (mo. Average)</t>
  </si>
  <si>
    <t>Temporarily housed at emergency housing shelter (monthly average for Families and singles combined)</t>
  </si>
  <si>
    <t>HONOR: 48 
Other: 63 
Total: 111</t>
  </si>
  <si>
    <t>HONOR: 55 
Other: 56 
Total: 111</t>
  </si>
  <si>
    <t>HONOR: 66 
Other: 58 
Total: 124</t>
  </si>
  <si>
    <t>Temporarily housed at hotel/motel (mo. average for families and singles combined)</t>
  </si>
  <si>
    <t>Temporarily housed in transitional housing-Project Life (mo. average)</t>
  </si>
  <si>
    <t>Administrative Division</t>
  </si>
  <si>
    <t>Child Support cases (end of year)</t>
  </si>
  <si>
    <t>Child Support total collected</t>
  </si>
  <si>
    <t>DSS cases with substantiated fraud (Special Investigation results)</t>
  </si>
  <si>
    <t>YTD total overpayment amount charged for substantiated fraud cases</t>
  </si>
  <si>
    <t>Child Care Subsidy Cases (mo. average)</t>
  </si>
  <si>
    <t>Low Income: 324 
Temp Asst: 26 
Total: 351</t>
  </si>
  <si>
    <t>Low Income: 486 
Temp Asst: 40 
Total: 526</t>
  </si>
  <si>
    <t>Low Income: 624 
Temp Asst: 40 
Total: 664</t>
  </si>
  <si>
    <t>Orange County Total</t>
  </si>
  <si>
    <t>1-9</t>
  </si>
  <si>
    <t>10-19</t>
  </si>
  <si>
    <t>20-24</t>
  </si>
  <si>
    <t>25-34</t>
  </si>
  <si>
    <t>35-44</t>
  </si>
  <si>
    <t>45-54</t>
  </si>
  <si>
    <t>55-64</t>
  </si>
  <si>
    <t>65-74</t>
  </si>
  <si>
    <t>75-84</t>
  </si>
  <si>
    <t>s: Data are suppressed due to not meeting reporting criteria. Note: See Data Note section for more information regarding this request. This includes Circulatory System Diseases as a primary cause of death with ICD-10-CM codes of: I00–I09 (Rheumatic Heart Diseases), I10–I15 (Hypertensive Diseases), I20–I25 (Ischemic Heart Diseases), I26–I28 (Pulmonary Heart Diseases and Circulation), I30–I52 (Other Forms of Heart Disease), I60–I69 (Cerebrovascular Disease), I70–I79 (Disease of Arteries, Arterioles, and Capillaries), I80–I89 (Disease of Veins, Lymphatics, and Nodes), and I95–I99 (Other and Unspecified Disorders). Birth and death data for Orange County excludes events recorded in NYC. All rates use ACS 5-year population estimates, except for the ages under 1 year and 1–9 years, which are based on crude live births in Orange County.</t>
  </si>
  <si>
    <t>County</t>
  </si>
  <si>
    <t>Note: See Data Note section for more information regarding this request. This includes Circulatory System Diseases as a primary cause of death with ICD-10-CM codes of: I00–I09 (Rheumatic Heart Diseases), I10–I15 (Hypertensive Diseases), I20–I25 (Ischemic Heart Diseases), I26–I28 (Pulmonary Heart Diseases and Circulation), I30–I52 (Other Forms of Heart Disease), I60–I69 (Cerebrovascular Disease), I70–I79 (Disease of Arteries, Arterioles, and Capillaries), I80–I89 (Disease of Veins, Lymphatics, and Nodes), and I95–I99 (Other and Unspecified Disorders). Birth and death data for Orange County excludes events recorded in NYC. All rates use ACS 5-year population estimates, except for the ages under 1 year and 1–9 years, which are based on crude live births in Orange County.</t>
  </si>
  <si>
    <t>s: Data are suppressed due to not meeting reporting criteria. Note: See Data Note section for more information regarding this request. This includes Diseases of the Heart as a primary cause of death with ICD-10-CM codes of: I00–I09 (Acute Rheumatic Fever), I11 (Hypertensive Heart Disease), I13 (Hypertensive Heart Disease and Chronic Kidney Disease), and I20–I51 (Ischemic Heart Diseases, Pulmonary Circulation Diseases, and Other forms of Heart Disease). Birth and death data for Orange County excludes events recorded in NYC. All rates use ACS 5-year population estimates, except for the ages under 1 year and 1–9 years, which are based on crude live births in Orange County.</t>
  </si>
  <si>
    <t>Note: See Data Note section for more information regarding this request. This includes Diseases of the Heart as a primary cause of death with ICD-10-CM codes of: I00–I09 (Acute Rheumatic Fever), I11 (Hypertensive Heart Disease), I13 (Hypertensive Heart Disease and Chronic Kidney Disease), and I20–I51 (Ischemic Heart Diseases, Pulmonary Circulation Diseases, and Other forms of Heart Disease). Birth and death data for Orange County excludes events recorded in NYC. All rates use ACS 5-year population estimates, except for the ages under 1 year and 1–9 years, which are based on crude live births in Orange County.</t>
  </si>
  <si>
    <t>Source: NYS County Health Indicators by Race and Ethnicity, November 2025</t>
  </si>
  <si>
    <t>Note: This includes Diseases of the Heart as a primary cause of death with ICD-10-CM codes of: I00–I09 (Acute Rheumatic Fever), I11 (Hypertensive Heart Disease), I13 (Hypertensive Heart Disease and Chronic Kidney Disease), and I20–I51 (Ischemic Heart Diseases, Pulmonary Circulation Diseases, and Other forms of Heart Disease). Standard population used for age-adjustment using the 2000 projected US. population.</t>
  </si>
  <si>
    <t>Zip Code</t>
  </si>
  <si>
    <t>Source: NYS County Health Indicators by Race and Ethnicity, August 2025 https://www.health.ny.gov/community/health_equity/reports/county/orange.htm</t>
  </si>
  <si>
    <t>Note: Cerebrovascular Disease is also known as stroke. The ICD-10-CM codes used for Cerebrovascular Disease are: I60-I69. Standard population used for age-adjustment using the 2000 projected US. population.</t>
  </si>
  <si>
    <t>s: Data are suppressed due to not meeting reporting criteria. Note: See Data Note section for more information regarding this request. Cerebrovascular Disease is also known as stroke. This includes Cerebrovascular Disease as a primary cause of death with ICD-10-CM codes of: I60–I69. Birth and death data for Orange County excludes events recorded in NYC. All rates use ACS 5-year population estimates, except for the ages under 1 year and 1–9 years, which are based on crude live births in Orange County.</t>
  </si>
  <si>
    <t>Note: See Data Note section for more information regarding this request. Cerebrovascular Disease is also known as stroke. This includes Cerebrovascular Disease as a primary cause of death with ICD-10-CM codes of: I60–I69. Birth and death data for Orange County excludes events recorded in NYC. All rates use ACS 5-year population estimates, except for the ages under 1 year and 1–9 years, which are based on crude live births in Orange County.</t>
  </si>
  <si>
    <t>s: Data are suppressed due to not meeting reporting criteria. Note: See Data Note section for more information regarding this request. This includes Other Diseases of the Circulatory System as a primary cause of death with ICD-10-CM codes of: I71–I78 (Diseases of Arteries, Arterioles, and Capillaries), and I80–I89 (Diseases of Veins, Lymphatics, and Lymph Nodes), and I95–I99 (Other and Unspecified Disorders of the Circulatory System). Birth and death data for Orange County excludes events recorded in NYC. All rates use ACS 5-year population estimates, except for the ages under 1 year and 1–9 years, which are based on crude live births in Orange County.</t>
  </si>
  <si>
    <t>Note: See Data Note section for more information regarding this request. This includes Other Diseases of the Circulatory System as a primary cause of death with ICD-10-CM codes of: I71–I78 (Diseases of Arteries, Arterioles, and Capillaries), and I80–I89 (Diseases of Veins, Lymphatics, and Lymph Nodes), and I95–I99 (Other and Unspecified Disorders of the Circulatory System). Birth and death data for Orange County excludes events recorded in NYC. All rates use ACS 5-year population estimates, except for the ages under 1 year and 1–9 years, which are based on crude live births in Orange County.</t>
  </si>
  <si>
    <t>Source: NYS County Health Indicators by Race and Ethnicity, August 2025 sourced from NY Statewide Planning and Research Cooperative System https://www.health.ny.gov/community/health_equity/reports/county/orange.htm</t>
  </si>
  <si>
    <t>Note: The ICD-10-CM codes used for CLRD are: J40-J47. The 2018 population estimates are also used to calculate rates for 2019 and 2020. Later years are from the most recent Vintage estimates.</t>
  </si>
  <si>
    <t xml:space="preserve"> #</t>
  </si>
  <si>
    <t>s: Data are suppressed due to not meeting reporting criteria. Note: This includes Chronic Lower Respiratory Disease as a primary cause of death with ICD-10-CM codes of: J40–J47. See Data Note section for more information regarding this request. Birth and death data for Orange County excludes events recorded in NYC. All rates use ACS 5-year population estimates, except for the ages under 1 year and 1-9 years, which are based on crude live births in Orange County.</t>
  </si>
  <si>
    <t>Note: This includes Chronic Lower Respiratory Disease as a primary cause of death with ICD-10-CM codes of: J40-J47. See Data Note section for more information regarding this request. Birth and death data for Orange County excludes events recorded in NYC. All rates use ACS 5-year population estimates, except for the ages under 1 year and 1-9 years, which are based on crude live births in Orange County.</t>
  </si>
  <si>
    <t>Note: The ICD-10-CM codes used for CLRD are: J40-J47. See Data Note section for more information regarding this request. Birth and death data for Orange County excludes events recorded in NYC. All rates use ACS 5-year population estimates, except for the ages under 1 year and 1-9 years, which are based on crude live births in Orange County.</t>
  </si>
  <si>
    <t>1.8*</t>
  </si>
  <si>
    <t>Source: NYS County Health Indicators by Race and Ethnicity, August 2025 sourced from NY Statewide Planning and Research Cooperative System https://www.health.ny.gov/community/health_equity/reports/county/</t>
  </si>
  <si>
    <t>*: The rate or percentage is unstable. Note: The ICD-10-CM code used for asthma is: J45. The 2018 population estimates are also used to calculate rates for 2019 and 2020. Later years are from the most recent Vintage estimates.</t>
  </si>
  <si>
    <t>Note: The ICD-10-CM code used for asthma is: J45. The 2018 population estimates are also used to calculate rates for 2019 and 2020. Later years are from the most recent Vintage estimates.</t>
  </si>
  <si>
    <t>Source: Special access to Statewide Planning and Research Cooperative System data product developed by NYSDOH Division of Science, November 2025</t>
  </si>
  <si>
    <t>Note: The number of potentially preventable hospitalizations due to asthma per 10,000 population, ages 2 through 17 years. Lower estimates are better. The Pediatric Quality Indicator is developed by the federal Agency for Healthcare Research and Quality (AHRQ). The rates were calculated using SAS QI software v2023. For more information, visit AHRQ PDI resources page.</t>
  </si>
  <si>
    <t>Note: The number of potentially preventable hospitalizations due to community-acquired bacterial pneumonia per 10,000 population, ages 18 years or older. Lower estimates are better. The Prevention Quality Indicator (PQI) is developed by the federal Agency for Healthcare Research and Quality (AHRQ). The rates were calculated using SAS QI software v2023. For more information, visit AHRQ PQI resources page. The rates were age-adjusted to the U.S. 2000 standard population using appropriate age distributions.</t>
  </si>
  <si>
    <t>s: Data are suppressed due to not meeting reporting criteria. Note: See Data Note section for more information regarding this request. This includes Pneumonia and Influenza as a primary cause of death with ICD-10-CM codes of: J10–J18. Birth and death data for Orange County excludes events recorded in NYC. All rates use ACS 5-year population estimates, except for the ages under 1 year and 1-9 years, which are based on crude live births in Orange County.</t>
  </si>
  <si>
    <t>Note: See Data Note section for more information regarding this request. This includes Pneumonia and Influenza as a primary cause of death with ICD-10-CM codes of: J10–J18. Birth and death data for Orange County excludes events recorded in NYC. All rates use ACS 5- year population estimates, except for the ages under 1 year and 1-9 years, which are based on crude live births in Orange County.</t>
  </si>
  <si>
    <t>Source: NYS County Health Indicators by Race and Ethnicity, August 2025</t>
  </si>
  <si>
    <t>Note: This includes hospitalizations with diabetes as any diagnosis. ICD-10-CM codes for Diabetes Mellitus includes: E10-E14. The 2018 population estimates are also used to calculate rates for 2019 and 2020. Later years are from the most recent Vintage estimates.</t>
  </si>
  <si>
    <t>Note: This only includes hospitalizations with diabetes as the primary diagnosis. ICD-10-CM codes for Diabetes Mellitus includes: E10-E14. The 2018 population estimates are also used to calculate rates for 2019 and 2020. Later years are from the most recent Vintage estimates.</t>
  </si>
  <si>
    <t>Note: See Data Note section for more information regarding this request. This includes Diabetes Mellitus as a primary cause of death with ICD-10-CM codes of: E10-E14. Birth and death data for Orange County excludes events recorded in NYC. All rates use ACS 5-year population estimates, except for the ages under 1 year and 1-9 years, which are based on crude live births in Orange County.</t>
  </si>
  <si>
    <t>Dutchess</t>
  </si>
  <si>
    <t>Putnam</t>
  </si>
  <si>
    <t>Rockland</t>
  </si>
  <si>
    <t>Sullivan</t>
  </si>
  <si>
    <t>Ulster</t>
  </si>
  <si>
    <t>Westchester</t>
  </si>
  <si>
    <t>2013–2014</t>
  </si>
  <si>
    <t>Source: NYSDOH Behavioral Risk Factor Surveillance System, April 2025 https://health.data.ny.gov/Health/Behavioral-Risk-Factor-Surveillance-System-BRFSS-H/jsy7-eb4n/about_data</t>
  </si>
  <si>
    <t>Note: The percentage is age-adjusted. An adult is a person aged 18 years or older. The Behavioral Risk Factor Surveillance System asks respondents "About how much do you weigh without shoes? " and “About how tall are you without shoes?” Based on the responses to these questions Body Mass Index is calculated using the formula: weight in kilograms divided by height in meters squared (kg/m²). Respondents classified as obese based on BMI 30.00 or higher. Respondents classified as overweight based on BMI between 25.00 and 29.9.</t>
  </si>
  <si>
    <t>Note: The percentage is age-adjusted. An adult is a person aged 18 years or older. The Behavioral Risk Factor Surveillance System asks respondents " About how much do you weigh without shoes? " and “About how tall are you without shoes?” Based on the responses to these questions Body Mass Index is calculated using the formula: weight in kilograms divided by height in meters squared (kg/m²). Respondents classified as obese based on BMI 30.00 or higher.</t>
  </si>
  <si>
    <t>s: Data are suppressed due to not meeting reporting criteria. Note: See Data Note section for more information regarding this request. This includes Liver Disease and Cirrhosis as a primary cause of death with ICD-10-CM codes of: K70, K73–K74. Birth and death data for Orange County excludes events recorded in NYC. All rates use ACS 5-year population estimates, except for the ages under 1 year and 1-9 years, which are based on crude live births in Orange County.</t>
  </si>
  <si>
    <t>ZIP Codes</t>
  </si>
  <si>
    <t>Special request from NYSDOH Bureau of Vital Records, July 2025</t>
  </si>
  <si>
    <t>Note: See Data Note section for more information regarding this request. This includes Liver Disease and Cirrhosis as a primary cause of death with ICD-10-CM codes of: K70, K73-K74. Birth and death data for Orange County excludes events recorded in NYC. All rates use ACS 5-year population estimates, except for the ages under 1 year and 1-9 years, which are based on crude live births in Orange County.</t>
  </si>
  <si>
    <t>Source: NYS Community Health Indicator Reports Dashboard, November 2025 https://webbi1.health.ny.gov/SASStoredProcess/guest?_program=%2FEBI%2FPHIG%2Fapps%2Fchir_dashboard%2Fchir_dashboard&amp; p=ch&amp;cos=33</t>
  </si>
  <si>
    <t>Note: This includes hospitalizations with any diagnosis of chronic kidney disease. The ICD-10-CM code for chronic kidney disease is N18. Three-year averages for Orange County and single-year estimates for the Mid-Hudson Region, NYS excl NYC, and NYS. The standard population used for age adjustment was the 2000 US population.</t>
  </si>
  <si>
    <t>2018-2022</t>
  </si>
  <si>
    <t>Bar</t>
  </si>
  <si>
    <t>Source: NYS Cancer Registry and Cancer Statistics, August 2025 https://www.health.ny.gov/statistics/cancer/registry/ratebyCounty.htm</t>
  </si>
  <si>
    <t>Note: Cancer statistics are for invasive cancers only. Cancer sites are coded using Site Recode ICD-O-3/WHO 2008-SEER Data Reporting tools. Rates are age-adjusted to the 2000 US standard population, 19 age groups, Census P25-1130.</t>
  </si>
  <si>
    <t>Non-Hispanic American Indian/Alaska Native</t>
  </si>
  <si>
    <t>Hispanic (Any Race)</t>
  </si>
  <si>
    <t>s: Rates are not displayed if fewer than 16 cases are reported in a specific category during the five-year period. Note: Includes only invasive cancers. Cancer sites are coded using Site Recode ICD-O-3/WHO 2008-SEER Data Reporting tools. Rate is age-adjusted to the 2000 US population (Census P25-1130). These five groups are mutually exclusive.</t>
  </si>
  <si>
    <t>s: Data are suppressed due to not meeting reporting criteria. Note: See Data Note section for more information regarding this request. This includes Malignant Neoplasm as a primary cause of death with ICD-10-CM codes of: C00–C97. Birth and death data for Orange County excludes events recorded in NYC. All rates use ACS 5-year population estimates, except for the ages under 1 year and 1-9 years, which are based on crude live births in Orange County.</t>
  </si>
  <si>
    <t>Note: See Data Note section for more information regarding this request. This includes Malignant Neoplasm as a primary cause of death with ICD-10-CM codes of: C00–C97. Birth and death data for Orange County excludes events recorded in NYC. All rates use ACS 5-year population estimates, except for the ages under 1 year and 1-9 years, which are based on crude live births in Orange County.</t>
  </si>
  <si>
    <t>Note: See Data Note section for more information regarding this request. Birth and death data for Orange County excludes events recorded in NYC. All rates use ACS 5-year population estimates, except for the ages under 1 year and 1-9 years, which are based on crude live births in Orange County. ICD-10-CM codes for Malignant Neoplasms (Cancer) includes: C00-C97.</t>
  </si>
  <si>
    <t>Source: NYS Community Health Indicator Reports Dashboard, August 2025 sourced from NYS Cancer Registry https://webbi1.health.ny.gov/SASStoredProcess/guest?_program=%2FEBI%2FPHIG%2Fapps%2Fchir_dashboard%2Fchir_dashboard&amp; p=ch&amp;cos=33</t>
  </si>
  <si>
    <t xml:space="preserve">Note: Three-year averages for Orange County and single-year estimates for NYS excluding NYC are graphed above. The ICD-10 codes used for all cancers reported in this section are C00–C97. Standard Site Analysis categories for mortality data are available on the SEER Cause of Death Recode web page. </t>
  </si>
  <si>
    <t>s: Rates are not displayed if fewer than 16 deaths are reported in a specific category during the five-year period. Note: Cancer statistics are for invasive cancers only. Cancer sites are coded using Site Recode ICD-O-3/WHO 2008-SEER Data Reporting tools. Rates are age-adjusted to the 2000 US standard population, 19 age groups, Census P25-1130. Race and ethnicity are five mutually exclusive categories.</t>
  </si>
  <si>
    <t>Note: Three-year averages for Orange County and single-year estimates for NYS excluding NYC are graphed above. The ICD-10-CM code for lung and bronchus cancer is C34. The standard population used for age adjustment was the 2000 US population.</t>
  </si>
  <si>
    <t>s: Rates are not displayed if fewer than 16 deaths are reported in a specific category during the five-year period. Note: Cancer statistics are for invasive cancers only. Cancer sites are coded using Site Recode ICD-O-3/WHO 2008-SEER Data Reporting tools. Rates are age-adjusted to the 2000 US standard population, 19 age groups, Census P25-1130. Race and ethnicity are five mutually exclusive categories</t>
  </si>
  <si>
    <t>2018–2022</t>
  </si>
  <si>
    <t xml:space="preserve">  </t>
  </si>
  <si>
    <t>Note: Cancer statistics are for invasive cancers only. Cancer sites are coded using Site Recode ICD-O-3/WHO 2008-SEER Data Reporting tools. Rates are age-adjusted to the 2000 US standard population, 19 age groups, Census P25-1130. Race and ethnicity are five mutually exclusive categories.</t>
  </si>
  <si>
    <t>Note: Three-year averages for Orange County and single-year estimates for NYS excluding NYC are graphed above. The ICD-10-CM code for female breast cancer is C50. The standard population used for age adjustment was the 2000 US population</t>
  </si>
  <si>
    <t>s: Rates are not displayed if fewer than 16 deaths are reported in a specific category during the five-year period. Note: Cancer statistics are for invasive cancers only. Cancer sites are coded using Site Recode ICD-O-3/WHO 2008-SEER Data Reporting tools. Rates are age-adjusted to the 2000 US standard population, 19 age groups, Census P25-1130.</t>
  </si>
  <si>
    <t>Note: Three-year averages for Orange County and single-year estimates for NYS excluding NYC are graphed above. The ICD-10-CM code for female breast cancer is C50. The standard population used for age adjustment was the 2000 US population.</t>
  </si>
  <si>
    <t>Note: Three-year averages for Orange County and single-year estimates for NYS excluding NYC are graphed above. The ICD-10-CM code for cervix uteri cancer is C53. The standard population used for age adjustment was the 2000 US population.</t>
  </si>
  <si>
    <t>Note: Cancer statistics are for invasive cancers only. Cancer sites are coded using Site Recode ICD-O-3/WHO 2008-SEER Data Reporting tools. Rates are age-adjusted to the 2000 US standard population, 19 age groups, Census P25-1130. Race and ethnicity are five mutually exclusive categories</t>
  </si>
  <si>
    <t>Note: Three-year averages for Orange County and single-year estimates for NYS excluding NYC are graphed above. The ICD-10-CM code for prostate cancer is C61. The standard population used for age adjustment was the 2000 US population.</t>
  </si>
  <si>
    <t>Disease</t>
  </si>
  <si>
    <t>Amebiasis</t>
  </si>
  <si>
    <t>Anaplasmosis, Anaplasma phagocytophilum</t>
  </si>
  <si>
    <t>Babesiosis</t>
  </si>
  <si>
    <t>Campylobacteriosis</t>
  </si>
  <si>
    <t>Candida Auris</t>
  </si>
  <si>
    <t>Chlamydia</t>
  </si>
  <si>
    <t>Cryptosporidiosis</t>
  </si>
  <si>
    <t>Cyclospora</t>
  </si>
  <si>
    <t>Dengue Fever</t>
  </si>
  <si>
    <t>E Coli Shiga Toxin</t>
  </si>
  <si>
    <t>Ehrlichiosis, Ehrlichia chaffeenis</t>
  </si>
  <si>
    <t>Source: NYS Communicable Disease Electronic Surveillance System, July 2025</t>
  </si>
  <si>
    <t>Encephalitis</t>
  </si>
  <si>
    <t>Giardiasis</t>
  </si>
  <si>
    <t>Gonorrhea</t>
  </si>
  <si>
    <t>*: From 2013-2021 counties investigated a sample of positive laboratory results. The number of cases was extrapolated to generated estimates of the total number of cases. Beginning in 2022, all records received were used for case counting and no extrapolation was done. s: Data are suppressed due to not meeting reporting criteria. Note: Only confirmed cases are included.</t>
  </si>
  <si>
    <t>Haemophilus influenzae</t>
  </si>
  <si>
    <t>Hepatitis A</t>
  </si>
  <si>
    <t>Hepatitis B, Acute</t>
  </si>
  <si>
    <t>Hepatitis B, Chronic</t>
  </si>
  <si>
    <t>Hepatitis C, Acute</t>
  </si>
  <si>
    <t>Hepatitis C, Chronic</t>
  </si>
  <si>
    <t>Influenza A</t>
  </si>
  <si>
    <t>Influenza B</t>
  </si>
  <si>
    <t>Influenza, Unspecified</t>
  </si>
  <si>
    <t>Legionellosis</t>
  </si>
  <si>
    <t>Listeriosis Non-Pregnancy</t>
  </si>
  <si>
    <t>Lyme Disease*</t>
  </si>
  <si>
    <t>Malaria</t>
  </si>
  <si>
    <t>Measles</t>
  </si>
  <si>
    <t>Meningitis</t>
  </si>
  <si>
    <t>Mumps</t>
  </si>
  <si>
    <t>Pertussis</t>
  </si>
  <si>
    <t>Rocky Mountain Spotted Fever</t>
  </si>
  <si>
    <t>RSV</t>
  </si>
  <si>
    <t>Salmonellosis</t>
  </si>
  <si>
    <t>Shigellosis</t>
  </si>
  <si>
    <t>Strep Group A</t>
  </si>
  <si>
    <t>Strep Group B</t>
  </si>
  <si>
    <t>Strep Pneumoniae</t>
  </si>
  <si>
    <t>Syphilis</t>
  </si>
  <si>
    <t>Tuberculosis</t>
  </si>
  <si>
    <t>Typhoid</t>
  </si>
  <si>
    <t>Vibriosis</t>
  </si>
  <si>
    <t>Yersiniosis</t>
  </si>
  <si>
    <t>Source: NYSDOH Communicable Disease Annual Reports, August 2025 https://www.health.ny.gov/statistics/diseases/communicable/</t>
  </si>
  <si>
    <t>White Non-Hispanic</t>
  </si>
  <si>
    <t>Black Non-Hispanic</t>
  </si>
  <si>
    <t>Hispanic (of any race)</t>
  </si>
  <si>
    <t>0-14</t>
  </si>
  <si>
    <t>15-19</t>
  </si>
  <si>
    <t>Source: NYS Communicable Disease Electronic Surveillance System, August 2025</t>
  </si>
  <si>
    <t>25-29</t>
  </si>
  <si>
    <t>30-34</t>
  </si>
  <si>
    <t>35-39</t>
  </si>
  <si>
    <t>s: Data are suppressed. The data do not meet the criteria for confidentiality. Note: All rates are calculated using American Community Survey 5-Year Census population estimates. 2023 Census data used for 2024.</t>
  </si>
  <si>
    <t>40-44</t>
  </si>
  <si>
    <t>45-49</t>
  </si>
  <si>
    <t>50+</t>
  </si>
  <si>
    <t>Source: NYS Sexually Transmitted Infections Data and Statistics Dashboard, August 2025 https://www.health.ny.gov/statistics/diseases/communicable/std</t>
  </si>
  <si>
    <t>Note: Rates are calculated using American Community Survey 5-Year Census population estimates. 2023 Census data used for 2024.</t>
  </si>
  <si>
    <t>13-24</t>
  </si>
  <si>
    <t>65+</t>
  </si>
  <si>
    <t>Diagnoses</t>
  </si>
  <si>
    <t>HIV Diagnoses</t>
  </si>
  <si>
    <t>AIDS Diagnoses</t>
  </si>
  <si>
    <t>Source: NYS HIV/AIDS Annual Surveillance Reports, August 2025 https://www.health.ny.gov/diseases/aids/general/statistics/</t>
  </si>
  <si>
    <t>Note: Rates exclude persons incarcerated. Persons diagnosed with HIV may also be diagnosed with AIDS in the same year or a later year and their AIDS diagnosis will be counted in the AIDS diagnosis tables. HIV and AIDS diagnoses cannot be added together in a meaningful way. Rates are age-adjusted to the 2000 US Standard Population.</t>
  </si>
  <si>
    <t>Heterosexual Contact</t>
  </si>
  <si>
    <t>Injection Drug Use</t>
  </si>
  <si>
    <t>Men who have Sex with Men</t>
  </si>
  <si>
    <t>IDU and MSM</t>
  </si>
  <si>
    <t>Source: National Center for HIV, Viral Hepatitis, STD, and Tuberculosis Prevention AtlasPlus, August 2025 https://gis.cdc.gov/grasp/nchhstpatlas/tables.html</t>
  </si>
  <si>
    <t>Note: Data for 2024 are considered preliminary subject to a 12-month reporting delay.</t>
  </si>
  <si>
    <t>Note: PrEP coverage, reported as a percentage, is calculated as the number of persons aged 16 years and older classified as having been prescribed PrEP divided by the estimated number of persons aged 16 years and older who had indications for PrEP. Data for 2024 are considered preliminary subject to a 12-month reporting delay.</t>
  </si>
  <si>
    <t>0-19</t>
  </si>
  <si>
    <t>s: Data are suppressed. The data do not meet the criteria for confidentiality. Note: All rates are calculated using American Community Survey 5-Year Census population estimates. 2023 Census data used for 2024</t>
  </si>
  <si>
    <t>Source: NYS Sexually Transmitted Infections Data and Statistics Dashboard, August 2025 https://www.health.ny.gov/statistics/diseases/communicable/std/</t>
  </si>
  <si>
    <t>Births to Females Age 15-44 Years</t>
  </si>
  <si>
    <t>25-44</t>
  </si>
  <si>
    <t>Note: See Data Note section for more information regarding this request. This rate only includes live births from females aged 15–44. Birth and death data for Orange County excludes events recorded in NYC. Rates use ACS 5-year population estimates, except for the ages under 1 year and 1–9 years, which are based on crude live births in Orange County. Rates for race and ethnicity are calculated using ACS 2019 5-year population estimates only.</t>
  </si>
  <si>
    <t>Note: See Data Note section for more information regarding this request. This rate only includes live births from females aged 15–44. Birth and death data for Orange County excludes events recorded in NYC. This rate uses ACS 5-year population estimates, except for the ages under 1 year and 1–9 years, which are based on crude live births in Orange County.</t>
  </si>
  <si>
    <t xml:space="preserve"># </t>
  </si>
  <si>
    <t>% of All Births</t>
  </si>
  <si>
    <t>% Average</t>
  </si>
  <si>
    <t>All Orange County Births</t>
  </si>
  <si>
    <t>Births to Mothers 17 and Younger</t>
  </si>
  <si>
    <t>10-14</t>
  </si>
  <si>
    <t>15-17</t>
  </si>
  <si>
    <t>18+</t>
  </si>
  <si>
    <t>ource: Special request from NYSDOH Bureau of Vital Records, July 2025</t>
  </si>
  <si>
    <t>10950*</t>
  </si>
  <si>
    <t>*: Higher percentage of missing data than other zip codes. Interpret rates with caution. s: Data are suppressed due to not meeting reporting criteria. Note: See Data Note section for more information regarding this request. Birth and death data for Orange County excludes events recorded in NYC. Rates use ACS 5-year population estimates, except for the ages under 1 year and 1–9 years, which are based on crude live births in Orange County. Rates for race and ethnicity are calculated using ACS 2019 5-year population estimates.</t>
  </si>
  <si>
    <t>Births with Medicaid or Self-Pay</t>
  </si>
  <si>
    <t>18-19</t>
  </si>
  <si>
    <t>45+</t>
  </si>
  <si>
    <t>*: Higher percentage of missing data than other zip codes. Interpret rates with caution. s: Data are suppressed due to not meeting reporting criteria. Note: See Data Note section for more information regarding this request. Medicaid includes managed care, Prenatal Care Assistance Program, Medicaid Obstetrical and Maternal Services, and Family Health Plus. Self-pay includes mothers who have no identified third-party health insurance coverage. Birth and death data for Orange County excludes events recorded in NYC. Rates use ACS 5-year population estimates, except for the ages under 1 year and 1–9 years, which are based on crude live births in Orange County. Rates for race and ethnicity are calculated using ACS 2019 5-year population estimates.</t>
  </si>
  <si>
    <t>39.1*</t>
  </si>
  <si>
    <t>32.3*</t>
  </si>
  <si>
    <t>24.9*</t>
  </si>
  <si>
    <t>12.3*</t>
  </si>
  <si>
    <t>PA 2024</t>
  </si>
  <si>
    <t>Source: NYS Prevention Agenda Tracking Dashboard, November 2025 https://webbi1.health.ny.gov/SASStoredProcess/guest?_program=%2FEBI%2FPHIG%2Fapps%2Fdashboard%2Fpa_dashboard&amp;p=ch &amp;cos=33</t>
  </si>
  <si>
    <t>*: The rate is unstable or unreliable. Note: This rate includes deaths to women from any causes related to or aggravated by pregnancy or its management that occurred while pregnant or within 42 days of termination of pregnancy. The ICD-10-CM codes included are: O00-95 (Pregnancy, Childbirth, and the Puerperium), O98 (Maternal Infectious/Parasitic Diseases), O99 (Other Maternal Diseases), and A34 (Obstetrical Tetanus). The maternal mortality definition is consistent with the definition used by the World Health Organization. Three-year averages are used for Orange County and single-year estimates are used for the Mid-Hudson, NYS, and NYS excl NYC.</t>
  </si>
  <si>
    <t>Note: Three-year averages are used for Orange County and single-year estimates are used for the Mid-Hudson, NYS, and NYS excl NYC</t>
  </si>
  <si>
    <t>5.6*</t>
  </si>
  <si>
    <t>2.6*</t>
  </si>
  <si>
    <t>Source: NYS County Health Indicators by Race and Ethnicity, November 2025 sourced from NY Statewide Planning and Research Cooperative System https://www.health.ny.gov/community/health_equity/reports/county/</t>
  </si>
  <si>
    <t>*: The rate is unstable. Note: This includes infant deaths at less than one year of age. The 2018 population estimates are used to calculate rates for 2019 and 2020. Later years are from the most recent Vintage estimates.</t>
  </si>
  <si>
    <t>Births with Early Prenatal Care</t>
  </si>
  <si>
    <t>*: Higher percentage of missing data than other zip codes. Interpret rates with caution. s: Data are suppressed due to not meeting reporting criteria. Note: See Data Note section for more information regarding this request. Early Prenatal Care occurs during the first trimester of the pregnancy. This includes all live births. Birth and death data for Orange County excludes events recorded in NYC. These rates use ACS 5-year population estimates, except for the ages under 1 year and 1–9 years, which are based on crude live births in Orange County. The rate for race and ethnicity are calculated using ACS 2019 5-year population estimates only.</t>
  </si>
  <si>
    <t>Note: See Data Note section for more information regarding this request. Early Prenatal Care occurs during the first trimester of the pregnancy. This includes all live births. Birth and death data for Orange County excludes events recorded in NYC. This rate uses ACS 5-year population estimates, except for the ages under 1 year and 1–9 years, which are based on crude live births in Orange County.</t>
  </si>
  <si>
    <t>*: Higher percentage of missing data than other zip codes. Interpret rates with caution. Note: See Data Note section for more information regarding this request. Early Prenatal Care occurs during the first trimester of the pregnancy. This includes all live births. Birth and death data for Orange County excludes events recorded in NYC. All rates use ACS 5-year population estimates, except for the ages under 1 year and 1–9 years, which are based on crude live births in Orange County.</t>
  </si>
  <si>
    <t>Births with Late or No Prenatal Care</t>
  </si>
  <si>
    <t>: Higher percentage of missing data than other zip codes. Interpret rates with caution. s: Data are suppressed due to not meeting reporting criteria. Note: See Data Note section for more information regarding this request. Late Prenatal Care begins only in the last trimester of the pregnancy. No Prenatal Care means the mother received zero visits or examination during the pregnancy. This includes all live births. Birth and death data for Orange County excludes events recorded in NYC. Rates use ACS 5-year population estimates, except for the ages under 1 year and 1–9 years, which are based on crude live births in Orange County. Rates for race and ethnicity are calculated using ACS 2019 5-year population estimates.</t>
  </si>
  <si>
    <t>Note: See Data Note section for more information regarding this request. Late Prenatal Care begins only in the last trimester of the pregnancy. No Prenatal Care means the mother received zero visits or examination during the pregnancy. This includes all live births. This rate uses ACS 5-year population estimates, except for the ages under 1 year and 1–9 years, which are based on crude live births in Orange County</t>
  </si>
  <si>
    <t>Note: See Data Note section for more information regarding this request. Late Prenatal Care begins only in the last trimester of the pregnancy. No Prenatal Care means the mother received zero visits or examination during the pregnancy. This includes all live births. This rate is calculated using ACS 2019 5-year population estimates.</t>
  </si>
  <si>
    <t>*: Higher percentage of missing data than other zip codes. Interpret rates with caution. Note: See Data Note section for more information regarding this request. Late Prenatal Care begins only in the last trimester of the pregnancy. No Prenatal Care means the mother received zero visits or examination during the pregnancy. This includes all live births. Birth and death data for Orange County excludes events recorded in NYC. This rate uses ACS 5-year population estimates, except for the ages under 1 year and 1–9 years, which are based on crude live births in Orange County.</t>
  </si>
  <si>
    <t>Note: Adequate Prenatal Care is defined by both the timing of the first visit (initial visit by the 4th month of pregnancy) and the frequency of follow-up care (attending more than 80% of expected visits). Three-year averages are used for Orange County and single-year estimates are used for the Mid-Hudson, NYS, and NYS excl NYC. Estimates for 2020 and earlier are from Bridged Race Categories files, developed by the Census Bureau for the National Center for Health Statistics. The 2018 population estimates are used to calculate rates for 2019 and 2020. Estimates for 2021 and later are from Special Tabulations from the US Census Population and Housing Unit Estimates Program. Y-axis does not begin at zero in order to clearly display trend lines.</t>
  </si>
  <si>
    <t>Premature Births</t>
  </si>
  <si>
    <t>*: Higher percentage of missing data than other zip codes. Interpret rates with caution. s: Data are suppressed due to not meeting reporting criteria. Note: See Data Note section for more information regarding this request. Premature Birth includes any live birth that occurs before 37 completed weeks of gestation. Birth and death data for Orange County excludes events recorded in NYC. Rates use ACS 5-year population estimates, except for the ages under 1 year and 1–9 years, which are based on crude live births in Orange County. Rates for race and ethnicity are calculated using ACS 2019 5-year population estimates.</t>
  </si>
  <si>
    <t>Note: See Data Note section for more information regarding this request. Premature Birth includes any live birth that occurs before 37 completed weeks of gestation. Birth and death data for Orange County excludes events recorded in NYC. Rates use ACS 5-year population estimates, except for the ages under 1 year and 1–9 years, which are based on crude live births in Orange County.</t>
  </si>
  <si>
    <t>Note: Premature Birth includes any live birth that occurs before 37 completed weeks of gestation. The 2018 population estimates are used to calculate rates for 2019 and 2020. Later years are from the most recent Vintage estimates.</t>
  </si>
  <si>
    <t>Low Birth Weight Births</t>
  </si>
  <si>
    <t>*: Higher percentage of missing data than other zip codes. Interpret rates with caution. s: Data are suppressed due to not meeting reporting criteria. Note: See Data Note section for more information regarding this request. Low Birthweight includes births with known birthweight that resulted in infants weighing less than 2500 grams. Birth and death data for Orange County excludes events recorded in NYC. Rates use ACS 5-year population estimates, except for the ages under 1 year and 1–9 years, which are based on crude live births in Orange County. Rates for race and ethnicity are calculated using ACS 2019 5-year population estimates.</t>
  </si>
  <si>
    <t>Note: Low Birthweight includes births with known birthweight that resulted in infants weighing less than 2500 grams. The 2018 population estimates are used to calculate rates for 2019 and 2020. Later years are from the most recent Vintage estimates.</t>
  </si>
  <si>
    <t>Source: NYS Opioid Data Dashboard, August 2025 sourced from NY Statewide Planning and Research Cooperative System https://apps.health.ny.gov/public/tabvis/PHIG_Public/opioid/#</t>
  </si>
  <si>
    <t>Note: This includes outpatients and admitted patients. The following ICD-10 codes were used: Principal Diagnosis: T36-T50 (excludes ‘adverse effect’ or ‘underdosing’ as indicated by the values of 5 and 6 in the 5th/6th character (for T36.9, T37.9, T39.9, T41.4, T42.7, T43.9, T45.9, T47.9, and T49.9, a 5th character; for all others, a 6th character); and ‘sequela’ as indicated by the value of ‘S’ in the 7th character; e.g., T400X5S, T400X6S).</t>
  </si>
  <si>
    <t>Note: This includes the following ICD-10 codes: Opioid abuse (principal diagnosis: F1110, F11120, F11121, F11122, F11129, F1114, F11150, F11151, F11159, F11181, F11182, F11188, F1119); Opioid dependence and unspecified use (principal diagnosis: F1120, F11220, F11221, F11222, F11229, F1123, F1124, F11250, F11251, F11259, F11281, F11282, F11288, F1129, F1190, F11920, F11921, F11922, F11929, F1193, F1194, F11950, F11951, F11959, F11981, F11982, F11988, F1199).</t>
  </si>
  <si>
    <t>Note: Neonatal withdrawal symptoms from maternal use of drugs of addiction, and/or newborns affected by maternal use of drugs of addiction (other than cocaine) including opiates, sedative-hypnotics and anxiolytics. ICD-10 Codes include: principal diagnosis: Z38 (liveborn infants) AND P96.1 (neonatal withdrawal symptoms from maternal use of drugs of addiction) or P04.49 (newborns affected by maternal use of drugs of addiction (other than cocaine)) or P04.14 (newborns affected by maternal use of opiates) or P04.17 (newborns affected by maternal use of sedative-hypnotics) or P04.1A (newborns affected by maternal use of anxiolytics) in any other diagnoses.</t>
  </si>
  <si>
    <t>Source: Special request from the NYS Prescription Monitoring Program, October 2025</t>
  </si>
  <si>
    <t>Note: This rate is for controlled substance (Schedule II, III and IV opioid analgesics) prescription rates per population and is not a rate of the number of different people who are receiving a controlled substance prescription in OC. Buprenorphine prescriptions for the treatment of substance use disorder were excluded.</t>
  </si>
  <si>
    <t>Note: Y-axis does not begin at zero in order to clearly display trend lines. This measure only looks at initial opioid prescriptions. Opioidnaive is defined as patients with no opioid prescription in the last 45 days. Buprenorphine prescriptions for the treatment of substance use disorder were excluded.</t>
  </si>
  <si>
    <t>Note: This rate is for benzodiazepine prescriptions dispensed to residents and is not the number of different people who are receiving benzodiazepine prescriptions in OC. Buprenorphine prescriptions for the treatment of substance use disorder were excluded.</t>
  </si>
  <si>
    <t>Note: Y-axis does not begin at zero in order to clearly display trend lines. This is for patients with two or more calendar days of overlapping opioid analgesic and benzodiazepine prescriptions. Includes residents with at least one prescription for opioid analgesics or benzodiazepines during a given calendar year. Buprenorphine prescriptions for the treatment of substance use disorder were excluded.</t>
  </si>
  <si>
    <t>Regoin/County</t>
  </si>
  <si>
    <t>Note: This only includes prescriptions within NYS.</t>
  </si>
  <si>
    <t>Note: This is for individuals with continuous dispensed buprenorphine prescriptions for 6 months or more for treatment of opioid use disorder (OUD) among patients receiving buprenorphine in a given measurement year. A cohort of patients has at least one buprenorphine prescription for treatment of OUD between July 1st of the year prior to the current measurement year and June 30th of the current measurement year. A measurement year is a calendar year for which the cohort patients were followed up for at least six months.</t>
  </si>
  <si>
    <t>Substance</t>
  </si>
  <si>
    <t>Grade 8</t>
  </si>
  <si>
    <t>Grade 10</t>
  </si>
  <si>
    <t>Grade 11</t>
  </si>
  <si>
    <t>Grade 12</t>
  </si>
  <si>
    <t>Alcohol</t>
  </si>
  <si>
    <t>Cigarettes</t>
  </si>
  <si>
    <t>Marijuana</t>
  </si>
  <si>
    <t>Any Prescription Medicine</t>
  </si>
  <si>
    <t>Grade</t>
  </si>
  <si>
    <t>Source: Community-Level Youth Development Evaluation Survey, Orange County, NY, October 2025</t>
  </si>
  <si>
    <t>Note: The questions posed were: How much do you think people risk harming themselves (physically or in other ways) if they: have five or more drinks of an alcoholic beverage once or twice a week?; smoke one or more packs of cigarettes per day?; smoke marijuana regularly (once or twice a week)?; and use prescription drugs not prescribed to them? The response options included: No risk, slight risk, moderate risk, and great risk. Only Moderate and Great Risk are included in the above data.</t>
  </si>
  <si>
    <t>In your lifetime, on how many occasions (if any) have you…</t>
  </si>
  <si>
    <t>Percent Reporting ANY Usage by Grade</t>
  </si>
  <si>
    <t>8th</t>
  </si>
  <si>
    <t>10th</t>
  </si>
  <si>
    <t>11th</t>
  </si>
  <si>
    <t>12th</t>
  </si>
  <si>
    <t>had alcoholic beverages (beer, wine, or hard liquor) to drink - more than just a few sips</t>
  </si>
  <si>
    <t>used marijuana?</t>
  </si>
  <si>
    <t>used prescription opiate pain relievers, such as Vicodin or OxyContin, without a doctor's orders?</t>
  </si>
  <si>
    <t>used a prescription drug other than opiate pain relievers without a doctor's orders?</t>
  </si>
  <si>
    <t>used hash oil or dabs?</t>
  </si>
  <si>
    <t>eaten marijuana or hash oil (in brownies, cakes, cookies, candy, etc.)?</t>
  </si>
  <si>
    <t>used heroin?</t>
  </si>
  <si>
    <t>used a non-prescription cough or cold medicine (robos, DXM, etc.) to get high?</t>
  </si>
  <si>
    <t>drank energy drinks with caffeine (like Red Bull, Monster, Rockstar, or 5-Hour-Energy)?</t>
  </si>
  <si>
    <t>used LSD (acid) or other hallucinogens (like "shrooms" or PCP)?</t>
  </si>
  <si>
    <t>used cocaine (in powder form) or crack (in rock form)?</t>
  </si>
  <si>
    <t>used MDMA (ecstasy, X, molly)?</t>
  </si>
  <si>
    <t>used an electronic cigarette or vape pen (like SMOK) with nicotine?</t>
  </si>
  <si>
    <t>used an electronic cigarette or vape pen (like SMOK) with marijuana?</t>
  </si>
  <si>
    <t>used CBD (in oil, edible, or any other form)?</t>
  </si>
  <si>
    <t>Note: "Lifetime use" refers to whether a student has ever used a particular substance at least once in their entire lifetime.</t>
  </si>
  <si>
    <t>smoked a cigarette, even just a puff?</t>
  </si>
  <si>
    <t>used smokeless tobacco (snus, snuff, chew)?</t>
  </si>
  <si>
    <t>used methamphetamine (meth, crank, speed)?</t>
  </si>
  <si>
    <t>sniffed glue, breathed the contents of an aerosol spray can, or inhaled other gases or sprays, in order to get high?</t>
  </si>
  <si>
    <t>Note: "Past 30–Day Use" is the standard metric used to define "Current Use" of a substance in the CLYDE survey.</t>
  </si>
  <si>
    <t>I did not use marijuana in the past year</t>
  </si>
  <si>
    <t>If you used marijuana (in any form - smoked, vaped, edible, etc.) in the past year, how did you usually get it? (Select all that apply)</t>
  </si>
  <si>
    <t>I got it from home without my parents' permission</t>
  </si>
  <si>
    <t>I got it from home with my parents' permission</t>
  </si>
  <si>
    <t>I got it from someone I know under age 21</t>
  </si>
  <si>
    <t>I got it from someone I know age 21 or older</t>
  </si>
  <si>
    <t>I got it at a party</t>
  </si>
  <si>
    <t>I got it at a local festival or community event</t>
  </si>
  <si>
    <t>I got it from my brother or sister</t>
  </si>
  <si>
    <t>I got it from another relative</t>
  </si>
  <si>
    <t>I bought it myself with a fake ID</t>
  </si>
  <si>
    <t>I bought it myself without a fake ID</t>
  </si>
  <si>
    <t>A stranger bought it for me</t>
  </si>
  <si>
    <t>I took it from a store or shop</t>
  </si>
  <si>
    <t>I got it at work</t>
  </si>
  <si>
    <t>I bought it over the internet</t>
  </si>
  <si>
    <t>Note: For those who used, more than one response was allowed so totals may not equal 100%.</t>
  </si>
  <si>
    <t>From a drug dealer or stranger</t>
  </si>
  <si>
    <t>Opioid-Related Overdose Fatalities</t>
  </si>
  <si>
    <t>Total 2021-2024</t>
  </si>
  <si>
    <t>&lt;35</t>
  </si>
  <si>
    <t>55+</t>
  </si>
  <si>
    <t>Gender</t>
  </si>
  <si>
    <t>Source: Special request from the Orange County Medical Examiner's Office, March 2025 : Special request from the Orange County Medical Examiner's Office, March 2025</t>
  </si>
  <si>
    <t xml:space="preserve">Note: The Office of the Medical Examiner is required to investigate deaths that occur in Orange County so these data include non-residents.
These data do not include residents that died of an overdose outside of Orange County. These data include: accidental, suicide, and
undetermined manner of death; and primary and secondary causes of death included are acute drug intoxication, acute mixed drug
intoxication, and acute intoxication. When calculating rates, the 2023 5-Year American Community Survey from the US Census Bureau
were used. </t>
  </si>
  <si>
    <t>Source: Special request from the Orange County Medical Examiner's Office, March 2025</t>
  </si>
  <si>
    <t>Note: The Office of the Medical Examiner is required to investigate deaths that occur in Orange County so these data include non-residents. These data do not include residents that died of an overdose outside of Orange County. These data include: accidental, suicide, and undetermined manner of death; and primary and secondary causes of death included are acute drug intoxication, acute mixed drug intoxication, and acute intoxication. When calculating rates, the 2023 5-Year American Community Survey from the US Census Bureau were used.</t>
  </si>
  <si>
    <t>Note: The percentage is age-adjusted. An adult is a person aged 18 years or older. The Behavioral Risk Factor Surveillance System asks respondents, "Considering all types of alcoholic beverages, how many times during the past 30 days did you have (for men) 5 or more drinks on an occasion or (for women) 4 or more drinks on an occasion?" Based on the responses to this question “binge drinking” is defined as consuming 4 or more drinks for women and 5 or more drinks for men on a single occasion.</t>
  </si>
  <si>
    <t>Note: Data include persons killed or injured in motor vehicle crashes where alcohol was considered to be a factor. It also includes pedestrians, bicyclists and all other non-vehicle involved persons as well as vehicle occupants. These data were gathered from police reports. Crashes are reported by the county where the event occurred. Three-year averages are used for Orange County and single-year estimates are used for the Mid-Hudson, NYS, and NYS excl NYC.</t>
  </si>
  <si>
    <t>If you drank alcohol (more than a sip or taste) in the past year, how did you usually get it?</t>
  </si>
  <si>
    <t>I did not drink alcohol in the past year</t>
  </si>
  <si>
    <t>Sources of alcohol for those who used (more than one response allowed)</t>
  </si>
  <si>
    <t>9.0*</t>
  </si>
  <si>
    <t>Source: NYSDOH Behavioral Risk Factor Surveillance System, May 2025 https://www.health.ny.gov/statistics/brfss/expanded/</t>
  </si>
  <si>
    <t>*: Percentage is unreliable due to large standard error. Note: The percentage is age-adjusted. An adult is a person aged 18 years or older. The Behavioral Risk Factor Surveillance System asks respondents, "Have you smoked at least 100 cigarettes in your entire life?" and "How long has it been since you last smoked a cigarette, even one or two puffs?" Based on responses to both questions, BRFSS defines “current smoker” as an adult over the age of 18 who has smoked at least 100 cigarettes in their lifetime and currently smokes on at least some days.</t>
  </si>
  <si>
    <t>Note: The 2018 population estimates are used to calculate rates for 2019 and 2020. Later years are from the most recent Vintage estimates.</t>
  </si>
  <si>
    <t>&lt;19</t>
  </si>
  <si>
    <t>s: Data are suppressed due to not meeting confidentiality criteria. Note: See Data Note section for more information regarding this request. Birth and death data for Orange County excludes events recorded in NYC. All rates use ACS 5-year population estimates, except for the ages under 1 year and 1-9 years, which are based on crude live births in Orange County. ICD-10-CM codes for Unintentional Injury includes: V01-X59, and Y85-86.</t>
  </si>
  <si>
    <t xml:space="preserve">County </t>
  </si>
  <si>
    <t>Note: See Data Note section for more information regarding this request. This includes Unintentional Injury as a primary cause of death with ICD-10-CM codes of: V01-X59, and Y85-86. Birth and death data for Orange County excludes events recorded in NYC. All rates use ACS 5-year population estimates, except for the ages under 1 year and 1-9 years, which are based on crude live births in Orange County.</t>
  </si>
  <si>
    <t>Age Group</t>
  </si>
  <si>
    <t>s: Data are suppressed due to not meeting confidentiality criteria. Note: See Data Note section for more information regarding this request. This includes Unintentional Injury as a primary cause of death with ICD-10-CM codes of: V01-X59, and Y85-86. Birth and death data for Orange County excludes events recorded in NYC. All rates use ACS 5-year population estimates, except for the ages under 1 year and 1-9 years, which are based on crude live births in Orange County.</t>
  </si>
  <si>
    <t>Note: The ICD-10-CD codes used for injuries are defined by CDC NCHS. The specific codes for each type of injury are listed in format catalogs: https://www.cdc.gov/nchs/injury/injury_tools.htm. The 2018 population estimates are also used to calculate rates for 2019, 2020, and 2021.</t>
  </si>
  <si>
    <t>Source: NYS Community Health Indicator Reports Dashboard, August 2025 sourced from NY Statewide Planning and Research Cooperative System https://webbi1.health.ny.gov/SASStoredProcess/guest?_program=%2FEBI%2FPHIG%2Fapps%2Fchir_dashboard%2Fchir_dashboard&amp; p=ch&amp;cos=33</t>
  </si>
  <si>
    <t>Note: ICD-10 requires coders to assign unintentional intent when the intent is not stated in the medical record. This may lead to an overcount of unintentional injuries and an undercount of intentional injuries, such as assaults and self-harm. Three-year averages are used for Orange County, and single-year estimates are used for the Mid-Hudson Region, NYS excl NYC, and NYS. beginning in data year 2016, the firstmentioned injury diagnosis code or the first-mentioned external cause code in the principal diagnosis field, any of external injury fields, or any of 24 other diagnosis fields was used to define injury types in the SPARCS data. The specific codes for each type of injury are listed in format catalogs https://ftp.cdc.gov/pub/Health_Statistics/NCHS/injury/tools/ on the NCHS site. The catalogs used for this CHIR dashboard are intent_fmt64b.sas7bcat and mechanism_fmt64b.sas7bdat (Accessed in November 2020). Please visit Injury Data and Resources for further ICD-10-CM information.</t>
  </si>
  <si>
    <t>Note: ICD-10 requires coders to assign unintentional intent when the intent is not stated in the medical record. This may lead to an overcount of unintentional injuries and an undercount of intentional injuries, such as assaults and self-harm. Three-year averages are used for Orange County and single-year estimates are used for the Mid-Hudson Region, NYS excl NYC, and NYS. beginning in data year 2016, the firstmentioned injury diagnosis code or the first-mentioned external cause code in the principal diagnosis field, any of external injury fields, or any of 24 other diagnosis fields was used to define injury types in the SPARCS data. The specific codes for each type of injury are listed in format catalogs https://ftp.cdc.gov/pub/Health_Statistics/NCHS/injury/tools/ on the NCHS site. The catalogs used for this CHIR dashboard are intent_fmt64b.sas7bcat and mechanism_fmt64b.sas7bdat (Accessed in November 2020). Please visit Injury Data and Resources for further ICD-10-CM information.</t>
  </si>
  <si>
    <t>Source: NYS Prevention Agenda Tracking Dashboard, August 2025 sourced from Vital Statistics of NYS https://webbi1.health.ny.gov/SASStoredProcess/guest?_program=%2FEBI%2FPHIG%2Fapps%2Fdashboard%2Fpa_dashboard&amp;p=ch &amp;cos=33</t>
  </si>
  <si>
    <t>Note: The number of deaths with an ICD-10 primary cause of death code: X60-X84 or Y87.0.</t>
  </si>
  <si>
    <t>PA Objective</t>
  </si>
  <si>
    <t>Source: NYS Prevention Agenda Tracking Dashboard, June 2025 sourced from NYSDOH Behavioral Risk Factor Surveillance System https://webbi1.health.ny.gov/SASStoredProcess/guest?_program=%2FEBI%2FPHIG%2Fapps%2Fdashboard%2Fpa_dashboard&amp;p=ch &amp;cos=33</t>
  </si>
  <si>
    <t>Note: For colonoscopy and sigmoidoscopy, the Behavioral Risk Factor Surveillance System asks respondents, “Colonoscopy and sigmoidoscopy are exams to check for colon cancer. Have you ever had either of these exams?” and “Have you had a colonoscopy, a sigmoidoscopy, or both?” and “How long has it been since your most recent colonoscopy?” A general question asks respondents " and “Have you ever had any other kind of test for colorectal cancer, such as virtual colonoscopy, CT colonography, blood stool test, FIT DNA, or Cologuard test?" For CT colonography respondent is asked, “A virtual colonoscopy uses a series of X-rays to take pictures of inside the colon. Have you ever had a virtual colonoscopy?” and “When was your most recent CT colonography or virtual colonoscopy?” For fecal immunochemical test respondent is asked, “One stool test uses a special kit to obtain a small amount of stool at home and returns the kit to the doctor or the lab. Have you ever had this test?” and “How long has it been since you had this test?” Based on the responses to these questions a person meets the current United States Preventive Services Task Force guidance if they had a fecal occult blood test within the past year, a sigmoidoscopy within the past five years, or a colonoscopy within the past 10 years.</t>
  </si>
  <si>
    <t>Source: NYS Community Health Indicator Reports Dashboard, June 2025 sourced from NYSDOH Behavioral Risk Factor Surveillance System https://webbi1.health.ny.gov/SASStoredProcess/guest?_program=%2FEBI%2FPHIG%2Fapps%2Fchir_dashboard%2Fchir_dashboard&amp; p=ch&amp;cos=33</t>
  </si>
  <si>
    <t>Note: The US Preventative Services Task Force recommends screening for cervical cancer every 3 years with cervical cytology alone in women aged 21 to 29 years. For women aged 30 to 65 years, the USPSTF recommends screening every 3 years with cervical cytology alone, every 5 years with high-risk human papillomavirus (hrHPV) testing alone, or every 5 years with hrHPV testing in combination with cytology (cotesting). The Behavioral Risk Factor Surveillance System asks respondents, “Have you ever had a Pap test?”, “How long has it been since you had your last Pap test?”, and “How long has it been since you had your last H.P.V. test”</t>
  </si>
  <si>
    <t>Note: The Behavioral Risk Factor Surveillance System asks respondents, ""Have you ever had a mammogram?"" and “How long has it been since you had your last mammogram?” Based on the responses to these questions if a woman 50-74 years had a mammogram in the past two years they meet the current United States Preventive Services Task Force guidance.</t>
  </si>
  <si>
    <t>Source: NYSDOH Behavioral Risk Factor Surveillance System, June 2025 https://health.data.ny.gov/Health/Behavioral-Risk-Factor-Surveillance-System-BRFSS-H/jsy7-eb4n/data</t>
  </si>
  <si>
    <t>Note: The percentage is age-adjusted. An adult is a person aged 18 years or older. The Behavioral Risk Factor Surveillance System asks respondents, “Has a doctor, nurse, or other health professional ever told you had asthma?” and “Do you still have asthma?”</t>
  </si>
  <si>
    <t>Condition</t>
  </si>
  <si>
    <t>Prediabetes</t>
  </si>
  <si>
    <t>Note: The percentage is age-adjusted. An adult is a person aged 18 years or older. The Behavioral Risk Factor Surveillance System asks respondents, "Have you ever been told by a doctor or other health professional that you have pre-diabetes or borderline diabetes?" This excludes females who were told this only while they were pregnant.</t>
  </si>
  <si>
    <t>2013-2014</t>
  </si>
  <si>
    <t>Note: Y-axis does not begin at zero in order to clearly display trend lines. The percentage is age-adjusted. An adult is a person aged 18 years or older. The Behavioral Risk Factor Surveillance System asks respondents, " Have you had a test for high blood sugar or diabetes within the past three years?" This excludes females who were told this only while they were pregnant.</t>
  </si>
  <si>
    <t>Assessment</t>
  </si>
  <si>
    <t>Health Priority 1</t>
  </si>
  <si>
    <t>Health Priority 2</t>
  </si>
  <si>
    <t>Health Priority 3</t>
  </si>
  <si>
    <t>Community Asset Survey</t>
  </si>
  <si>
    <t>Mental Health</t>
  </si>
  <si>
    <t>Drug Use</t>
  </si>
  <si>
    <t>Aging issues</t>
  </si>
  <si>
    <t>Provider Survey</t>
  </si>
  <si>
    <t>Access to care</t>
  </si>
  <si>
    <t>Chronic disease</t>
  </si>
  <si>
    <t>Hanlon Method</t>
  </si>
  <si>
    <t>Cardiovascular Disease</t>
  </si>
  <si>
    <t>Hypertension</t>
  </si>
  <si>
    <t>Cancer, Immunizations, Obesity, Physical Activity</t>
  </si>
  <si>
    <t>Community Health Survey</t>
  </si>
  <si>
    <t>Transportation</t>
  </si>
  <si>
    <t>Mental Health (psychological distress)</t>
  </si>
  <si>
    <t>Food Security</t>
  </si>
  <si>
    <t>Secondary Data Review</t>
  </si>
  <si>
    <t>Cancer Mortality</t>
  </si>
  <si>
    <t>Affordable Housing</t>
  </si>
  <si>
    <t>Source: https://www.orangecountygov.com/DocumentCenter/View/35422/Orange-County-Annual-Health-Summit-Slides</t>
  </si>
  <si>
    <t>Theme</t>
  </si>
  <si>
    <t>Unhoused Residents</t>
  </si>
  <si>
    <t>LGBTQIA+ Community</t>
  </si>
  <si>
    <t>Veterans</t>
  </si>
  <si>
    <t>African American Faith-Based Organization</t>
  </si>
  <si>
    <t>Equity Implications</t>
  </si>
  <si>
    <t>Access to Healthcare</t>
  </si>
  <si>
    <t>✓</t>
  </si>
  <si>
    <t>Fragmented systems, limited provider availability, and lack of culturally competent care contribute to delayed or foregone care</t>
  </si>
  <si>
    <t>Housing Stability</t>
  </si>
  <si>
    <t>—</t>
  </si>
  <si>
    <t>Housing insecurity undermines physical and mental health and limits the ability to maintain employment and care</t>
  </si>
  <si>
    <t>Transportation barriers restrict access to healthcare, employment, and essential services</t>
  </si>
  <si>
    <t>Mental Health Services</t>
  </si>
  <si>
    <t>Insufficient availability, stigma, and system complexity limit access to needed support</t>
  </si>
  <si>
    <t>Affordability / Cost of Living</t>
  </si>
  <si>
    <t>High costs of housing, food, and transportation exacerbate stress and health disparities</t>
  </si>
  <si>
    <t>System Navigation</t>
  </si>
  <si>
    <t>Complex eligibility rules and poor coordination create barriers to care and stability</t>
  </si>
  <si>
    <t>Number of Responses</t>
  </si>
  <si>
    <t>Zip Code Population</t>
  </si>
  <si>
    <t>Percent of Orange County Population</t>
  </si>
  <si>
    <t>Percent of Survey Respondents (who Indicated Their Zip Code)</t>
  </si>
  <si>
    <t>Note: Certain zip codes denote a P.O. Box and do not have a population estimate.</t>
  </si>
  <si>
    <t>Access to good education</t>
  </si>
  <si>
    <t>Parks and recreation</t>
  </si>
  <si>
    <t>Access to basic health care</t>
  </si>
  <si>
    <t>Low crime and safe neighborhoods</t>
  </si>
  <si>
    <t>Access to affordable and healthy food</t>
  </si>
  <si>
    <t>Horizontal Stacked Bar</t>
  </si>
  <si>
    <t>Clean environment</t>
  </si>
  <si>
    <t>Bike-able, walk-able community</t>
  </si>
  <si>
    <t>Arts and cultural events</t>
  </si>
  <si>
    <t>Programs, activities, and support for the senior community</t>
  </si>
  <si>
    <t>Programs, activities, and support for youth and teens during non-school hours</t>
  </si>
  <si>
    <t>Access to help during times of stress and crisis</t>
  </si>
  <si>
    <t>Religious and spiritual values</t>
  </si>
  <si>
    <t>Good jobs and economy</t>
  </si>
  <si>
    <t>Affordable housing</t>
  </si>
  <si>
    <t>Respect for all persons</t>
  </si>
  <si>
    <t>Low violence and abuse (domestic, elder, child)</t>
  </si>
  <si>
    <t>Good public transportation</t>
  </si>
  <si>
    <t>Note: Respondents were able to select up to three strengths; therefore, total percentages will not add up to 100%. Total number of respondents (N)=1051</t>
  </si>
  <si>
    <t>Community Focus Area</t>
  </si>
  <si>
    <t>More affordable housing</t>
  </si>
  <si>
    <t>Better jobs and economy</t>
  </si>
  <si>
    <t>Improve public transportation</t>
  </si>
  <si>
    <t>More programs, activities, and support for youth and teens</t>
  </si>
  <si>
    <t>Improved access to affordable and healthy food</t>
  </si>
  <si>
    <t>Lower Crime and safer neighborhoods</t>
  </si>
  <si>
    <t>Making the community more bike-able and walk-able community</t>
  </si>
  <si>
    <t>More programs, activities, and support for the senior community</t>
  </si>
  <si>
    <t>Improving respect for all persons</t>
  </si>
  <si>
    <t>More arts and cultural events</t>
  </si>
  <si>
    <t>Cleaner Environment</t>
  </si>
  <si>
    <t>More access to help during times of stress and crisis</t>
  </si>
  <si>
    <t>Lower violence and abuse (domestic, elder, child)</t>
  </si>
  <si>
    <t>More parks and recreation</t>
  </si>
  <si>
    <t>Note: Respondents were able to select up to three focus areas; therefore, total percentages will not add up to 100%. Total number of respondents (N)=1051</t>
  </si>
  <si>
    <t>More religious or spiritual values</t>
  </si>
  <si>
    <t>Health Issue</t>
  </si>
  <si>
    <t>Mental health (depression, anxiety, stress)</t>
  </si>
  <si>
    <t>Drug use (prescription and illegal)</t>
  </si>
  <si>
    <t>Aging problems (Alzheimer's, arthritis, hearing/vision loss, etc.)</t>
  </si>
  <si>
    <t>Homelessness</t>
  </si>
  <si>
    <t>Safe, affordable &amp; adequate housing</t>
  </si>
  <si>
    <t>Mental illness (serious and persistent)</t>
  </si>
  <si>
    <t>Gun violence</t>
  </si>
  <si>
    <t>Child abuse and neglect</t>
  </si>
  <si>
    <t>Obesity</t>
  </si>
  <si>
    <t>Alcohol Use</t>
  </si>
  <si>
    <t>Domestic violence, rape and sexual assault</t>
  </si>
  <si>
    <t>Lack of walkability</t>
  </si>
  <si>
    <t>Physical inactivity</t>
  </si>
  <si>
    <t>Lack of access to health care</t>
  </si>
  <si>
    <t>Note: Respondents were able to select up to three health areas; therefore, total percentages will not add up to 100%. Total number of respondents (N)=1051</t>
  </si>
  <si>
    <t>Tobacco and vaping use</t>
  </si>
  <si>
    <t>Dental issues</t>
  </si>
  <si>
    <t>Hunger</t>
  </si>
  <si>
    <t>Poor diet</t>
  </si>
  <si>
    <t>Heart disease and stroke</t>
  </si>
  <si>
    <t>High blood pressure</t>
  </si>
  <si>
    <t>Infectious diseases (COVID, Hepatitis, TB, etc.)</t>
  </si>
  <si>
    <t>Respiratory and lung diseases</t>
  </si>
  <si>
    <t>Sexually transmitted diseases (HIV, STI)</t>
  </si>
  <si>
    <t>Teenage pregnancy</t>
  </si>
  <si>
    <t>Prevention Agenda Area</t>
  </si>
  <si>
    <t>Economic Stability</t>
  </si>
  <si>
    <t>Social &amp; Community Context</t>
  </si>
  <si>
    <t>Horizontal Clustered Bar</t>
  </si>
  <si>
    <t>Alcohol use</t>
  </si>
  <si>
    <t>Number of Repsonses</t>
  </si>
  <si>
    <t>Neighborhood and Built Environment</t>
  </si>
  <si>
    <t>Color By</t>
  </si>
  <si>
    <t>Show Data Labels</t>
  </si>
  <si>
    <t>Health Care Access &amp; Quality</t>
  </si>
  <si>
    <t>Dental Issues</t>
  </si>
  <si>
    <t>Community Strength</t>
  </si>
  <si>
    <t>2022</t>
  </si>
  <si>
    <t>2022 CI</t>
  </si>
  <si>
    <t>2025</t>
  </si>
  <si>
    <t>2025 CI</t>
  </si>
  <si>
    <t>Dot Whisker</t>
  </si>
  <si>
    <t>2022, 2025</t>
  </si>
  <si>
    <t>Note: Estimates are unweighted percentages of respondents with 95% confidence intervals. Respondents could select up to three strengths.</t>
  </si>
  <si>
    <t>Note: Estimates are unweighted percentages of respondents with 95% confidence intervals. Respondents could select up to three focus areas.</t>
  </si>
  <si>
    <t>Note: Estimates are unweighted percentages of respondents with 95% confidence intervals. Respondents could select up to three health issues.</t>
  </si>
  <si>
    <t>Priority Area</t>
  </si>
  <si>
    <t>Percentage</t>
  </si>
  <si>
    <t>Alcohol and Drug Use</t>
  </si>
  <si>
    <t>People not getting enough exercise</t>
  </si>
  <si>
    <t>People not having enough food to eat</t>
  </si>
  <si>
    <t>Source: NYSDOH Communicable Disease Annual Reports https://webbi1.health.ny.gov/SASStoredProcess/guest?_program=%2FEBI%2FPHIG%2Fapps%2Fdashboard%2Fpa_dashboard&amp;p=ch &amp;cos=33</t>
  </si>
  <si>
    <t>*: BRFSS - Percentage is unreliable due to large standard error. s: Data are suppressed due to not meeting reporting criteria. Note: Feeding America takes the CPS data and analyzes the relationships between food insecurity and its determinants (i.e., unemployment, poverty, disability, homeownership, and median income), as well as the percentage of the population that is Black and the percentage of the population that is Hispanic. Coefficient estimates from this analysis combined with information on the same variables defined at the county and congressional district levels are generated to estimate food insecurity.</t>
  </si>
  <si>
    <t>TOTAL COUNT</t>
  </si>
  <si>
    <t>18 to 34</t>
  </si>
  <si>
    <t>35 to 54</t>
  </si>
  <si>
    <t>55 and older</t>
  </si>
  <si>
    <t>Ethnicity</t>
  </si>
  <si>
    <t>Latino</t>
  </si>
  <si>
    <t>Black/African American</t>
  </si>
  <si>
    <t>Income</t>
  </si>
  <si>
    <t>&lt;$25k</t>
  </si>
  <si>
    <t>$25K-$50K</t>
  </si>
  <si>
    <t>$50K-$100K</t>
  </si>
  <si>
    <t>$100K-$150K</t>
  </si>
  <si>
    <t>$150K+</t>
  </si>
  <si>
    <t>Length of Residence in Orange County</t>
  </si>
  <si>
    <t>Less than 1 year</t>
  </si>
  <si>
    <t>At least 1 year but less than 2 years</t>
  </si>
  <si>
    <t>At least 2 years but less than 5 years</t>
  </si>
  <si>
    <t>5 years or more</t>
  </si>
  <si>
    <t>Pie</t>
  </si>
  <si>
    <t>Improving</t>
  </si>
  <si>
    <t>Staying the same</t>
  </si>
  <si>
    <t>Getting worse</t>
  </si>
  <si>
    <t>Don't know/Refused</t>
  </si>
  <si>
    <t>&lt;$25K</t>
  </si>
  <si>
    <t>Category</t>
  </si>
  <si>
    <t>Excellent</t>
  </si>
  <si>
    <t>Good</t>
  </si>
  <si>
    <t>Fair</t>
  </si>
  <si>
    <t>Poor</t>
  </si>
  <si>
    <t>Strongly agree</t>
  </si>
  <si>
    <t>Agree</t>
  </si>
  <si>
    <t>Disagree</t>
  </si>
  <si>
    <t>Strongly disagree</t>
  </si>
  <si>
    <t>Don't know</t>
  </si>
  <si>
    <t>0 days</t>
  </si>
  <si>
    <t>1 to 3 days</t>
  </si>
  <si>
    <t>4 to 6 days</t>
  </si>
  <si>
    <t>All 7 days</t>
  </si>
  <si>
    <t>Not at all stressed</t>
  </si>
  <si>
    <t>Not very stressed</t>
  </si>
  <si>
    <t>Somewhat stressed</t>
  </si>
  <si>
    <t>Very stressed</t>
  </si>
  <si>
    <t>Less than once a week</t>
  </si>
  <si>
    <t>1 to 2 times a week</t>
  </si>
  <si>
    <t>3 to 5 times a week</t>
  </si>
  <si>
    <t>More than 5 times a week</t>
  </si>
  <si>
    <t>Never</t>
  </si>
  <si>
    <t>Less than once per month</t>
  </si>
  <si>
    <t>More than once per month but less than weekly</t>
  </si>
  <si>
    <t>More than once per week but less than daily</t>
  </si>
  <si>
    <t>Daily</t>
  </si>
  <si>
    <t>Every day</t>
  </si>
  <si>
    <t>Some days</t>
  </si>
  <si>
    <t>Not at all</t>
  </si>
  <si>
    <t>Yes</t>
  </si>
  <si>
    <t>No</t>
  </si>
  <si>
    <t>[DUPLICATE] Median Age by Municipality, 2023</t>
  </si>
  <si>
    <t>[DUPLICATE] Visit to Primary Care Physician for Routine Physical, 2018-2024</t>
  </si>
  <si>
    <t>Reason</t>
  </si>
  <si>
    <t>I did not have insurance</t>
  </si>
  <si>
    <t>I did not have enough money</t>
  </si>
  <si>
    <t>I did not have transportation</t>
  </si>
  <si>
    <t>I did not have time</t>
  </si>
  <si>
    <t>I chose not to go due to concerns over COVID</t>
  </si>
  <si>
    <t>I chose not to go for another reason</t>
  </si>
  <si>
    <t>I couldn't get an appointment for a routine physical or checkup</t>
  </si>
  <si>
    <t>[DUPLICATE] Reasons for Not Visiting a Primary Care Provider by Income, 2024</t>
  </si>
  <si>
    <t>I couldn't get an appointment for a routine check-up or cleaning</t>
  </si>
  <si>
    <t>I do not have a regular doctor/primary care doctor</t>
  </si>
  <si>
    <t>The emergency room was more convenient because of location</t>
  </si>
  <si>
    <t>The emergency room was more convenient because of cost</t>
  </si>
  <si>
    <t>The emergency room was more convenient because of hours of operation</t>
  </si>
  <si>
    <t>At the time I thought it was a health-related emergency, though I later learned it was NOT an emergency</t>
  </si>
  <si>
    <t>My primary care doctor was not available due to COVID</t>
  </si>
  <si>
    <t>COVID-19 Testing</t>
  </si>
  <si>
    <t>Response</t>
  </si>
  <si>
    <t>I did not have a need for mental health services</t>
  </si>
  <si>
    <t>I chose not to go</t>
  </si>
  <si>
    <t>A mental health provider was not available due to COVID</t>
  </si>
  <si>
    <t>Not sure/Refused</t>
  </si>
  <si>
    <t>Very likely</t>
  </si>
  <si>
    <t>Somewhat likely</t>
  </si>
  <si>
    <t>Not too likely</t>
  </si>
  <si>
    <t>Not at all likely</t>
  </si>
  <si>
    <t>All of the time</t>
  </si>
  <si>
    <t>Most of the time</t>
  </si>
  <si>
    <t>Some of the time</t>
  </si>
  <si>
    <t>A little of the time</t>
  </si>
  <si>
    <t>None of the time</t>
  </si>
  <si>
    <t>fig-siena-feeling-hopeless-income</t>
  </si>
  <si>
    <t xml:space="preserve">Category </t>
  </si>
  <si>
    <t>None/Low mental distress</t>
  </si>
  <si>
    <t>Moderate mental distress</t>
  </si>
  <si>
    <t>Serious Mental distress</t>
  </si>
  <si>
    <t>Refused</t>
  </si>
  <si>
    <t>I breastfed all of my children</t>
  </si>
  <si>
    <t>I breastfed some, but not all</t>
  </si>
  <si>
    <t>I did not breastfeed any of them</t>
  </si>
  <si>
    <t>Less than one month</t>
  </si>
  <si>
    <t>One month to just under 3 months</t>
  </si>
  <si>
    <t>Three months to just under 6 months</t>
  </si>
  <si>
    <t>Six months to just under a year</t>
  </si>
  <si>
    <t>A year or more</t>
  </si>
  <si>
    <t>Pediatrician or healthcare provider</t>
  </si>
  <si>
    <t>Day care provider</t>
  </si>
  <si>
    <t>Community organization</t>
  </si>
  <si>
    <t>Early Intervention (i.e. County Health Department)</t>
  </si>
  <si>
    <t>County Social Services or Mental Health Departments</t>
  </si>
  <si>
    <t>Friend or Family</t>
  </si>
  <si>
    <t>I wouldn't know who to contact</t>
  </si>
  <si>
    <t>CHIP Focus Area</t>
  </si>
  <si>
    <t>Evidence-Based Strategies</t>
  </si>
  <si>
    <t>Long-Term Objectives and Progress as of 2024</t>
  </si>
  <si>
    <t>Healthy Eating and Food Security</t>
  </si>
  <si>
    <t>Screen for food insecurity; facilitate and actively support referrals
Connect and enroll families and individuals in any eligible nutrition and community programs
Expand availability of affordable healthy foods, especially in communities with limited access through sustaining OCDOH funded farm markets</t>
  </si>
  <si>
    <t>Decrease the percentage of adults who are unable to get food when they really need it by 10% from 12% to 10.8% NOT MET: 15% in 2024
Decrease the percentage of adults (who make less than $25K) who are unable to get food when they really need it by 10% from 27% to 24.3% MET: 22% in 2024
Increase the percentage of adults who consume less than one fruit and less than one vegetable per day by 5% from 23.3% to 22.1% NOT MET: 31.9% in 2024</t>
  </si>
  <si>
    <t>Preventative Care and Management</t>
  </si>
  <si>
    <t xml:space="preserve">Remove structural barriers to cancer screening by working with employers to provide employees with paid leave or the option to use flex time for cancer screenings
Remove structural barriers to cancer screening by increasing primary care provider connections
Remove economic barriers to cancer screening by ensuring access to health insurance
Note: Evaluating the success of cancer screening strategies was limited by a substantial delay in state data releases. With NYSDOH updates pending after 2021, the state’s metrics only reflect a pre-CHIP landscape. To bridge this data gap, the Cancer Committee prioritized operational metrics and process-based indicators to monitor the implementation and immediate reach of cancer screening strategies. </t>
  </si>
  <si>
    <t>Increase the percentage of women aged 50-74 receiving breast cancer screening by 5% from 78.8% to 82.7% NO DATA AVAILABLE
Increase the percentage of women aged 21-65 receiving cervical cancer screening by 5% from 88.8% to 93.2% NO DATA AVAILABLE
Increase the percentage of adults aged 50-75 receiving colorectal cancer screening by 5% from 61.7% to 64.8% NO DATA AVAILABLE</t>
  </si>
  <si>
    <t>Mental and Substance Use Disorders Prevention</t>
  </si>
  <si>
    <t>Increase the availability of/access and linkages to medications for opioid use disorder (MOUD) including Buprenorphine
Increase the availability of access to MOUD including Buprenorphine
Promote and support the expansion of the Peer RX application for peer referrals at the emergency department
Establish additional permanent safe disposal sites for prescription drugs and distribution of Naloxone boxes</t>
  </si>
  <si>
    <t>Reduce the age-adjusted overdose death involving any opioid by 7% from 22.5 to 20.9 per 100,000 population MET: 14.6 per 100,000 in 2024</t>
  </si>
  <si>
    <t>Short Term Process Indicators</t>
  </si>
  <si>
    <t>Progress as of 2024</t>
  </si>
  <si>
    <t>Increase the number of healthcare practices that screen for food insecurity by 3</t>
  </si>
  <si>
    <t>MET: 4</t>
  </si>
  <si>
    <t>Increase the number of health care settings with an established food security screening policy by 4</t>
  </si>
  <si>
    <t>NOT MET: 2</t>
  </si>
  <si>
    <t>Increase the number of people screened for food insecurity and facilitate appropriate referrals</t>
  </si>
  <si>
    <t>MET: 62,252 individuals screened &amp; 2,778 referred</t>
  </si>
  <si>
    <t>Create and adopt a procedure at OCDOH for screening and referring clients to SNAP and/or WIC</t>
  </si>
  <si>
    <t>MET: In the Pregnant or Parenting People's Initiative</t>
  </si>
  <si>
    <t>Increase the number of participants utilizing the farmers markets in Newburgh by 10% from 3,425 to 3,767</t>
  </si>
  <si>
    <t>MET: 4,185</t>
  </si>
  <si>
    <t>Increase the number of participants utilizing the farmers markets in Port Jervis by 10% from 3,200 to 3,520</t>
  </si>
  <si>
    <t>MET: 5,410</t>
  </si>
  <si>
    <t>Increase the number of vendors participating in the Newburgh farmers markets from 4 to 6</t>
  </si>
  <si>
    <t>NOT MET: (4)</t>
  </si>
  <si>
    <t>Increase the percentage of veteran coupons redeemed at the Newburgh market by 25% from 40.2% to 50.1%</t>
  </si>
  <si>
    <t>MET: 53%</t>
  </si>
  <si>
    <t>Increase the EBT transaction dollar amount at the Newburgh market by 20% from $1,506 to $1,807</t>
  </si>
  <si>
    <t>NOT MET: $1,608</t>
  </si>
  <si>
    <t>Increase the EBT transaction dollar amount at the Port Jervis market by 20% from $1,051 to $1,261</t>
  </si>
  <si>
    <t>NOT MET: $719</t>
  </si>
  <si>
    <t>Identify alternate forms of farmer market coupons for Newburgh and Port Jervis residents including Fresh Connect, WIC and Senior Farmers Market Nutrition Program</t>
  </si>
  <si>
    <t>MET: $13,667 worth of coupons</t>
  </si>
  <si>
    <t>Determine a baseline of Chamber of Commerce members with policies that allow for paid time off or flex time for cancer screenings</t>
  </si>
  <si>
    <t>Unable to determine</t>
  </si>
  <si>
    <t>Increase the number of Chamber of Commerce membership worksites with cancer screening policies by 5</t>
  </si>
  <si>
    <t>Increase the number of referrals made to primary care from the emergency department or urgent care in hospital settings</t>
  </si>
  <si>
    <t>Increase the number of patients enrolled in health insurance through emergency department</t>
  </si>
  <si>
    <t>Unable to conduct strategy</t>
  </si>
  <si>
    <t>Identify alternative venues to create cancer screening opportunities for residents to remove structural barriers to cancer screening</t>
  </si>
  <si>
    <t>MET: 4 events held</t>
  </si>
  <si>
    <t>Promote Well-Being and Prevent Mental Health and Substance Use Disorders</t>
  </si>
  <si>
    <t>Increase the number of hospitals providing MOUD in the emergency departments from 1 to 4</t>
  </si>
  <si>
    <t>Increase the number of patients being prescribed MOUD in the emergency departments</t>
  </si>
  <si>
    <t>Unable to measure</t>
  </si>
  <si>
    <t>Host at least one implementation training for health care providers to provide MOUD</t>
  </si>
  <si>
    <t>Develop a baseline for the number of peer referrals made in each hospital system implanting the Peer Rx application</t>
  </si>
  <si>
    <t>MET: 133 in 2022</t>
  </si>
  <si>
    <t>Increase the number of hospitals utilizing the Peer Rx application by 1</t>
  </si>
  <si>
    <t>Unable to expand due to funding constraints</t>
  </si>
  <si>
    <t>Increase the number of peer referrals made by 10% from baseline (419)</t>
  </si>
  <si>
    <t>NOT MET: 128 in 2024</t>
  </si>
  <si>
    <t>Create at least 2 permanent safe disposal sites for prescription drugs</t>
  </si>
  <si>
    <t>MET: Yes</t>
  </si>
  <si>
    <t>Create at least 2 permanent Naloxone box sites</t>
  </si>
  <si>
    <t>MET: 190 installed</t>
  </si>
  <si>
    <t>Identify alternate forms to referral patients to peers by utilizing the 311 Call Center hotline</t>
  </si>
  <si>
    <t>Priority</t>
  </si>
  <si>
    <t>Focus Groups</t>
  </si>
  <si>
    <t>Health Summit Voting</t>
  </si>
  <si>
    <t>Online Priority Selection</t>
  </si>
  <si>
    <t>Access to Care</t>
  </si>
  <si>
    <t>Aging Issues</t>
  </si>
  <si>
    <t>Childhood Immunizations</t>
  </si>
  <si>
    <t>Chronic Diseases</t>
  </si>
  <si>
    <t>Housing</t>
  </si>
  <si>
    <t>Physical Activity</t>
  </si>
  <si>
    <t>Substance Use</t>
  </si>
  <si>
    <t>Don't Know/Refused</t>
  </si>
  <si>
    <t xml:space="preserve">1 to 3 days </t>
  </si>
  <si>
    <t xml:space="preserve">Yes </t>
  </si>
  <si>
    <t>Don't kno/Refused</t>
  </si>
  <si>
    <t>Pie Chart</t>
  </si>
  <si>
    <t>Don't Know</t>
  </si>
  <si>
    <t>[DUPLICATE] Unable to Get Transportation by Income, 2024</t>
  </si>
  <si>
    <t>[DUPLICATE] Average Days a Week: Exercise, 2018-2024</t>
  </si>
  <si>
    <t>Total Students</t>
  </si>
  <si>
    <t xml:space="preserve">English Language Learners </t>
  </si>
  <si>
    <t>Economically Disadvantaged</t>
  </si>
  <si>
    <t>Students with Disabilities</t>
  </si>
  <si>
    <t>Percentage of Uninsured Civilian Noninstitutionalized Population, by Race and Ethnicity, 2023</t>
  </si>
  <si>
    <t>Vehicles Available per Household by Municipality, 2023</t>
  </si>
  <si>
    <t>2010–2019</t>
  </si>
  <si>
    <t>2000–2009</t>
  </si>
  <si>
    <t>1990–1999</t>
  </si>
  <si>
    <t>1980–1989</t>
  </si>
  <si>
    <t>1970–1979</t>
  </si>
  <si>
    <t>1950–1969</t>
  </si>
  <si>
    <t>2020-2023</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</si>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</sst>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11"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b/>
      <sz val="48"/>
      <color theme="0"/>
      <name val="Calibri"/>
      <family val="2"/>
      <scheme val="minor"/>
    </font>
    <font>
      <b/>
      <sz val="11"/>
      <color theme="0"/>
      <name val="Calibri"/>
      <family val="2"/>
      <scheme val="minor"/>
    </font>
    <font>
      <sz val="11"/>
      <color theme="1"/>
      <name val="Calibri"/>
      <family val="2"/>
      <scheme val="minor"/>
    </font>
    <font>
      <sz val="12"/>
      <color rgb="FF000000"/>
      <name val="Calibri"/>
      <family val="2"/>
    </font>
    <font>
      <sz val="13"/>
      <color rgb="FF1F2328"/>
      <name val="Arial"/>
      <family val="2"/>
    </font>
    <font>
      <sz val="9.9"/>
      <color rgb="FF1F2328"/>
      <name val="Menlo"/>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1"/>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auto="1"/>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4">
    <xf numFmtId="0" fontId="0" fillId="0" borderId="0"/>
    <xf numFmtId="0" fontId="2" fillId="0" borderId="0"/>
    <xf numFmtId="0" fontId="8" fillId="0" borderId="0"/>
    <xf numFmtId="0" fontId="7" fillId="0" borderId="0"/>
  </cellStyleXfs>
  <cellXfs count="98">
    <xf numFmtId="0" fontId="0" fillId="0" borderId="0" xfId="0"/>
    <xf numFmtId="0" fontId="0" fillId="0" borderId="0" xfId="0" applyProtection="1">
      <protection locked="0"/>
    </xf>
    <xf numFmtId="0" fontId="0" fillId="2" borderId="0" xfId="0" applyFill="1" applyProtection="1">
      <protection locked="0"/>
    </xf>
    <xf numFmtId="0" fontId="2" fillId="0" borderId="0" xfId="1" applyAlignment="1">
      <alignment horizontal="left" vertical="top"/>
    </xf>
    <xf numFmtId="0" fontId="3" fillId="0" borderId="0" xfId="0" applyFont="1" applyAlignment="1">
      <alignment horizontal="left" vertical="top"/>
    </xf>
    <xf numFmtId="0" fontId="3" fillId="2" borderId="0" xfId="0" applyFont="1" applyFill="1" applyAlignment="1">
      <alignment horizontal="left" vertical="top"/>
    </xf>
    <xf numFmtId="0" fontId="0" fillId="0" borderId="0" xfId="0" applyAlignment="1">
      <alignment horizontal="left" vertical="top"/>
    </xf>
    <xf numFmtId="0" fontId="4" fillId="0" borderId="0" xfId="0" applyFont="1"/>
    <xf numFmtId="0" fontId="0" fillId="4" borderId="0" xfId="0" applyFill="1"/>
    <xf numFmtId="164" fontId="0" fillId="0" borderId="0" xfId="0" applyNumberFormat="1"/>
    <xf numFmtId="0" fontId="6" fillId="4" borderId="0" xfId="0" applyFont="1" applyFill="1"/>
    <xf numFmtId="0" fontId="6" fillId="4" borderId="0" xfId="0" applyFont="1" applyFill="1" applyAlignment="1">
      <alignment horizontal="center" vertical="center"/>
    </xf>
    <xf numFmtId="49" fontId="0" fillId="0" borderId="0" xfId="0" applyNumberFormat="1"/>
    <xf numFmtId="49" fontId="0" fillId="0" borderId="0" xfId="0" applyNumberFormat="1" applyAlignment="1">
      <alignment horizontal="center" vertical="center"/>
    </xf>
    <xf numFmtId="3" fontId="0" fillId="0" borderId="0" xfId="0" applyNumberFormat="1"/>
    <xf numFmtId="0" fontId="0" fillId="0" borderId="0" xfId="0" applyAlignment="1">
      <alignment horizontal="center"/>
    </xf>
    <xf numFmtId="0" fontId="1" fillId="0" borderId="0" xfId="0" applyFont="1"/>
    <xf numFmtId="0" fontId="0" fillId="0" borderId="0" xfId="0" applyAlignment="1">
      <alignment horizontal="center" vertical="center"/>
    </xf>
    <xf numFmtId="0" fontId="0" fillId="5" borderId="0" xfId="0" applyFill="1"/>
    <xf numFmtId="0" fontId="0" fillId="2" borderId="0" xfId="0" applyFill="1"/>
    <xf numFmtId="0" fontId="0" fillId="0" borderId="0" xfId="0" applyAlignment="1">
      <alignment wrapText="1"/>
    </xf>
    <xf numFmtId="0" fontId="0" fillId="0" borderId="0" xfId="0" applyAlignment="1">
      <alignment vertical="center"/>
    </xf>
    <xf numFmtId="0" fontId="4" fillId="0" borderId="0" xfId="0" applyFont="1" applyAlignment="1">
      <alignment vertical="center"/>
    </xf>
    <xf numFmtId="3" fontId="0" fillId="0" borderId="0" xfId="0" applyNumberFormat="1" applyAlignment="1">
      <alignment horizontal="center"/>
    </xf>
    <xf numFmtId="49" fontId="1" fillId="0" borderId="0" xfId="0" applyNumberFormat="1" applyFont="1" applyAlignment="1">
      <alignment vertical="center"/>
    </xf>
    <xf numFmtId="0" fontId="1" fillId="0" borderId="0" xfId="0" applyFont="1" applyAlignment="1">
      <alignment horizontal="left"/>
    </xf>
    <xf numFmtId="49" fontId="1" fillId="0" borderId="0" xfId="0" applyNumberFormat="1" applyFont="1"/>
    <xf numFmtId="49" fontId="1" fillId="0" borderId="0" xfId="0" applyNumberFormat="1" applyFont="1" applyAlignment="1">
      <alignment horizontal="left"/>
    </xf>
    <xf numFmtId="3" fontId="0" fillId="0" borderId="0" xfId="0" applyNumberFormat="1" applyAlignment="1">
      <alignment horizontal="center" vertical="center"/>
    </xf>
    <xf numFmtId="2" fontId="0" fillId="0" borderId="0" xfId="0" applyNumberFormat="1" applyAlignment="1">
      <alignment horizontal="center" vertical="center"/>
    </xf>
    <xf numFmtId="4" fontId="0" fillId="0" borderId="0" xfId="0" applyNumberFormat="1" applyAlignment="1">
      <alignment horizontal="center"/>
    </xf>
    <xf numFmtId="4" fontId="0" fillId="0" borderId="0" xfId="0" applyNumberFormat="1" applyAlignment="1">
      <alignment horizontal="center" vertical="center"/>
    </xf>
    <xf numFmtId="0" fontId="0" fillId="6" borderId="0" xfId="0" applyFill="1"/>
    <xf numFmtId="0" fontId="4" fillId="6" borderId="0" xfId="0" applyFont="1" applyFill="1"/>
    <xf numFmtId="0" fontId="3" fillId="0" borderId="0" xfId="0" applyFont="1"/>
    <xf numFmtId="0" fontId="0" fillId="0" borderId="0" xfId="0" applyAlignment="1">
      <alignment horizontal="center" vertical="center" wrapText="1"/>
    </xf>
    <xf numFmtId="4" fontId="0" fillId="0" borderId="0" xfId="0" applyNumberFormat="1"/>
    <xf numFmtId="0" fontId="0" fillId="0" borderId="0" xfId="0" applyAlignment="1">
      <alignment horizontal="left"/>
    </xf>
    <xf numFmtId="49" fontId="0" fillId="0" borderId="0" xfId="0" applyNumberFormat="1" applyAlignment="1">
      <alignment horizontal="center"/>
    </xf>
    <xf numFmtId="6" fontId="0" fillId="0" borderId="0" xfId="0" applyNumberFormat="1" applyAlignment="1">
      <alignment horizontal="center"/>
    </xf>
    <xf numFmtId="6" fontId="0" fillId="0" borderId="0" xfId="0" applyNumberFormat="1"/>
    <xf numFmtId="6" fontId="0" fillId="0" borderId="0" xfId="0" applyNumberFormat="1" applyAlignment="1">
      <alignment horizontal="center" vertical="center"/>
    </xf>
    <xf numFmtId="8" fontId="0" fillId="0" borderId="0" xfId="0" applyNumberFormat="1" applyAlignment="1">
      <alignment horizontal="center"/>
    </xf>
    <xf numFmtId="8" fontId="0" fillId="0" borderId="0" xfId="0" applyNumberFormat="1"/>
    <xf numFmtId="8" fontId="0" fillId="0" borderId="0" xfId="0" applyNumberFormat="1" applyAlignment="1">
      <alignment horizontal="center" vertical="center"/>
    </xf>
    <xf numFmtId="16" fontId="0" fillId="0" borderId="0" xfId="0" applyNumberFormat="1"/>
    <xf numFmtId="0" fontId="0" fillId="7" borderId="0" xfId="0" applyFill="1"/>
    <xf numFmtId="0" fontId="0" fillId="0" borderId="0" xfId="0" applyAlignment="1">
      <alignment horizontal="left" indent="1"/>
    </xf>
    <xf numFmtId="0" fontId="0" fillId="0" borderId="0" xfId="0" applyAlignment="1">
      <alignment horizontal="left" vertical="center" indent="1"/>
    </xf>
    <xf numFmtId="49" fontId="0" fillId="0" borderId="0" xfId="0" applyNumberFormat="1" applyAlignment="1">
      <alignment horizontal="left" indent="1"/>
    </xf>
    <xf numFmtId="3" fontId="0" fillId="0" borderId="0" xfId="0" applyNumberFormat="1" applyAlignment="1">
      <alignment vertical="center"/>
    </xf>
    <xf numFmtId="0" fontId="6" fillId="4" borderId="0" xfId="0" applyFont="1" applyFill="1" applyAlignment="1">
      <alignment horizontal="center"/>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2" fillId="0" borderId="0" xfId="1"/>
    <xf numFmtId="49" fontId="0" fillId="0" borderId="0" xfId="0" applyNumberFormat="1" applyAlignment="1">
      <alignment horizontal="left" vertical="center" indent="1"/>
    </xf>
    <xf numFmtId="0" fontId="1" fillId="0" borderId="0" xfId="0" applyFont="1" applyAlignment="1">
      <alignment horizontal="left" indent="1"/>
    </xf>
    <xf numFmtId="0" fontId="0" fillId="0" borderId="0" xfId="0" applyAlignment="1">
      <alignment horizontal="left" vertical="center"/>
    </xf>
    <xf numFmtId="0" fontId="0" fillId="0" borderId="0" xfId="0" applyAlignment="1">
      <alignment horizontal="left" indent="2"/>
    </xf>
    <xf numFmtId="0" fontId="0" fillId="0" borderId="0" xfId="0" applyAlignment="1">
      <alignment horizontal="left" vertical="center" indent="2"/>
    </xf>
    <xf numFmtId="0" fontId="1" fillId="0" borderId="0" xfId="0" applyFont="1" applyAlignment="1">
      <alignment horizontal="center"/>
    </xf>
    <xf numFmtId="0" fontId="0" fillId="8" borderId="0" xfId="0" applyFill="1"/>
    <xf numFmtId="0" fontId="4" fillId="8" borderId="0" xfId="0" applyFont="1" applyFill="1"/>
    <xf numFmtId="9" fontId="0" fillId="0" borderId="0" xfId="0" applyNumberFormat="1" applyAlignment="1">
      <alignment horizontal="center"/>
    </xf>
    <xf numFmtId="9" fontId="0" fillId="0" borderId="0" xfId="0" applyNumberFormat="1"/>
    <xf numFmtId="9" fontId="0" fillId="0" borderId="0" xfId="0" applyNumberFormat="1" applyAlignment="1">
      <alignment horizontal="center" vertical="center"/>
    </xf>
    <xf numFmtId="0" fontId="1" fillId="0" borderId="0" xfId="0" applyFont="1" applyAlignment="1">
      <alignment horizontal="center" vertical="center"/>
    </xf>
    <xf numFmtId="9" fontId="0" fillId="0" borderId="0" xfId="0" applyNumberFormat="1" applyAlignment="1">
      <alignment horizontal="left" vertical="center" wrapText="1"/>
    </xf>
    <xf numFmtId="9" fontId="1" fillId="0" borderId="0" xfId="0" applyNumberFormat="1" applyFont="1" applyAlignment="1">
      <alignment horizontal="center"/>
    </xf>
    <xf numFmtId="9" fontId="1" fillId="0" borderId="0" xfId="0" applyNumberFormat="1" applyFont="1" applyAlignment="1">
      <alignment horizontal="center" vertical="center"/>
    </xf>
    <xf numFmtId="9" fontId="0" fillId="0" borderId="0" xfId="0" applyNumberFormat="1" applyAlignment="1">
      <alignment vertical="center"/>
    </xf>
    <xf numFmtId="0" fontId="0" fillId="0" borderId="0" xfId="0" applyAlignment="1">
      <alignment horizontal="center" wrapText="1"/>
    </xf>
    <xf numFmtId="0" fontId="1" fillId="0" borderId="0" xfId="0" applyFont="1" applyAlignment="1">
      <alignment vertical="center"/>
    </xf>
    <xf numFmtId="0" fontId="9" fillId="0" borderId="0" xfId="0" applyFont="1"/>
    <xf numFmtId="0" fontId="10" fillId="0" borderId="0" xfId="0" applyFont="1"/>
    <xf numFmtId="0" fontId="0" fillId="0" borderId="0" xfId="0" applyAlignment="1">
      <alignment vertical="top"/>
    </xf>
    <xf numFmtId="0" fontId="7" fillId="0" borderId="0" xfId="3"/>
    <xf numFmtId="1" fontId="0" fillId="0" borderId="0" xfId="0" applyNumberFormat="1" applyAlignment="1">
      <alignment horizontal="center"/>
    </xf>
    <xf numFmtId="1" fontId="0" fillId="0" borderId="0" xfId="0" applyNumberFormat="1" applyAlignment="1">
      <alignment horizontal="center" vertical="center"/>
    </xf>
    <xf numFmtId="0" fontId="1" fillId="3" borderId="0" xfId="0" applyFont="1" applyFill="1" applyAlignment="1">
      <alignment horizontal="left" wrapText="1"/>
    </xf>
    <xf numFmtId="0" fontId="0" fillId="0" borderId="0" xfId="0"/>
    <xf numFmtId="0" fontId="0" fillId="0" borderId="0" xfId="0" applyAlignment="1">
      <alignment horizontal="center"/>
    </xf>
    <xf numFmtId="0" fontId="5" fillId="4" borderId="0" xfId="0" applyFont="1" applyFill="1" applyAlignment="1">
      <alignment horizontal="center" vertical="center" textRotation="90"/>
    </xf>
    <xf numFmtId="0" fontId="1" fillId="2" borderId="0" xfId="0" applyFont="1" applyFill="1" applyAlignment="1">
      <alignment horizont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vertical="center" wrapText="1"/>
    </xf>
    <xf numFmtId="0" fontId="6" fillId="4" borderId="0" xfId="0" applyFont="1" applyFill="1" applyAlignment="1">
      <alignment horizontal="center"/>
    </xf>
    <xf numFmtId="3" fontId="0" fillId="0" borderId="0" xfId="0" applyNumberFormat="1" applyAlignment="1">
      <alignment horizontal="center"/>
    </xf>
    <xf numFmtId="0" fontId="0" fillId="0" borderId="0" xfId="0" applyAlignment="1">
      <alignment horizontal="center" wrapText="1"/>
    </xf>
    <xf numFmtId="0" fontId="1" fillId="0" borderId="0" xfId="0" applyFont="1" applyAlignment="1">
      <alignment horizontal="center" vertical="center"/>
    </xf>
    <xf numFmtId="0" fontId="1" fillId="0" borderId="0" xfId="0" applyFont="1" applyAlignment="1">
      <alignment horizontal="left"/>
    </xf>
    <xf numFmtId="0" fontId="0" fillId="0" borderId="0" xfId="0" applyAlignment="1">
      <alignment horizontal="left"/>
    </xf>
    <xf numFmtId="49" fontId="1" fillId="0" borderId="0" xfId="0" applyNumberFormat="1" applyFont="1" applyAlignment="1">
      <alignment horizontal="left"/>
    </xf>
    <xf numFmtId="0" fontId="1" fillId="0" borderId="0" xfId="0" applyFont="1" applyAlignment="1">
      <alignment horizontal="left" vertical="center"/>
    </xf>
    <xf numFmtId="0" fontId="1" fillId="0" borderId="0" xfId="0" applyFont="1" applyAlignment="1">
      <alignment vertical="center" wrapText="1"/>
    </xf>
    <xf numFmtId="9" fontId="0" fillId="0" borderId="0" xfId="0" applyNumberFormat="1" applyAlignment="1">
      <alignment horizontal="left" vertical="center" wrapText="1"/>
    </xf>
    <xf numFmtId="9" fontId="0" fillId="0" borderId="0" xfId="0" applyNumberFormat="1" applyAlignment="1">
      <alignment horizontal="left" wrapText="1"/>
    </xf>
  </cellXfs>
  <cellStyles count="4">
    <cellStyle name="Hyperlink" xfId="1" builtinId="8"/>
    <cellStyle name="Normal" xfId="0" builtinId="0"/>
    <cellStyle name="Normal 2" xfId="3" xr:uid="{00000000-0005-0000-0000-000003000000}"/>
    <cellStyle name="Normal 3" xfId="2" xr:uid="{00000000-0005-0000-0000-000002000000}"/>
  </cellStyles>
  <dxfs count="11">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1"/>
        <color auto="1"/>
        <name val="Calibri"/>
        <family val="2"/>
        <scheme val="minor"/>
      </font>
      <fill>
        <patternFill>
          <fgColor indexed="64"/>
          <bgColor auto="1"/>
        </patternFill>
      </fill>
    </dxf>
    <dxf>
      <font>
        <strike val="0"/>
        <outline val="0"/>
        <shadow val="0"/>
        <vertAlign val="baseline"/>
        <color auto="1"/>
      </font>
      <numFmt numFmtId="0" formatCode="General"/>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theme" Target="theme/theme1.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sharedStrings" Target="sharedStrings.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327" Type="http://schemas.openxmlformats.org/officeDocument/2006/relationships/calcChain" Target="calcChain.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styles" Target="styles.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H321" totalsRowShown="0" headerRowDxfId="10" dataDxfId="9">
  <autoFilter ref="A1:H321" xr:uid="{00000000-0009-0000-0100-000001000000}"/>
  <tableColumns count="8">
    <tableColumn id="1" xr3:uid="{00000000-0010-0000-0000-000001000000}" name="Activate/Deactivate" dataDxfId="8"/>
    <tableColumn id="9" xr3:uid="{00000000-0010-0000-0000-000009000000}" name="Count" dataDxfId="7"/>
    <tableColumn id="2" xr3:uid="{00000000-0010-0000-0000-000002000000}" name="Object_Type" dataDxfId="6"/>
    <tableColumn id="5" xr3:uid="{00000000-0010-0000-0000-000005000000}" name="Column1"/>
    <tableColumn id="3" xr3:uid="{00000000-0010-0000-0000-000003000000}" name="F or T #" dataDxfId="5"/>
    <tableColumn id="4" xr3:uid="{00000000-0010-0000-0000-000004000000}" name="Indicator Name" dataDxfId="4"/>
    <tableColumn id="10" xr3:uid="{00000000-0010-0000-0000-00000A000000}" name="Object ID" dataDxfId="3"/>
    <tableColumn id="11" xr3:uid="{00000000-0010-0000-0000-00000B000000}" name="Figure ID" dataDxfId="2">
      <calculatedColumnFormula>IF(LEFT(Table3[[#This Row],[Object ID]],4)="tbl-","fig-" &amp; MID(Table3[[#This Row],[Object ID]],5,LEN(Table3[[#This Row],[Object ID]])-4),"")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3F9DD08-274A-6B40-B81F-C92A7D714C5E}">
  <we:reference id="wa200010725" version="1.0.0.1" store="en-US" storeType="OMEX"/>
  <we:alternateReferences>
    <we:reference id="WA200010725" version="1.0.0.1" store="" storeType="OMEX"/>
  </we:alternateReferences>
  <we:properties>
    <we:property name="claude.fileId" value="&quot;c6c35a69-a119-46ee-bc8f-191836ecfdc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statecancerprofiles.cancer.gov/" TargetMode="External"/><Relationship Id="rId18" Type="http://schemas.openxmlformats.org/officeDocument/2006/relationships/hyperlink" Target="https://nccd.cdc.gov/Youthonline/App/Results.aspx?LID=XX" TargetMode="External"/><Relationship Id="rId26" Type="http://schemas.openxmlformats.org/officeDocument/2006/relationships/hyperlink" Target="https://www.cdc.gov/nchhstp/atlas/index.htm" TargetMode="External"/><Relationship Id="rId39" Type="http://schemas.openxmlformats.org/officeDocument/2006/relationships/hyperlink" Target="https://www.bls.gov/cps/data-overview.htm" TargetMode="External"/><Relationship Id="rId21" Type="http://schemas.openxmlformats.org/officeDocument/2006/relationships/hyperlink" Target="https://www.cdc.gov/asthma/asthmadata.htm" TargetMode="External"/><Relationship Id="rId34" Type="http://schemas.openxmlformats.org/officeDocument/2006/relationships/hyperlink" Target="https://statecancerprofiles.cancer.gov/index.html" TargetMode="External"/><Relationship Id="rId7" Type="http://schemas.openxmlformats.org/officeDocument/2006/relationships/hyperlink" Target="https://www.criminaljustice.ny.gov/crimnet/ojsa/arrests/index.htm" TargetMode="External"/><Relationship Id="rId12" Type="http://schemas.openxmlformats.org/officeDocument/2006/relationships/hyperlink" Target="https://www.health.ny.gov/statistics/diseases/communicable/std/docs/sti_surveillance_report_2021.pdf" TargetMode="External"/><Relationship Id="rId17" Type="http://schemas.openxmlformats.org/officeDocument/2006/relationships/hyperlink" Target="https://wonder.cdc.gov/" TargetMode="External"/><Relationship Id="rId25" Type="http://schemas.openxmlformats.org/officeDocument/2006/relationships/hyperlink" Target="https://www.cdc.gov/diabetes/data/index.html" TargetMode="External"/><Relationship Id="rId33" Type="http://schemas.openxmlformats.org/officeDocument/2006/relationships/hyperlink" Target="https://progressreport.cancer.gov/detection" TargetMode="External"/><Relationship Id="rId38" Type="http://schemas.openxmlformats.org/officeDocument/2006/relationships/hyperlink" Target="https://data.census.gov/cedsci/" TargetMode="External"/><Relationship Id="rId2" Type="http://schemas.openxmlformats.org/officeDocument/2006/relationships/hyperlink" Target="https://www.cdc.gov/places/" TargetMode="External"/><Relationship Id="rId16" Type="http://schemas.openxmlformats.org/officeDocument/2006/relationships/hyperlink" Target="https://ahead.hiv.gov/" TargetMode="External"/><Relationship Id="rId20" Type="http://schemas.openxmlformats.org/officeDocument/2006/relationships/hyperlink" Target="https://www.cdc.gov/mmwr/index.html" TargetMode="External"/><Relationship Id="rId29" Type="http://schemas.openxmlformats.org/officeDocument/2006/relationships/hyperlink" Target="https://gis.cdc.gov/grasp/diabetes/diabetesatlas-surveillance.html" TargetMode="External"/><Relationship Id="rId1" Type="http://schemas.openxmlformats.org/officeDocument/2006/relationships/hyperlink" Target="https://health.data.ny.gov/Health/Behavioral-Risk-Factor-Surveillance-System-BRFSS-H/jsy7-eb4n/data" TargetMode="External"/><Relationship Id="rId6" Type="http://schemas.openxmlformats.org/officeDocument/2006/relationships/hyperlink" Target="https://www.health.ny.gov/statistics/chac/perinatal/county/2018-2020/orange.htm" TargetMode="External"/><Relationship Id="rId11" Type="http://schemas.openxmlformats.org/officeDocument/2006/relationships/hyperlink" Target="https://webbi1.health.ny.gov/SASStoredProcess/guest?_program=%2FEBI%2FPHIG%2Fapps%2Fdashboard%2Fpa_dashboard&amp;p=ch&amp;cos=33" TargetMode="External"/><Relationship Id="rId24" Type="http://schemas.openxmlformats.org/officeDocument/2006/relationships/hyperlink" Target="https://www.cdc.gov/nchs/nhis/shs.htm" TargetMode="External"/><Relationship Id="rId32" Type="http://schemas.openxmlformats.org/officeDocument/2006/relationships/hyperlink" Target="https://www.kff.org/" TargetMode="External"/><Relationship Id="rId37" Type="http://schemas.openxmlformats.org/officeDocument/2006/relationships/hyperlink" Target="https://data.oecd.org/" TargetMode="External"/><Relationship Id="rId40" Type="http://schemas.openxmlformats.org/officeDocument/2006/relationships/hyperlink" Target="https://health.gov/healthypeople" TargetMode="External"/><Relationship Id="rId5" Type="http://schemas.openxmlformats.org/officeDocument/2006/relationships/hyperlink" Target="https://www.health.ny.gov/statistics/diseases/communicable/docs/2019_hepc_regional.pdf" TargetMode="External"/><Relationship Id="rId15" Type="http://schemas.openxmlformats.org/officeDocument/2006/relationships/hyperlink" Target="https://www.americashealthrankings.org/" TargetMode="External"/><Relationship Id="rId23" Type="http://schemas.openxmlformats.org/officeDocument/2006/relationships/hyperlink" Target="https://www.cdc.gov/nchs/index.htm" TargetMode="External"/><Relationship Id="rId28" Type="http://schemas.openxmlformats.org/officeDocument/2006/relationships/hyperlink" Target="https://www.cdc.gov/vaccines/imz-managers/coverage/teenvaxview/data-reports/index.html" TargetMode="External"/><Relationship Id="rId36" Type="http://schemas.openxmlformats.org/officeDocument/2006/relationships/hyperlink" Target="https://www.niaaa.nih.gov/" TargetMode="External"/><Relationship Id="rId10" Type="http://schemas.openxmlformats.org/officeDocument/2006/relationships/hyperlink" Target="https://webbi1.health.ny.gov/SASStoredProcess/guest?_program=%2FEBI%2FPHIG%2Fapps%2Fopioid_dashboard%2Fop_dashboard&amp;p=ch&amp;cos=33" TargetMode="External"/><Relationship Id="rId19" Type="http://schemas.openxmlformats.org/officeDocument/2006/relationships/hyperlink" Target="https://www.cdc.gov/injury/wisqars/index.html" TargetMode="External"/><Relationship Id="rId31" Type="http://schemas.openxmlformats.org/officeDocument/2006/relationships/hyperlink" Target="https://www.ghrconnects.org/indicators" TargetMode="External"/><Relationship Id="rId4" Type="http://schemas.openxmlformats.org/officeDocument/2006/relationships/hyperlink" Target="https://www.health.ny.gov/statistics/community/minority/county/orange.htm" TargetMode="External"/><Relationship Id="rId9" Type="http://schemas.openxmlformats.org/officeDocument/2006/relationships/hyperlink" Target="https://webbi1.health.ny.gov/SASStoredProcess/guest?_program=%2FEBI%2FPHIG%2Fapps%2Fmch_dashboard%2Fmch_dashboard&amp;p=ch&amp;cos=33" TargetMode="External"/><Relationship Id="rId14" Type="http://schemas.openxmlformats.org/officeDocument/2006/relationships/hyperlink" Target="https://data.census.gov/cedsci/" TargetMode="External"/><Relationship Id="rId22" Type="http://schemas.openxmlformats.org/officeDocument/2006/relationships/hyperlink" Target="https://www.cdc.gov/nceh/" TargetMode="External"/><Relationship Id="rId27" Type="http://schemas.openxmlformats.org/officeDocument/2006/relationships/hyperlink" Target="https://www.cdc.gov/std/statistics/2021/default.htm" TargetMode="External"/><Relationship Id="rId30" Type="http://schemas.openxmlformats.org/officeDocument/2006/relationships/hyperlink" Target="https://www.cdc.gov/hepatitis/statistics/SurveillanceRpts.htm" TargetMode="External"/><Relationship Id="rId35" Type="http://schemas.openxmlformats.org/officeDocument/2006/relationships/hyperlink" Target="https://nces.ed.gov/" TargetMode="External"/><Relationship Id="rId8" Type="http://schemas.openxmlformats.org/officeDocument/2006/relationships/hyperlink" Target="https://data.nysed.gov/gradrate.php?year=2022&amp;county=44" TargetMode="External"/><Relationship Id="rId3" Type="http://schemas.openxmlformats.org/officeDocument/2006/relationships/hyperlink" Target="https://webbi1.health.ny.gov/SASStoredProcess/guest?_program=%2FEBI%2FPHIG%2Fapps%2Fchir_dashboard%2Fchir_dashboard&amp;p=ch&amp;cos=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1"/>
  <sheetViews>
    <sheetView tabSelected="1" topLeftCell="E15" workbookViewId="0">
      <selection activeCell="F54" sqref="F54"/>
    </sheetView>
  </sheetViews>
  <sheetFormatPr baseColWidth="10" defaultColWidth="8.6640625" defaultRowHeight="15" x14ac:dyDescent="0.2"/>
  <cols>
    <col min="1" max="2" width="19" customWidth="1"/>
    <col min="3" max="4" width="14.33203125" customWidth="1"/>
    <col min="5" max="5" width="16.33203125" customWidth="1"/>
    <col min="6" max="6" width="144.1640625" bestFit="1" customWidth="1"/>
    <col min="7" max="7" width="136.83203125" bestFit="1" customWidth="1"/>
    <col min="8" max="8" width="38.6640625" bestFit="1" customWidth="1"/>
    <col min="9" max="9" width="96.5" bestFit="1" customWidth="1"/>
  </cols>
  <sheetData>
    <row r="1" spans="1:8" x14ac:dyDescent="0.2">
      <c r="A1" t="s">
        <v>0</v>
      </c>
      <c r="B1" t="s">
        <v>1</v>
      </c>
      <c r="C1" t="s">
        <v>2</v>
      </c>
      <c r="D1" t="s">
        <v>3</v>
      </c>
      <c r="E1" t="s">
        <v>4</v>
      </c>
      <c r="F1" t="s">
        <v>5</v>
      </c>
      <c r="G1" t="s">
        <v>6</v>
      </c>
      <c r="H1" t="s">
        <v>7</v>
      </c>
    </row>
    <row r="2" spans="1:8" s="18" customFormat="1" x14ac:dyDescent="0.2">
      <c r="A2" t="s">
        <v>8</v>
      </c>
      <c r="B2">
        <v>1</v>
      </c>
      <c r="C2" t="s">
        <v>9</v>
      </c>
      <c r="E2" t="s">
        <v>10</v>
      </c>
      <c r="F2" s="46" t="s">
        <v>11</v>
      </c>
      <c r="G2" s="7" t="s">
        <v>12</v>
      </c>
      <c r="H2" s="7" t="str">
        <f>IF(LEFT(Table3[[#This Row],[Object ID]],4)="tbl-","fig-" &amp; MID(Table3[[#This Row],[Object ID]],5,LEN(Table3[[#This Row],[Object ID]])-4),"")</f>
        <v>fig-demographics-sum</v>
      </c>
    </row>
    <row r="3" spans="1:8" s="18" customFormat="1" x14ac:dyDescent="0.2">
      <c r="A3" t="s">
        <v>8</v>
      </c>
      <c r="B3">
        <v>2</v>
      </c>
      <c r="C3" t="s">
        <v>9</v>
      </c>
      <c r="E3" t="s">
        <v>13</v>
      </c>
      <c r="F3" s="46" t="s">
        <v>14</v>
      </c>
      <c r="G3" s="7" t="s">
        <v>15</v>
      </c>
      <c r="H3" s="7" t="str">
        <f>IF(LEFT(Table3[[#This Row],[Object ID]],4)="tbl-","fig-" &amp; MID(Table3[[#This Row],[Object ID]],5,LEN(Table3[[#This Row],[Object ID]])-4),"")</f>
        <v>fig-pop</v>
      </c>
    </row>
    <row r="4" spans="1:8" s="18" customFormat="1" x14ac:dyDescent="0.2">
      <c r="A4" t="s">
        <v>8</v>
      </c>
      <c r="B4">
        <v>3</v>
      </c>
      <c r="C4" t="s">
        <v>16</v>
      </c>
      <c r="E4" t="s">
        <v>17</v>
      </c>
      <c r="F4" s="46" t="s">
        <v>18</v>
      </c>
      <c r="G4" t="s">
        <v>19</v>
      </c>
      <c r="H4" s="7" t="str">
        <f>IF(LEFT(Table3[[#This Row],[Object ID]],4)="tbl-","fig-" &amp; MID(Table3[[#This Row],[Object ID]],5,LEN(Table3[[#This Row],[Object ID]])-4),"")</f>
        <v>fig-total-pop</v>
      </c>
    </row>
    <row r="5" spans="1:8" s="18" customFormat="1" x14ac:dyDescent="0.2">
      <c r="A5" t="s">
        <v>8</v>
      </c>
      <c r="B5">
        <v>4</v>
      </c>
      <c r="C5" t="s">
        <v>9</v>
      </c>
      <c r="E5" t="s">
        <v>20</v>
      </c>
      <c r="F5" s="46" t="s">
        <v>21</v>
      </c>
      <c r="G5" t="s">
        <v>22</v>
      </c>
      <c r="H5" s="7" t="str">
        <f>IF(LEFT(Table3[[#This Row],[Object ID]],4)="tbl-","fig-" &amp; MID(Table3[[#This Row],[Object ID]],5,LEN(Table3[[#This Row],[Object ID]])-4),"")</f>
        <v>fig-pop-growth</v>
      </c>
    </row>
    <row r="6" spans="1:8" s="18" customFormat="1" x14ac:dyDescent="0.2">
      <c r="A6" t="s">
        <v>8</v>
      </c>
      <c r="B6">
        <v>5</v>
      </c>
      <c r="C6" t="s">
        <v>9</v>
      </c>
      <c r="E6" t="s">
        <v>23</v>
      </c>
      <c r="F6" s="46" t="s">
        <v>24</v>
      </c>
      <c r="G6" t="s">
        <v>25</v>
      </c>
      <c r="H6" s="7" t="str">
        <f>IF(LEFT(Table3[[#This Row],[Object ID]],4)="tbl-","fig-" &amp; MID(Table3[[#This Row],[Object ID]],5,LEN(Table3[[#This Row],[Object ID]])-4),"")</f>
        <v>fig-pop-housing-density</v>
      </c>
    </row>
    <row r="7" spans="1:8" s="18" customFormat="1" x14ac:dyDescent="0.2">
      <c r="A7" t="s">
        <v>8</v>
      </c>
      <c r="B7">
        <v>6</v>
      </c>
      <c r="C7" t="s">
        <v>9</v>
      </c>
      <c r="E7" t="s">
        <v>26</v>
      </c>
      <c r="F7" s="46" t="s">
        <v>27</v>
      </c>
      <c r="G7" t="s">
        <v>28</v>
      </c>
      <c r="H7" s="7" t="str">
        <f>IF(LEFT(Table3[[#This Row],[Object ID]],4)="tbl-","fig-" &amp; MID(Table3[[#This Row],[Object ID]],5,LEN(Table3[[#This Row],[Object ID]])-4),"")</f>
        <v>fig-pop-sex-age</v>
      </c>
    </row>
    <row r="8" spans="1:8" s="18" customFormat="1" x14ac:dyDescent="0.2">
      <c r="A8" t="s">
        <v>8</v>
      </c>
      <c r="B8">
        <v>7</v>
      </c>
      <c r="C8" t="s">
        <v>16</v>
      </c>
      <c r="E8" t="s">
        <v>29</v>
      </c>
      <c r="F8" s="46" t="s">
        <v>30</v>
      </c>
      <c r="G8" t="s">
        <v>31</v>
      </c>
      <c r="H8" s="7" t="str">
        <f>IF(LEFT(Table3[[#This Row],[Object ID]],4)="tbl-","fig-" &amp; MID(Table3[[#This Row],[Object ID]],5,LEN(Table3[[#This Row],[Object ID]])-4),"")</f>
        <v>fig-median-age</v>
      </c>
    </row>
    <row r="9" spans="1:8" s="18" customFormat="1" x14ac:dyDescent="0.2">
      <c r="A9" t="s">
        <v>8</v>
      </c>
      <c r="B9">
        <v>8</v>
      </c>
      <c r="C9" t="s">
        <v>9</v>
      </c>
      <c r="E9" t="s">
        <v>32</v>
      </c>
      <c r="F9" s="46" t="s">
        <v>33</v>
      </c>
      <c r="G9" t="s">
        <v>34</v>
      </c>
      <c r="H9" s="7" t="str">
        <f>IF(LEFT(Table3[[#This Row],[Object ID]],4)="tbl-","fig-" &amp; MID(Table3[[#This Row],[Object ID]],5,LEN(Table3[[#This Row],[Object ID]])-4),"")</f>
        <v>fig-pop-race-ethnicity</v>
      </c>
    </row>
    <row r="10" spans="1:8" s="18" customFormat="1" x14ac:dyDescent="0.2">
      <c r="A10" t="s">
        <v>8</v>
      </c>
      <c r="B10">
        <v>9</v>
      </c>
      <c r="C10" t="s">
        <v>9</v>
      </c>
      <c r="E10" t="s">
        <v>35</v>
      </c>
      <c r="F10" s="46" t="s">
        <v>36</v>
      </c>
      <c r="G10" t="s">
        <v>37</v>
      </c>
      <c r="H10" s="7" t="str">
        <f>IF(LEFT(Table3[[#This Row],[Object ID]],4)="tbl-","fig-" &amp; MID(Table3[[#This Row],[Object ID]],5,LEN(Table3[[#This Row],[Object ID]])-4),"")</f>
        <v>fig-employed-civilians-industry</v>
      </c>
    </row>
    <row r="11" spans="1:8" s="18" customFormat="1" x14ac:dyDescent="0.2">
      <c r="A11" t="s">
        <v>8</v>
      </c>
      <c r="B11">
        <v>10</v>
      </c>
      <c r="C11" t="s">
        <v>9</v>
      </c>
      <c r="E11" t="s">
        <v>38</v>
      </c>
      <c r="F11" s="46" t="s">
        <v>39</v>
      </c>
      <c r="G11" t="s">
        <v>40</v>
      </c>
      <c r="H11" s="7" t="str">
        <f>IF(LEFT(Table3[[#This Row],[Object ID]],4)="tbl-","fig-" &amp; MID(Table3[[#This Row],[Object ID]],5,LEN(Table3[[#This Row],[Object ID]])-4),"")</f>
        <v>fig-employed-civilian-occupations</v>
      </c>
    </row>
    <row r="12" spans="1:8" s="18" customFormat="1" x14ac:dyDescent="0.2">
      <c r="A12" t="s">
        <v>8</v>
      </c>
      <c r="B12">
        <v>11</v>
      </c>
      <c r="C12" t="s">
        <v>9</v>
      </c>
      <c r="E12" t="s">
        <v>41</v>
      </c>
      <c r="F12" s="46" t="s">
        <v>42</v>
      </c>
      <c r="G12" t="s">
        <v>43</v>
      </c>
      <c r="H12" s="7" t="str">
        <f>IF(LEFT(Table3[[#This Row],[Object ID]],4)="tbl-","fig-" &amp; MID(Table3[[#This Row],[Object ID]],5,LEN(Table3[[#This Row],[Object ID]])-4),"")</f>
        <v>fig-all-cause-mortal-rate-age-zip-code-rande</v>
      </c>
    </row>
    <row r="13" spans="1:8" s="18" customFormat="1" x14ac:dyDescent="0.2">
      <c r="A13" t="s">
        <v>8</v>
      </c>
      <c r="B13">
        <v>12</v>
      </c>
      <c r="C13" t="s">
        <v>16</v>
      </c>
      <c r="E13" t="s">
        <v>44</v>
      </c>
      <c r="F13" s="46" t="s">
        <v>45</v>
      </c>
      <c r="G13" t="s">
        <v>46</v>
      </c>
      <c r="H13" s="7" t="str">
        <f>IF(LEFT(Table3[[#This Row],[Object ID]],4)="tbl-","fig-" &amp; MID(Table3[[#This Row],[Object ID]],5,LEN(Table3[[#This Row],[Object ID]])-4),"")</f>
        <v>fig-all-cause-mortal-aar-rande</v>
      </c>
    </row>
    <row r="14" spans="1:8" s="18" customFormat="1" x14ac:dyDescent="0.2">
      <c r="A14" t="s">
        <v>8</v>
      </c>
      <c r="B14">
        <v>13</v>
      </c>
      <c r="C14" t="s">
        <v>16</v>
      </c>
      <c r="E14" t="s">
        <v>47</v>
      </c>
      <c r="F14" s="46" t="s">
        <v>48</v>
      </c>
      <c r="G14" t="s">
        <v>49</v>
      </c>
      <c r="H14" s="7" t="str">
        <f>IF(LEFT(Table3[[#This Row],[Object ID]],4)="tbl-","fig-" &amp; MID(Table3[[#This Row],[Object ID]],5,LEN(Table3[[#This Row],[Object ID]])-4),"")</f>
        <v>fig-all-cause-mortal-rate-ZIP</v>
      </c>
    </row>
    <row r="15" spans="1:8" s="18" customFormat="1" x14ac:dyDescent="0.2">
      <c r="A15" t="s">
        <v>8</v>
      </c>
      <c r="B15">
        <v>14</v>
      </c>
      <c r="C15" t="s">
        <v>16</v>
      </c>
      <c r="E15" t="s">
        <v>50</v>
      </c>
      <c r="F15" s="46" t="s">
        <v>51</v>
      </c>
      <c r="G15" t="s">
        <v>52</v>
      </c>
      <c r="H15" s="7" t="str">
        <f>IF(LEFT(Table3[[#This Row],[Object ID]],4)="tbl-","fig-" &amp; MID(Table3[[#This Row],[Object ID]],5,LEN(Table3[[#This Row],[Object ID]])-4),"")</f>
        <v>fig-all-cause-mortal-aar-sex</v>
      </c>
    </row>
    <row r="16" spans="1:8" s="18" customFormat="1" x14ac:dyDescent="0.2">
      <c r="A16" t="s">
        <v>8</v>
      </c>
      <c r="B16">
        <v>15</v>
      </c>
      <c r="C16" t="s">
        <v>9</v>
      </c>
      <c r="E16" t="s">
        <v>53</v>
      </c>
      <c r="F16" s="46" t="s">
        <v>54</v>
      </c>
      <c r="G16" s="7" t="s">
        <v>55</v>
      </c>
      <c r="H16" s="7" t="str">
        <f>IF(LEFT(Table3[[#This Row],[Object ID]],4)="tbl-","fig-" &amp; MID(Table3[[#This Row],[Object ID]],5,LEN(Table3[[#This Row],[Object ID]])-4),"")</f>
        <v>fig-top-five-leading-death-count-aar</v>
      </c>
    </row>
    <row r="17" spans="1:8" s="18" customFormat="1" x14ac:dyDescent="0.2">
      <c r="A17" t="s">
        <v>8</v>
      </c>
      <c r="B17">
        <v>16</v>
      </c>
      <c r="C17" t="s">
        <v>9</v>
      </c>
      <c r="E17" t="s">
        <v>56</v>
      </c>
      <c r="F17" s="46" t="s">
        <v>57</v>
      </c>
      <c r="G17" t="s">
        <v>58</v>
      </c>
      <c r="H17" s="7" t="str">
        <f>IF(LEFT(Table3[[#This Row],[Object ID]],4)="tbl-","fig-" &amp; MID(Table3[[#This Row],[Object ID]],5,LEN(Table3[[#This Row],[Object ID]])-4),"")</f>
        <v>fig-number-deaths-leading-sex</v>
      </c>
    </row>
    <row r="18" spans="1:8" s="18" customFormat="1" x14ac:dyDescent="0.2">
      <c r="A18" t="s">
        <v>8</v>
      </c>
      <c r="B18">
        <v>17</v>
      </c>
      <c r="C18" t="s">
        <v>16</v>
      </c>
      <c r="E18" t="s">
        <v>59</v>
      </c>
      <c r="F18" s="46" t="s">
        <v>60</v>
      </c>
      <c r="G18" t="s">
        <v>61</v>
      </c>
      <c r="H18" s="7" t="str">
        <f>IF(LEFT(Table3[[#This Row],[Object ID]],4)="tbl-","fig-" &amp; MID(Table3[[#This Row],[Object ID]],5,LEN(Table3[[#This Row],[Object ID]])-4),"")</f>
        <v>fig-premature-deaths-65</v>
      </c>
    </row>
    <row r="19" spans="1:8" s="18" customFormat="1" x14ac:dyDescent="0.2">
      <c r="A19" t="s">
        <v>8</v>
      </c>
      <c r="B19">
        <v>18</v>
      </c>
      <c r="C19" t="s">
        <v>16</v>
      </c>
      <c r="E19" t="s">
        <v>62</v>
      </c>
      <c r="F19" s="46" t="s">
        <v>63</v>
      </c>
      <c r="G19" s="7" t="s">
        <v>64</v>
      </c>
      <c r="H19" s="7" t="str">
        <f>IF(LEFT(Table3[[#This Row],[Object ID]],4)="tbl-","fig-" &amp; MID(Table3[[#This Row],[Object ID]],5,LEN(Table3[[#This Row],[Object ID]])-4),"")</f>
        <v>fig-premature-deaths-rande</v>
      </c>
    </row>
    <row r="20" spans="1:8" s="18" customFormat="1" x14ac:dyDescent="0.2">
      <c r="A20" t="s">
        <v>8</v>
      </c>
      <c r="B20">
        <v>19</v>
      </c>
      <c r="C20" t="s">
        <v>9</v>
      </c>
      <c r="E20" t="s">
        <v>65</v>
      </c>
      <c r="F20" s="46" t="s">
        <v>66</v>
      </c>
      <c r="G20" s="7" t="s">
        <v>67</v>
      </c>
      <c r="H20" s="7" t="str">
        <f>IF(LEFT(Table3[[#This Row],[Object ID]],4)="tbl-","fig-" &amp; MID(Table3[[#This Row],[Object ID]],5,LEN(Table3[[#This Row],[Object ID]])-4),"")</f>
        <v>fig-income-poverty-gini</v>
      </c>
    </row>
    <row r="21" spans="1:8" s="18" customFormat="1" x14ac:dyDescent="0.2">
      <c r="A21" t="s">
        <v>8</v>
      </c>
      <c r="B21">
        <v>20</v>
      </c>
      <c r="C21" t="s">
        <v>9</v>
      </c>
      <c r="E21" t="s">
        <v>68</v>
      </c>
      <c r="F21" s="46" t="s">
        <v>69</v>
      </c>
      <c r="G21" s="7" t="s">
        <v>70</v>
      </c>
      <c r="H21" s="7" t="str">
        <f>IF(LEFT(Table3[[#This Row],[Object ID]],4)="tbl-","fig-" &amp; MID(Table3[[#This Row],[Object ID]],5,LEN(Table3[[#This Row],[Object ID]])-4),"")</f>
        <v>fig-poverty-threshold</v>
      </c>
    </row>
    <row r="22" spans="1:8" s="18" customFormat="1" x14ac:dyDescent="0.2">
      <c r="A22" t="s">
        <v>8</v>
      </c>
      <c r="B22">
        <v>21</v>
      </c>
      <c r="C22" t="s">
        <v>9</v>
      </c>
      <c r="E22" t="s">
        <v>71</v>
      </c>
      <c r="F22" s="46" t="s">
        <v>72</v>
      </c>
      <c r="G22" s="7" t="s">
        <v>73</v>
      </c>
      <c r="H22" s="7" t="str">
        <f>IF(LEFT(Table3[[#This Row],[Object ID]],4)="tbl-","fig-" &amp; MID(Table3[[#This Row],[Object ID]],5,LEN(Table3[[#This Row],[Object ID]])-4),"")</f>
        <v>fig-poverty-age-rande</v>
      </c>
    </row>
    <row r="23" spans="1:8" s="18" customFormat="1" x14ac:dyDescent="0.2">
      <c r="A23" t="s">
        <v>8</v>
      </c>
      <c r="B23">
        <v>22</v>
      </c>
      <c r="C23" t="s">
        <v>16</v>
      </c>
      <c r="E23" t="s">
        <v>74</v>
      </c>
      <c r="F23" s="46" t="s">
        <v>75</v>
      </c>
      <c r="G23" s="7" t="s">
        <v>76</v>
      </c>
      <c r="H23" s="7" t="str">
        <f>IF(LEFT(Table3[[#This Row],[Object ID]],4)="tbl-","fig-" &amp; MID(Table3[[#This Row],[Object ID]],5,LEN(Table3[[#This Row],[Object ID]])-4),"")</f>
        <v>fig-poverty-pop</v>
      </c>
    </row>
    <row r="24" spans="1:8" s="18" customFormat="1" x14ac:dyDescent="0.2">
      <c r="A24" t="s">
        <v>8</v>
      </c>
      <c r="B24">
        <v>23</v>
      </c>
      <c r="C24" t="s">
        <v>16</v>
      </c>
      <c r="E24" t="s">
        <v>77</v>
      </c>
      <c r="F24" s="46" t="s">
        <v>78</v>
      </c>
      <c r="G24" s="7" t="s">
        <v>79</v>
      </c>
      <c r="H24" s="7" t="str">
        <f>IF(LEFT(Table3[[#This Row],[Object ID]],4)="tbl-","fig-" &amp; MID(Table3[[#This Row],[Object ID]],5,LEN(Table3[[#This Row],[Object ID]])-4),"")</f>
        <v>fig-poverty-individual-rande</v>
      </c>
    </row>
    <row r="25" spans="1:8" s="18" customFormat="1" x14ac:dyDescent="0.2">
      <c r="A25" t="s">
        <v>8</v>
      </c>
      <c r="B25">
        <v>24</v>
      </c>
      <c r="C25" t="s">
        <v>16</v>
      </c>
      <c r="E25" t="s">
        <v>80</v>
      </c>
      <c r="F25" s="46" t="s">
        <v>81</v>
      </c>
      <c r="G25" s="7" t="s">
        <v>82</v>
      </c>
      <c r="H25" s="7" t="str">
        <f>IF(LEFT(Table3[[#This Row],[Object ID]],4)="tbl-","fig-" &amp; MID(Table3[[#This Row],[Object ID]],5,LEN(Table3[[#This Row],[Object ID]])-4),"")</f>
        <v>fig-poverty-family-rande</v>
      </c>
    </row>
    <row r="26" spans="1:8" s="18" customFormat="1" x14ac:dyDescent="0.2">
      <c r="A26" t="s">
        <v>8</v>
      </c>
      <c r="B26">
        <v>25</v>
      </c>
      <c r="C26" t="s">
        <v>16</v>
      </c>
      <c r="E26" t="s">
        <v>83</v>
      </c>
      <c r="F26" s="46" t="s">
        <v>84</v>
      </c>
      <c r="G26" s="7" t="s">
        <v>85</v>
      </c>
      <c r="H26" s="7" t="str">
        <f>IF(LEFT(Table3[[#This Row],[Object ID]],4)="tbl-","fig-" &amp; MID(Table3[[#This Row],[Object ID]],5,LEN(Table3[[#This Row],[Object ID]])-4),"")</f>
        <v>fig-children-poverty-threshold</v>
      </c>
    </row>
    <row r="27" spans="1:8" s="18" customFormat="1" x14ac:dyDescent="0.2">
      <c r="A27" t="s">
        <v>8</v>
      </c>
      <c r="B27">
        <v>26</v>
      </c>
      <c r="C27" t="s">
        <v>9</v>
      </c>
      <c r="E27" t="s">
        <v>86</v>
      </c>
      <c r="F27" s="46" t="s">
        <v>87</v>
      </c>
      <c r="G27" s="7" t="s">
        <v>88</v>
      </c>
      <c r="H27" s="7" t="str">
        <f>IF(LEFT(Table3[[#This Row],[Object ID]],4)="tbl-","fig-" &amp; MID(Table3[[#This Row],[Object ID]],5,LEN(Table3[[#This Row],[Object ID]])-4),"")</f>
        <v>fig-employment</v>
      </c>
    </row>
    <row r="28" spans="1:8" s="18" customFormat="1" x14ac:dyDescent="0.2">
      <c r="A28" t="s">
        <v>8</v>
      </c>
      <c r="B28">
        <v>27</v>
      </c>
      <c r="C28" t="s">
        <v>16</v>
      </c>
      <c r="E28" t="s">
        <v>89</v>
      </c>
      <c r="F28" s="46" t="s">
        <v>90</v>
      </c>
      <c r="G28" s="7" t="s">
        <v>91</v>
      </c>
      <c r="H28" s="7" t="str">
        <f>IF(LEFT(Table3[[#This Row],[Object ID]],4)="tbl-","fig-" &amp; MID(Table3[[#This Row],[Object ID]],5,LEN(Table3[[#This Row],[Object ID]])-4),"")</f>
        <v>fig-labor-force-unemployed</v>
      </c>
    </row>
    <row r="29" spans="1:8" s="18" customFormat="1" x14ac:dyDescent="0.2">
      <c r="A29" t="s">
        <v>8</v>
      </c>
      <c r="B29">
        <v>28</v>
      </c>
      <c r="C29" t="s">
        <v>9</v>
      </c>
      <c r="E29" t="s">
        <v>92</v>
      </c>
      <c r="F29" s="46" t="s">
        <v>93</v>
      </c>
      <c r="G29" s="7" t="s">
        <v>94</v>
      </c>
      <c r="H29" s="7" t="str">
        <f>IF(LEFT(Table3[[#This Row],[Object ID]],4)="tbl-","fig-" &amp; MID(Table3[[#This Row],[Object ID]],5,LEN(Table3[[#This Row],[Object ID]])-4),"")</f>
        <v>fig-graudation-rate-demographic</v>
      </c>
    </row>
    <row r="30" spans="1:8" s="18" customFormat="1" x14ac:dyDescent="0.2">
      <c r="A30" t="s">
        <v>8</v>
      </c>
      <c r="B30">
        <v>29</v>
      </c>
      <c r="C30" t="s">
        <v>9</v>
      </c>
      <c r="E30" t="s">
        <v>95</v>
      </c>
      <c r="F30" s="46" t="s">
        <v>96</v>
      </c>
      <c r="G30" s="7" t="s">
        <v>97</v>
      </c>
      <c r="H30" s="7" t="str">
        <f>IF(LEFT(Table3[[#This Row],[Object ID]],4)="tbl-","fig-" &amp; MID(Table3[[#This Row],[Object ID]],5,LEN(Table3[[#This Row],[Object ID]])-4),"")</f>
        <v>fig-educational-attain</v>
      </c>
    </row>
    <row r="31" spans="1:8" s="18" customFormat="1" x14ac:dyDescent="0.2">
      <c r="A31" t="s">
        <v>8</v>
      </c>
      <c r="B31">
        <v>30</v>
      </c>
      <c r="C31" t="s">
        <v>16</v>
      </c>
      <c r="E31" t="s">
        <v>98</v>
      </c>
      <c r="F31" s="46" t="s">
        <v>99</v>
      </c>
      <c r="G31" s="7" t="s">
        <v>100</v>
      </c>
      <c r="H31" s="7" t="str">
        <f>IF(LEFT(Table3[[#This Row],[Object ID]],4)="tbl-","fig-" &amp; MID(Table3[[#This Row],[Object ID]],5,LEN(Table3[[#This Row],[Object ID]])-4),"")</f>
        <v>fig-hs-graduation-rande</v>
      </c>
    </row>
    <row r="32" spans="1:8" s="18" customFormat="1" x14ac:dyDescent="0.2">
      <c r="A32" t="s">
        <v>8</v>
      </c>
      <c r="B32">
        <v>31</v>
      </c>
      <c r="C32" t="s">
        <v>9</v>
      </c>
      <c r="E32" t="s">
        <v>101</v>
      </c>
      <c r="F32" s="46" t="s">
        <v>102</v>
      </c>
      <c r="G32" s="7" t="s">
        <v>103</v>
      </c>
      <c r="H32" s="7" t="str">
        <f>IF(LEFT(Table3[[#This Row],[Object ID]],4)="tbl-","fig-" &amp; MID(Table3[[#This Row],[Object ID]],5,LEN(Table3[[#This Row],[Object ID]])-4),"")</f>
        <v>fig-language-spoken-home</v>
      </c>
    </row>
    <row r="33" spans="1:8" s="18" customFormat="1" x14ac:dyDescent="0.2">
      <c r="A33" t="s">
        <v>8</v>
      </c>
      <c r="B33">
        <v>32</v>
      </c>
      <c r="C33" t="s">
        <v>9</v>
      </c>
      <c r="E33" t="s">
        <v>104</v>
      </c>
      <c r="F33" s="46" t="s">
        <v>105</v>
      </c>
      <c r="G33" s="34" t="s">
        <v>106</v>
      </c>
      <c r="H33" s="7" t="str">
        <f>IF(LEFT(Table3[[#This Row],[Object ID]],4)="tbl-","fig-" &amp; MID(Table3[[#This Row],[Object ID]],5,LEN(Table3[[#This Row],[Object ID]])-4),"")</f>
        <v>fig-english-language-eco-disad-disability</v>
      </c>
    </row>
    <row r="34" spans="1:8" s="18" customFormat="1" x14ac:dyDescent="0.2">
      <c r="A34" t="s">
        <v>8</v>
      </c>
      <c r="B34">
        <v>33</v>
      </c>
      <c r="C34" t="s">
        <v>16</v>
      </c>
      <c r="E34" t="s">
        <v>107</v>
      </c>
      <c r="F34" s="46" t="s">
        <v>108</v>
      </c>
      <c r="G34" s="34" t="s">
        <v>109</v>
      </c>
      <c r="H34" s="7" t="str">
        <f>IF(LEFT(Table3[[#This Row],[Object ID]],4)="tbl-","fig-" &amp; MID(Table3[[#This Row],[Object ID]],5,LEN(Table3[[#This Row],[Object ID]])-4),"")</f>
        <v>fig-pphospital-aar-zip</v>
      </c>
    </row>
    <row r="35" spans="1:8" s="18" customFormat="1" x14ac:dyDescent="0.2">
      <c r="A35" t="s">
        <v>8</v>
      </c>
      <c r="B35">
        <v>34</v>
      </c>
      <c r="C35" t="s">
        <v>16</v>
      </c>
      <c r="E35" t="s">
        <v>110</v>
      </c>
      <c r="F35" s="46" t="s">
        <v>2350</v>
      </c>
      <c r="G35" s="7" t="s">
        <v>111</v>
      </c>
      <c r="H35" s="7" t="str">
        <f>IF(LEFT(Table3[[#This Row],[Object ID]],4)="tbl-","fig-" &amp; MID(Table3[[#This Row],[Object ID]],5,LEN(Table3[[#This Row],[Object ID]])-4),"")</f>
        <v>fig-uninsured-rande</v>
      </c>
    </row>
    <row r="36" spans="1:8" s="18" customFormat="1" x14ac:dyDescent="0.2">
      <c r="A36" t="s">
        <v>8</v>
      </c>
      <c r="B36">
        <v>35</v>
      </c>
      <c r="C36" t="s">
        <v>9</v>
      </c>
      <c r="E36" t="s">
        <v>112</v>
      </c>
      <c r="F36" s="46" t="s">
        <v>2351</v>
      </c>
      <c r="G36" s="7" t="s">
        <v>113</v>
      </c>
      <c r="H36" s="7" t="str">
        <f>IF(LEFT(Table3[[#This Row],[Object ID]],4)="tbl-","fig-" &amp; MID(Table3[[#This Row],[Object ID]],5,LEN(Table3[[#This Row],[Object ID]])-4),"")</f>
        <v>fig-cars-household</v>
      </c>
    </row>
    <row r="37" spans="1:8" s="18" customFormat="1" x14ac:dyDescent="0.2">
      <c r="A37" t="s">
        <v>8</v>
      </c>
      <c r="B37">
        <v>36</v>
      </c>
      <c r="C37" t="s">
        <v>9</v>
      </c>
      <c r="E37" t="s">
        <v>114</v>
      </c>
      <c r="F37" s="46" t="s">
        <v>115</v>
      </c>
      <c r="G37" s="7" t="s">
        <v>116</v>
      </c>
      <c r="H37" s="7" t="str">
        <f>IF(LEFT(Table3[[#This Row],[Object ID]],4)="tbl-","fig-" &amp; MID(Table3[[#This Row],[Object ID]],5,LEN(Table3[[#This Row],[Object ID]])-4),"")</f>
        <v>fig-commute-work</v>
      </c>
    </row>
    <row r="38" spans="1:8" s="18" customFormat="1" x14ac:dyDescent="0.2">
      <c r="A38" t="s">
        <v>8</v>
      </c>
      <c r="B38">
        <v>37</v>
      </c>
      <c r="C38" t="s">
        <v>9</v>
      </c>
      <c r="E38" t="s">
        <v>117</v>
      </c>
      <c r="F38" s="46" t="s">
        <v>118</v>
      </c>
      <c r="G38" s="7" t="s">
        <v>119</v>
      </c>
      <c r="H38" s="7" t="str">
        <f>IF(LEFT(Table3[[#This Row],[Object ID]],4)="tbl-","fig-" &amp; MID(Table3[[#This Row],[Object ID]],5,LEN(Table3[[#This Row],[Object ID]])-4),"")</f>
        <v>fig-house-tenure-vacancy</v>
      </c>
    </row>
    <row r="39" spans="1:8" s="18" customFormat="1" x14ac:dyDescent="0.2">
      <c r="A39" t="s">
        <v>8</v>
      </c>
      <c r="B39">
        <v>38</v>
      </c>
      <c r="C39" t="s">
        <v>9</v>
      </c>
      <c r="E39" t="s">
        <v>120</v>
      </c>
      <c r="F39" s="46" t="s">
        <v>121</v>
      </c>
      <c r="G39" s="7" t="s">
        <v>122</v>
      </c>
      <c r="H39" s="7" t="str">
        <f>IF(LEFT(Table3[[#This Row],[Object ID]],4)="tbl-","fig-" &amp; MID(Table3[[#This Row],[Object ID]],5,LEN(Table3[[#This Row],[Object ID]])-4),"")</f>
        <v>fig-house-unit-age</v>
      </c>
    </row>
    <row r="40" spans="1:8" s="18" customFormat="1" ht="19.5" customHeight="1" x14ac:dyDescent="0.2">
      <c r="A40" t="s">
        <v>8</v>
      </c>
      <c r="B40">
        <v>39</v>
      </c>
      <c r="C40" t="s">
        <v>9</v>
      </c>
      <c r="E40" t="s">
        <v>123</v>
      </c>
      <c r="F40" s="46" t="s">
        <v>124</v>
      </c>
      <c r="G40" s="7" t="s">
        <v>125</v>
      </c>
      <c r="H40" s="7" t="str">
        <f>IF(LEFT(Table3[[#This Row],[Object ID]],4)="tbl-","fig-" &amp; MID(Table3[[#This Row],[Object ID]],5,LEN(Table3[[#This Row],[Object ID]])-4),"")</f>
        <v>fig-house-characteristics-homeowner</v>
      </c>
    </row>
    <row r="41" spans="1:8" s="18" customFormat="1" x14ac:dyDescent="0.2">
      <c r="A41" t="s">
        <v>8</v>
      </c>
      <c r="B41">
        <v>40</v>
      </c>
      <c r="C41" t="s">
        <v>16</v>
      </c>
      <c r="E41" t="s">
        <v>126</v>
      </c>
      <c r="F41" s="46" t="s">
        <v>127</v>
      </c>
      <c r="G41" s="7" t="s">
        <v>128</v>
      </c>
      <c r="H41" s="7" t="str">
        <f>IF(LEFT(Table3[[#This Row],[Object ID]],4)="tbl-","fig-" &amp; MID(Table3[[#This Row],[Object ID]],5,LEN(Table3[[#This Row],[Object ID]])-4),"")</f>
        <v>fig-owner-occupy-of-occupy-housing</v>
      </c>
    </row>
    <row r="42" spans="1:8" s="18" customFormat="1" x14ac:dyDescent="0.2">
      <c r="A42" t="s">
        <v>8</v>
      </c>
      <c r="B42">
        <v>41</v>
      </c>
      <c r="C42" t="s">
        <v>9</v>
      </c>
      <c r="E42" t="s">
        <v>129</v>
      </c>
      <c r="F42" s="46" t="s">
        <v>130</v>
      </c>
      <c r="G42" s="7" t="s">
        <v>131</v>
      </c>
      <c r="H42" s="7" t="str">
        <f>IF(LEFT(Table3[[#This Row],[Object ID]],4)="tbl-","fig-" &amp; MID(Table3[[#This Row],[Object ID]],5,LEN(Table3[[#This Row],[Object ID]])-4),"")</f>
        <v>fig-house-characteristics-renters</v>
      </c>
    </row>
    <row r="43" spans="1:8" s="18" customFormat="1" x14ac:dyDescent="0.2">
      <c r="A43" t="s">
        <v>8</v>
      </c>
      <c r="B43">
        <v>42</v>
      </c>
      <c r="C43" t="s">
        <v>16</v>
      </c>
      <c r="E43" t="s">
        <v>132</v>
      </c>
      <c r="F43" s="46" t="s">
        <v>133</v>
      </c>
      <c r="G43" s="7" t="s">
        <v>134</v>
      </c>
      <c r="H43" s="7" t="str">
        <f>IF(LEFT(Table3[[#This Row],[Object ID]],4)="tbl-","fig-" &amp; MID(Table3[[#This Row],[Object ID]],5,LEN(Table3[[#This Row],[Object ID]])-4),"")</f>
        <v>fig-renter-occupy-of-occupy-housing</v>
      </c>
    </row>
    <row r="44" spans="1:8" s="18" customFormat="1" x14ac:dyDescent="0.2">
      <c r="A44" t="s">
        <v>8</v>
      </c>
      <c r="B44">
        <v>43</v>
      </c>
      <c r="C44" t="s">
        <v>9</v>
      </c>
      <c r="E44" t="s">
        <v>135</v>
      </c>
      <c r="F44" s="46" t="s">
        <v>136</v>
      </c>
      <c r="G44" s="34" t="s">
        <v>137</v>
      </c>
      <c r="H44" s="7" t="str">
        <f>IF(LEFT(Table3[[#This Row],[Object ID]],4)="tbl-","fig-" &amp; MID(Table3[[#This Row],[Object ID]],5,LEN(Table3[[#This Row],[Object ID]])-4),"")</f>
        <v>fig-own-vs-rent-per-room</v>
      </c>
    </row>
    <row r="45" spans="1:8" s="18" customFormat="1" x14ac:dyDescent="0.2">
      <c r="A45" t="s">
        <v>8</v>
      </c>
      <c r="B45">
        <v>44</v>
      </c>
      <c r="C45" t="s">
        <v>16</v>
      </c>
      <c r="E45" t="s">
        <v>138</v>
      </c>
      <c r="F45" s="46" t="s">
        <v>139</v>
      </c>
      <c r="G45" s="7" t="s">
        <v>140</v>
      </c>
      <c r="H45" s="7" t="str">
        <f>IF(LEFT(Table3[[#This Row],[Object ID]],4)="tbl-","fig-" &amp; MID(Table3[[#This Row],[Object ID]],5,LEN(Table3[[#This Row],[Object ID]])-4),"")</f>
        <v>fig-own-vs-rent-more1-room</v>
      </c>
    </row>
    <row r="46" spans="1:8" s="18" customFormat="1" x14ac:dyDescent="0.2">
      <c r="A46" t="s">
        <v>8</v>
      </c>
      <c r="B46">
        <v>45</v>
      </c>
      <c r="C46" t="s">
        <v>16</v>
      </c>
      <c r="E46" t="s">
        <v>141</v>
      </c>
      <c r="F46" s="46" t="s">
        <v>142</v>
      </c>
      <c r="G46" s="7" t="s">
        <v>143</v>
      </c>
      <c r="H46" s="7" t="str">
        <f>IF(LEFT(Table3[[#This Row],[Object ID]],4)="tbl-","fig-" &amp; MID(Table3[[#This Row],[Object ID]],5,LEN(Table3[[#This Row],[Object ID]])-4),"")</f>
        <v>fig-high-bll</v>
      </c>
    </row>
    <row r="47" spans="1:8" s="18" customFormat="1" x14ac:dyDescent="0.2">
      <c r="A47" t="s">
        <v>8</v>
      </c>
      <c r="B47">
        <v>46</v>
      </c>
      <c r="C47" t="s">
        <v>9</v>
      </c>
      <c r="E47" t="s">
        <v>144</v>
      </c>
      <c r="F47" s="46" t="s">
        <v>145</v>
      </c>
      <c r="G47" s="7" t="s">
        <v>146</v>
      </c>
      <c r="H47" s="7" t="str">
        <f>IF(LEFT(Table3[[#This Row],[Object ID]],4)="tbl-","fig-" &amp; MID(Table3[[#This Row],[Object ID]],5,LEN(Table3[[#This Row],[Object ID]])-4),"")</f>
        <v>fig-internet-access</v>
      </c>
    </row>
    <row r="48" spans="1:8" s="18" customFormat="1" x14ac:dyDescent="0.2">
      <c r="A48" t="s">
        <v>8</v>
      </c>
      <c r="B48">
        <v>47</v>
      </c>
      <c r="C48" t="s">
        <v>9</v>
      </c>
      <c r="E48" t="s">
        <v>147</v>
      </c>
      <c r="F48" s="46" t="s">
        <v>148</v>
      </c>
      <c r="G48" s="7" t="s">
        <v>149</v>
      </c>
      <c r="H48" s="7" t="str">
        <f>IF(LEFT(Table3[[#This Row],[Object ID]],4)="tbl-","fig-" &amp; MID(Table3[[#This Row],[Object ID]],5,LEN(Table3[[#This Row],[Object ID]])-4),"")</f>
        <v>fig-pop-served-ocdss</v>
      </c>
    </row>
    <row r="49" spans="1:8" s="18" customFormat="1" x14ac:dyDescent="0.2">
      <c r="A49" t="s">
        <v>8</v>
      </c>
      <c r="B49">
        <v>48</v>
      </c>
      <c r="C49" t="s">
        <v>9</v>
      </c>
      <c r="E49" t="s">
        <v>150</v>
      </c>
      <c r="F49" s="46" t="s">
        <v>151</v>
      </c>
      <c r="G49" s="7" t="s">
        <v>152</v>
      </c>
      <c r="H49" s="7" t="str">
        <f>IF(LEFT(Table3[[#This Row],[Object ID]],4)="tbl-","fig-" &amp; MID(Table3[[#This Row],[Object ID]],5,LEN(Table3[[#This Row],[Object ID]])-4),"")</f>
        <v>fig-dzcircsystem-count-rate-age-rande-zip</v>
      </c>
    </row>
    <row r="50" spans="1:8" s="18" customFormat="1" ht="15.75" customHeight="1" x14ac:dyDescent="0.2">
      <c r="A50" t="s">
        <v>8</v>
      </c>
      <c r="B50">
        <v>49</v>
      </c>
      <c r="C50" t="s">
        <v>16</v>
      </c>
      <c r="E50" t="s">
        <v>153</v>
      </c>
      <c r="F50" s="46" t="s">
        <v>154</v>
      </c>
      <c r="G50" s="7" t="s">
        <v>155</v>
      </c>
      <c r="H50" s="7" t="str">
        <f>IF(LEFT(Table3[[#This Row],[Object ID]],4)="tbl-","fig-" &amp; MID(Table3[[#This Row],[Object ID]],5,LEN(Table3[[#This Row],[Object ID]])-4),"")</f>
        <v>fig-dzcircsystem-mortal-aar</v>
      </c>
    </row>
    <row r="51" spans="1:8" s="18" customFormat="1" x14ac:dyDescent="0.2">
      <c r="A51" t="s">
        <v>8</v>
      </c>
      <c r="B51">
        <v>50</v>
      </c>
      <c r="C51" t="s">
        <v>16</v>
      </c>
      <c r="E51" t="s">
        <v>156</v>
      </c>
      <c r="F51" s="46" t="s">
        <v>157</v>
      </c>
      <c r="G51" s="7" t="s">
        <v>158</v>
      </c>
      <c r="H51" s="7" t="str">
        <f>IF(LEFT(Table3[[#This Row],[Object ID]],4)="tbl-","fig-" &amp; MID(Table3[[#This Row],[Object ID]],5,LEN(Table3[[#This Row],[Object ID]])-4),"")</f>
        <v>fig-dzcircsystem--mortal-rande</v>
      </c>
    </row>
    <row r="52" spans="1:8" s="18" customFormat="1" x14ac:dyDescent="0.2">
      <c r="A52" t="s">
        <v>8</v>
      </c>
      <c r="B52">
        <v>51</v>
      </c>
      <c r="C52" t="s">
        <v>16</v>
      </c>
      <c r="E52" t="s">
        <v>159</v>
      </c>
      <c r="F52" s="46" t="s">
        <v>160</v>
      </c>
      <c r="G52" s="7" t="s">
        <v>161</v>
      </c>
      <c r="H52" s="7" t="str">
        <f>IF(LEFT(Table3[[#This Row],[Object ID]],4)="tbl-","fig-" &amp; MID(Table3[[#This Row],[Object ID]],5,LEN(Table3[[#This Row],[Object ID]])-4),"")</f>
        <v>fig-dzcircsystem--mortal-zip</v>
      </c>
    </row>
    <row r="53" spans="1:8" s="18" customFormat="1" x14ac:dyDescent="0.2">
      <c r="A53" t="s">
        <v>8</v>
      </c>
      <c r="B53">
        <v>52</v>
      </c>
      <c r="C53" t="s">
        <v>16</v>
      </c>
      <c r="E53" t="s">
        <v>162</v>
      </c>
      <c r="F53" t="s">
        <v>163</v>
      </c>
      <c r="G53" s="7" t="s">
        <v>164</v>
      </c>
      <c r="H53" s="7" t="str">
        <f>IF(LEFT(Table3[[#This Row],[Object ID]],4)="tbl-","fig-" &amp; MID(Table3[[#This Row],[Object ID]],5,LEN(Table3[[#This Row],[Object ID]])-4),"")</f>
        <v>fig-dzcircsystem-mortal-sex-aar</v>
      </c>
    </row>
    <row r="54" spans="1:8" s="18" customFormat="1" x14ac:dyDescent="0.2">
      <c r="A54" t="s">
        <v>8</v>
      </c>
      <c r="B54">
        <v>53</v>
      </c>
      <c r="C54" t="s">
        <v>9</v>
      </c>
      <c r="E54" t="s">
        <v>165</v>
      </c>
      <c r="F54" t="s">
        <v>166</v>
      </c>
      <c r="G54" s="7" t="s">
        <v>167</v>
      </c>
      <c r="H54" s="7" t="str">
        <f>IF(LEFT(Table3[[#This Row],[Object ID]],4)="tbl-","fig-" &amp; MID(Table3[[#This Row],[Object ID]],5,LEN(Table3[[#This Row],[Object ID]])-4),"")</f>
        <v>fig-heartdz-count-rate-age-rande-zip</v>
      </c>
    </row>
    <row r="55" spans="1:8" s="18" customFormat="1" x14ac:dyDescent="0.2">
      <c r="A55" t="s">
        <v>8</v>
      </c>
      <c r="B55">
        <v>54</v>
      </c>
      <c r="C55" t="s">
        <v>16</v>
      </c>
      <c r="E55" t="s">
        <v>168</v>
      </c>
      <c r="F55" t="s">
        <v>169</v>
      </c>
      <c r="G55" s="7" t="s">
        <v>170</v>
      </c>
      <c r="H55" s="7" t="str">
        <f>IF(LEFT(Table3[[#This Row],[Object ID]],4)="tbl-","fig-" &amp; MID(Table3[[#This Row],[Object ID]],5,LEN(Table3[[#This Row],[Object ID]])-4),"")</f>
        <v>fig-heartdz-mortal-aar</v>
      </c>
    </row>
    <row r="56" spans="1:8" s="18" customFormat="1" x14ac:dyDescent="0.2">
      <c r="A56" t="s">
        <v>8</v>
      </c>
      <c r="B56">
        <v>55</v>
      </c>
      <c r="C56" t="s">
        <v>16</v>
      </c>
      <c r="E56" t="s">
        <v>171</v>
      </c>
      <c r="F56" t="s">
        <v>172</v>
      </c>
      <c r="G56" s="7" t="s">
        <v>173</v>
      </c>
      <c r="H56" s="7" t="str">
        <f>IF(LEFT(Table3[[#This Row],[Object ID]],4)="tbl-","fig-" &amp; MID(Table3[[#This Row],[Object ID]],5,LEN(Table3[[#This Row],[Object ID]])-4),"")</f>
        <v>fig-heartdz-mortal-rande</v>
      </c>
    </row>
    <row r="57" spans="1:8" s="18" customFormat="1" x14ac:dyDescent="0.2">
      <c r="A57" t="s">
        <v>8</v>
      </c>
      <c r="B57">
        <v>56</v>
      </c>
      <c r="C57" t="s">
        <v>16</v>
      </c>
      <c r="E57" t="s">
        <v>174</v>
      </c>
      <c r="F57" t="s">
        <v>175</v>
      </c>
      <c r="G57" s="7" t="s">
        <v>176</v>
      </c>
      <c r="H57" s="7" t="str">
        <f>IF(LEFT(Table3[[#This Row],[Object ID]],4)="tbl-","fig-" &amp; MID(Table3[[#This Row],[Object ID]],5,LEN(Table3[[#This Row],[Object ID]])-4),"")</f>
        <v>fig-heartdz-mortal-zip</v>
      </c>
    </row>
    <row r="58" spans="1:8" s="18" customFormat="1" x14ac:dyDescent="0.2">
      <c r="A58" t="s">
        <v>8</v>
      </c>
      <c r="B58">
        <v>57</v>
      </c>
      <c r="C58" t="s">
        <v>16</v>
      </c>
      <c r="E58" t="s">
        <v>177</v>
      </c>
      <c r="F58" t="s">
        <v>178</v>
      </c>
      <c r="G58" s="7" t="s">
        <v>179</v>
      </c>
      <c r="H58" s="7" t="str">
        <f>IF(LEFT(Table3[[#This Row],[Object ID]],4)="tbl-","fig-" &amp; MID(Table3[[#This Row],[Object ID]],5,LEN(Table3[[#This Row],[Object ID]])-4),"")</f>
        <v>fig-heartdz-mortal-sex-aar</v>
      </c>
    </row>
    <row r="59" spans="1:8" x14ac:dyDescent="0.2">
      <c r="A59" t="s">
        <v>8</v>
      </c>
      <c r="B59">
        <v>58</v>
      </c>
      <c r="C59" t="s">
        <v>16</v>
      </c>
      <c r="E59" t="s">
        <v>180</v>
      </c>
      <c r="F59" t="s">
        <v>181</v>
      </c>
      <c r="G59" s="7" t="s">
        <v>182</v>
      </c>
      <c r="H59" s="7" t="str">
        <f>IF(LEFT(Table3[[#This Row],[Object ID]],4)="tbl-","fig-" &amp; MID(Table3[[#This Row],[Object ID]],5,LEN(Table3[[#This Row],[Object ID]])-4),"")</f>
        <v>fig-cerebrovascdz-hosp-rande-aar</v>
      </c>
    </row>
    <row r="60" spans="1:8" x14ac:dyDescent="0.2">
      <c r="A60" t="s">
        <v>8</v>
      </c>
      <c r="B60">
        <v>59</v>
      </c>
      <c r="C60" t="s">
        <v>9</v>
      </c>
      <c r="E60" t="s">
        <v>183</v>
      </c>
      <c r="F60" t="s">
        <v>184</v>
      </c>
      <c r="G60" s="7" t="s">
        <v>185</v>
      </c>
      <c r="H60" s="7" t="str">
        <f>IF(LEFT(Table3[[#This Row],[Object ID]],4)="tbl-","fig-" &amp; MID(Table3[[#This Row],[Object ID]],5,LEN(Table3[[#This Row],[Object ID]])-4),"")</f>
        <v>fig-cerebrovascdz-count-rate-age-rande-zip</v>
      </c>
    </row>
    <row r="61" spans="1:8" x14ac:dyDescent="0.2">
      <c r="A61" t="s">
        <v>8</v>
      </c>
      <c r="B61">
        <v>60</v>
      </c>
      <c r="C61" t="s">
        <v>16</v>
      </c>
      <c r="E61" t="s">
        <v>186</v>
      </c>
      <c r="F61" t="s">
        <v>187</v>
      </c>
      <c r="G61" s="7" t="s">
        <v>188</v>
      </c>
      <c r="H61" s="7" t="str">
        <f>IF(LEFT(Table3[[#This Row],[Object ID]],4)="tbl-","fig-" &amp; MID(Table3[[#This Row],[Object ID]],5,LEN(Table3[[#This Row],[Object ID]])-4),"")</f>
        <v>fig-cerebrovascdz-mortal-aar</v>
      </c>
    </row>
    <row r="62" spans="1:8" x14ac:dyDescent="0.2">
      <c r="A62" t="s">
        <v>8</v>
      </c>
      <c r="B62">
        <v>61</v>
      </c>
      <c r="C62" t="s">
        <v>16</v>
      </c>
      <c r="E62" t="s">
        <v>189</v>
      </c>
      <c r="F62" t="s">
        <v>190</v>
      </c>
      <c r="G62" s="7" t="s">
        <v>191</v>
      </c>
      <c r="H62" s="7" t="str">
        <f>IF(LEFT(Table3[[#This Row],[Object ID]],4)="tbl-","fig-" &amp; MID(Table3[[#This Row],[Object ID]],5,LEN(Table3[[#This Row],[Object ID]])-4),"")</f>
        <v>fig-cerebrovascdz-mortal-sex-aar</v>
      </c>
    </row>
    <row r="63" spans="1:8" x14ac:dyDescent="0.2">
      <c r="A63" t="s">
        <v>8</v>
      </c>
      <c r="B63">
        <v>62</v>
      </c>
      <c r="C63" t="s">
        <v>9</v>
      </c>
      <c r="E63" t="s">
        <v>192</v>
      </c>
      <c r="F63" t="s">
        <v>193</v>
      </c>
      <c r="G63" s="7" t="s">
        <v>194</v>
      </c>
      <c r="H63" s="7" t="str">
        <f>IF(LEFT(Table3[[#This Row],[Object ID]],4)="tbl-","fig-" &amp; MID(Table3[[#This Row],[Object ID]],5,LEN(Table3[[#This Row],[Object ID]])-4),"")</f>
        <v>fig-other-dzcircsystem-count-rate-age-rande-zip</v>
      </c>
    </row>
    <row r="64" spans="1:8" x14ac:dyDescent="0.2">
      <c r="A64" t="s">
        <v>8</v>
      </c>
      <c r="B64">
        <v>63</v>
      </c>
      <c r="C64" t="s">
        <v>16</v>
      </c>
      <c r="E64" t="s">
        <v>195</v>
      </c>
      <c r="F64" t="s">
        <v>196</v>
      </c>
      <c r="G64" s="7" t="s">
        <v>197</v>
      </c>
      <c r="H64" s="7" t="str">
        <f>IF(LEFT(Table3[[#This Row],[Object ID]],4)="tbl-","fig-" &amp; MID(Table3[[#This Row],[Object ID]],5,LEN(Table3[[#This Row],[Object ID]])-4),"")</f>
        <v>fig-other-dzcircsystem-mortal-aar</v>
      </c>
    </row>
    <row r="65" spans="1:8" x14ac:dyDescent="0.2">
      <c r="A65" t="s">
        <v>8</v>
      </c>
      <c r="B65">
        <v>64</v>
      </c>
      <c r="C65" t="s">
        <v>16</v>
      </c>
      <c r="E65" t="s">
        <v>198</v>
      </c>
      <c r="F65" t="s">
        <v>199</v>
      </c>
      <c r="G65" s="7" t="s">
        <v>200</v>
      </c>
      <c r="H65" s="7" t="str">
        <f>IF(LEFT(Table3[[#This Row],[Object ID]],4)="tbl-","fig-" &amp; MID(Table3[[#This Row],[Object ID]],5,LEN(Table3[[#This Row],[Object ID]])-4),"")</f>
        <v>fig-other-dzcircsystem-mortal-rande</v>
      </c>
    </row>
    <row r="66" spans="1:8" x14ac:dyDescent="0.2">
      <c r="A66" t="s">
        <v>8</v>
      </c>
      <c r="B66">
        <v>65</v>
      </c>
      <c r="C66" t="s">
        <v>16</v>
      </c>
      <c r="E66" t="s">
        <v>201</v>
      </c>
      <c r="F66" t="s">
        <v>202</v>
      </c>
      <c r="G66" s="7" t="s">
        <v>203</v>
      </c>
      <c r="H66" s="7" t="str">
        <f>IF(LEFT(Table3[[#This Row],[Object ID]],4)="tbl-","fig-" &amp; MID(Table3[[#This Row],[Object ID]],5,LEN(Table3[[#This Row],[Object ID]])-4),"")</f>
        <v>fig-circsystemdz-mortal-zip</v>
      </c>
    </row>
    <row r="67" spans="1:8" x14ac:dyDescent="0.2">
      <c r="A67" t="s">
        <v>8</v>
      </c>
      <c r="B67">
        <v>66</v>
      </c>
      <c r="C67" t="s">
        <v>16</v>
      </c>
      <c r="E67" t="s">
        <v>204</v>
      </c>
      <c r="F67" t="s">
        <v>205</v>
      </c>
      <c r="G67" s="7" t="s">
        <v>206</v>
      </c>
      <c r="H67" s="7" t="str">
        <f>IF(LEFT(Table3[[#This Row],[Object ID]],4)="tbl-","fig-" &amp; MID(Table3[[#This Row],[Object ID]],5,LEN(Table3[[#This Row],[Object ID]])-4),"")</f>
        <v>fig-circsystemdz-mortal-sex-aar</v>
      </c>
    </row>
    <row r="68" spans="1:8" x14ac:dyDescent="0.2">
      <c r="A68" t="s">
        <v>8</v>
      </c>
      <c r="B68">
        <v>67</v>
      </c>
      <c r="C68" t="s">
        <v>16</v>
      </c>
      <c r="E68" t="s">
        <v>207</v>
      </c>
      <c r="F68" t="s">
        <v>208</v>
      </c>
      <c r="G68" s="7" t="s">
        <v>209</v>
      </c>
      <c r="H68" s="7" t="str">
        <f>IF(LEFT(Table3[[#This Row],[Object ID]],4)="tbl-","fig-" &amp; MID(Table3[[#This Row],[Object ID]],5,LEN(Table3[[#This Row],[Object ID]])-4),"")</f>
        <v>fig-clrd-hosp-rande-aar</v>
      </c>
    </row>
    <row r="69" spans="1:8" x14ac:dyDescent="0.2">
      <c r="A69" t="s">
        <v>8</v>
      </c>
      <c r="B69">
        <v>68</v>
      </c>
      <c r="C69" t="s">
        <v>9</v>
      </c>
      <c r="E69" t="s">
        <v>210</v>
      </c>
      <c r="F69" t="s">
        <v>211</v>
      </c>
      <c r="G69" s="7" t="s">
        <v>212</v>
      </c>
      <c r="H69" s="7" t="str">
        <f>IF(LEFT(Table3[[#This Row],[Object ID]],4)="tbl-","fig-" &amp; MID(Table3[[#This Row],[Object ID]],5,LEN(Table3[[#This Row],[Object ID]])-4),"")</f>
        <v>fig-clrd-count-rate-age-rande-zip</v>
      </c>
    </row>
    <row r="70" spans="1:8" x14ac:dyDescent="0.2">
      <c r="A70" t="s">
        <v>8</v>
      </c>
      <c r="B70">
        <v>69</v>
      </c>
      <c r="C70" t="s">
        <v>16</v>
      </c>
      <c r="E70" t="s">
        <v>213</v>
      </c>
      <c r="F70" t="s">
        <v>214</v>
      </c>
      <c r="G70" s="7" t="s">
        <v>215</v>
      </c>
      <c r="H70" s="7" t="str">
        <f>IF(LEFT(Table3[[#This Row],[Object ID]],4)="tbl-","fig-" &amp; MID(Table3[[#This Row],[Object ID]],5,LEN(Table3[[#This Row],[Object ID]])-4),"")</f>
        <v>fig-clrd-mortal-aar</v>
      </c>
    </row>
    <row r="71" spans="1:8" x14ac:dyDescent="0.2">
      <c r="A71" t="s">
        <v>8</v>
      </c>
      <c r="B71">
        <v>70</v>
      </c>
      <c r="C71" t="s">
        <v>16</v>
      </c>
      <c r="E71" t="s">
        <v>216</v>
      </c>
      <c r="F71" t="s">
        <v>217</v>
      </c>
      <c r="G71" s="7" t="s">
        <v>218</v>
      </c>
      <c r="H71" s="7" t="str">
        <f>IF(LEFT(Table3[[#This Row],[Object ID]],4)="tbl-","fig-" &amp; MID(Table3[[#This Row],[Object ID]],5,LEN(Table3[[#This Row],[Object ID]])-4),"")</f>
        <v>fig-clrd-mortal-sex-aar</v>
      </c>
    </row>
    <row r="72" spans="1:8" x14ac:dyDescent="0.2">
      <c r="A72" t="s">
        <v>8</v>
      </c>
      <c r="B72">
        <v>71</v>
      </c>
      <c r="C72" t="s">
        <v>16</v>
      </c>
      <c r="E72" t="s">
        <v>219</v>
      </c>
      <c r="F72" t="s">
        <v>220</v>
      </c>
      <c r="G72" s="7" t="s">
        <v>221</v>
      </c>
      <c r="H72" s="7" t="str">
        <f>IF(LEFT(Table3[[#This Row],[Object ID]],4)="tbl-","fig-" &amp; MID(Table3[[#This Row],[Object ID]],5,LEN(Table3[[#This Row],[Object ID]])-4),"")</f>
        <v>fig-asthma-hosp-rande-aar</v>
      </c>
    </row>
    <row r="73" spans="1:8" x14ac:dyDescent="0.2">
      <c r="A73" t="s">
        <v>8</v>
      </c>
      <c r="B73">
        <v>72</v>
      </c>
      <c r="C73" t="s">
        <v>16</v>
      </c>
      <c r="E73" t="s">
        <v>222</v>
      </c>
      <c r="F73" t="s">
        <v>223</v>
      </c>
      <c r="G73" s="7" t="s">
        <v>224</v>
      </c>
      <c r="H73" s="7" t="str">
        <f>IF(LEFT(Table3[[#This Row],[Object ID]],4)="tbl-","fig-" &amp; MID(Table3[[#This Row],[Object ID]],5,LEN(Table3[[#This Row],[Object ID]])-4),"")</f>
        <v>fig-asthma-hosp-0to17-rande-aar</v>
      </c>
    </row>
    <row r="74" spans="1:8" x14ac:dyDescent="0.2">
      <c r="A74" t="s">
        <v>8</v>
      </c>
      <c r="B74">
        <v>73</v>
      </c>
      <c r="C74" t="s">
        <v>16</v>
      </c>
      <c r="E74" t="s">
        <v>225</v>
      </c>
      <c r="F74" t="s">
        <v>226</v>
      </c>
      <c r="G74" s="7" t="s">
        <v>227</v>
      </c>
      <c r="H74" s="7" t="str">
        <f>IF(LEFT(Table3[[#This Row],[Object ID]],4)="tbl-","fig-" &amp; MID(Table3[[#This Row],[Object ID]],5,LEN(Table3[[#This Row],[Object ID]])-4),"")</f>
        <v>fig-ppasthma-2to17-crude</v>
      </c>
    </row>
    <row r="75" spans="1:8" x14ac:dyDescent="0.2">
      <c r="A75" t="s">
        <v>8</v>
      </c>
      <c r="B75">
        <v>74</v>
      </c>
      <c r="C75" t="s">
        <v>16</v>
      </c>
      <c r="E75" t="s">
        <v>228</v>
      </c>
      <c r="F75" t="s">
        <v>229</v>
      </c>
      <c r="G75" s="7" t="s">
        <v>230</v>
      </c>
      <c r="H75" s="7" t="str">
        <f>IF(LEFT(Table3[[#This Row],[Object ID]],4)="tbl-","fig-" &amp; MID(Table3[[#This Row],[Object ID]],5,LEN(Table3[[#This Row],[Object ID]])-4),"")</f>
        <v>fig-pppneumonia-adult-aar</v>
      </c>
    </row>
    <row r="76" spans="1:8" x14ac:dyDescent="0.2">
      <c r="A76" t="s">
        <v>8</v>
      </c>
      <c r="B76">
        <v>75</v>
      </c>
      <c r="C76" t="s">
        <v>9</v>
      </c>
      <c r="E76" t="s">
        <v>231</v>
      </c>
      <c r="F76" t="s">
        <v>232</v>
      </c>
      <c r="G76" s="7" t="s">
        <v>233</v>
      </c>
      <c r="H76" s="7" t="str">
        <f>IF(LEFT(Table3[[#This Row],[Object ID]],4)="tbl-","fig-" &amp; MID(Table3[[#This Row],[Object ID]],5,LEN(Table3[[#This Row],[Object ID]])-4),"")</f>
        <v>fig-pneumoniaflu-count-rate-age-rande-zip</v>
      </c>
    </row>
    <row r="77" spans="1:8" x14ac:dyDescent="0.2">
      <c r="A77" t="s">
        <v>8</v>
      </c>
      <c r="B77">
        <v>76</v>
      </c>
      <c r="C77" t="s">
        <v>16</v>
      </c>
      <c r="E77" t="s">
        <v>234</v>
      </c>
      <c r="F77" t="s">
        <v>235</v>
      </c>
      <c r="G77" s="7" t="s">
        <v>236</v>
      </c>
      <c r="H77" s="7" t="str">
        <f>IF(LEFT(Table3[[#This Row],[Object ID]],4)="tbl-","fig-" &amp; MID(Table3[[#This Row],[Object ID]],5,LEN(Table3[[#This Row],[Object ID]])-4),"")</f>
        <v>fig-pneumoniaflu-mortal-aar</v>
      </c>
    </row>
    <row r="78" spans="1:8" x14ac:dyDescent="0.2">
      <c r="A78" t="s">
        <v>8</v>
      </c>
      <c r="B78">
        <v>77</v>
      </c>
      <c r="C78" t="s">
        <v>16</v>
      </c>
      <c r="E78" t="s">
        <v>237</v>
      </c>
      <c r="F78" t="s">
        <v>238</v>
      </c>
      <c r="G78" s="7" t="s">
        <v>239</v>
      </c>
      <c r="H78" s="7" t="str">
        <f>IF(LEFT(Table3[[#This Row],[Object ID]],4)="tbl-","fig-" &amp; MID(Table3[[#This Row],[Object ID]],5,LEN(Table3[[#This Row],[Object ID]])-4),"")</f>
        <v>fig-pneumoniaflu-mortal-sex-aar</v>
      </c>
    </row>
    <row r="79" spans="1:8" x14ac:dyDescent="0.2">
      <c r="A79" t="s">
        <v>8</v>
      </c>
      <c r="B79">
        <v>78</v>
      </c>
      <c r="C79" t="s">
        <v>16</v>
      </c>
      <c r="E79" t="s">
        <v>240</v>
      </c>
      <c r="F79" t="s">
        <v>241</v>
      </c>
      <c r="G79" s="7" t="s">
        <v>242</v>
      </c>
      <c r="H79" s="7" t="str">
        <f>IF(LEFT(Table3[[#This Row],[Object ID]],4)="tbl-","fig-" &amp; MID(Table3[[#This Row],[Object ID]],5,LEN(Table3[[#This Row],[Object ID]])-4),"")</f>
        <v>fig-dm-anydx-hosp-rande-aar</v>
      </c>
    </row>
    <row r="80" spans="1:8" x14ac:dyDescent="0.2">
      <c r="A80" t="s">
        <v>8</v>
      </c>
      <c r="B80">
        <v>79</v>
      </c>
      <c r="C80" t="s">
        <v>16</v>
      </c>
      <c r="E80" t="s">
        <v>243</v>
      </c>
      <c r="F80" t="s">
        <v>244</v>
      </c>
      <c r="G80" s="7" t="s">
        <v>245</v>
      </c>
      <c r="H80" s="7" t="str">
        <f>IF(LEFT(Table3[[#This Row],[Object ID]],4)="tbl-","fig-" &amp; MID(Table3[[#This Row],[Object ID]],5,LEN(Table3[[#This Row],[Object ID]])-4),"")</f>
        <v>fig-dm-primarydx-hosp-rande-aar</v>
      </c>
    </row>
    <row r="81" spans="1:8" x14ac:dyDescent="0.2">
      <c r="A81" t="s">
        <v>8</v>
      </c>
      <c r="B81">
        <v>80</v>
      </c>
      <c r="C81" t="s">
        <v>9</v>
      </c>
      <c r="E81" t="s">
        <v>246</v>
      </c>
      <c r="F81" t="s">
        <v>247</v>
      </c>
      <c r="G81" s="7" t="s">
        <v>248</v>
      </c>
      <c r="H81" s="7" t="str">
        <f>IF(LEFT(Table3[[#This Row],[Object ID]],4)="tbl-","fig-" &amp; MID(Table3[[#This Row],[Object ID]],5,LEN(Table3[[#This Row],[Object ID]])-4),"")</f>
        <v>fig-dm-count-rate-age-rande-zip</v>
      </c>
    </row>
    <row r="82" spans="1:8" x14ac:dyDescent="0.2">
      <c r="A82" t="s">
        <v>8</v>
      </c>
      <c r="B82">
        <v>81</v>
      </c>
      <c r="C82" t="s">
        <v>16</v>
      </c>
      <c r="E82" t="s">
        <v>249</v>
      </c>
      <c r="F82" t="s">
        <v>250</v>
      </c>
      <c r="G82" s="7" t="s">
        <v>251</v>
      </c>
      <c r="H82" s="7" t="str">
        <f>IF(LEFT(Table3[[#This Row],[Object ID]],4)="tbl-","fig-" &amp; MID(Table3[[#This Row],[Object ID]],5,LEN(Table3[[#This Row],[Object ID]])-4),"")</f>
        <v>fig-dm-mortal-aar</v>
      </c>
    </row>
    <row r="83" spans="1:8" x14ac:dyDescent="0.2">
      <c r="A83" t="s">
        <v>8</v>
      </c>
      <c r="B83">
        <v>82</v>
      </c>
      <c r="C83" t="s">
        <v>16</v>
      </c>
      <c r="E83" t="s">
        <v>252</v>
      </c>
      <c r="F83" t="s">
        <v>253</v>
      </c>
      <c r="G83" s="7" t="s">
        <v>254</v>
      </c>
      <c r="H83" s="7" t="str">
        <f>IF(LEFT(Table3[[#This Row],[Object ID]],4)="tbl-","fig-" &amp; MID(Table3[[#This Row],[Object ID]],5,LEN(Table3[[#This Row],[Object ID]])-4),"")</f>
        <v>fig-dm-mortal-sex-aar</v>
      </c>
    </row>
    <row r="84" spans="1:8" x14ac:dyDescent="0.2">
      <c r="A84" t="s">
        <v>8</v>
      </c>
      <c r="B84">
        <v>83</v>
      </c>
      <c r="C84" t="s">
        <v>16</v>
      </c>
      <c r="E84" t="s">
        <v>255</v>
      </c>
      <c r="F84" t="s">
        <v>256</v>
      </c>
      <c r="G84" s="7" t="s">
        <v>257</v>
      </c>
      <c r="H84" s="7" t="str">
        <f>IF(LEFT(Table3[[#This Row],[Object ID]],4)="tbl-","fig-" &amp; MID(Table3[[#This Row],[Object ID]],5,LEN(Table3[[#This Row],[Object ID]])-4),"")</f>
        <v>fig-overweight-obese-adult</v>
      </c>
    </row>
    <row r="85" spans="1:8" x14ac:dyDescent="0.2">
      <c r="A85" t="s">
        <v>8</v>
      </c>
      <c r="B85">
        <v>84</v>
      </c>
      <c r="C85" t="s">
        <v>16</v>
      </c>
      <c r="E85" t="s">
        <v>258</v>
      </c>
      <c r="F85" t="s">
        <v>259</v>
      </c>
      <c r="G85" s="7" t="s">
        <v>260</v>
      </c>
      <c r="H85" s="7" t="str">
        <f>IF(LEFT(Table3[[#This Row],[Object ID]],4)="tbl-","fig-" &amp; MID(Table3[[#This Row],[Object ID]],5,LEN(Table3[[#This Row],[Object ID]])-4),"")</f>
        <v>fig-obese-adult</v>
      </c>
    </row>
    <row r="86" spans="1:8" x14ac:dyDescent="0.2">
      <c r="A86" t="s">
        <v>8</v>
      </c>
      <c r="B86">
        <v>85</v>
      </c>
      <c r="C86" t="s">
        <v>16</v>
      </c>
      <c r="E86" t="s">
        <v>261</v>
      </c>
      <c r="F86" t="s">
        <v>262</v>
      </c>
      <c r="G86" s="7" t="s">
        <v>263</v>
      </c>
      <c r="H86" s="7" t="str">
        <f>IF(LEFT(Table3[[#This Row],[Object ID]],4)="tbl-","fig-" &amp; MID(Table3[[#This Row],[Object ID]],5,LEN(Table3[[#This Row],[Object ID]])-4),"")</f>
        <v>fig-obese-child</v>
      </c>
    </row>
    <row r="87" spans="1:8" x14ac:dyDescent="0.2">
      <c r="A87" t="s">
        <v>8</v>
      </c>
      <c r="B87">
        <v>86</v>
      </c>
      <c r="C87" t="s">
        <v>9</v>
      </c>
      <c r="E87" t="s">
        <v>264</v>
      </c>
      <c r="F87" t="s">
        <v>265</v>
      </c>
      <c r="G87" s="7" t="s">
        <v>266</v>
      </c>
      <c r="H87" s="7" t="str">
        <f>IF(LEFT(Table3[[#This Row],[Object ID]],4)="tbl-","fig-" &amp; MID(Table3[[#This Row],[Object ID]],5,LEN(Table3[[#This Row],[Object ID]])-4),"")</f>
        <v>fig-liverdz-count-rate-age-rande-zip</v>
      </c>
    </row>
    <row r="88" spans="1:8" x14ac:dyDescent="0.2">
      <c r="A88" t="s">
        <v>8</v>
      </c>
      <c r="B88">
        <v>87</v>
      </c>
      <c r="C88" t="s">
        <v>16</v>
      </c>
      <c r="E88" t="s">
        <v>267</v>
      </c>
      <c r="F88" t="s">
        <v>268</v>
      </c>
      <c r="G88" s="7" t="s">
        <v>269</v>
      </c>
      <c r="H88" s="7" t="str">
        <f>IF(LEFT(Table3[[#This Row],[Object ID]],4)="tbl-","fig-" &amp; MID(Table3[[#This Row],[Object ID]],5,LEN(Table3[[#This Row],[Object ID]])-4),"")</f>
        <v>fig-liverdz-mortal-aar</v>
      </c>
    </row>
    <row r="89" spans="1:8" x14ac:dyDescent="0.2">
      <c r="A89" t="s">
        <v>8</v>
      </c>
      <c r="B89">
        <v>88</v>
      </c>
      <c r="C89" t="s">
        <v>16</v>
      </c>
      <c r="E89" t="s">
        <v>270</v>
      </c>
      <c r="F89" t="s">
        <v>271</v>
      </c>
      <c r="G89" s="7" t="s">
        <v>272</v>
      </c>
      <c r="H89" s="7" t="str">
        <f>IF(LEFT(Table3[[#This Row],[Object ID]],4)="tbl-","fig-" &amp; MID(Table3[[#This Row],[Object ID]],5,LEN(Table3[[#This Row],[Object ID]])-4),"")</f>
        <v>fig-liverdz-mortal-sex-aar</v>
      </c>
    </row>
    <row r="90" spans="1:8" x14ac:dyDescent="0.2">
      <c r="A90" t="s">
        <v>8</v>
      </c>
      <c r="B90">
        <v>89</v>
      </c>
      <c r="C90" t="s">
        <v>16</v>
      </c>
      <c r="E90" t="s">
        <v>273</v>
      </c>
      <c r="F90" t="s">
        <v>274</v>
      </c>
      <c r="G90" s="7" t="s">
        <v>275</v>
      </c>
      <c r="H90" s="7" t="str">
        <f>IF(LEFT(Table3[[#This Row],[Object ID]],4)="tbl-","fig-" &amp; MID(Table3[[#This Row],[Object ID]],5,LEN(Table3[[#This Row],[Object ID]])-4),"")</f>
        <v>fig-ckd-edvisit-aar</v>
      </c>
    </row>
    <row r="91" spans="1:8" x14ac:dyDescent="0.2">
      <c r="A91" t="s">
        <v>8</v>
      </c>
      <c r="B91">
        <v>90</v>
      </c>
      <c r="C91" t="s">
        <v>16</v>
      </c>
      <c r="E91" t="s">
        <v>276</v>
      </c>
      <c r="F91" t="s">
        <v>277</v>
      </c>
      <c r="G91" s="7" t="s">
        <v>278</v>
      </c>
      <c r="H91" s="7" t="str">
        <f>IF(LEFT(Table3[[#This Row],[Object ID]],4)="tbl-","fig-" &amp; MID(Table3[[#This Row],[Object ID]],5,LEN(Table3[[#This Row],[Object ID]])-4),"")</f>
        <v>fig-ckd-hosp-rate</v>
      </c>
    </row>
    <row r="92" spans="1:8" x14ac:dyDescent="0.2">
      <c r="A92" t="s">
        <v>8</v>
      </c>
      <c r="B92">
        <v>91</v>
      </c>
      <c r="C92" t="s">
        <v>16</v>
      </c>
      <c r="E92" t="s">
        <v>279</v>
      </c>
      <c r="F92" t="s">
        <v>280</v>
      </c>
      <c r="G92" s="7" t="s">
        <v>281</v>
      </c>
      <c r="H92" s="7" t="str">
        <f>IF(LEFT(Table3[[#This Row],[Object ID]],4)="tbl-","fig-" &amp; MID(Table3[[#This Row],[Object ID]],5,LEN(Table3[[#This Row],[Object ID]])-4),"")</f>
        <v>fig-allsitesca-incidence-aar</v>
      </c>
    </row>
    <row r="93" spans="1:8" x14ac:dyDescent="0.2">
      <c r="A93" t="s">
        <v>8</v>
      </c>
      <c r="B93">
        <v>92</v>
      </c>
      <c r="C93" t="s">
        <v>16</v>
      </c>
      <c r="E93" t="s">
        <v>282</v>
      </c>
      <c r="F93" t="s">
        <v>283</v>
      </c>
      <c r="G93" s="7" t="s">
        <v>284</v>
      </c>
      <c r="H93" s="7" t="str">
        <f>IF(LEFT(Table3[[#This Row],[Object ID]],4)="tbl-","fig-" &amp; MID(Table3[[#This Row],[Object ID]],5,LEN(Table3[[#This Row],[Object ID]])-4),"")</f>
        <v>fig-allsitesca-incidence-rande-aar</v>
      </c>
    </row>
    <row r="94" spans="1:8" x14ac:dyDescent="0.2">
      <c r="A94" t="s">
        <v>8</v>
      </c>
      <c r="B94">
        <v>93</v>
      </c>
      <c r="C94" t="s">
        <v>9</v>
      </c>
      <c r="E94" t="s">
        <v>285</v>
      </c>
      <c r="F94" t="s">
        <v>286</v>
      </c>
      <c r="G94" s="7" t="s">
        <v>287</v>
      </c>
      <c r="H94" s="7" t="str">
        <f>IF(LEFT(Table3[[#This Row],[Object ID]],4)="tbl-","fig-" &amp; MID(Table3[[#This Row],[Object ID]],5,LEN(Table3[[#This Row],[Object ID]])-4),"")</f>
        <v>fig-neoplasm-count-rate-age-rande-zip</v>
      </c>
    </row>
    <row r="95" spans="1:8" x14ac:dyDescent="0.2">
      <c r="A95" t="s">
        <v>8</v>
      </c>
      <c r="B95">
        <v>94</v>
      </c>
      <c r="C95" t="s">
        <v>16</v>
      </c>
      <c r="E95" t="s">
        <v>288</v>
      </c>
      <c r="F95" t="s">
        <v>289</v>
      </c>
      <c r="G95" s="7" t="s">
        <v>290</v>
      </c>
      <c r="H95" s="7" t="str">
        <f>IF(LEFT(Table3[[#This Row],[Object ID]],4)="tbl-","fig-" &amp; MID(Table3[[#This Row],[Object ID]],5,LEN(Table3[[#This Row],[Object ID]])-4),"")</f>
        <v>fig-neoplasm-mortal-aar</v>
      </c>
    </row>
    <row r="96" spans="1:8" x14ac:dyDescent="0.2">
      <c r="A96" t="s">
        <v>8</v>
      </c>
      <c r="B96">
        <v>95</v>
      </c>
      <c r="C96" t="s">
        <v>16</v>
      </c>
      <c r="E96" t="s">
        <v>291</v>
      </c>
      <c r="F96" t="s">
        <v>292</v>
      </c>
      <c r="G96" s="7" t="s">
        <v>293</v>
      </c>
      <c r="H96" s="7" t="str">
        <f>IF(LEFT(Table3[[#This Row],[Object ID]],4)="tbl-","fig-" &amp; MID(Table3[[#This Row],[Object ID]],5,LEN(Table3[[#This Row],[Object ID]])-4),"")</f>
        <v>fig-neoplasm-mortal-rande</v>
      </c>
    </row>
    <row r="97" spans="1:8" x14ac:dyDescent="0.2">
      <c r="A97" t="s">
        <v>8</v>
      </c>
      <c r="B97">
        <v>96</v>
      </c>
      <c r="C97" t="s">
        <v>16</v>
      </c>
      <c r="E97" t="s">
        <v>294</v>
      </c>
      <c r="F97" t="s">
        <v>295</v>
      </c>
      <c r="G97" s="7" t="s">
        <v>296</v>
      </c>
      <c r="H97" s="7" t="str">
        <f>IF(LEFT(Table3[[#This Row],[Object ID]],4)="tbl-","fig-" &amp; MID(Table3[[#This Row],[Object ID]],5,LEN(Table3[[#This Row],[Object ID]])-4),"")</f>
        <v>fig-neoplasm-mortal-zip</v>
      </c>
    </row>
    <row r="98" spans="1:8" x14ac:dyDescent="0.2">
      <c r="A98" t="s">
        <v>8</v>
      </c>
      <c r="B98">
        <v>97</v>
      </c>
      <c r="C98" t="s">
        <v>16</v>
      </c>
      <c r="E98" t="s">
        <v>297</v>
      </c>
      <c r="F98" t="s">
        <v>298</v>
      </c>
      <c r="G98" s="7" t="s">
        <v>299</v>
      </c>
      <c r="H98" s="7" t="str">
        <f>IF(LEFT(Table3[[#This Row],[Object ID]],4)="tbl-","fig-" &amp; MID(Table3[[#This Row],[Object ID]],5,LEN(Table3[[#This Row],[Object ID]])-4),"")</f>
        <v>fig-neoplasm-mortal-sex-aar</v>
      </c>
    </row>
    <row r="99" spans="1:8" x14ac:dyDescent="0.2">
      <c r="A99" t="s">
        <v>8</v>
      </c>
      <c r="B99">
        <v>98</v>
      </c>
      <c r="C99" t="s">
        <v>16</v>
      </c>
      <c r="E99" t="s">
        <v>300</v>
      </c>
      <c r="F99" t="s">
        <v>301</v>
      </c>
      <c r="G99" s="7" t="s">
        <v>302</v>
      </c>
      <c r="H99" s="7" t="str">
        <f>IF(LEFT(Table3[[#This Row],[Object ID]],4)="tbl-","fig-" &amp; MID(Table3[[#This Row],[Object ID]],5,LEN(Table3[[#This Row],[Object ID]])-4),"")</f>
        <v>fig-cancerall-mortal-aar-three</v>
      </c>
    </row>
    <row r="100" spans="1:8" x14ac:dyDescent="0.2">
      <c r="A100" t="s">
        <v>8</v>
      </c>
      <c r="B100">
        <v>99</v>
      </c>
      <c r="C100" t="s">
        <v>16</v>
      </c>
      <c r="E100" t="s">
        <v>303</v>
      </c>
      <c r="F100" t="s">
        <v>304</v>
      </c>
      <c r="G100" s="7" t="s">
        <v>305</v>
      </c>
      <c r="H100" s="7" t="str">
        <f>IF(LEFT(Table3[[#This Row],[Object ID]],4)="tbl-","fig-" &amp; MID(Table3[[#This Row],[Object ID]],5,LEN(Table3[[#This Row],[Object ID]])-4),"")</f>
        <v>fig-cancerall-mortal-aar-five</v>
      </c>
    </row>
    <row r="101" spans="1:8" x14ac:dyDescent="0.2">
      <c r="A101" t="s">
        <v>8</v>
      </c>
      <c r="B101">
        <v>100</v>
      </c>
      <c r="C101" t="s">
        <v>16</v>
      </c>
      <c r="E101" t="s">
        <v>306</v>
      </c>
      <c r="F101" t="s">
        <v>307</v>
      </c>
      <c r="G101" s="7" t="s">
        <v>308</v>
      </c>
      <c r="H101" s="7" t="str">
        <f>IF(LEFT(Table3[[#This Row],[Object ID]],4)="tbl-","fig-" &amp; MID(Table3[[#This Row],[Object ID]],5,LEN(Table3[[#This Row],[Object ID]])-4),"")</f>
        <v>fig-cancerall-incidence-rande-aar-five</v>
      </c>
    </row>
    <row r="102" spans="1:8" x14ac:dyDescent="0.2">
      <c r="A102" t="s">
        <v>8</v>
      </c>
      <c r="B102">
        <v>101</v>
      </c>
      <c r="C102" t="s">
        <v>16</v>
      </c>
      <c r="E102" s="19" t="s">
        <v>309</v>
      </c>
      <c r="F102" t="s">
        <v>310</v>
      </c>
      <c r="G102" s="7" t="s">
        <v>311</v>
      </c>
      <c r="H102" s="7" t="str">
        <f>IF(LEFT(Table3[[#This Row],[Object ID]],4)="tbl-","fig-" &amp; MID(Table3[[#This Row],[Object ID]],5,LEN(Table3[[#This Row],[Object ID]])-4),"")</f>
        <v>fig-lungbronchus-incidence-aar-single</v>
      </c>
    </row>
    <row r="103" spans="1:8" x14ac:dyDescent="0.2">
      <c r="A103" t="s">
        <v>8</v>
      </c>
      <c r="B103">
        <v>102</v>
      </c>
      <c r="C103" t="s">
        <v>16</v>
      </c>
      <c r="E103" t="s">
        <v>312</v>
      </c>
      <c r="F103" t="s">
        <v>313</v>
      </c>
      <c r="G103" s="7" t="s">
        <v>314</v>
      </c>
      <c r="H103" s="7" t="str">
        <f>IF(LEFT(Table3[[#This Row],[Object ID]],4)="tbl-","fig-" &amp; MID(Table3[[#This Row],[Object ID]],5,LEN(Table3[[#This Row],[Object ID]])-4),"")</f>
        <v>fig-lungbronchus-incidence-aar-five</v>
      </c>
    </row>
    <row r="104" spans="1:8" x14ac:dyDescent="0.2">
      <c r="A104" t="s">
        <v>8</v>
      </c>
      <c r="B104">
        <v>103</v>
      </c>
      <c r="C104" t="s">
        <v>16</v>
      </c>
      <c r="E104" t="s">
        <v>315</v>
      </c>
      <c r="F104" t="s">
        <v>316</v>
      </c>
      <c r="G104" s="7" t="s">
        <v>317</v>
      </c>
      <c r="H104" s="7" t="str">
        <f>IF(LEFT(Table3[[#This Row],[Object ID]],4)="tbl-","fig-" &amp; MID(Table3[[#This Row],[Object ID]],5,LEN(Table3[[#This Row],[Object ID]])-4),"")</f>
        <v>fig-lungbronchus-incidence-rande-aar-five</v>
      </c>
    </row>
    <row r="105" spans="1:8" x14ac:dyDescent="0.2">
      <c r="A105" t="s">
        <v>8</v>
      </c>
      <c r="B105">
        <v>104</v>
      </c>
      <c r="C105" t="s">
        <v>16</v>
      </c>
      <c r="E105" s="19" t="s">
        <v>318</v>
      </c>
      <c r="F105" t="s">
        <v>319</v>
      </c>
      <c r="G105" s="7" t="s">
        <v>320</v>
      </c>
      <c r="H105" s="7" t="str">
        <f>IF(LEFT(Table3[[#This Row],[Object ID]],4)="tbl-","fig-" &amp; MID(Table3[[#This Row],[Object ID]],5,LEN(Table3[[#This Row],[Object ID]])-4),"")</f>
        <v>fig-lungbronchus-mortal-aar-single</v>
      </c>
    </row>
    <row r="106" spans="1:8" x14ac:dyDescent="0.2">
      <c r="A106" t="s">
        <v>8</v>
      </c>
      <c r="B106">
        <v>105</v>
      </c>
      <c r="C106" t="s">
        <v>16</v>
      </c>
      <c r="E106" t="s">
        <v>321</v>
      </c>
      <c r="F106" t="s">
        <v>322</v>
      </c>
      <c r="G106" s="7" t="s">
        <v>323</v>
      </c>
      <c r="H106" s="7" t="str">
        <f>IF(LEFT(Table3[[#This Row],[Object ID]],4)="tbl-","fig-" &amp; MID(Table3[[#This Row],[Object ID]],5,LEN(Table3[[#This Row],[Object ID]])-4),"")</f>
        <v>fig-lungbronchus-mortal-aar-five</v>
      </c>
    </row>
    <row r="107" spans="1:8" x14ac:dyDescent="0.2">
      <c r="A107" t="s">
        <v>8</v>
      </c>
      <c r="B107">
        <v>106</v>
      </c>
      <c r="C107" t="s">
        <v>16</v>
      </c>
      <c r="E107" t="s">
        <v>324</v>
      </c>
      <c r="F107" t="s">
        <v>325</v>
      </c>
      <c r="G107" s="7" t="s">
        <v>326</v>
      </c>
      <c r="H107" s="7" t="str">
        <f>IF(LEFT(Table3[[#This Row],[Object ID]],4)="tbl-","fig-" &amp; MID(Table3[[#This Row],[Object ID]],5,LEN(Table3[[#This Row],[Object ID]])-4),"")</f>
        <v>fig-lungbronchus-mortal-rande-aar-five</v>
      </c>
    </row>
    <row r="108" spans="1:8" x14ac:dyDescent="0.2">
      <c r="A108" t="s">
        <v>8</v>
      </c>
      <c r="B108">
        <v>107</v>
      </c>
      <c r="C108" t="s">
        <v>16</v>
      </c>
      <c r="E108" t="s">
        <v>327</v>
      </c>
      <c r="F108" t="s">
        <v>328</v>
      </c>
      <c r="G108" s="7" t="s">
        <v>329</v>
      </c>
      <c r="H108" s="7" t="str">
        <f>IF(LEFT(Table3[[#This Row],[Object ID]],4)="tbl-","fig-" &amp; MID(Table3[[#This Row],[Object ID]],5,LEN(Table3[[#This Row],[Object ID]])-4),"")</f>
        <v>fig-colonrectum-incidence-aar-five</v>
      </c>
    </row>
    <row r="109" spans="1:8" x14ac:dyDescent="0.2">
      <c r="A109" t="s">
        <v>8</v>
      </c>
      <c r="B109">
        <v>108</v>
      </c>
      <c r="C109" t="s">
        <v>16</v>
      </c>
      <c r="E109" t="s">
        <v>330</v>
      </c>
      <c r="F109" t="s">
        <v>331</v>
      </c>
      <c r="G109" s="7" t="s">
        <v>332</v>
      </c>
      <c r="H109" s="7" t="str">
        <f>IF(LEFT(Table3[[#This Row],[Object ID]],4)="tbl-","fig-" &amp; MID(Table3[[#This Row],[Object ID]],5,LEN(Table3[[#This Row],[Object ID]])-4),"")</f>
        <v>fig-colonrectum-incidence-rande-aar-five</v>
      </c>
    </row>
    <row r="110" spans="1:8" x14ac:dyDescent="0.2">
      <c r="A110" t="s">
        <v>8</v>
      </c>
      <c r="B110">
        <v>109</v>
      </c>
      <c r="C110" t="s">
        <v>16</v>
      </c>
      <c r="E110" t="s">
        <v>333</v>
      </c>
      <c r="F110" t="s">
        <v>334</v>
      </c>
      <c r="G110" s="7" t="s">
        <v>335</v>
      </c>
      <c r="H110" s="7" t="str">
        <f>IF(LEFT(Table3[[#This Row],[Object ID]],4)="tbl-","fig-" &amp; MID(Table3[[#This Row],[Object ID]],5,LEN(Table3[[#This Row],[Object ID]])-4),"")</f>
        <v>fig-colonrectum-mortal-aar-five</v>
      </c>
    </row>
    <row r="111" spans="1:8" x14ac:dyDescent="0.2">
      <c r="A111" t="s">
        <v>8</v>
      </c>
      <c r="B111">
        <v>110</v>
      </c>
      <c r="C111" t="s">
        <v>16</v>
      </c>
      <c r="E111" t="s">
        <v>336</v>
      </c>
      <c r="F111" t="s">
        <v>337</v>
      </c>
      <c r="G111" s="7" t="s">
        <v>338</v>
      </c>
      <c r="H111" s="7" t="str">
        <f>IF(LEFT(Table3[[#This Row],[Object ID]],4)="tbl-","fig-" &amp; MID(Table3[[#This Row],[Object ID]],5,LEN(Table3[[#This Row],[Object ID]])-4),"")</f>
        <v>fig-colonrectum-mortal-rande-aar-five</v>
      </c>
    </row>
    <row r="112" spans="1:8" x14ac:dyDescent="0.2">
      <c r="A112" t="s">
        <v>8</v>
      </c>
      <c r="B112">
        <v>111</v>
      </c>
      <c r="C112" t="s">
        <v>16</v>
      </c>
      <c r="E112" s="19" t="s">
        <v>339</v>
      </c>
      <c r="F112" t="s">
        <v>340</v>
      </c>
      <c r="G112" s="7" t="s">
        <v>341</v>
      </c>
      <c r="H112" s="7" t="str">
        <f>IF(LEFT(Table3[[#This Row],[Object ID]],4)="tbl-","fig-" &amp; MID(Table3[[#This Row],[Object ID]],5,LEN(Table3[[#This Row],[Object ID]])-4),"")</f>
        <v>fig-femalebreast-incidence-aar-single</v>
      </c>
    </row>
    <row r="113" spans="1:8" x14ac:dyDescent="0.2">
      <c r="A113" t="s">
        <v>8</v>
      </c>
      <c r="B113">
        <v>112</v>
      </c>
      <c r="C113" t="s">
        <v>16</v>
      </c>
      <c r="E113" t="s">
        <v>342</v>
      </c>
      <c r="F113" t="s">
        <v>343</v>
      </c>
      <c r="G113" s="7" t="s">
        <v>344</v>
      </c>
      <c r="H113" s="7" t="str">
        <f>IF(LEFT(Table3[[#This Row],[Object ID]],4)="tbl-","fig-" &amp; MID(Table3[[#This Row],[Object ID]],5,LEN(Table3[[#This Row],[Object ID]])-4),"")</f>
        <v>fig-femalebreast-incidence-aar-five</v>
      </c>
    </row>
    <row r="114" spans="1:8" x14ac:dyDescent="0.2">
      <c r="A114" t="s">
        <v>8</v>
      </c>
      <c r="B114">
        <v>113</v>
      </c>
      <c r="C114" t="s">
        <v>16</v>
      </c>
      <c r="E114" t="s">
        <v>345</v>
      </c>
      <c r="F114" t="s">
        <v>346</v>
      </c>
      <c r="G114" s="7" t="s">
        <v>347</v>
      </c>
      <c r="H114" s="7" t="str">
        <f>IF(LEFT(Table3[[#This Row],[Object ID]],4)="tbl-","fig-" &amp; MID(Table3[[#This Row],[Object ID]],5,LEN(Table3[[#This Row],[Object ID]])-4),"")</f>
        <v>fig-femalebreast-incidence-rande-aar-five</v>
      </c>
    </row>
    <row r="115" spans="1:8" x14ac:dyDescent="0.2">
      <c r="A115" t="s">
        <v>8</v>
      </c>
      <c r="B115">
        <v>114</v>
      </c>
      <c r="C115" t="s">
        <v>16</v>
      </c>
      <c r="E115" s="19" t="s">
        <v>348</v>
      </c>
      <c r="F115" t="s">
        <v>349</v>
      </c>
      <c r="G115" s="7" t="s">
        <v>350</v>
      </c>
      <c r="H115" s="7" t="str">
        <f>IF(LEFT(Table3[[#This Row],[Object ID]],4)="tbl-","fig-" &amp; MID(Table3[[#This Row],[Object ID]],5,LEN(Table3[[#This Row],[Object ID]])-4),"")</f>
        <v>fig-femalebreast-mortal-aar-single</v>
      </c>
    </row>
    <row r="116" spans="1:8" x14ac:dyDescent="0.2">
      <c r="A116" t="s">
        <v>8</v>
      </c>
      <c r="B116">
        <v>115</v>
      </c>
      <c r="C116" t="s">
        <v>16</v>
      </c>
      <c r="E116" t="s">
        <v>351</v>
      </c>
      <c r="F116" t="s">
        <v>352</v>
      </c>
      <c r="G116" s="7" t="s">
        <v>353</v>
      </c>
      <c r="H116" s="7" t="str">
        <f>IF(LEFT(Table3[[#This Row],[Object ID]],4)="tbl-","fig-" &amp; MID(Table3[[#This Row],[Object ID]],5,LEN(Table3[[#This Row],[Object ID]])-4),"")</f>
        <v>fig-femalebreast-mortal-aar-five</v>
      </c>
    </row>
    <row r="117" spans="1:8" x14ac:dyDescent="0.2">
      <c r="A117" t="s">
        <v>8</v>
      </c>
      <c r="B117">
        <v>116</v>
      </c>
      <c r="C117" t="s">
        <v>16</v>
      </c>
      <c r="E117" t="s">
        <v>354</v>
      </c>
      <c r="F117" t="s">
        <v>355</v>
      </c>
      <c r="G117" s="7" t="s">
        <v>356</v>
      </c>
      <c r="H117" s="7" t="str">
        <f>IF(LEFT(Table3[[#This Row],[Object ID]],4)="tbl-","fig-" &amp; MID(Table3[[#This Row],[Object ID]],5,LEN(Table3[[#This Row],[Object ID]])-4),"")</f>
        <v>fig-femalebreast-mortal-rande-aar-five</v>
      </c>
    </row>
    <row r="118" spans="1:8" x14ac:dyDescent="0.2">
      <c r="A118" t="s">
        <v>8</v>
      </c>
      <c r="B118">
        <v>117</v>
      </c>
      <c r="C118" t="s">
        <v>16</v>
      </c>
      <c r="E118" s="19" t="s">
        <v>357</v>
      </c>
      <c r="F118" t="s">
        <v>358</v>
      </c>
      <c r="G118" s="7" t="s">
        <v>359</v>
      </c>
      <c r="H118" s="7" t="str">
        <f>IF(LEFT(Table3[[#This Row],[Object ID]],4)="tbl-","fig-" &amp; MID(Table3[[#This Row],[Object ID]],5,LEN(Table3[[#This Row],[Object ID]])-4),"")</f>
        <v>fig-cervixuteri-incidence-aar-single</v>
      </c>
    </row>
    <row r="119" spans="1:8" x14ac:dyDescent="0.2">
      <c r="A119" t="s">
        <v>8</v>
      </c>
      <c r="B119">
        <v>118</v>
      </c>
      <c r="C119" t="s">
        <v>16</v>
      </c>
      <c r="E119" t="s">
        <v>360</v>
      </c>
      <c r="F119" t="s">
        <v>361</v>
      </c>
      <c r="G119" s="7" t="s">
        <v>362</v>
      </c>
      <c r="H119" s="7" t="str">
        <f>IF(LEFT(Table3[[#This Row],[Object ID]],4)="tbl-","fig-" &amp; MID(Table3[[#This Row],[Object ID]],5,LEN(Table3[[#This Row],[Object ID]])-4),"")</f>
        <v>fig-cervixuteri-incidence-aar-five</v>
      </c>
    </row>
    <row r="120" spans="1:8" x14ac:dyDescent="0.2">
      <c r="A120" t="s">
        <v>8</v>
      </c>
      <c r="B120">
        <v>119</v>
      </c>
      <c r="C120" t="s">
        <v>16</v>
      </c>
      <c r="E120" s="19" t="s">
        <v>363</v>
      </c>
      <c r="F120" t="s">
        <v>364</v>
      </c>
      <c r="G120" s="7" t="s">
        <v>365</v>
      </c>
      <c r="H120" s="7" t="str">
        <f>IF(LEFT(Table3[[#This Row],[Object ID]],4)="tbl-","fig-" &amp; MID(Table3[[#This Row],[Object ID]],5,LEN(Table3[[#This Row],[Object ID]])-4),"")</f>
        <v>fig-cervixuteri-mortal-aar-single</v>
      </c>
    </row>
    <row r="121" spans="1:8" x14ac:dyDescent="0.2">
      <c r="A121" t="s">
        <v>8</v>
      </c>
      <c r="B121">
        <v>120</v>
      </c>
      <c r="C121" t="s">
        <v>16</v>
      </c>
      <c r="E121" t="s">
        <v>366</v>
      </c>
      <c r="F121" t="s">
        <v>367</v>
      </c>
      <c r="G121" s="7" t="s">
        <v>368</v>
      </c>
      <c r="H121" s="7" t="str">
        <f>IF(LEFT(Table3[[#This Row],[Object ID]],4)="tbl-","fig-" &amp; MID(Table3[[#This Row],[Object ID]],5,LEN(Table3[[#This Row],[Object ID]])-4),"")</f>
        <v>fig-cervixuteri-mortal-aar-five</v>
      </c>
    </row>
    <row r="122" spans="1:8" x14ac:dyDescent="0.2">
      <c r="A122" t="s">
        <v>8</v>
      </c>
      <c r="B122">
        <v>121</v>
      </c>
      <c r="C122" t="s">
        <v>16</v>
      </c>
      <c r="E122" s="19" t="s">
        <v>369</v>
      </c>
      <c r="F122" t="s">
        <v>370</v>
      </c>
      <c r="G122" s="7" t="s">
        <v>371</v>
      </c>
      <c r="H122" s="7" t="str">
        <f>IF(LEFT(Table3[[#This Row],[Object ID]],4)="tbl-","fig-" &amp; MID(Table3[[#This Row],[Object ID]],5,LEN(Table3[[#This Row],[Object ID]])-4),"")</f>
        <v>fig-prostate-incidence-aar-single</v>
      </c>
    </row>
    <row r="123" spans="1:8" x14ac:dyDescent="0.2">
      <c r="A123" t="s">
        <v>8</v>
      </c>
      <c r="B123">
        <v>122</v>
      </c>
      <c r="C123" t="s">
        <v>16</v>
      </c>
      <c r="E123" t="s">
        <v>372</v>
      </c>
      <c r="F123" t="s">
        <v>373</v>
      </c>
      <c r="G123" s="7" t="s">
        <v>374</v>
      </c>
      <c r="H123" s="7" t="str">
        <f>IF(LEFT(Table3[[#This Row],[Object ID]],4)="tbl-","fig-" &amp; MID(Table3[[#This Row],[Object ID]],5,LEN(Table3[[#This Row],[Object ID]])-4),"")</f>
        <v>fig-prostate-incidence-aar-five</v>
      </c>
    </row>
    <row r="124" spans="1:8" x14ac:dyDescent="0.2">
      <c r="A124" t="s">
        <v>8</v>
      </c>
      <c r="B124">
        <v>123</v>
      </c>
      <c r="C124" t="s">
        <v>16</v>
      </c>
      <c r="E124" t="s">
        <v>375</v>
      </c>
      <c r="F124" t="s">
        <v>376</v>
      </c>
      <c r="G124" s="7" t="s">
        <v>377</v>
      </c>
      <c r="H124" s="7" t="str">
        <f>IF(LEFT(Table3[[#This Row],[Object ID]],4)="tbl-","fig-" &amp; MID(Table3[[#This Row],[Object ID]],5,LEN(Table3[[#This Row],[Object ID]])-4),"")</f>
        <v>fig-prostate-incidence-rande-aar-five</v>
      </c>
    </row>
    <row r="125" spans="1:8" x14ac:dyDescent="0.2">
      <c r="A125" t="s">
        <v>8</v>
      </c>
      <c r="B125">
        <v>124</v>
      </c>
      <c r="C125" t="s">
        <v>16</v>
      </c>
      <c r="E125" t="s">
        <v>378</v>
      </c>
      <c r="F125" t="s">
        <v>379</v>
      </c>
      <c r="G125" s="7" t="s">
        <v>380</v>
      </c>
      <c r="H125" s="7" t="str">
        <f>IF(LEFT(Table3[[#This Row],[Object ID]],4)="tbl-","fig-" &amp; MID(Table3[[#This Row],[Object ID]],5,LEN(Table3[[#This Row],[Object ID]])-4),"")</f>
        <v>fig-prostate-mortal-aar-single</v>
      </c>
    </row>
    <row r="126" spans="1:8" x14ac:dyDescent="0.2">
      <c r="A126" t="s">
        <v>8</v>
      </c>
      <c r="B126">
        <v>125</v>
      </c>
      <c r="C126" t="s">
        <v>16</v>
      </c>
      <c r="E126" t="s">
        <v>381</v>
      </c>
      <c r="F126" t="s">
        <v>382</v>
      </c>
      <c r="G126" s="7" t="s">
        <v>383</v>
      </c>
      <c r="H126" s="7" t="str">
        <f>IF(LEFT(Table3[[#This Row],[Object ID]],4)="tbl-","fig-" &amp; MID(Table3[[#This Row],[Object ID]],5,LEN(Table3[[#This Row],[Object ID]])-4),"")</f>
        <v>fig-prostate-mortal-aar-five</v>
      </c>
    </row>
    <row r="127" spans="1:8" x14ac:dyDescent="0.2">
      <c r="A127" t="s">
        <v>8</v>
      </c>
      <c r="B127">
        <v>126</v>
      </c>
      <c r="C127" t="s">
        <v>16</v>
      </c>
      <c r="E127" t="s">
        <v>384</v>
      </c>
      <c r="F127" t="s">
        <v>385</v>
      </c>
      <c r="G127" s="7" t="s">
        <v>386</v>
      </c>
      <c r="H127" s="7" t="str">
        <f>IF(LEFT(Table3[[#This Row],[Object ID]],4)="tbl-","fig-" &amp; MID(Table3[[#This Row],[Object ID]],5,LEN(Table3[[#This Row],[Object ID]])-4),"")</f>
        <v>fig-prostate-mortal-rande-aar-five</v>
      </c>
    </row>
    <row r="128" spans="1:8" x14ac:dyDescent="0.2">
      <c r="C128" t="s">
        <v>9</v>
      </c>
      <c r="E128" t="s">
        <v>387</v>
      </c>
      <c r="F128" t="s">
        <v>388</v>
      </c>
      <c r="G128" s="7" t="s">
        <v>389</v>
      </c>
      <c r="H128" s="7" t="str">
        <f>IF(LEFT(Table3[[#This Row],[Object ID]],4)="tbl-","fig-" &amp; MID(Table3[[#This Row],[Object ID]],5,LEN(Table3[[#This Row],[Object ID]])-4),"")</f>
        <v>fig-cd-count-rate</v>
      </c>
    </row>
    <row r="129" spans="1:8" x14ac:dyDescent="0.2">
      <c r="C129" t="s">
        <v>16</v>
      </c>
      <c r="E129" t="s">
        <v>390</v>
      </c>
      <c r="F129" t="s">
        <v>391</v>
      </c>
      <c r="G129" s="22" t="s">
        <v>392</v>
      </c>
      <c r="H129" s="7" t="str">
        <f>IF(LEFT(Table3[[#This Row],[Object ID]],4)="tbl-","fig-" &amp; MID(Table3[[#This Row],[Object ID]],5,LEN(Table3[[#This Row],[Object ID]])-4),"")</f>
        <v>fig-hepatitisa-rate</v>
      </c>
    </row>
    <row r="130" spans="1:8" x14ac:dyDescent="0.2">
      <c r="A130" t="s">
        <v>8</v>
      </c>
      <c r="B130">
        <v>127</v>
      </c>
      <c r="C130" t="s">
        <v>16</v>
      </c>
      <c r="E130" t="s">
        <v>393</v>
      </c>
      <c r="F130" t="s">
        <v>394</v>
      </c>
      <c r="G130" s="21" t="s">
        <v>395</v>
      </c>
      <c r="H130" s="7" t="str">
        <f>IF(LEFT(Table3[[#This Row],[Object ID]],4)="tbl-","fig-" &amp; MID(Table3[[#This Row],[Object ID]],5,LEN(Table3[[#This Row],[Object ID]])-4),"")</f>
        <v>fig-hepatitisb-chronic-rate</v>
      </c>
    </row>
    <row r="131" spans="1:8" x14ac:dyDescent="0.2">
      <c r="A131" t="s">
        <v>8</v>
      </c>
      <c r="B131">
        <v>128</v>
      </c>
      <c r="C131" t="s">
        <v>16</v>
      </c>
      <c r="E131" t="s">
        <v>396</v>
      </c>
      <c r="F131" t="s">
        <v>397</v>
      </c>
      <c r="G131" s="7" t="s">
        <v>398</v>
      </c>
      <c r="H131" s="7" t="str">
        <f>IF(LEFT(Table3[[#This Row],[Object ID]],4)="tbl-","fig-" &amp; MID(Table3[[#This Row],[Object ID]],5,LEN(Table3[[#This Row],[Object ID]])-4),"")</f>
        <v>fig-hepatitisc-acute-rate</v>
      </c>
    </row>
    <row r="132" spans="1:8" x14ac:dyDescent="0.2">
      <c r="A132" t="s">
        <v>8</v>
      </c>
      <c r="B132">
        <v>129</v>
      </c>
      <c r="C132" t="s">
        <v>16</v>
      </c>
      <c r="E132" t="s">
        <v>399</v>
      </c>
      <c r="F132" t="s">
        <v>400</v>
      </c>
      <c r="G132" s="21" t="s">
        <v>401</v>
      </c>
      <c r="H132" s="7" t="str">
        <f>IF(LEFT(Table3[[#This Row],[Object ID]],4)="tbl-","fig-" &amp; MID(Table3[[#This Row],[Object ID]],5,LEN(Table3[[#This Row],[Object ID]])-4),"")</f>
        <v>fig-hepatitisc-chronic-rate</v>
      </c>
    </row>
    <row r="133" spans="1:8" x14ac:dyDescent="0.2">
      <c r="A133" t="s">
        <v>8</v>
      </c>
      <c r="B133">
        <v>130</v>
      </c>
      <c r="C133" t="s">
        <v>9</v>
      </c>
      <c r="E133" t="s">
        <v>402</v>
      </c>
      <c r="F133" t="s">
        <v>403</v>
      </c>
      <c r="G133" s="22" t="s">
        <v>404</v>
      </c>
      <c r="H133" s="7" t="str">
        <f>IF(LEFT(Table3[[#This Row],[Object ID]],4)="tbl-","fig-" &amp; MID(Table3[[#This Row],[Object ID]],5,LEN(Table3[[#This Row],[Object ID]])-4),"")</f>
        <v>fig-chlamydia-count-rate-sex-rande-age-zip</v>
      </c>
    </row>
    <row r="134" spans="1:8" x14ac:dyDescent="0.2">
      <c r="A134" t="s">
        <v>8</v>
      </c>
      <c r="B134">
        <v>131</v>
      </c>
      <c r="C134" t="s">
        <v>16</v>
      </c>
      <c r="E134" t="s">
        <v>405</v>
      </c>
      <c r="F134" t="s">
        <v>406</v>
      </c>
      <c r="G134" s="21" t="s">
        <v>407</v>
      </c>
      <c r="H134" s="7" t="str">
        <f>IF(LEFT(Table3[[#This Row],[Object ID]],4)="tbl-","fig-" &amp; MID(Table3[[#This Row],[Object ID]],5,LEN(Table3[[#This Row],[Object ID]])-4),"")</f>
        <v>fig-chlamydia-aar</v>
      </c>
    </row>
    <row r="135" spans="1:8" x14ac:dyDescent="0.2">
      <c r="A135" t="s">
        <v>8</v>
      </c>
      <c r="B135">
        <v>132</v>
      </c>
      <c r="C135" t="s">
        <v>16</v>
      </c>
      <c r="E135" t="s">
        <v>408</v>
      </c>
      <c r="F135" t="s">
        <v>409</v>
      </c>
      <c r="G135" s="7" t="s">
        <v>410</v>
      </c>
      <c r="H135" s="7" t="str">
        <f>IF(LEFT(Table3[[#This Row],[Object ID]],4)="tbl-","fig-" &amp; MID(Table3[[#This Row],[Object ID]],5,LEN(Table3[[#This Row],[Object ID]])-4),"")</f>
        <v>fig-chlamydia-rande</v>
      </c>
    </row>
    <row r="136" spans="1:8" x14ac:dyDescent="0.2">
      <c r="A136" t="s">
        <v>8</v>
      </c>
      <c r="B136">
        <v>133</v>
      </c>
      <c r="C136" t="s">
        <v>9</v>
      </c>
      <c r="E136" t="s">
        <v>411</v>
      </c>
      <c r="F136" t="s">
        <v>412</v>
      </c>
      <c r="G136" s="22" t="s">
        <v>413</v>
      </c>
      <c r="H136" s="7" t="str">
        <f>IF(LEFT(Table3[[#This Row],[Object ID]],4)="tbl-","fig-" &amp; MID(Table3[[#This Row],[Object ID]],5,LEN(Table3[[#This Row],[Object ID]])-4),"")</f>
        <v>fig-gonorrhea-count-rate-sex-rande-age-zip</v>
      </c>
    </row>
    <row r="137" spans="1:8" x14ac:dyDescent="0.2">
      <c r="A137" t="s">
        <v>8</v>
      </c>
      <c r="B137">
        <v>134</v>
      </c>
      <c r="C137" t="s">
        <v>16</v>
      </c>
      <c r="E137" t="s">
        <v>414</v>
      </c>
      <c r="F137" t="s">
        <v>415</v>
      </c>
      <c r="G137" s="21" t="s">
        <v>416</v>
      </c>
      <c r="H137" s="7" t="str">
        <f>IF(LEFT(Table3[[#This Row],[Object ID]],4)="tbl-","fig-" &amp; MID(Table3[[#This Row],[Object ID]],5,LEN(Table3[[#This Row],[Object ID]])-4),"")</f>
        <v>fig-gonorrhea-aar</v>
      </c>
    </row>
    <row r="138" spans="1:8" x14ac:dyDescent="0.2">
      <c r="A138" t="s">
        <v>8</v>
      </c>
      <c r="B138">
        <v>135</v>
      </c>
      <c r="C138" t="s">
        <v>16</v>
      </c>
      <c r="E138" t="s">
        <v>417</v>
      </c>
      <c r="F138" t="s">
        <v>418</v>
      </c>
      <c r="G138" s="7" t="s">
        <v>419</v>
      </c>
      <c r="H138" s="7" t="str">
        <f>IF(LEFT(Table3[[#This Row],[Object ID]],4)="tbl-","fig-" &amp; MID(Table3[[#This Row],[Object ID]],5,LEN(Table3[[#This Row],[Object ID]])-4),"")</f>
        <v>fig-gonorrhea-rande</v>
      </c>
    </row>
    <row r="139" spans="1:8" x14ac:dyDescent="0.2">
      <c r="A139" t="s">
        <v>8</v>
      </c>
      <c r="B139">
        <v>136</v>
      </c>
      <c r="C139" t="s">
        <v>9</v>
      </c>
      <c r="E139" t="s">
        <v>420</v>
      </c>
      <c r="F139" t="s">
        <v>421</v>
      </c>
      <c r="G139" s="21" t="s">
        <v>422</v>
      </c>
      <c r="H139" s="7" t="str">
        <f>IF(LEFT(Table3[[#This Row],[Object ID]],4)="tbl-","fig-" &amp; MID(Table3[[#This Row],[Object ID]],5,LEN(Table3[[#This Row],[Object ID]])-4),"")</f>
        <v>fig-hiv-prevalence-rate-rande-age-sex</v>
      </c>
    </row>
    <row r="140" spans="1:8" x14ac:dyDescent="0.2">
      <c r="A140" t="s">
        <v>8</v>
      </c>
      <c r="B140">
        <v>137</v>
      </c>
      <c r="C140" t="s">
        <v>16</v>
      </c>
      <c r="E140" t="s">
        <v>423</v>
      </c>
      <c r="F140" t="s">
        <v>424</v>
      </c>
      <c r="G140" s="7" t="s">
        <v>425</v>
      </c>
      <c r="H140" s="7" t="str">
        <f>IF(LEFT(Table3[[#This Row],[Object ID]],4)="tbl-","fig-" &amp; MID(Table3[[#This Row],[Object ID]],5,LEN(Table3[[#This Row],[Object ID]])-4),"")</f>
        <v>fig-hiv-aids-incidence-aar</v>
      </c>
    </row>
    <row r="141" spans="1:8" x14ac:dyDescent="0.2">
      <c r="A141" t="s">
        <v>8</v>
      </c>
      <c r="B141">
        <v>138</v>
      </c>
      <c r="C141" t="s">
        <v>16</v>
      </c>
      <c r="E141" t="s">
        <v>426</v>
      </c>
      <c r="F141" t="s">
        <v>427</v>
      </c>
      <c r="G141" s="7" t="s">
        <v>428</v>
      </c>
      <c r="H141" s="7" t="str">
        <f>IF(LEFT(Table3[[#This Row],[Object ID]],4)="tbl-","fig-" &amp; MID(Table3[[#This Row],[Object ID]],5,LEN(Table3[[#This Row],[Object ID]])-4),"")</f>
        <v>fig-hiv-prevalence-transmission-category</v>
      </c>
    </row>
    <row r="142" spans="1:8" x14ac:dyDescent="0.2">
      <c r="A142" t="s">
        <v>8</v>
      </c>
      <c r="B142">
        <v>139</v>
      </c>
      <c r="C142" t="s">
        <v>16</v>
      </c>
      <c r="E142" t="s">
        <v>429</v>
      </c>
      <c r="F142" t="s">
        <v>430</v>
      </c>
      <c r="G142" s="7" t="s">
        <v>431</v>
      </c>
      <c r="H142" s="7" t="str">
        <f>IF(LEFT(Table3[[#This Row],[Object ID]],4)="tbl-","fig-" &amp; MID(Table3[[#This Row],[Object ID]],5,LEN(Table3[[#This Row],[Object ID]])-4),"")</f>
        <v>fig-hiv-linkage-care-rande</v>
      </c>
    </row>
    <row r="143" spans="1:8" x14ac:dyDescent="0.2">
      <c r="A143" t="s">
        <v>8</v>
      </c>
      <c r="B143">
        <v>140</v>
      </c>
      <c r="C143" t="s">
        <v>16</v>
      </c>
      <c r="E143" t="s">
        <v>432</v>
      </c>
      <c r="F143" t="s">
        <v>433</v>
      </c>
      <c r="G143" s="7" t="s">
        <v>434</v>
      </c>
      <c r="H143" s="7" t="str">
        <f>IF(LEFT(Table3[[#This Row],[Object ID]],4)="tbl-","fig-" &amp; MID(Table3[[#This Row],[Object ID]],5,LEN(Table3[[#This Row],[Object ID]])-4),"")</f>
        <v>fig-prep-coverage</v>
      </c>
    </row>
    <row r="144" spans="1:8" x14ac:dyDescent="0.2">
      <c r="A144" t="s">
        <v>8</v>
      </c>
      <c r="B144">
        <v>141</v>
      </c>
      <c r="C144" t="s">
        <v>9</v>
      </c>
      <c r="E144" t="s">
        <v>435</v>
      </c>
      <c r="F144" t="s">
        <v>436</v>
      </c>
      <c r="G144" s="22" t="s">
        <v>437</v>
      </c>
      <c r="H144" s="7" t="str">
        <f>IF(LEFT(Table3[[#This Row],[Object ID]],4)="tbl-","fig-" &amp; MID(Table3[[#This Row],[Object ID]],5,LEN(Table3[[#This Row],[Object ID]])-4),"")</f>
        <v>fig-syphilis-count-rate-sex-rande-age-zip</v>
      </c>
    </row>
    <row r="145" spans="1:8" x14ac:dyDescent="0.2">
      <c r="A145" t="s">
        <v>8</v>
      </c>
      <c r="B145">
        <v>142</v>
      </c>
      <c r="C145" t="s">
        <v>16</v>
      </c>
      <c r="E145" t="s">
        <v>438</v>
      </c>
      <c r="F145" t="s">
        <v>439</v>
      </c>
      <c r="G145" s="21" t="s">
        <v>440</v>
      </c>
      <c r="H145" s="7" t="str">
        <f>IF(LEFT(Table3[[#This Row],[Object ID]],4)="tbl-","fig-" &amp; MID(Table3[[#This Row],[Object ID]],5,LEN(Table3[[#This Row],[Object ID]])-4),"")</f>
        <v>fig-syphilis-early-aar</v>
      </c>
    </row>
    <row r="146" spans="1:8" x14ac:dyDescent="0.2">
      <c r="A146" t="s">
        <v>8</v>
      </c>
      <c r="B146">
        <v>143</v>
      </c>
      <c r="C146" t="s">
        <v>16</v>
      </c>
      <c r="E146" t="s">
        <v>441</v>
      </c>
      <c r="F146" t="s">
        <v>442</v>
      </c>
      <c r="G146" s="7" t="s">
        <v>443</v>
      </c>
      <c r="H146" s="7" t="str">
        <f>IF(LEFT(Table3[[#This Row],[Object ID]],4)="tbl-","fig-" &amp; MID(Table3[[#This Row],[Object ID]],5,LEN(Table3[[#This Row],[Object ID]])-4),"")</f>
        <v>fig-syphilis-rande</v>
      </c>
    </row>
    <row r="147" spans="1:8" x14ac:dyDescent="0.2">
      <c r="A147" t="s">
        <v>8</v>
      </c>
      <c r="B147">
        <v>144</v>
      </c>
      <c r="C147" t="s">
        <v>9</v>
      </c>
      <c r="E147" t="s">
        <v>444</v>
      </c>
      <c r="F147" t="s">
        <v>445</v>
      </c>
      <c r="G147" s="21" t="s">
        <v>446</v>
      </c>
      <c r="H147" s="7" t="str">
        <f>IF(LEFT(Table3[[#This Row],[Object ID]],4)="tbl-","fig-" &amp; MID(Table3[[#This Row],[Object ID]],5,LEN(Table3[[#This Row],[Object ID]])-4),"")</f>
        <v>fig-fertility-rate-age-rande-zip</v>
      </c>
    </row>
    <row r="148" spans="1:8" x14ac:dyDescent="0.2">
      <c r="A148" t="s">
        <v>8</v>
      </c>
      <c r="B148">
        <v>145</v>
      </c>
      <c r="C148" t="s">
        <v>16</v>
      </c>
      <c r="E148" t="s">
        <v>447</v>
      </c>
      <c r="F148" t="s">
        <v>448</v>
      </c>
      <c r="G148" s="21" t="s">
        <v>449</v>
      </c>
      <c r="H148" s="7" t="str">
        <f>IF(LEFT(Table3[[#This Row],[Object ID]],4)="tbl-","fig-" &amp; MID(Table3[[#This Row],[Object ID]],5,LEN(Table3[[#This Row],[Object ID]])-4),"")</f>
        <v>fig-fertility</v>
      </c>
    </row>
    <row r="149" spans="1:8" x14ac:dyDescent="0.2">
      <c r="A149" t="s">
        <v>8</v>
      </c>
      <c r="B149">
        <v>146</v>
      </c>
      <c r="C149" t="s">
        <v>16</v>
      </c>
      <c r="E149" t="s">
        <v>450</v>
      </c>
      <c r="F149" t="s">
        <v>451</v>
      </c>
      <c r="G149" s="7" t="s">
        <v>452</v>
      </c>
      <c r="H149" s="7" t="str">
        <f>IF(LEFT(Table3[[#This Row],[Object ID]],4)="tbl-","fig-" &amp; MID(Table3[[#This Row],[Object ID]],5,LEN(Table3[[#This Row],[Object ID]])-4),"")</f>
        <v>fig-fertility-rande</v>
      </c>
    </row>
    <row r="150" spans="1:8" x14ac:dyDescent="0.2">
      <c r="A150" t="s">
        <v>8</v>
      </c>
      <c r="B150">
        <v>147</v>
      </c>
      <c r="C150" t="s">
        <v>16</v>
      </c>
      <c r="E150" t="s">
        <v>453</v>
      </c>
      <c r="F150" t="s">
        <v>454</v>
      </c>
      <c r="G150" s="21" t="s">
        <v>455</v>
      </c>
      <c r="H150" s="7" t="str">
        <f>IF(LEFT(Table3[[#This Row],[Object ID]],4)="tbl-","fig-" &amp; MID(Table3[[#This Row],[Object ID]],5,LEN(Table3[[#This Row],[Object ID]])-4),"")</f>
        <v>fig-fertility-sex</v>
      </c>
    </row>
    <row r="151" spans="1:8" x14ac:dyDescent="0.2">
      <c r="A151" t="s">
        <v>8</v>
      </c>
      <c r="B151">
        <v>148</v>
      </c>
      <c r="C151" t="s">
        <v>9</v>
      </c>
      <c r="E151" t="s">
        <v>456</v>
      </c>
      <c r="F151" t="s">
        <v>457</v>
      </c>
      <c r="G151" s="7" t="s">
        <v>458</v>
      </c>
      <c r="H151" s="7" t="str">
        <f>IF(LEFT(Table3[[#This Row],[Object ID]],4)="tbl-","fig-" &amp; MID(Table3[[#This Row],[Object ID]],5,LEN(Table3[[#This Row],[Object ID]])-4),"")</f>
        <v>fig-allbirths-under17-age-rande-zip</v>
      </c>
    </row>
    <row r="152" spans="1:8" x14ac:dyDescent="0.2">
      <c r="A152" t="s">
        <v>8</v>
      </c>
      <c r="B152">
        <v>149</v>
      </c>
      <c r="C152" t="s">
        <v>9</v>
      </c>
      <c r="E152" t="s">
        <v>459</v>
      </c>
      <c r="F152" t="s">
        <v>460</v>
      </c>
      <c r="G152" s="7" t="s">
        <v>461</v>
      </c>
      <c r="H152" s="7" t="str">
        <f>IF(LEFT(Table3[[#This Row],[Object ID]],4)="tbl-","fig-" &amp; MID(Table3[[#This Row],[Object ID]],5,LEN(Table3[[#This Row],[Object ID]])-4),"")</f>
        <v>fig-allbirths-medicaid-selfpay-age-rande-zip</v>
      </c>
    </row>
    <row r="153" spans="1:8" x14ac:dyDescent="0.2">
      <c r="A153" t="s">
        <v>8</v>
      </c>
      <c r="B153">
        <v>150</v>
      </c>
      <c r="C153" t="s">
        <v>16</v>
      </c>
      <c r="E153" t="s">
        <v>462</v>
      </c>
      <c r="F153" t="s">
        <v>463</v>
      </c>
      <c r="G153" s="21" t="s">
        <v>464</v>
      </c>
      <c r="H153" s="7" t="str">
        <f>IF(LEFT(Table3[[#This Row],[Object ID]],4)="tbl-","fig-" &amp; MID(Table3[[#This Row],[Object ID]],5,LEN(Table3[[#This Row],[Object ID]])-4),"")</f>
        <v>fig-maternal-mortal</v>
      </c>
    </row>
    <row r="154" spans="1:8" x14ac:dyDescent="0.2">
      <c r="A154" t="s">
        <v>8</v>
      </c>
      <c r="B154">
        <v>151</v>
      </c>
      <c r="C154" t="s">
        <v>16</v>
      </c>
      <c r="E154" t="s">
        <v>465</v>
      </c>
      <c r="F154" t="s">
        <v>466</v>
      </c>
      <c r="G154" s="21" t="s">
        <v>467</v>
      </c>
      <c r="H154" s="7" t="str">
        <f>IF(LEFT(Table3[[#This Row],[Object ID]],4)="tbl-","fig-" &amp; MID(Table3[[#This Row],[Object ID]],5,LEN(Table3[[#This Row],[Object ID]])-4),"")</f>
        <v>fig-child-adolescent-mortal</v>
      </c>
    </row>
    <row r="155" spans="1:8" x14ac:dyDescent="0.2">
      <c r="A155" t="s">
        <v>8</v>
      </c>
      <c r="B155">
        <v>152</v>
      </c>
      <c r="C155" t="s">
        <v>16</v>
      </c>
      <c r="E155" t="s">
        <v>468</v>
      </c>
      <c r="F155" t="s">
        <v>469</v>
      </c>
      <c r="G155" s="21" t="s">
        <v>470</v>
      </c>
      <c r="H155" s="7" t="str">
        <f>IF(LEFT(Table3[[#This Row],[Object ID]],4)="tbl-","fig-" &amp; MID(Table3[[#This Row],[Object ID]],5,LEN(Table3[[#This Row],[Object ID]])-4),"")</f>
        <v>fig-infant-mortal</v>
      </c>
    </row>
    <row r="156" spans="1:8" x14ac:dyDescent="0.2">
      <c r="A156" t="s">
        <v>8</v>
      </c>
      <c r="B156">
        <v>153</v>
      </c>
      <c r="C156" t="s">
        <v>9</v>
      </c>
      <c r="E156" t="s">
        <v>471</v>
      </c>
      <c r="F156" t="s">
        <v>472</v>
      </c>
      <c r="G156" s="7" t="s">
        <v>473</v>
      </c>
      <c r="H156" s="7" t="str">
        <f>IF(LEFT(Table3[[#This Row],[Object ID]],4)="tbl-","fig-" &amp; MID(Table3[[#This Row],[Object ID]],5,LEN(Table3[[#This Row],[Object ID]])-4),"")</f>
        <v>fig-early-pnc-age-rande-zip</v>
      </c>
    </row>
    <row r="157" spans="1:8" x14ac:dyDescent="0.2">
      <c r="A157" t="s">
        <v>8</v>
      </c>
      <c r="B157">
        <v>154</v>
      </c>
      <c r="C157" t="s">
        <v>16</v>
      </c>
      <c r="E157" t="s">
        <v>474</v>
      </c>
      <c r="F157" t="s">
        <v>475</v>
      </c>
      <c r="G157" s="22" t="s">
        <v>476</v>
      </c>
      <c r="H157" s="7" t="str">
        <f>IF(LEFT(Table3[[#This Row],[Object ID]],4)="tbl-","fig-" &amp; MID(Table3[[#This Row],[Object ID]],5,LEN(Table3[[#This Row],[Object ID]])-4),"")</f>
        <v>fig-early-pnc</v>
      </c>
    </row>
    <row r="158" spans="1:8" x14ac:dyDescent="0.2">
      <c r="A158" t="s">
        <v>8</v>
      </c>
      <c r="B158">
        <v>155</v>
      </c>
      <c r="C158" t="s">
        <v>16</v>
      </c>
      <c r="E158" t="s">
        <v>477</v>
      </c>
      <c r="F158" t="s">
        <v>478</v>
      </c>
      <c r="G158" s="21" t="s">
        <v>479</v>
      </c>
      <c r="H158" s="7" t="str">
        <f>IF(LEFT(Table3[[#This Row],[Object ID]],4)="tbl-","fig-" &amp; MID(Table3[[#This Row],[Object ID]],5,LEN(Table3[[#This Row],[Object ID]])-4),"")</f>
        <v>fig-early-pnc-rande</v>
      </c>
    </row>
    <row r="159" spans="1:8" x14ac:dyDescent="0.2">
      <c r="A159" t="s">
        <v>8</v>
      </c>
      <c r="B159">
        <v>156</v>
      </c>
      <c r="C159" t="s">
        <v>16</v>
      </c>
      <c r="E159" t="s">
        <v>480</v>
      </c>
      <c r="F159" t="s">
        <v>481</v>
      </c>
      <c r="G159" s="22" t="s">
        <v>482</v>
      </c>
      <c r="H159" s="7" t="str">
        <f>IF(LEFT(Table3[[#This Row],[Object ID]],4)="tbl-","fig-" &amp; MID(Table3[[#This Row],[Object ID]],5,LEN(Table3[[#This Row],[Object ID]])-4),"")</f>
        <v>fig-early-pnc-zip</v>
      </c>
    </row>
    <row r="160" spans="1:8" x14ac:dyDescent="0.2">
      <c r="A160" t="s">
        <v>8</v>
      </c>
      <c r="B160">
        <v>157</v>
      </c>
      <c r="C160" t="s">
        <v>9</v>
      </c>
      <c r="E160" t="s">
        <v>483</v>
      </c>
      <c r="F160" t="s">
        <v>484</v>
      </c>
      <c r="G160" s="22" t="s">
        <v>485</v>
      </c>
      <c r="H160" s="7" t="str">
        <f>IF(LEFT(Table3[[#This Row],[Object ID]],4)="tbl-","fig-" &amp; MID(Table3[[#This Row],[Object ID]],5,LEN(Table3[[#This Row],[Object ID]])-4),"")</f>
        <v>fig-late-no-pnc-age-rande-zip</v>
      </c>
    </row>
    <row r="161" spans="1:8" x14ac:dyDescent="0.2">
      <c r="A161" t="s">
        <v>8</v>
      </c>
      <c r="B161">
        <v>158</v>
      </c>
      <c r="C161" t="s">
        <v>16</v>
      </c>
      <c r="E161" t="s">
        <v>486</v>
      </c>
      <c r="F161" t="s">
        <v>487</v>
      </c>
      <c r="G161" s="22" t="s">
        <v>488</v>
      </c>
      <c r="H161" s="7" t="str">
        <f>IF(LEFT(Table3[[#This Row],[Object ID]],4)="tbl-","fig-" &amp; MID(Table3[[#This Row],[Object ID]],5,LEN(Table3[[#This Row],[Object ID]])-4),"")</f>
        <v>fig-late-no-pnc</v>
      </c>
    </row>
    <row r="162" spans="1:8" x14ac:dyDescent="0.2">
      <c r="A162" t="s">
        <v>8</v>
      </c>
      <c r="B162">
        <v>159</v>
      </c>
      <c r="C162" t="s">
        <v>16</v>
      </c>
      <c r="E162" t="s">
        <v>489</v>
      </c>
      <c r="F162" t="s">
        <v>490</v>
      </c>
      <c r="G162" s="21" t="s">
        <v>491</v>
      </c>
      <c r="H162" s="7" t="str">
        <f>IF(LEFT(Table3[[#This Row],[Object ID]],4)="tbl-","fig-" &amp; MID(Table3[[#This Row],[Object ID]],5,LEN(Table3[[#This Row],[Object ID]])-4),"")</f>
        <v>fig-late-no-pnc-rande</v>
      </c>
    </row>
    <row r="163" spans="1:8" x14ac:dyDescent="0.2">
      <c r="A163" t="s">
        <v>8</v>
      </c>
      <c r="B163">
        <v>160</v>
      </c>
      <c r="C163" t="s">
        <v>16</v>
      </c>
      <c r="E163" t="s">
        <v>492</v>
      </c>
      <c r="F163" t="s">
        <v>493</v>
      </c>
      <c r="G163" s="22" t="s">
        <v>494</v>
      </c>
      <c r="H163" s="7" t="str">
        <f>IF(LEFT(Table3[[#This Row],[Object ID]],4)="tbl-","fig-" &amp; MID(Table3[[#This Row],[Object ID]],5,LEN(Table3[[#This Row],[Object ID]])-4),"")</f>
        <v>fig-late-no-pnc-zip</v>
      </c>
    </row>
    <row r="164" spans="1:8" x14ac:dyDescent="0.2">
      <c r="A164" t="s">
        <v>8</v>
      </c>
      <c r="B164">
        <v>161</v>
      </c>
      <c r="C164" t="s">
        <v>16</v>
      </c>
      <c r="E164" t="s">
        <v>495</v>
      </c>
      <c r="F164" t="s">
        <v>496</v>
      </c>
      <c r="G164" s="22" t="s">
        <v>497</v>
      </c>
      <c r="H164" s="7" t="str">
        <f>IF(LEFT(Table3[[#This Row],[Object ID]],4)="tbl-","fig-" &amp; MID(Table3[[#This Row],[Object ID]],5,LEN(Table3[[#This Row],[Object ID]])-4),"")</f>
        <v>fig-adequate-pnc</v>
      </c>
    </row>
    <row r="165" spans="1:8" x14ac:dyDescent="0.2">
      <c r="A165" t="s">
        <v>8</v>
      </c>
      <c r="B165">
        <v>162</v>
      </c>
      <c r="C165" t="s">
        <v>9</v>
      </c>
      <c r="E165" t="s">
        <v>498</v>
      </c>
      <c r="F165" t="s">
        <v>499</v>
      </c>
      <c r="G165" s="22" t="s">
        <v>500</v>
      </c>
      <c r="H165" s="7" t="str">
        <f>IF(LEFT(Table3[[#This Row],[Object ID]],4)="tbl-","fig-" &amp; MID(Table3[[#This Row],[Object ID]],5,LEN(Table3[[#This Row],[Object ID]])-4),"")</f>
        <v>fig-premature-birth-age-rande-zip</v>
      </c>
    </row>
    <row r="166" spans="1:8" x14ac:dyDescent="0.2">
      <c r="A166" t="s">
        <v>8</v>
      </c>
      <c r="B166">
        <v>163</v>
      </c>
      <c r="C166" t="s">
        <v>16</v>
      </c>
      <c r="E166" t="s">
        <v>501</v>
      </c>
      <c r="F166" t="s">
        <v>502</v>
      </c>
      <c r="G166" s="22" t="s">
        <v>503</v>
      </c>
      <c r="H166" s="7" t="str">
        <f>IF(LEFT(Table3[[#This Row],[Object ID]],4)="tbl-","fig-" &amp; MID(Table3[[#This Row],[Object ID]],5,LEN(Table3[[#This Row],[Object ID]])-4),"")</f>
        <v>fig-premature-birth</v>
      </c>
    </row>
    <row r="167" spans="1:8" x14ac:dyDescent="0.2">
      <c r="A167" t="s">
        <v>8</v>
      </c>
      <c r="B167">
        <v>164</v>
      </c>
      <c r="C167" t="s">
        <v>16</v>
      </c>
      <c r="E167" t="s">
        <v>504</v>
      </c>
      <c r="F167" t="s">
        <v>505</v>
      </c>
      <c r="G167" s="21" t="s">
        <v>506</v>
      </c>
      <c r="H167" s="7" t="str">
        <f>IF(LEFT(Table3[[#This Row],[Object ID]],4)="tbl-","fig-" &amp; MID(Table3[[#This Row],[Object ID]],5,LEN(Table3[[#This Row],[Object ID]])-4),"")</f>
        <v>fig-premature-birth-rande</v>
      </c>
    </row>
    <row r="168" spans="1:8" x14ac:dyDescent="0.2">
      <c r="A168" t="s">
        <v>8</v>
      </c>
      <c r="B168">
        <v>165</v>
      </c>
      <c r="C168" t="s">
        <v>9</v>
      </c>
      <c r="E168" t="s">
        <v>507</v>
      </c>
      <c r="F168" t="s">
        <v>508</v>
      </c>
      <c r="G168" s="22" t="s">
        <v>509</v>
      </c>
      <c r="H168" s="7" t="str">
        <f>IF(LEFT(Table3[[#This Row],[Object ID]],4)="tbl-","fig-" &amp; MID(Table3[[#This Row],[Object ID]],5,LEN(Table3[[#This Row],[Object ID]])-4),"")</f>
        <v>fig-lbw-age-rande-zip</v>
      </c>
    </row>
    <row r="169" spans="1:8" x14ac:dyDescent="0.2">
      <c r="A169" t="s">
        <v>8</v>
      </c>
      <c r="B169">
        <v>166</v>
      </c>
      <c r="C169" t="s">
        <v>16</v>
      </c>
      <c r="E169" t="s">
        <v>510</v>
      </c>
      <c r="F169" t="s">
        <v>511</v>
      </c>
      <c r="G169" s="22" t="s">
        <v>512</v>
      </c>
      <c r="H169" s="7" t="str">
        <f>IF(LEFT(Table3[[#This Row],[Object ID]],4)="tbl-","fig-" &amp; MID(Table3[[#This Row],[Object ID]],5,LEN(Table3[[#This Row],[Object ID]])-4),"")</f>
        <v>fig-lbw-birth</v>
      </c>
    </row>
    <row r="170" spans="1:8" x14ac:dyDescent="0.2">
      <c r="A170" t="s">
        <v>8</v>
      </c>
      <c r="B170">
        <v>167</v>
      </c>
      <c r="C170" t="s">
        <v>16</v>
      </c>
      <c r="E170" t="s">
        <v>513</v>
      </c>
      <c r="F170" t="s">
        <v>514</v>
      </c>
      <c r="G170" s="21" t="s">
        <v>515</v>
      </c>
      <c r="H170" s="7" t="str">
        <f>IF(LEFT(Table3[[#This Row],[Object ID]],4)="tbl-","fig-" &amp; MID(Table3[[#This Row],[Object ID]],5,LEN(Table3[[#This Row],[Object ID]])-4),"")</f>
        <v>fig-lbw-birth-rande</v>
      </c>
    </row>
    <row r="171" spans="1:8" x14ac:dyDescent="0.2">
      <c r="A171" t="s">
        <v>8</v>
      </c>
      <c r="B171">
        <v>168</v>
      </c>
      <c r="C171" t="s">
        <v>16</v>
      </c>
      <c r="E171" t="s">
        <v>516</v>
      </c>
      <c r="F171" t="s">
        <v>517</v>
      </c>
      <c r="G171" s="22" t="s">
        <v>518</v>
      </c>
      <c r="H171" s="7" t="str">
        <f>IF(LEFT(Table3[[#This Row],[Object ID]],4)="tbl-","fig-" &amp; MID(Table3[[#This Row],[Object ID]],5,LEN(Table3[[#This Row],[Object ID]])-4),"")</f>
        <v>fig-ed-any-drug-od-aar</v>
      </c>
    </row>
    <row r="172" spans="1:8" x14ac:dyDescent="0.2">
      <c r="A172" t="s">
        <v>8</v>
      </c>
      <c r="B172">
        <v>169</v>
      </c>
      <c r="C172" t="s">
        <v>16</v>
      </c>
      <c r="E172" t="s">
        <v>519</v>
      </c>
      <c r="F172" t="s">
        <v>520</v>
      </c>
      <c r="G172" s="7" t="s">
        <v>521</v>
      </c>
      <c r="H172" s="7" t="str">
        <f>IF(LEFT(Table3[[#This Row],[Object ID]],4)="tbl-","fig-" &amp; MID(Table3[[#This Row],[Object ID]],5,LEN(Table3[[#This Row],[Object ID]])-4),"")</f>
        <v>fig-outpatiented-hopsitaldc-opioid-abuse-depend-crude</v>
      </c>
    </row>
    <row r="173" spans="1:8" x14ac:dyDescent="0.2">
      <c r="A173" t="s">
        <v>8</v>
      </c>
      <c r="B173">
        <v>170</v>
      </c>
      <c r="C173" t="s">
        <v>16</v>
      </c>
      <c r="E173" t="s">
        <v>522</v>
      </c>
      <c r="F173" t="s">
        <v>523</v>
      </c>
      <c r="G173" s="7" t="s">
        <v>524</v>
      </c>
      <c r="H173" s="7" t="str">
        <f>IF(LEFT(Table3[[#This Row],[Object ID]],4)="tbl-","fig-" &amp; MID(Table3[[#This Row],[Object ID]],5,LEN(Table3[[#This Row],[Object ID]])-4),"")</f>
        <v>fig-neonatal-withdraw-maternal-drug-crude</v>
      </c>
    </row>
    <row r="174" spans="1:8" x14ac:dyDescent="0.2">
      <c r="A174" t="s">
        <v>8</v>
      </c>
      <c r="B174">
        <v>171</v>
      </c>
      <c r="C174" t="s">
        <v>16</v>
      </c>
      <c r="E174" t="s">
        <v>525</v>
      </c>
      <c r="F174" t="s">
        <v>526</v>
      </c>
      <c r="G174" s="7" t="s">
        <v>527</v>
      </c>
      <c r="H174" s="7" t="str">
        <f>IF(LEFT(Table3[[#This Row],[Object ID]],4)="tbl-","fig-" &amp; MID(Table3[[#This Row],[Object ID]],5,LEN(Table3[[#This Row],[Object ID]])-4),"")</f>
        <v>fig-opioid-rx-aar</v>
      </c>
    </row>
    <row r="175" spans="1:8" x14ac:dyDescent="0.2">
      <c r="A175" t="s">
        <v>8</v>
      </c>
      <c r="B175">
        <v>172</v>
      </c>
      <c r="C175" t="s">
        <v>16</v>
      </c>
      <c r="E175" t="s">
        <v>528</v>
      </c>
      <c r="F175" t="s">
        <v>529</v>
      </c>
      <c r="G175" s="7" t="s">
        <v>530</v>
      </c>
      <c r="H175" s="7" t="str">
        <f>IF(LEFT(Table3[[#This Row],[Object ID]],4)="tbl-","fig-" &amp; MID(Table3[[#This Row],[Object ID]],5,LEN(Table3[[#This Row],[Object ID]])-4),"")</f>
        <v>fig-opioid-naïve-7day-rx</v>
      </c>
    </row>
    <row r="176" spans="1:8" x14ac:dyDescent="0.2">
      <c r="C176" t="s">
        <v>16</v>
      </c>
      <c r="E176" t="s">
        <v>531</v>
      </c>
      <c r="F176" t="s">
        <v>532</v>
      </c>
      <c r="G176" s="7" t="s">
        <v>533</v>
      </c>
      <c r="H176" s="7" t="str">
        <f>IF(LEFT(Table3[[#This Row],[Object ID]],4)="tbl-","fig-" &amp; MID(Table3[[#This Row],[Object ID]],5,LEN(Table3[[#This Row],[Object ID]])-4),"")</f>
        <v>fig-benzo-rx-aar</v>
      </c>
    </row>
    <row r="177" spans="1:8" x14ac:dyDescent="0.2">
      <c r="A177" t="s">
        <v>8</v>
      </c>
      <c r="B177">
        <v>173</v>
      </c>
      <c r="C177" t="s">
        <v>16</v>
      </c>
      <c r="E177" t="s">
        <v>534</v>
      </c>
      <c r="F177" t="s">
        <v>535</v>
      </c>
      <c r="G177" s="21" t="s">
        <v>536</v>
      </c>
      <c r="H177" s="7" t="str">
        <f>IF(LEFT(Table3[[#This Row],[Object ID]],4)="tbl-","fig-" &amp; MID(Table3[[#This Row],[Object ID]],5,LEN(Table3[[#This Row],[Object ID]])-4),"")</f>
        <v>fig-overlap-opioid-benzo-rx</v>
      </c>
    </row>
    <row r="178" spans="1:8" x14ac:dyDescent="0.2">
      <c r="A178" t="s">
        <v>8</v>
      </c>
      <c r="B178">
        <v>174</v>
      </c>
      <c r="C178" t="s">
        <v>16</v>
      </c>
      <c r="E178" t="s">
        <v>537</v>
      </c>
      <c r="F178" t="s">
        <v>538</v>
      </c>
      <c r="G178" s="21" t="s">
        <v>539</v>
      </c>
      <c r="H178" s="7" t="str">
        <f>IF(LEFT(Table3[[#This Row],[Object ID]],4)="tbl-","fig-" &amp; MID(Table3[[#This Row],[Object ID]],5,LEN(Table3[[#This Row],[Object ID]])-4),"")</f>
        <v>fig-opioidud-atleast1rx-bup-aar</v>
      </c>
    </row>
    <row r="179" spans="1:8" x14ac:dyDescent="0.2">
      <c r="A179" t="s">
        <v>8</v>
      </c>
      <c r="B179">
        <v>175</v>
      </c>
      <c r="C179" t="s">
        <v>16</v>
      </c>
      <c r="E179" t="s">
        <v>540</v>
      </c>
      <c r="F179" t="s">
        <v>541</v>
      </c>
      <c r="G179" s="7" t="s">
        <v>542</v>
      </c>
      <c r="H179" s="7" t="str">
        <f>IF(LEFT(Table3[[#This Row],[Object ID]],4)="tbl-","fig-" &amp; MID(Table3[[#This Row],[Object ID]],5,LEN(Table3[[#This Row],[Object ID]])-4),"")</f>
        <v>fig-opioidud-continuous-bup-rx</v>
      </c>
    </row>
    <row r="180" spans="1:8" x14ac:dyDescent="0.2">
      <c r="A180" t="s">
        <v>8</v>
      </c>
      <c r="B180">
        <v>176</v>
      </c>
      <c r="C180" t="s">
        <v>16</v>
      </c>
      <c r="E180" t="s">
        <v>543</v>
      </c>
      <c r="F180" t="s">
        <v>544</v>
      </c>
      <c r="G180" s="7" t="s">
        <v>545</v>
      </c>
      <c r="H180" s="7" t="str">
        <f>IF(LEFT(Table3[[#This Row],[Object ID]],4)="tbl-","fig-" &amp; MID(Table3[[#This Row],[Object ID]],5,LEN(Table3[[#This Row],[Object ID]])-4),"")</f>
        <v>fig-perception-harm-su</v>
      </c>
    </row>
    <row r="181" spans="1:8" x14ac:dyDescent="0.2">
      <c r="A181" t="s">
        <v>8</v>
      </c>
      <c r="B181">
        <v>177</v>
      </c>
      <c r="C181" t="s">
        <v>9</v>
      </c>
      <c r="E181" t="s">
        <v>546</v>
      </c>
      <c r="F181" t="s">
        <v>547</v>
      </c>
      <c r="G181" s="7" t="s">
        <v>548</v>
      </c>
      <c r="H181" s="7" t="str">
        <f>IF(LEFT(Table3[[#This Row],[Object ID]],4)="tbl-","fig-" &amp; MID(Table3[[#This Row],[Object ID]],5,LEN(Table3[[#This Row],[Object ID]])-4),"")</f>
        <v>fig-lifetime-su</v>
      </c>
    </row>
    <row r="182" spans="1:8" x14ac:dyDescent="0.2">
      <c r="A182" t="s">
        <v>8</v>
      </c>
      <c r="B182">
        <v>178</v>
      </c>
      <c r="C182" t="s">
        <v>9</v>
      </c>
      <c r="E182" t="s">
        <v>549</v>
      </c>
      <c r="F182" t="s">
        <v>550</v>
      </c>
      <c r="G182" s="21" t="s">
        <v>551</v>
      </c>
      <c r="H182" s="7" t="str">
        <f>IF(LEFT(Table3[[#This Row],[Object ID]],4)="tbl-","fig-" &amp; MID(Table3[[#This Row],[Object ID]],5,LEN(Table3[[#This Row],[Object ID]])-4),"")</f>
        <v/>
      </c>
    </row>
    <row r="183" spans="1:8" x14ac:dyDescent="0.2">
      <c r="A183" t="s">
        <v>8</v>
      </c>
      <c r="B183">
        <v>179</v>
      </c>
      <c r="C183" t="s">
        <v>9</v>
      </c>
      <c r="E183" t="s">
        <v>552</v>
      </c>
      <c r="F183" t="s">
        <v>553</v>
      </c>
      <c r="G183" s="7" t="s">
        <v>554</v>
      </c>
      <c r="H183" s="7" t="str">
        <f>IF(LEFT(Table3[[#This Row],[Object ID]],4)="tbl-","fig-" &amp; MID(Table3[[#This Row],[Object ID]],5,LEN(Table3[[#This Row],[Object ID]])-4),"")</f>
        <v>fig-source-marijuana-ifused</v>
      </c>
    </row>
    <row r="184" spans="1:8" x14ac:dyDescent="0.2">
      <c r="A184" t="s">
        <v>8</v>
      </c>
      <c r="B184">
        <v>180</v>
      </c>
      <c r="C184" t="s">
        <v>9</v>
      </c>
      <c r="E184" t="s">
        <v>555</v>
      </c>
      <c r="F184" t="s">
        <v>556</v>
      </c>
      <c r="G184" s="7" t="s">
        <v>557</v>
      </c>
      <c r="H184" s="7" t="str">
        <f>IF(LEFT(Table3[[#This Row],[Object ID]],4)="tbl-","fig-" &amp; MID(Table3[[#This Row],[Object ID]],5,LEN(Table3[[#This Row],[Object ID]])-4),"")</f>
        <v>fig-opioid-od-fatal-age-sex</v>
      </c>
    </row>
    <row r="185" spans="1:8" x14ac:dyDescent="0.2">
      <c r="A185" t="s">
        <v>8</v>
      </c>
      <c r="B185">
        <v>181</v>
      </c>
      <c r="C185" t="s">
        <v>16</v>
      </c>
      <c r="E185" t="s">
        <v>558</v>
      </c>
      <c r="F185" t="s">
        <v>559</v>
      </c>
      <c r="G185" s="7" t="s">
        <v>560</v>
      </c>
      <c r="H185" s="7" t="str">
        <f>IF(LEFT(Table3[[#This Row],[Object ID]],4)="tbl-","fig-" &amp; MID(Table3[[#This Row],[Object ID]],5,LEN(Table3[[#This Row],[Object ID]])-4),"")</f>
        <v>fig-opioid-od-fatal</v>
      </c>
    </row>
    <row r="186" spans="1:8" x14ac:dyDescent="0.2">
      <c r="A186" t="s">
        <v>8</v>
      </c>
      <c r="B186">
        <v>182</v>
      </c>
      <c r="C186" t="s">
        <v>16</v>
      </c>
      <c r="E186" t="s">
        <v>561</v>
      </c>
      <c r="F186" t="s">
        <v>562</v>
      </c>
      <c r="G186" s="7" t="s">
        <v>563</v>
      </c>
      <c r="H186" s="7" t="str">
        <f>IF(LEFT(Table3[[#This Row],[Object ID]],4)="tbl-","fig-" &amp; MID(Table3[[#This Row],[Object ID]],5,LEN(Table3[[#This Row],[Object ID]])-4),"")</f>
        <v>fig-opioid-od-fatal-age</v>
      </c>
    </row>
    <row r="187" spans="1:8" x14ac:dyDescent="0.2">
      <c r="A187" t="s">
        <v>8</v>
      </c>
      <c r="B187">
        <v>183</v>
      </c>
      <c r="C187" t="s">
        <v>16</v>
      </c>
      <c r="E187" t="s">
        <v>564</v>
      </c>
      <c r="F187" t="s">
        <v>565</v>
      </c>
      <c r="G187" s="7" t="s">
        <v>566</v>
      </c>
      <c r="H187" s="7" t="str">
        <f>IF(LEFT(Table3[[#This Row],[Object ID]],4)="tbl-","fig-" &amp; MID(Table3[[#This Row],[Object ID]],5,LEN(Table3[[#This Row],[Object ID]])-4),"")</f>
        <v>fig-opioid-od-fatal-sex</v>
      </c>
    </row>
    <row r="188" spans="1:8" x14ac:dyDescent="0.2">
      <c r="A188" t="s">
        <v>8</v>
      </c>
      <c r="B188">
        <v>184</v>
      </c>
      <c r="C188" t="s">
        <v>16</v>
      </c>
      <c r="E188" t="s">
        <v>567</v>
      </c>
      <c r="F188" t="s">
        <v>568</v>
      </c>
      <c r="G188" s="21" t="s">
        <v>569</v>
      </c>
      <c r="H188" s="7" t="str">
        <f>IF(LEFT(Table3[[#This Row],[Object ID]],4)="tbl-","fig-" &amp; MID(Table3[[#This Row],[Object ID]],5,LEN(Table3[[#This Row],[Object ID]])-4),"")</f>
        <v>fig-binge-drinking-last-month</v>
      </c>
    </row>
    <row r="189" spans="1:8" x14ac:dyDescent="0.2">
      <c r="A189" t="s">
        <v>8</v>
      </c>
      <c r="B189">
        <v>185</v>
      </c>
      <c r="C189" t="s">
        <v>16</v>
      </c>
      <c r="E189" t="s">
        <v>570</v>
      </c>
      <c r="F189" t="s">
        <v>571</v>
      </c>
      <c r="G189" s="7" t="s">
        <v>572</v>
      </c>
      <c r="H189" s="7" t="str">
        <f>IF(LEFT(Table3[[#This Row],[Object ID]],4)="tbl-","fig-" &amp; MID(Table3[[#This Row],[Object ID]],5,LEN(Table3[[#This Row],[Object ID]])-4),"")</f>
        <v>fig-alcohol-mva-injury-death</v>
      </c>
    </row>
    <row r="190" spans="1:8" x14ac:dyDescent="0.2">
      <c r="A190" t="s">
        <v>8</v>
      </c>
      <c r="B190">
        <v>186</v>
      </c>
      <c r="C190" t="s">
        <v>9</v>
      </c>
      <c r="E190" t="s">
        <v>573</v>
      </c>
      <c r="F190" t="s">
        <v>574</v>
      </c>
      <c r="G190" s="7" t="s">
        <v>575</v>
      </c>
      <c r="H190" s="7" t="str">
        <f>IF(LEFT(Table3[[#This Row],[Object ID]],4)="tbl-","fig-" &amp; MID(Table3[[#This Row],[Object ID]],5,LEN(Table3[[#This Row],[Object ID]])-4),"")</f>
        <v/>
      </c>
    </row>
    <row r="191" spans="1:8" x14ac:dyDescent="0.2">
      <c r="A191" t="s">
        <v>8</v>
      </c>
      <c r="B191">
        <v>187</v>
      </c>
      <c r="C191" t="s">
        <v>16</v>
      </c>
      <c r="E191" t="s">
        <v>576</v>
      </c>
      <c r="F191" t="s">
        <v>577</v>
      </c>
      <c r="G191" s="7" t="s">
        <v>578</v>
      </c>
      <c r="H191" s="7" t="str">
        <f>IF(LEFT(Table3[[#This Row],[Object ID]],4)="tbl-","fig-" &amp; MID(Table3[[#This Row],[Object ID]],5,LEN(Table3[[#This Row],[Object ID]])-4),"")</f>
        <v>fig-current-smoker</v>
      </c>
    </row>
    <row r="192" spans="1:8" x14ac:dyDescent="0.2">
      <c r="A192" t="s">
        <v>8</v>
      </c>
      <c r="B192">
        <v>188</v>
      </c>
      <c r="C192" t="s">
        <v>16</v>
      </c>
      <c r="E192" t="s">
        <v>579</v>
      </c>
      <c r="F192" t="s">
        <v>580</v>
      </c>
      <c r="G192" s="7" t="s">
        <v>581</v>
      </c>
      <c r="H192" s="7" t="str">
        <f>IF(LEFT(Table3[[#This Row],[Object ID]],4)="tbl-","fig-" &amp; MID(Table3[[#This Row],[Object ID]],5,LEN(Table3[[#This Row],[Object ID]])-4),"")</f>
        <v>fig-unintent-injury-hospital-rande-aar</v>
      </c>
    </row>
    <row r="193" spans="1:8" x14ac:dyDescent="0.2">
      <c r="A193" t="s">
        <v>8</v>
      </c>
      <c r="B193">
        <v>189</v>
      </c>
      <c r="C193" t="s">
        <v>9</v>
      </c>
      <c r="E193" t="s">
        <v>582</v>
      </c>
      <c r="F193" t="s">
        <v>583</v>
      </c>
      <c r="G193" s="7" t="s">
        <v>584</v>
      </c>
      <c r="H193" s="7" t="str">
        <f>IF(LEFT(Table3[[#This Row],[Object ID]],4)="tbl-","fig-" &amp; MID(Table3[[#This Row],[Object ID]],5,LEN(Table3[[#This Row],[Object ID]])-4),"")</f>
        <v>fig-unintent-injury-mortal-age-rande-zip</v>
      </c>
    </row>
    <row r="194" spans="1:8" x14ac:dyDescent="0.2">
      <c r="A194" t="s">
        <v>8</v>
      </c>
      <c r="B194">
        <v>190</v>
      </c>
      <c r="C194" t="s">
        <v>16</v>
      </c>
      <c r="E194" t="s">
        <v>585</v>
      </c>
      <c r="F194" t="s">
        <v>586</v>
      </c>
      <c r="G194" s="7" t="s">
        <v>587</v>
      </c>
      <c r="H194" s="7" t="str">
        <f>IF(LEFT(Table3[[#This Row],[Object ID]],4)="tbl-","fig-" &amp; MID(Table3[[#This Row],[Object ID]],5,LEN(Table3[[#This Row],[Object ID]])-4),"")</f>
        <v>fig-unintent-injury-mortal-aar</v>
      </c>
    </row>
    <row r="195" spans="1:8" x14ac:dyDescent="0.2">
      <c r="A195" t="s">
        <v>8</v>
      </c>
      <c r="B195">
        <v>191</v>
      </c>
      <c r="C195" t="s">
        <v>16</v>
      </c>
      <c r="E195" t="s">
        <v>588</v>
      </c>
      <c r="F195" t="s">
        <v>589</v>
      </c>
      <c r="G195" s="7" t="s">
        <v>590</v>
      </c>
      <c r="H195" s="7" t="str">
        <f>IF(LEFT(Table3[[#This Row],[Object ID]],4)="tbl-","fig-" &amp; MID(Table3[[#This Row],[Object ID]],5,LEN(Table3[[#This Row],[Object ID]])-4),"")</f>
        <v>fig-unintent-injury-mortal-age</v>
      </c>
    </row>
    <row r="196" spans="1:8" x14ac:dyDescent="0.2">
      <c r="A196" t="s">
        <v>8</v>
      </c>
      <c r="B196">
        <v>192</v>
      </c>
      <c r="C196" t="s">
        <v>16</v>
      </c>
      <c r="E196" t="s">
        <v>591</v>
      </c>
      <c r="F196" t="s">
        <v>592</v>
      </c>
      <c r="G196" s="7" t="s">
        <v>593</v>
      </c>
      <c r="H196" s="7" t="str">
        <f>IF(LEFT(Table3[[#This Row],[Object ID]],4)="tbl-","fig-" &amp; MID(Table3[[#This Row],[Object ID]],5,LEN(Table3[[#This Row],[Object ID]])-4),"")</f>
        <v>fig-unintent-injury-mortal-zip</v>
      </c>
    </row>
    <row r="197" spans="1:8" x14ac:dyDescent="0.2">
      <c r="A197" t="s">
        <v>8</v>
      </c>
      <c r="B197">
        <v>193</v>
      </c>
      <c r="C197" t="s">
        <v>16</v>
      </c>
      <c r="E197" t="s">
        <v>594</v>
      </c>
      <c r="F197" t="s">
        <v>595</v>
      </c>
      <c r="G197" s="7" t="s">
        <v>596</v>
      </c>
      <c r="H197" s="7" t="str">
        <f>IF(LEFT(Table3[[#This Row],[Object ID]],4)="tbl-","fig-" &amp; MID(Table3[[#This Row],[Object ID]],5,LEN(Table3[[#This Row],[Object ID]])-4),"")</f>
        <v>fig-unintent-injury-mortal-sex-aar</v>
      </c>
    </row>
    <row r="198" spans="1:8" x14ac:dyDescent="0.2">
      <c r="A198" t="s">
        <v>8</v>
      </c>
      <c r="B198">
        <v>194</v>
      </c>
      <c r="C198" t="s">
        <v>16</v>
      </c>
      <c r="E198" t="s">
        <v>597</v>
      </c>
      <c r="F198" t="s">
        <v>598</v>
      </c>
      <c r="G198" s="7" t="s">
        <v>599</v>
      </c>
      <c r="H198" s="7" t="str">
        <f>IF(LEFT(Table3[[#This Row],[Object ID]],4)="tbl-","fig-" &amp; MID(Table3[[#This Row],[Object ID]],5,LEN(Table3[[#This Row],[Object ID]])-4),"")</f>
        <v>fig-falls-65-rande</v>
      </c>
    </row>
    <row r="199" spans="1:8" x14ac:dyDescent="0.2">
      <c r="A199" t="s">
        <v>8</v>
      </c>
      <c r="B199">
        <v>195</v>
      </c>
      <c r="C199" t="s">
        <v>16</v>
      </c>
      <c r="E199" t="s">
        <v>600</v>
      </c>
      <c r="F199" t="s">
        <v>601</v>
      </c>
      <c r="G199" s="7" t="s">
        <v>602</v>
      </c>
      <c r="H199" s="7" t="str">
        <f>IF(LEFT(Table3[[#This Row],[Object ID]],4)="tbl-","fig-" &amp; MID(Table3[[#This Row],[Object ID]],5,LEN(Table3[[#This Row],[Object ID]])-4),"")</f>
        <v>fig-self-inflict-injury-hospital-aar</v>
      </c>
    </row>
    <row r="200" spans="1:8" x14ac:dyDescent="0.2">
      <c r="A200" t="s">
        <v>8</v>
      </c>
      <c r="B200">
        <v>196</v>
      </c>
      <c r="C200" t="s">
        <v>16</v>
      </c>
      <c r="E200" t="s">
        <v>603</v>
      </c>
      <c r="F200" t="s">
        <v>604</v>
      </c>
      <c r="G200" s="7" t="s">
        <v>605</v>
      </c>
      <c r="H200" s="7" t="str">
        <f>IF(LEFT(Table3[[#This Row],[Object ID]],4)="tbl-","fig-" &amp; MID(Table3[[#This Row],[Object ID]],5,LEN(Table3[[#This Row],[Object ID]])-4),"")</f>
        <v>fig-self-inflict-injury-hospital-15-19</v>
      </c>
    </row>
    <row r="201" spans="1:8" x14ac:dyDescent="0.2">
      <c r="A201" t="s">
        <v>8</v>
      </c>
      <c r="B201">
        <v>197</v>
      </c>
      <c r="C201" t="s">
        <v>16</v>
      </c>
      <c r="E201" t="s">
        <v>606</v>
      </c>
      <c r="F201" t="s">
        <v>607</v>
      </c>
      <c r="G201" s="7" t="s">
        <v>608</v>
      </c>
      <c r="H201" s="7" t="str">
        <f>IF(LEFT(Table3[[#This Row],[Object ID]],4)="tbl-","fig-" &amp; MID(Table3[[#This Row],[Object ID]],5,LEN(Table3[[#This Row],[Object ID]])-4),"")</f>
        <v>fig-suicide-mortal-aar</v>
      </c>
    </row>
    <row r="202" spans="1:8" x14ac:dyDescent="0.2">
      <c r="A202" t="s">
        <v>8</v>
      </c>
      <c r="B202">
        <v>198</v>
      </c>
      <c r="C202" t="s">
        <v>16</v>
      </c>
      <c r="E202" t="s">
        <v>609</v>
      </c>
      <c r="F202" t="s">
        <v>610</v>
      </c>
      <c r="G202" s="7" t="s">
        <v>611</v>
      </c>
      <c r="H202" s="7" t="str">
        <f>IF(LEFT(Table3[[#This Row],[Object ID]],4)="tbl-","fig-" &amp; MID(Table3[[#This Row],[Object ID]],5,LEN(Table3[[#This Row],[Object ID]])-4),"")</f>
        <v>fig-50to64-colorectal-screen</v>
      </c>
    </row>
    <row r="203" spans="1:8" x14ac:dyDescent="0.2">
      <c r="A203" t="s">
        <v>8</v>
      </c>
      <c r="B203">
        <v>199</v>
      </c>
      <c r="C203" t="s">
        <v>16</v>
      </c>
      <c r="E203" t="s">
        <v>612</v>
      </c>
      <c r="F203" t="s">
        <v>613</v>
      </c>
      <c r="G203" s="7" t="s">
        <v>614</v>
      </c>
      <c r="H203" s="7" t="str">
        <f>IF(LEFT(Table3[[#This Row],[Object ID]],4)="tbl-","fig-" &amp; MID(Table3[[#This Row],[Object ID]],5,LEN(Table3[[#This Row],[Object ID]])-4),"")</f>
        <v>fig-21to64-women-cervical-ca-screen</v>
      </c>
    </row>
    <row r="204" spans="1:8" x14ac:dyDescent="0.2">
      <c r="A204" t="s">
        <v>8</v>
      </c>
      <c r="B204">
        <v>200</v>
      </c>
      <c r="C204" t="s">
        <v>16</v>
      </c>
      <c r="E204" t="s">
        <v>615</v>
      </c>
      <c r="F204" t="s">
        <v>616</v>
      </c>
      <c r="G204" s="7" t="s">
        <v>617</v>
      </c>
      <c r="H204" s="7" t="str">
        <f>IF(LEFT(Table3[[#This Row],[Object ID]],4)="tbl-","fig-" &amp; MID(Table3[[#This Row],[Object ID]],5,LEN(Table3[[#This Row],[Object ID]])-4),"")</f>
        <v>fig-50to74-women-breast-ca-screen</v>
      </c>
    </row>
    <row r="205" spans="1:8" x14ac:dyDescent="0.2">
      <c r="A205" t="s">
        <v>8</v>
      </c>
      <c r="B205">
        <v>201</v>
      </c>
      <c r="C205" t="s">
        <v>16</v>
      </c>
      <c r="E205" t="s">
        <v>618</v>
      </c>
      <c r="F205" t="s">
        <v>619</v>
      </c>
      <c r="G205" s="7" t="s">
        <v>620</v>
      </c>
      <c r="H205" s="7" t="str">
        <f>IF(LEFT(Table3[[#This Row],[Object ID]],4)="tbl-","fig-" &amp; MID(Table3[[#This Row],[Object ID]],5,LEN(Table3[[#This Row],[Object ID]])-4),"")</f>
        <v>fig-adults-asthma</v>
      </c>
    </row>
    <row r="206" spans="1:8" x14ac:dyDescent="0.2">
      <c r="A206" t="s">
        <v>8</v>
      </c>
      <c r="B206">
        <v>202</v>
      </c>
      <c r="C206" t="s">
        <v>16</v>
      </c>
      <c r="E206" t="s">
        <v>621</v>
      </c>
      <c r="F206" t="s">
        <v>622</v>
      </c>
      <c r="G206" s="7" t="s">
        <v>623</v>
      </c>
      <c r="H206" s="7" t="str">
        <f>IF(LEFT(Table3[[#This Row],[Object ID]],4)="tbl-","fig-" &amp; MID(Table3[[#This Row],[Object ID]],5,LEN(Table3[[#This Row],[Object ID]])-4),"")</f>
        <v>fig-md-dx-dm-predm</v>
      </c>
    </row>
    <row r="207" spans="1:8" x14ac:dyDescent="0.2">
      <c r="A207" t="s">
        <v>8</v>
      </c>
      <c r="B207">
        <v>203</v>
      </c>
      <c r="C207" t="s">
        <v>16</v>
      </c>
      <c r="E207" t="s">
        <v>624</v>
      </c>
      <c r="F207" t="s">
        <v>625</v>
      </c>
      <c r="G207" s="7" t="s">
        <v>626</v>
      </c>
      <c r="H207" s="7" t="str">
        <f>IF(LEFT(Table3[[#This Row],[Object ID]],4)="tbl-","fig-" &amp; MID(Table3[[#This Row],[Object ID]],5,LEN(Table3[[#This Row],[Object ID]])-4),"")</f>
        <v>fig-test-high-bs-dm</v>
      </c>
    </row>
    <row r="208" spans="1:8" x14ac:dyDescent="0.2">
      <c r="A208" t="s">
        <v>8</v>
      </c>
      <c r="B208">
        <v>204</v>
      </c>
      <c r="C208" t="s">
        <v>9</v>
      </c>
      <c r="E208" s="19" t="s">
        <v>627</v>
      </c>
      <c r="F208" t="s">
        <v>628</v>
      </c>
      <c r="G208" s="7" t="s">
        <v>629</v>
      </c>
      <c r="H208" s="7" t="str">
        <f>IF(LEFT(Table3[[#This Row],[Object ID]],4)="tbl-","fig-" &amp; MID(Table3[[#This Row],[Object ID]],5,LEN(Table3[[#This Row],[Object ID]])-4),"")</f>
        <v>fig-excerpt</v>
      </c>
    </row>
    <row r="209" spans="1:8" x14ac:dyDescent="0.2">
      <c r="A209" t="s">
        <v>8</v>
      </c>
      <c r="B209">
        <v>205</v>
      </c>
      <c r="C209" t="s">
        <v>9</v>
      </c>
      <c r="E209" s="19" t="s">
        <v>630</v>
      </c>
      <c r="F209" t="s">
        <v>631</v>
      </c>
      <c r="G209" s="7" t="s">
        <v>632</v>
      </c>
      <c r="H209" s="7" t="str">
        <f>IF(LEFT(Table3[[#This Row],[Object ID]],4)="tbl-","fig-" &amp; MID(Table3[[#This Row],[Object ID]],5,LEN(Table3[[#This Row],[Object ID]])-4),"")</f>
        <v>fig-themes-focus-group</v>
      </c>
    </row>
    <row r="210" spans="1:8" x14ac:dyDescent="0.2">
      <c r="A210" t="s">
        <v>8</v>
      </c>
      <c r="B210">
        <v>206</v>
      </c>
      <c r="C210" t="s">
        <v>9</v>
      </c>
      <c r="E210" s="19" t="s">
        <v>633</v>
      </c>
      <c r="F210" t="s">
        <v>634</v>
      </c>
      <c r="G210" s="7" t="s">
        <v>635</v>
      </c>
      <c r="H210" s="7" t="str">
        <f>IF(LEFT(Table3[[#This Row],[Object ID]],4)="tbl-","fig-" &amp; MID(Table3[[#This Row],[Object ID]],5,LEN(Table3[[#This Row],[Object ID]])-4),"")</f>
        <v>fig-zip-code</v>
      </c>
    </row>
    <row r="211" spans="1:8" x14ac:dyDescent="0.2">
      <c r="A211" t="s">
        <v>8</v>
      </c>
      <c r="B211">
        <v>207</v>
      </c>
      <c r="C211" t="s">
        <v>16</v>
      </c>
      <c r="E211" s="19" t="s">
        <v>636</v>
      </c>
      <c r="F211" t="s">
        <v>637</v>
      </c>
      <c r="G211" s="7" t="s">
        <v>638</v>
      </c>
      <c r="H211" s="7" t="str">
        <f>IF(LEFT(Table3[[#This Row],[Object ID]],4)="tbl-","fig-" &amp; MID(Table3[[#This Row],[Object ID]],5,LEN(Table3[[#This Row],[Object ID]])-4),"")</f>
        <v>fig-great-strengths-community</v>
      </c>
    </row>
    <row r="212" spans="1:8" x14ac:dyDescent="0.2">
      <c r="A212" t="s">
        <v>8</v>
      </c>
      <c r="B212">
        <v>208</v>
      </c>
      <c r="C212" t="s">
        <v>16</v>
      </c>
      <c r="E212" s="19" t="s">
        <v>639</v>
      </c>
      <c r="F212" t="s">
        <v>640</v>
      </c>
      <c r="G212" s="7" t="s">
        <v>641</v>
      </c>
      <c r="H212" s="7" t="str">
        <f>IF(LEFT(Table3[[#This Row],[Object ID]],4)="tbl-","fig-" &amp; MID(Table3[[#This Row],[Object ID]],5,LEN(Table3[[#This Row],[Object ID]])-4),"")</f>
        <v>fig-focus-resources-improve-life</v>
      </c>
    </row>
    <row r="213" spans="1:8" x14ac:dyDescent="0.2">
      <c r="A213" t="s">
        <v>8</v>
      </c>
      <c r="B213">
        <v>209</v>
      </c>
      <c r="C213" t="s">
        <v>16</v>
      </c>
      <c r="E213" s="19" t="s">
        <v>642</v>
      </c>
      <c r="F213" t="s">
        <v>643</v>
      </c>
      <c r="G213" s="7" t="s">
        <v>644</v>
      </c>
      <c r="H213" s="7" t="str">
        <f>IF(LEFT(Table3[[#This Row],[Object ID]],4)="tbl-","fig-" &amp; MID(Table3[[#This Row],[Object ID]],5,LEN(Table3[[#This Row],[Object ID]])-4),"")</f>
        <v>fig-important-health-issues</v>
      </c>
    </row>
    <row r="214" spans="1:8" x14ac:dyDescent="0.2">
      <c r="A214" t="s">
        <v>8</v>
      </c>
      <c r="B214">
        <v>210</v>
      </c>
      <c r="C214" t="s">
        <v>16</v>
      </c>
      <c r="E214" s="19" t="s">
        <v>645</v>
      </c>
      <c r="F214" t="s">
        <v>646</v>
      </c>
      <c r="G214" s="7" t="s">
        <v>647</v>
      </c>
      <c r="H214" s="7" t="str">
        <f>IF(LEFT(Table3[[#This Row],[Object ID]],4)="tbl-","fig-" &amp; MID(Table3[[#This Row],[Object ID]],5,LEN(Table3[[#This Row],[Object ID]])-4),"")</f>
        <v>fig-important-health-issues-PA-area</v>
      </c>
    </row>
    <row r="215" spans="1:8" x14ac:dyDescent="0.2">
      <c r="A215" t="s">
        <v>8</v>
      </c>
      <c r="B215">
        <v>211</v>
      </c>
      <c r="C215" t="s">
        <v>16</v>
      </c>
      <c r="E215" s="19" t="s">
        <v>648</v>
      </c>
      <c r="F215" t="s">
        <v>649</v>
      </c>
      <c r="G215" s="7" t="s">
        <v>650</v>
      </c>
      <c r="H215" s="7" t="str">
        <f>IF(LEFT(Table3[[#This Row],[Object ID]],4)="tbl-","fig-" &amp; MID(Table3[[#This Row],[Object ID]],5,LEN(Table3[[#This Row],[Object ID]])-4),"")</f>
        <v>fig-cas-great-strength-community-longitude</v>
      </c>
    </row>
    <row r="216" spans="1:8" x14ac:dyDescent="0.2">
      <c r="A216" t="s">
        <v>8</v>
      </c>
      <c r="B216">
        <v>212</v>
      </c>
      <c r="C216" t="s">
        <v>16</v>
      </c>
      <c r="E216" s="19" t="s">
        <v>651</v>
      </c>
      <c r="F216" t="s">
        <v>652</v>
      </c>
      <c r="G216" s="7" t="s">
        <v>653</v>
      </c>
      <c r="H216" s="7" t="str">
        <f>IF(LEFT(Table3[[#This Row],[Object ID]],4)="tbl-","fig-" &amp; MID(Table3[[#This Row],[Object ID]],5,LEN(Table3[[#This Row],[Object ID]])-4),"")</f>
        <v>fig-cas-focus-resources-improve-life-longitude</v>
      </c>
    </row>
    <row r="217" spans="1:8" x14ac:dyDescent="0.2">
      <c r="A217" t="s">
        <v>8</v>
      </c>
      <c r="B217">
        <v>213</v>
      </c>
      <c r="C217" t="s">
        <v>16</v>
      </c>
      <c r="E217" s="19" t="s">
        <v>654</v>
      </c>
      <c r="F217" t="s">
        <v>655</v>
      </c>
      <c r="G217" s="7" t="s">
        <v>656</v>
      </c>
      <c r="H217" s="7" t="str">
        <f>IF(LEFT(Table3[[#This Row],[Object ID]],4)="tbl-","fig-" &amp; MID(Table3[[#This Row],[Object ID]],5,LEN(Table3[[#This Row],[Object ID]])-4),"")</f>
        <v>fig-cas-important-health-issues-longitude</v>
      </c>
    </row>
    <row r="218" spans="1:8" x14ac:dyDescent="0.2">
      <c r="A218" t="s">
        <v>8</v>
      </c>
      <c r="B218">
        <v>214</v>
      </c>
      <c r="C218" t="s">
        <v>16</v>
      </c>
      <c r="E218" s="19" t="s">
        <v>657</v>
      </c>
      <c r="F218" t="s">
        <v>658</v>
      </c>
      <c r="G218" s="7" t="s">
        <v>659</v>
      </c>
      <c r="H218" s="7" t="str">
        <f>IF(LEFT(Table3[[#This Row],[Object ID]],4)="tbl-","fig-" &amp; MID(Table3[[#This Row],[Object ID]],5,LEN(Table3[[#This Row],[Object ID]])-4),"")</f>
        <v>fig-health-problem-fix-first</v>
      </c>
    </row>
    <row r="219" spans="1:8" x14ac:dyDescent="0.2">
      <c r="A219" t="s">
        <v>8</v>
      </c>
      <c r="B219">
        <v>215</v>
      </c>
      <c r="C219" t="s">
        <v>9</v>
      </c>
      <c r="E219" s="19" t="s">
        <v>660</v>
      </c>
      <c r="F219" t="s">
        <v>661</v>
      </c>
      <c r="G219" s="7" t="s">
        <v>662</v>
      </c>
      <c r="H219" s="7" t="str">
        <f>IF(LEFT(Table3[[#This Row],[Object ID]],4)="tbl-","fig-" &amp; MID(Table3[[#This Row],[Object ID]],5,LEN(Table3[[#This Row],[Object ID]])-4),"")</f>
        <v>fig-siena-demographic-break-down</v>
      </c>
    </row>
    <row r="220" spans="1:8" x14ac:dyDescent="0.2">
      <c r="A220" t="s">
        <v>8</v>
      </c>
      <c r="B220">
        <v>216</v>
      </c>
      <c r="C220" t="s">
        <v>16</v>
      </c>
      <c r="E220" t="s">
        <v>663</v>
      </c>
      <c r="F220" t="s">
        <v>664</v>
      </c>
      <c r="G220" s="7" t="s">
        <v>665</v>
      </c>
      <c r="H220" s="7" t="str">
        <f>IF(LEFT(Table3[[#This Row],[Object ID]],4)="tbl-","fig-" &amp; MID(Table3[[#This Row],[Object ID]],5,LEN(Table3[[#This Row],[Object ID]])-4),"")</f>
        <v>fig-siena-live-oc</v>
      </c>
    </row>
    <row r="221" spans="1:8" x14ac:dyDescent="0.2">
      <c r="A221" t="s">
        <v>8</v>
      </c>
      <c r="B221">
        <v>217</v>
      </c>
      <c r="C221" t="s">
        <v>16</v>
      </c>
      <c r="E221" t="s">
        <v>666</v>
      </c>
      <c r="F221" t="s">
        <v>667</v>
      </c>
      <c r="G221" s="7" t="s">
        <v>668</v>
      </c>
      <c r="H221" s="7" t="str">
        <f>IF(LEFT(Table3[[#This Row],[Object ID]],4)="tbl-","fig-" &amp; MID(Table3[[#This Row],[Object ID]],5,LEN(Table3[[#This Row],[Object ID]])-4),"")</f>
        <v>fig-siena-quality-life</v>
      </c>
    </row>
    <row r="222" spans="1:8" x14ac:dyDescent="0.2">
      <c r="A222" t="s">
        <v>8</v>
      </c>
      <c r="B222">
        <v>218</v>
      </c>
      <c r="C222" t="s">
        <v>16</v>
      </c>
      <c r="E222" t="s">
        <v>669</v>
      </c>
      <c r="F222" t="s">
        <v>670</v>
      </c>
      <c r="G222" s="7" t="s">
        <v>671</v>
      </c>
      <c r="H222" s="7" t="str">
        <f>IF(LEFT(Table3[[#This Row],[Object ID]],4)="tbl-","fig-" &amp; MID(Table3[[#This Row],[Object ID]],5,LEN(Table3[[#This Row],[Object ID]])-4),"")</f>
        <v>fig-siena-quality-life-income</v>
      </c>
    </row>
    <row r="223" spans="1:8" x14ac:dyDescent="0.2">
      <c r="A223" t="s">
        <v>8</v>
      </c>
      <c r="B223">
        <v>219</v>
      </c>
      <c r="C223" t="s">
        <v>16</v>
      </c>
      <c r="E223" t="s">
        <v>672</v>
      </c>
      <c r="F223" t="s">
        <v>673</v>
      </c>
      <c r="G223" s="7" t="s">
        <v>674</v>
      </c>
      <c r="H223" s="7" t="str">
        <f>IF(LEFT(Table3[[#This Row],[Object ID]],4)="tbl-","fig-" &amp; MID(Table3[[#This Row],[Object ID]],5,LEN(Table3[[#This Row],[Object ID]])-4),"")</f>
        <v>fig-siena-info-bad-weather</v>
      </c>
    </row>
    <row r="224" spans="1:8" x14ac:dyDescent="0.2">
      <c r="A224" t="s">
        <v>8</v>
      </c>
      <c r="B224">
        <v>220</v>
      </c>
      <c r="C224" t="s">
        <v>16</v>
      </c>
      <c r="E224" t="s">
        <v>675</v>
      </c>
      <c r="F224" t="s">
        <v>676</v>
      </c>
      <c r="G224" s="7" t="s">
        <v>677</v>
      </c>
      <c r="H224" s="7" t="str">
        <f>IF(LEFT(Table3[[#This Row],[Object ID]],4)="tbl-","fig-" &amp; MID(Table3[[#This Row],[Object ID]],5,LEN(Table3[[#This Row],[Object ID]])-4),"")</f>
        <v>fig-siena-info-bad-weather-income</v>
      </c>
    </row>
    <row r="225" spans="1:8" x14ac:dyDescent="0.2">
      <c r="A225" t="s">
        <v>8</v>
      </c>
      <c r="B225">
        <v>221</v>
      </c>
      <c r="C225" t="s">
        <v>16</v>
      </c>
      <c r="E225" t="s">
        <v>678</v>
      </c>
      <c r="F225" t="s">
        <v>679</v>
      </c>
      <c r="G225" s="7" t="s">
        <v>680</v>
      </c>
      <c r="H225" s="7" t="str">
        <f>IF(LEFT(Table3[[#This Row],[Object ID]],4)="tbl-","fig-" &amp; MID(Table3[[#This Row],[Object ID]],5,LEN(Table3[[#This Row],[Object ID]])-4),"")</f>
        <v>fig-siena-ph-emergency</v>
      </c>
    </row>
    <row r="226" spans="1:8" x14ac:dyDescent="0.2">
      <c r="A226" t="s">
        <v>8</v>
      </c>
      <c r="B226">
        <v>222</v>
      </c>
      <c r="C226" t="s">
        <v>16</v>
      </c>
      <c r="E226" t="s">
        <v>681</v>
      </c>
      <c r="F226" t="s">
        <v>682</v>
      </c>
      <c r="G226" s="7" t="s">
        <v>683</v>
      </c>
      <c r="H226" s="7" t="str">
        <f>IF(LEFT(Table3[[#This Row],[Object ID]],4)="tbl-","fig-" &amp; MID(Table3[[#This Row],[Object ID]],5,LEN(Table3[[#This Row],[Object ID]])-4),"")</f>
        <v>fig-siena-ph-emergency-income</v>
      </c>
    </row>
    <row r="227" spans="1:8" x14ac:dyDescent="0.2">
      <c r="A227" t="s">
        <v>8</v>
      </c>
      <c r="B227">
        <v>223</v>
      </c>
      <c r="C227" t="s">
        <v>16</v>
      </c>
      <c r="E227" t="s">
        <v>684</v>
      </c>
      <c r="F227" t="s">
        <v>685</v>
      </c>
      <c r="G227" s="7" t="s">
        <v>686</v>
      </c>
      <c r="H227" s="7" t="str">
        <f>IF(LEFT(Table3[[#This Row],[Object ID]],4)="tbl-","fig-" &amp; MID(Table3[[#This Row],[Object ID]],5,LEN(Table3[[#This Row],[Object ID]])-4),"")</f>
        <v>fig-siena-safe-place-walk-bike</v>
      </c>
    </row>
    <row r="228" spans="1:8" x14ac:dyDescent="0.2">
      <c r="A228" t="s">
        <v>8</v>
      </c>
      <c r="B228">
        <v>224</v>
      </c>
      <c r="C228" t="s">
        <v>16</v>
      </c>
      <c r="E228" t="s">
        <v>687</v>
      </c>
      <c r="F228" t="s">
        <v>688</v>
      </c>
      <c r="G228" s="7" t="s">
        <v>689</v>
      </c>
      <c r="H228" s="7" t="str">
        <f>IF(LEFT(Table3[[#This Row],[Object ID]],4)="tbl-","fig-" &amp; MID(Table3[[#This Row],[Object ID]],5,LEN(Table3[[#This Row],[Object ID]])-4),"")</f>
        <v>fig-siena-safe-place-walk-bike-income</v>
      </c>
    </row>
    <row r="229" spans="1:8" x14ac:dyDescent="0.2">
      <c r="A229" t="s">
        <v>8</v>
      </c>
      <c r="B229">
        <v>225</v>
      </c>
      <c r="C229" t="s">
        <v>16</v>
      </c>
      <c r="E229" t="s">
        <v>690</v>
      </c>
      <c r="F229" t="s">
        <v>691</v>
      </c>
      <c r="G229" s="7" t="s">
        <v>692</v>
      </c>
      <c r="H229" s="7" t="str">
        <f>IF(LEFT(Table3[[#This Row],[Object ID]],4)="tbl-","fig-" &amp; MID(Table3[[#This Row],[Object ID]],5,LEN(Table3[[#This Row],[Object ID]])-4),"")</f>
        <v>fig-siena-walk-bike-safe</v>
      </c>
    </row>
    <row r="230" spans="1:8" x14ac:dyDescent="0.2">
      <c r="A230" t="s">
        <v>8</v>
      </c>
      <c r="B230">
        <v>226</v>
      </c>
      <c r="C230" t="s">
        <v>16</v>
      </c>
      <c r="E230" t="s">
        <v>693</v>
      </c>
      <c r="F230" t="s">
        <v>694</v>
      </c>
      <c r="G230" s="7" t="s">
        <v>695</v>
      </c>
      <c r="H230" s="7" t="str">
        <f>IF(LEFT(Table3[[#This Row],[Object ID]],4)="tbl-","fig-" &amp; MID(Table3[[#This Row],[Object ID]],5,LEN(Table3[[#This Row],[Object ID]])-4),"")</f>
        <v>fig-siena-walk-bike-safe-income</v>
      </c>
    </row>
    <row r="231" spans="1:8" x14ac:dyDescent="0.2">
      <c r="A231" t="s">
        <v>8</v>
      </c>
      <c r="B231">
        <v>227</v>
      </c>
      <c r="C231" t="s">
        <v>16</v>
      </c>
      <c r="E231" t="s">
        <v>696</v>
      </c>
      <c r="F231" t="s">
        <v>697</v>
      </c>
      <c r="G231" s="7" t="s">
        <v>698</v>
      </c>
      <c r="H231" s="7" t="str">
        <f>IF(LEFT(Table3[[#This Row],[Object ID]],4)="tbl-","fig-" &amp; MID(Table3[[#This Row],[Object ID]],5,LEN(Table3[[#This Row],[Object ID]])-4),"")</f>
        <v>fig-siena-rate-community-as-place-to-age</v>
      </c>
    </row>
    <row r="232" spans="1:8" x14ac:dyDescent="0.2">
      <c r="A232" t="s">
        <v>8</v>
      </c>
      <c r="B232">
        <v>228</v>
      </c>
      <c r="C232" t="s">
        <v>16</v>
      </c>
      <c r="E232" t="s">
        <v>699</v>
      </c>
      <c r="F232" t="s">
        <v>700</v>
      </c>
      <c r="G232" s="7" t="s">
        <v>701</v>
      </c>
      <c r="H232" s="7" t="str">
        <f>IF(LEFT(Table3[[#This Row],[Object ID]],4)="tbl-","fig-" &amp; MID(Table3[[#This Row],[Object ID]],5,LEN(Table3[[#This Row],[Object ID]])-4),"")</f>
        <v>fig-siena-rate-community-as-place-to-age-income</v>
      </c>
    </row>
    <row r="233" spans="1:8" x14ac:dyDescent="0.2">
      <c r="A233" t="s">
        <v>8</v>
      </c>
      <c r="B233">
        <v>229</v>
      </c>
      <c r="C233" t="s">
        <v>16</v>
      </c>
      <c r="E233" t="s">
        <v>702</v>
      </c>
      <c r="F233" t="s">
        <v>703</v>
      </c>
      <c r="G233" s="7" t="s">
        <v>704</v>
      </c>
      <c r="H233" s="7" t="str">
        <f>IF(LEFT(Table3[[#This Row],[Object ID]],4)="tbl-","fig-" &amp; MID(Table3[[#This Row],[Object ID]],5,LEN(Table3[[#This Row],[Object ID]])-4),"")</f>
        <v>fig-siena-physical-health</v>
      </c>
    </row>
    <row r="234" spans="1:8" x14ac:dyDescent="0.2">
      <c r="A234" t="s">
        <v>8</v>
      </c>
      <c r="B234">
        <v>230</v>
      </c>
      <c r="C234" t="s">
        <v>16</v>
      </c>
      <c r="E234" t="s">
        <v>705</v>
      </c>
      <c r="F234" t="s">
        <v>706</v>
      </c>
      <c r="G234" s="7" t="s">
        <v>707</v>
      </c>
      <c r="H234" s="7" t="str">
        <f>IF(LEFT(Table3[[#This Row],[Object ID]],4)="tbl-","fig-" &amp; MID(Table3[[#This Row],[Object ID]],5,LEN(Table3[[#This Row],[Object ID]])-4),"")</f>
        <v>fig-siena-physical-health-income</v>
      </c>
    </row>
    <row r="235" spans="1:8" x14ac:dyDescent="0.2">
      <c r="A235" t="s">
        <v>8</v>
      </c>
      <c r="B235">
        <v>231</v>
      </c>
      <c r="C235" t="s">
        <v>16</v>
      </c>
      <c r="E235" t="s">
        <v>708</v>
      </c>
      <c r="F235" t="s">
        <v>709</v>
      </c>
      <c r="G235" s="7" t="s">
        <v>710</v>
      </c>
      <c r="H235" s="7" t="str">
        <f>IF(LEFT(Table3[[#This Row],[Object ID]],4)="tbl-","fig-" &amp; MID(Table3[[#This Row],[Object ID]],5,LEN(Table3[[#This Row],[Object ID]])-4),"")</f>
        <v>fig-siena-mental-health</v>
      </c>
    </row>
    <row r="236" spans="1:8" x14ac:dyDescent="0.2">
      <c r="A236" t="s">
        <v>8</v>
      </c>
      <c r="B236">
        <v>232</v>
      </c>
      <c r="C236" t="s">
        <v>16</v>
      </c>
      <c r="E236" t="s">
        <v>711</v>
      </c>
      <c r="F236" t="s">
        <v>712</v>
      </c>
      <c r="G236" s="7" t="s">
        <v>713</v>
      </c>
      <c r="H236" s="7" t="str">
        <f>IF(LEFT(Table3[[#This Row],[Object ID]],4)="tbl-","fig-" &amp; MID(Table3[[#This Row],[Object ID]],5,LEN(Table3[[#This Row],[Object ID]])-4),"")</f>
        <v>fig-siena-mental-health-income</v>
      </c>
    </row>
    <row r="237" spans="1:8" x14ac:dyDescent="0.2">
      <c r="A237" t="s">
        <v>8</v>
      </c>
      <c r="B237">
        <v>233</v>
      </c>
      <c r="C237" t="s">
        <v>16</v>
      </c>
      <c r="E237" t="s">
        <v>714</v>
      </c>
      <c r="F237" t="s">
        <v>715</v>
      </c>
      <c r="G237" s="7" t="s">
        <v>716</v>
      </c>
      <c r="H237" s="7" t="str">
        <f>IF(LEFT(Table3[[#This Row],[Object ID]],4)="tbl-","fig-" &amp; MID(Table3[[#This Row],[Object ID]],5,LEN(Table3[[#This Row],[Object ID]])-4),"")</f>
        <v>fig-siena-healthy-diet</v>
      </c>
    </row>
    <row r="238" spans="1:8" x14ac:dyDescent="0.2">
      <c r="A238" t="s">
        <v>8</v>
      </c>
      <c r="B238">
        <v>234</v>
      </c>
      <c r="C238" t="s">
        <v>16</v>
      </c>
      <c r="E238" t="s">
        <v>717</v>
      </c>
      <c r="F238" t="s">
        <v>718</v>
      </c>
      <c r="G238" s="7" t="s">
        <v>719</v>
      </c>
      <c r="H238" s="7" t="str">
        <f>IF(LEFT(Table3[[#This Row],[Object ID]],4)="tbl-","fig-" &amp; MID(Table3[[#This Row],[Object ID]],5,LEN(Table3[[#This Row],[Object ID]])-4),"")</f>
        <v>fig-siena-healthy-diet-income</v>
      </c>
    </row>
    <row r="239" spans="1:8" x14ac:dyDescent="0.2">
      <c r="A239" t="s">
        <v>8</v>
      </c>
      <c r="B239">
        <v>235</v>
      </c>
      <c r="C239" t="s">
        <v>16</v>
      </c>
      <c r="E239" t="s">
        <v>720</v>
      </c>
      <c r="F239" t="s">
        <v>721</v>
      </c>
      <c r="G239" s="7" t="s">
        <v>722</v>
      </c>
      <c r="H239" s="7" t="str">
        <f>IF(LEFT(Table3[[#This Row],[Object ID]],4)="tbl-","fig-" &amp; MID(Table3[[#This Row],[Object ID]],5,LEN(Table3[[#This Row],[Object ID]])-4),"")</f>
        <v>fig-siena-exercise</v>
      </c>
    </row>
    <row r="240" spans="1:8" x14ac:dyDescent="0.2">
      <c r="A240" t="s">
        <v>8</v>
      </c>
      <c r="B240">
        <v>236</v>
      </c>
      <c r="C240" t="s">
        <v>16</v>
      </c>
      <c r="E240" t="s">
        <v>723</v>
      </c>
      <c r="F240" t="s">
        <v>724</v>
      </c>
      <c r="G240" s="7" t="s">
        <v>725</v>
      </c>
      <c r="H240" s="7" t="str">
        <f>IF(LEFT(Table3[[#This Row],[Object ID]],4)="tbl-","fig-" &amp; MID(Table3[[#This Row],[Object ID]],5,LEN(Table3[[#This Row],[Object ID]])-4),"")</f>
        <v>fig-siena-exercise-income</v>
      </c>
    </row>
    <row r="241" spans="1:8" x14ac:dyDescent="0.2">
      <c r="A241" t="s">
        <v>8</v>
      </c>
      <c r="B241">
        <v>237</v>
      </c>
      <c r="C241" t="s">
        <v>16</v>
      </c>
      <c r="E241" t="s">
        <v>726</v>
      </c>
      <c r="F241" t="s">
        <v>727</v>
      </c>
      <c r="G241" s="7" t="s">
        <v>728</v>
      </c>
      <c r="H241" s="7" t="str">
        <f>IF(LEFT(Table3[[#This Row],[Object ID]],4)="tbl-","fig-" &amp; MID(Table3[[#This Row],[Object ID]],5,LEN(Table3[[#This Row],[Object ID]])-4),"")</f>
        <v>fig-siena-sleep</v>
      </c>
    </row>
    <row r="242" spans="1:8" x14ac:dyDescent="0.2">
      <c r="A242" t="s">
        <v>8</v>
      </c>
      <c r="B242">
        <v>238</v>
      </c>
      <c r="C242" t="s">
        <v>16</v>
      </c>
      <c r="E242" t="s">
        <v>729</v>
      </c>
      <c r="F242" t="s">
        <v>730</v>
      </c>
      <c r="G242" s="7" t="s">
        <v>731</v>
      </c>
      <c r="H242" s="7" t="str">
        <f>IF(LEFT(Table3[[#This Row],[Object ID]],4)="tbl-","fig-" &amp; MID(Table3[[#This Row],[Object ID]],5,LEN(Table3[[#This Row],[Object ID]])-4),"")</f>
        <v>fig-siena-sleep-income</v>
      </c>
    </row>
    <row r="243" spans="1:8" x14ac:dyDescent="0.2">
      <c r="A243" t="s">
        <v>8</v>
      </c>
      <c r="B243">
        <v>239</v>
      </c>
      <c r="C243" t="s">
        <v>16</v>
      </c>
      <c r="E243" t="s">
        <v>732</v>
      </c>
      <c r="F243" t="s">
        <v>733</v>
      </c>
      <c r="G243" s="7" t="s">
        <v>734</v>
      </c>
      <c r="H243" s="7" t="str">
        <f>IF(LEFT(Table3[[#This Row],[Object ID]],4)="tbl-","fig-" &amp; MID(Table3[[#This Row],[Object ID]],5,LEN(Table3[[#This Row],[Object ID]])-4),"")</f>
        <v>fig-siena-stress</v>
      </c>
    </row>
    <row r="244" spans="1:8" x14ac:dyDescent="0.2">
      <c r="A244" t="s">
        <v>8</v>
      </c>
      <c r="B244">
        <v>240</v>
      </c>
      <c r="C244" t="s">
        <v>16</v>
      </c>
      <c r="E244" t="s">
        <v>735</v>
      </c>
      <c r="F244" t="s">
        <v>736</v>
      </c>
      <c r="G244" s="7" t="s">
        <v>737</v>
      </c>
      <c r="H244" s="7" t="str">
        <f>IF(LEFT(Table3[[#This Row],[Object ID]],4)="tbl-","fig-" &amp; MID(Table3[[#This Row],[Object ID]],5,LEN(Table3[[#This Row],[Object ID]])-4),"")</f>
        <v>fig-siena-stress-income</v>
      </c>
    </row>
    <row r="245" spans="1:8" x14ac:dyDescent="0.2">
      <c r="A245" t="s">
        <v>8</v>
      </c>
      <c r="B245">
        <v>241</v>
      </c>
      <c r="C245" t="s">
        <v>16</v>
      </c>
      <c r="E245" t="s">
        <v>738</v>
      </c>
      <c r="F245" t="s">
        <v>739</v>
      </c>
      <c r="G245" s="7" t="s">
        <v>740</v>
      </c>
      <c r="H245" s="7" t="str">
        <f>IF(LEFT(Table3[[#This Row],[Object ID]],4)="tbl-","fig-" &amp; MID(Table3[[#This Row],[Object ID]],5,LEN(Table3[[#This Row],[Object ID]])-4),"")</f>
        <v>fig-siena-quality-encounter</v>
      </c>
    </row>
    <row r="246" spans="1:8" x14ac:dyDescent="0.2">
      <c r="A246" t="s">
        <v>8</v>
      </c>
      <c r="B246">
        <v>242</v>
      </c>
      <c r="C246" t="s">
        <v>16</v>
      </c>
      <c r="E246" t="s">
        <v>741</v>
      </c>
      <c r="F246" t="s">
        <v>742</v>
      </c>
      <c r="G246" s="7" t="s">
        <v>743</v>
      </c>
      <c r="H246" s="7" t="str">
        <f>IF(LEFT(Table3[[#This Row],[Object ID]],4)="tbl-","fig-" &amp; MID(Table3[[#This Row],[Object ID]],5,LEN(Table3[[#This Row],[Object ID]])-4),"")</f>
        <v>fig-siena-quality-encounter-income</v>
      </c>
    </row>
    <row r="247" spans="1:8" x14ac:dyDescent="0.2">
      <c r="A247" t="s">
        <v>8</v>
      </c>
      <c r="B247">
        <v>243</v>
      </c>
      <c r="C247" t="s">
        <v>16</v>
      </c>
      <c r="E247" t="s">
        <v>744</v>
      </c>
      <c r="F247" t="s">
        <v>745</v>
      </c>
      <c r="G247" s="7" t="s">
        <v>746</v>
      </c>
      <c r="H247" s="7" t="str">
        <f>IF(LEFT(Table3[[#This Row],[Object ID]],4)="tbl-","fig-" &amp; MID(Table3[[#This Row],[Object ID]],5,LEN(Table3[[#This Row],[Object ID]])-4),"")</f>
        <v>fig-siena-alcohol</v>
      </c>
    </row>
    <row r="248" spans="1:8" x14ac:dyDescent="0.2">
      <c r="A248" t="s">
        <v>8</v>
      </c>
      <c r="B248">
        <v>244</v>
      </c>
      <c r="C248" t="s">
        <v>16</v>
      </c>
      <c r="E248" t="s">
        <v>747</v>
      </c>
      <c r="F248" t="s">
        <v>748</v>
      </c>
      <c r="G248" s="7" t="s">
        <v>749</v>
      </c>
      <c r="H248" s="7" t="str">
        <f>IF(LEFT(Table3[[#This Row],[Object ID]],4)="tbl-","fig-" &amp; MID(Table3[[#This Row],[Object ID]],5,LEN(Table3[[#This Row],[Object ID]])-4),"")</f>
        <v>fig-siena-alcohol-income</v>
      </c>
    </row>
    <row r="249" spans="1:8" x14ac:dyDescent="0.2">
      <c r="A249" t="s">
        <v>8</v>
      </c>
      <c r="B249">
        <v>245</v>
      </c>
      <c r="C249" t="s">
        <v>16</v>
      </c>
      <c r="E249" t="s">
        <v>750</v>
      </c>
      <c r="F249" t="s">
        <v>751</v>
      </c>
      <c r="G249" s="7" t="s">
        <v>752</v>
      </c>
      <c r="H249" s="7" t="str">
        <f>IF(LEFT(Table3[[#This Row],[Object ID]],4)="tbl-","fig-" &amp; MID(Table3[[#This Row],[Object ID]],5,LEN(Table3[[#This Row],[Object ID]])-4),"")</f>
        <v>fig-siena-non-medical-drug-use</v>
      </c>
    </row>
    <row r="250" spans="1:8" x14ac:dyDescent="0.2">
      <c r="A250" t="s">
        <v>8</v>
      </c>
      <c r="B250">
        <v>246</v>
      </c>
      <c r="C250" t="s">
        <v>16</v>
      </c>
      <c r="E250" t="s">
        <v>753</v>
      </c>
      <c r="F250" t="s">
        <v>754</v>
      </c>
      <c r="G250" s="7" t="s">
        <v>755</v>
      </c>
      <c r="H250" s="7" t="str">
        <f>IF(LEFT(Table3[[#This Row],[Object ID]],4)="tbl-","fig-" &amp; MID(Table3[[#This Row],[Object ID]],5,LEN(Table3[[#This Row],[Object ID]])-4),"")</f>
        <v>fig-siena-non-medical-drug-use-income</v>
      </c>
    </row>
    <row r="251" spans="1:8" x14ac:dyDescent="0.2">
      <c r="A251" t="s">
        <v>8</v>
      </c>
      <c r="B251">
        <v>247</v>
      </c>
      <c r="C251" t="s">
        <v>16</v>
      </c>
      <c r="E251" t="s">
        <v>756</v>
      </c>
      <c r="F251" t="s">
        <v>757</v>
      </c>
      <c r="G251" s="7" t="s">
        <v>758</v>
      </c>
      <c r="H251" s="7" t="str">
        <f>IF(LEFT(Table3[[#This Row],[Object ID]],4)="tbl-","fig-" &amp; MID(Table3[[#This Row],[Object ID]],5,LEN(Table3[[#This Row],[Object ID]])-4),"")</f>
        <v>fig-siena-cannabis</v>
      </c>
    </row>
    <row r="252" spans="1:8" x14ac:dyDescent="0.2">
      <c r="A252" t="s">
        <v>8</v>
      </c>
      <c r="B252">
        <v>248</v>
      </c>
      <c r="C252" t="s">
        <v>16</v>
      </c>
      <c r="E252" t="s">
        <v>759</v>
      </c>
      <c r="F252" t="s">
        <v>760</v>
      </c>
      <c r="G252" s="7" t="s">
        <v>761</v>
      </c>
      <c r="H252" s="7" t="str">
        <f>IF(LEFT(Table3[[#This Row],[Object ID]],4)="tbl-","fig-" &amp; MID(Table3[[#This Row],[Object ID]],5,LEN(Table3[[#This Row],[Object ID]])-4),"")</f>
        <v>fig-siena-cannabis-income</v>
      </c>
    </row>
    <row r="253" spans="1:8" x14ac:dyDescent="0.2">
      <c r="A253" t="s">
        <v>8</v>
      </c>
      <c r="B253">
        <v>249</v>
      </c>
      <c r="C253" t="s">
        <v>16</v>
      </c>
      <c r="E253" t="s">
        <v>762</v>
      </c>
      <c r="F253" t="s">
        <v>763</v>
      </c>
      <c r="G253" s="7" t="s">
        <v>764</v>
      </c>
      <c r="H253" s="7" t="str">
        <f>IF(LEFT(Table3[[#This Row],[Object ID]],4)="tbl-","fig-" &amp; MID(Table3[[#This Row],[Object ID]],5,LEN(Table3[[#This Row],[Object ID]])-4),"")</f>
        <v>fig-siena-unable-food</v>
      </c>
    </row>
    <row r="254" spans="1:8" x14ac:dyDescent="0.2">
      <c r="A254" t="s">
        <v>8</v>
      </c>
      <c r="B254">
        <v>250</v>
      </c>
      <c r="C254" t="s">
        <v>16</v>
      </c>
      <c r="E254" t="s">
        <v>765</v>
      </c>
      <c r="F254" t="s">
        <v>766</v>
      </c>
      <c r="G254" s="7" t="s">
        <v>767</v>
      </c>
      <c r="H254" s="7" t="str">
        <f>IF(LEFT(Table3[[#This Row],[Object ID]],4)="tbl-","fig-" &amp; MID(Table3[[#This Row],[Object ID]],5,LEN(Table3[[#This Row],[Object ID]])-4),"")</f>
        <v>fig-siena-unable-food-income</v>
      </c>
    </row>
    <row r="255" spans="1:8" x14ac:dyDescent="0.2">
      <c r="A255" t="s">
        <v>8</v>
      </c>
      <c r="B255">
        <v>251</v>
      </c>
      <c r="C255" t="s">
        <v>16</v>
      </c>
      <c r="E255" t="s">
        <v>768</v>
      </c>
      <c r="F255" t="s">
        <v>769</v>
      </c>
      <c r="G255" s="7" t="s">
        <v>770</v>
      </c>
      <c r="H255" s="7" t="str">
        <f>IF(LEFT(Table3[[#This Row],[Object ID]],4)="tbl-","fig-" &amp; MID(Table3[[#This Row],[Object ID]],5,LEN(Table3[[#This Row],[Object ID]])-4),"")</f>
        <v>fig-siena-unable-utilities</v>
      </c>
    </row>
    <row r="256" spans="1:8" x14ac:dyDescent="0.2">
      <c r="A256" t="s">
        <v>8</v>
      </c>
      <c r="B256">
        <v>252</v>
      </c>
      <c r="C256" t="s">
        <v>16</v>
      </c>
      <c r="E256" t="s">
        <v>771</v>
      </c>
      <c r="F256" t="s">
        <v>772</v>
      </c>
      <c r="G256" s="7" t="s">
        <v>773</v>
      </c>
      <c r="H256" s="7" t="str">
        <f>IF(LEFT(Table3[[#This Row],[Object ID]],4)="tbl-","fig-" &amp; MID(Table3[[#This Row],[Object ID]],5,LEN(Table3[[#This Row],[Object ID]])-4),"")</f>
        <v>fig-siena-unable-utilities-income</v>
      </c>
    </row>
    <row r="257" spans="1:8" x14ac:dyDescent="0.2">
      <c r="A257" t="s">
        <v>8</v>
      </c>
      <c r="B257">
        <v>253</v>
      </c>
      <c r="C257" t="s">
        <v>16</v>
      </c>
      <c r="E257" t="s">
        <v>774</v>
      </c>
      <c r="F257" t="s">
        <v>775</v>
      </c>
      <c r="G257" s="7" t="s">
        <v>776</v>
      </c>
      <c r="H257" s="7" t="str">
        <f>IF(LEFT(Table3[[#This Row],[Object ID]],4)="tbl-","fig-" &amp; MID(Table3[[#This Row],[Object ID]],5,LEN(Table3[[#This Row],[Object ID]])-4),"")</f>
        <v>fig-siena-unable-dental-vision</v>
      </c>
    </row>
    <row r="258" spans="1:8" x14ac:dyDescent="0.2">
      <c r="A258" t="s">
        <v>8</v>
      </c>
      <c r="B258">
        <v>254</v>
      </c>
      <c r="C258" t="s">
        <v>16</v>
      </c>
      <c r="E258" t="s">
        <v>777</v>
      </c>
      <c r="F258" t="s">
        <v>778</v>
      </c>
      <c r="G258" s="7" t="s">
        <v>779</v>
      </c>
      <c r="H258" s="7" t="str">
        <f>IF(LEFT(Table3[[#This Row],[Object ID]],4)="tbl-","fig-" &amp; MID(Table3[[#This Row],[Object ID]],5,LEN(Table3[[#This Row],[Object ID]])-4),"")</f>
        <v>fig-siena-unable-dental-vision-income</v>
      </c>
    </row>
    <row r="259" spans="1:8" x14ac:dyDescent="0.2">
      <c r="A259" t="s">
        <v>8</v>
      </c>
      <c r="B259">
        <v>255</v>
      </c>
      <c r="C259" t="s">
        <v>16</v>
      </c>
      <c r="E259" t="s">
        <v>780</v>
      </c>
      <c r="F259" t="s">
        <v>781</v>
      </c>
      <c r="G259" s="7" t="s">
        <v>782</v>
      </c>
      <c r="H259" s="7" t="str">
        <f>IF(LEFT(Table3[[#This Row],[Object ID]],4)="tbl-","fig-" &amp; MID(Table3[[#This Row],[Object ID]],5,LEN(Table3[[#This Row],[Object ID]])-4),"")</f>
        <v>fig-siena-unable-phone</v>
      </c>
    </row>
    <row r="260" spans="1:8" x14ac:dyDescent="0.2">
      <c r="A260" t="s">
        <v>8</v>
      </c>
      <c r="B260">
        <v>256</v>
      </c>
      <c r="C260" t="s">
        <v>16</v>
      </c>
      <c r="E260" t="s">
        <v>783</v>
      </c>
      <c r="F260" t="s">
        <v>784</v>
      </c>
      <c r="G260" s="7" t="s">
        <v>785</v>
      </c>
      <c r="H260" s="7" t="str">
        <f>IF(LEFT(Table3[[#This Row],[Object ID]],4)="tbl-","fig-" &amp; MID(Table3[[#This Row],[Object ID]],5,LEN(Table3[[#This Row],[Object ID]])-4),"")</f>
        <v>fig-siena-unable-phone-income</v>
      </c>
    </row>
    <row r="261" spans="1:8" x14ac:dyDescent="0.2">
      <c r="A261" t="s">
        <v>8</v>
      </c>
      <c r="B261">
        <v>257</v>
      </c>
      <c r="C261" t="s">
        <v>16</v>
      </c>
      <c r="E261" t="s">
        <v>786</v>
      </c>
      <c r="F261" t="s">
        <v>787</v>
      </c>
      <c r="G261" s="7" t="s">
        <v>788</v>
      </c>
      <c r="H261" s="7" t="str">
        <f>IF(LEFT(Table3[[#This Row],[Object ID]],4)="tbl-","fig-" &amp; MID(Table3[[#This Row],[Object ID]],5,LEN(Table3[[#This Row],[Object ID]])-4),"")</f>
        <v>fig-siena-unable-transportation</v>
      </c>
    </row>
    <row r="262" spans="1:8" x14ac:dyDescent="0.2">
      <c r="A262" t="s">
        <v>8</v>
      </c>
      <c r="B262">
        <v>258</v>
      </c>
      <c r="C262" t="s">
        <v>16</v>
      </c>
      <c r="E262" t="s">
        <v>789</v>
      </c>
      <c r="F262" t="s">
        <v>790</v>
      </c>
      <c r="G262" s="7" t="s">
        <v>791</v>
      </c>
      <c r="H262" s="7" t="str">
        <f>IF(LEFT(Table3[[#This Row],[Object ID]],4)="tbl-","fig-" &amp; MID(Table3[[#This Row],[Object ID]],5,LEN(Table3[[#This Row],[Object ID]])-4),"")</f>
        <v>fig-siena-unable-transportation-income</v>
      </c>
    </row>
    <row r="263" spans="1:8" x14ac:dyDescent="0.2">
      <c r="A263" t="s">
        <v>8</v>
      </c>
      <c r="B263">
        <v>259</v>
      </c>
      <c r="C263" t="s">
        <v>16</v>
      </c>
      <c r="E263" t="s">
        <v>792</v>
      </c>
      <c r="F263" t="s">
        <v>793</v>
      </c>
      <c r="G263" s="7" t="s">
        <v>794</v>
      </c>
      <c r="H263" s="7" t="str">
        <f>IF(LEFT(Table3[[#This Row],[Object ID]],4)="tbl-","fig-" &amp; MID(Table3[[#This Row],[Object ID]],5,LEN(Table3[[#This Row],[Object ID]])-4),"")</f>
        <v>fig-siena-unable-housing</v>
      </c>
    </row>
    <row r="264" spans="1:8" x14ac:dyDescent="0.2">
      <c r="A264" t="s">
        <v>8</v>
      </c>
      <c r="B264">
        <v>260</v>
      </c>
      <c r="C264" t="s">
        <v>16</v>
      </c>
      <c r="E264" t="s">
        <v>795</v>
      </c>
      <c r="F264" t="s">
        <v>796</v>
      </c>
      <c r="G264" s="7" t="s">
        <v>797</v>
      </c>
      <c r="H264" s="7" t="str">
        <f>IF(LEFT(Table3[[#This Row],[Object ID]],4)="tbl-","fig-" &amp; MID(Table3[[#This Row],[Object ID]],5,LEN(Table3[[#This Row],[Object ID]])-4),"")</f>
        <v>fig-siena-unable-housing-income</v>
      </c>
    </row>
    <row r="265" spans="1:8" x14ac:dyDescent="0.2">
      <c r="A265" t="s">
        <v>8</v>
      </c>
      <c r="B265">
        <v>261</v>
      </c>
      <c r="C265" t="s">
        <v>16</v>
      </c>
      <c r="E265" t="s">
        <v>798</v>
      </c>
      <c r="F265" t="s">
        <v>799</v>
      </c>
      <c r="G265" s="7" t="s">
        <v>800</v>
      </c>
      <c r="H265" s="7" t="str">
        <f>IF(LEFT(Table3[[#This Row],[Object ID]],4)="tbl-","fig-" &amp; MID(Table3[[#This Row],[Object ID]],5,LEN(Table3[[#This Row],[Object ID]])-4),"")</f>
        <v>fig-siena-unable-childcare</v>
      </c>
    </row>
    <row r="266" spans="1:8" x14ac:dyDescent="0.2">
      <c r="A266" t="s">
        <v>8</v>
      </c>
      <c r="B266">
        <v>262</v>
      </c>
      <c r="C266" t="s">
        <v>16</v>
      </c>
      <c r="E266" t="s">
        <v>801</v>
      </c>
      <c r="F266" t="s">
        <v>802</v>
      </c>
      <c r="G266" s="7" t="s">
        <v>803</v>
      </c>
      <c r="H266" s="7" t="str">
        <f>IF(LEFT(Table3[[#This Row],[Object ID]],4)="tbl-","fig-" &amp; MID(Table3[[#This Row],[Object ID]],5,LEN(Table3[[#This Row],[Object ID]])-4),"")</f>
        <v>fig-siena-unable-childcare-income</v>
      </c>
    </row>
    <row r="267" spans="1:8" x14ac:dyDescent="0.2">
      <c r="A267" t="s">
        <v>8</v>
      </c>
      <c r="B267">
        <v>263</v>
      </c>
      <c r="C267" t="s">
        <v>16</v>
      </c>
      <c r="E267" t="s">
        <v>804</v>
      </c>
      <c r="F267" t="s">
        <v>805</v>
      </c>
      <c r="G267" s="7" t="s">
        <v>806</v>
      </c>
      <c r="H267" s="7" t="str">
        <f>IF(LEFT(Table3[[#This Row],[Object ID]],4)="tbl-","fig-" &amp; MID(Table3[[#This Row],[Object ID]],5,LEN(Table3[[#This Row],[Object ID]])-4),"")</f>
        <v>fig-siena-unable-internet</v>
      </c>
    </row>
    <row r="268" spans="1:8" x14ac:dyDescent="0.2">
      <c r="A268" t="s">
        <v>8</v>
      </c>
      <c r="B268">
        <v>264</v>
      </c>
      <c r="C268" t="s">
        <v>16</v>
      </c>
      <c r="E268" t="s">
        <v>807</v>
      </c>
      <c r="F268" t="s">
        <v>808</v>
      </c>
      <c r="G268" s="7" t="s">
        <v>809</v>
      </c>
      <c r="H268" s="7" t="str">
        <f>IF(LEFT(Table3[[#This Row],[Object ID]],4)="tbl-","fig-" &amp; MID(Table3[[#This Row],[Object ID]],5,LEN(Table3[[#This Row],[Object ID]])-4),"")</f>
        <v>fig-siena-unable-internet-income</v>
      </c>
    </row>
    <row r="269" spans="1:8" x14ac:dyDescent="0.2">
      <c r="A269" t="s">
        <v>8</v>
      </c>
      <c r="B269">
        <v>265</v>
      </c>
      <c r="C269" t="s">
        <v>16</v>
      </c>
      <c r="E269" t="s">
        <v>810</v>
      </c>
      <c r="F269" t="s">
        <v>811</v>
      </c>
      <c r="G269" s="7" t="s">
        <v>812</v>
      </c>
      <c r="H269" s="7" t="str">
        <f>IF(LEFT(Table3[[#This Row],[Object ID]],4)="tbl-","fig-" &amp; MID(Table3[[#This Row],[Object ID]],5,LEN(Table3[[#This Row],[Object ID]])-4),"")</f>
        <v>fig-siena-routine-physical</v>
      </c>
    </row>
    <row r="270" spans="1:8" x14ac:dyDescent="0.2">
      <c r="A270" t="s">
        <v>8</v>
      </c>
      <c r="B270">
        <v>266</v>
      </c>
      <c r="C270" t="s">
        <v>16</v>
      </c>
      <c r="E270" t="s">
        <v>813</v>
      </c>
      <c r="F270" t="s">
        <v>814</v>
      </c>
      <c r="G270" s="7" t="s">
        <v>815</v>
      </c>
      <c r="H270" s="7" t="str">
        <f>IF(LEFT(Table3[[#This Row],[Object ID]],4)="tbl-","fig-" &amp; MID(Table3[[#This Row],[Object ID]],5,LEN(Table3[[#This Row],[Object ID]])-4),"")</f>
        <v>fig-siena-routine-physical-income</v>
      </c>
    </row>
    <row r="271" spans="1:8" x14ac:dyDescent="0.2">
      <c r="A271" t="s">
        <v>8</v>
      </c>
      <c r="B271">
        <v>267</v>
      </c>
      <c r="C271" t="s">
        <v>16</v>
      </c>
      <c r="E271" t="s">
        <v>816</v>
      </c>
      <c r="F271" t="s">
        <v>817</v>
      </c>
      <c r="G271" s="7" t="s">
        <v>818</v>
      </c>
      <c r="H271" s="7" t="str">
        <f>IF(LEFT(Table3[[#This Row],[Object ID]],4)="tbl-","fig-" &amp; MID(Table3[[#This Row],[Object ID]],5,LEN(Table3[[#This Row],[Object ID]])-4),"")</f>
        <v>fig-siena-not-routine-physical</v>
      </c>
    </row>
    <row r="272" spans="1:8" x14ac:dyDescent="0.2">
      <c r="A272" t="s">
        <v>8</v>
      </c>
      <c r="B272">
        <v>268</v>
      </c>
      <c r="C272" t="s">
        <v>9</v>
      </c>
      <c r="E272" t="s">
        <v>819</v>
      </c>
      <c r="F272" t="s">
        <v>820</v>
      </c>
      <c r="G272" s="7" t="s">
        <v>821</v>
      </c>
      <c r="H272" s="7" t="str">
        <f>IF(LEFT(Table3[[#This Row],[Object ID]],4)="tbl-","fig-" &amp; MID(Table3[[#This Row],[Object ID]],5,LEN(Table3[[#This Row],[Object ID]])-4),"")</f>
        <v>fig-siena-not-routine-physical-income</v>
      </c>
    </row>
    <row r="273" spans="1:8" x14ac:dyDescent="0.2">
      <c r="A273" t="s">
        <v>8</v>
      </c>
      <c r="B273">
        <v>269</v>
      </c>
      <c r="C273" t="s">
        <v>16</v>
      </c>
      <c r="E273" t="s">
        <v>822</v>
      </c>
      <c r="F273" t="s">
        <v>823</v>
      </c>
      <c r="G273" s="7" t="s">
        <v>824</v>
      </c>
      <c r="H273" s="7" t="str">
        <f>IF(LEFT(Table3[[#This Row],[Object ID]],4)="tbl-","fig-" &amp; MID(Table3[[#This Row],[Object ID]],5,LEN(Table3[[#This Row],[Object ID]])-4),"")</f>
        <v>fig-siena-routine-dentist</v>
      </c>
    </row>
    <row r="274" spans="1:8" x14ac:dyDescent="0.2">
      <c r="A274" t="s">
        <v>8</v>
      </c>
      <c r="B274">
        <v>270</v>
      </c>
      <c r="C274" t="s">
        <v>16</v>
      </c>
      <c r="E274" t="s">
        <v>825</v>
      </c>
      <c r="F274" t="s">
        <v>826</v>
      </c>
      <c r="G274" s="7" t="s">
        <v>827</v>
      </c>
      <c r="H274" s="7" t="str">
        <f>IF(LEFT(Table3[[#This Row],[Object ID]],4)="tbl-","fig-" &amp; MID(Table3[[#This Row],[Object ID]],5,LEN(Table3[[#This Row],[Object ID]])-4),"")</f>
        <v>fig-siena-routine-dentist-income</v>
      </c>
    </row>
    <row r="275" spans="1:8" x14ac:dyDescent="0.2">
      <c r="A275" t="s">
        <v>8</v>
      </c>
      <c r="B275">
        <v>271</v>
      </c>
      <c r="C275" t="s">
        <v>16</v>
      </c>
      <c r="E275" t="s">
        <v>828</v>
      </c>
      <c r="F275" t="s">
        <v>829</v>
      </c>
      <c r="G275" s="7" t="s">
        <v>830</v>
      </c>
      <c r="H275" s="7" t="str">
        <f>IF(LEFT(Table3[[#This Row],[Object ID]],4)="tbl-","fig-" &amp; MID(Table3[[#This Row],[Object ID]],5,LEN(Table3[[#This Row],[Object ID]])-4),"")</f>
        <v>fig-siena-not-routine-dentist</v>
      </c>
    </row>
    <row r="276" spans="1:8" x14ac:dyDescent="0.2">
      <c r="A276" t="s">
        <v>8</v>
      </c>
      <c r="B276">
        <v>272</v>
      </c>
      <c r="C276" t="s">
        <v>9</v>
      </c>
      <c r="E276" t="s">
        <v>831</v>
      </c>
      <c r="F276" t="s">
        <v>832</v>
      </c>
      <c r="G276" s="7" t="s">
        <v>833</v>
      </c>
      <c r="H276" s="7" t="str">
        <f>IF(LEFT(Table3[[#This Row],[Object ID]],4)="tbl-","fig-" &amp; MID(Table3[[#This Row],[Object ID]],5,LEN(Table3[[#This Row],[Object ID]])-4),"")</f>
        <v>fig-siena-not-routine-dentist-income</v>
      </c>
    </row>
    <row r="277" spans="1:8" x14ac:dyDescent="0.2">
      <c r="A277" t="s">
        <v>8</v>
      </c>
      <c r="B277">
        <v>273</v>
      </c>
      <c r="C277" t="s">
        <v>16</v>
      </c>
      <c r="E277" t="s">
        <v>834</v>
      </c>
      <c r="F277" t="s">
        <v>835</v>
      </c>
      <c r="G277" s="7" t="s">
        <v>836</v>
      </c>
      <c r="H277" s="7" t="str">
        <f>IF(LEFT(Table3[[#This Row],[Object ID]],4)="tbl-","fig-" &amp; MID(Table3[[#This Row],[Object ID]],5,LEN(Table3[[#This Row],[Object ID]])-4),"")</f>
        <v>fig-siena-ed-not-for-emergency</v>
      </c>
    </row>
    <row r="278" spans="1:8" x14ac:dyDescent="0.2">
      <c r="A278" t="s">
        <v>8</v>
      </c>
      <c r="B278">
        <v>274</v>
      </c>
      <c r="C278" t="s">
        <v>16</v>
      </c>
      <c r="E278" t="s">
        <v>837</v>
      </c>
      <c r="F278" t="s">
        <v>838</v>
      </c>
      <c r="G278" s="7" t="s">
        <v>839</v>
      </c>
      <c r="H278" s="7" t="str">
        <f>IF(LEFT(Table3[[#This Row],[Object ID]],4)="tbl-","fig-" &amp; MID(Table3[[#This Row],[Object ID]],5,LEN(Table3[[#This Row],[Object ID]])-4),"")</f>
        <v>fig-siena-ed-not-for-emergency-income</v>
      </c>
    </row>
    <row r="279" spans="1:8" x14ac:dyDescent="0.2">
      <c r="A279" t="s">
        <v>8</v>
      </c>
      <c r="B279">
        <v>275</v>
      </c>
      <c r="C279" t="s">
        <v>16</v>
      </c>
      <c r="E279" t="s">
        <v>840</v>
      </c>
      <c r="F279" t="s">
        <v>841</v>
      </c>
      <c r="G279" s="7" t="s">
        <v>842</v>
      </c>
      <c r="H279" s="7" t="str">
        <f>IF(LEFT(Table3[[#This Row],[Object ID]],4)="tbl-","fig-" &amp; MID(Table3[[#This Row],[Object ID]],5,LEN(Table3[[#This Row],[Object ID]])-4),"")</f>
        <v>fig-siena-reason-ed-not-emergency</v>
      </c>
    </row>
    <row r="280" spans="1:8" x14ac:dyDescent="0.2">
      <c r="A280" t="s">
        <v>8</v>
      </c>
      <c r="B280">
        <v>276</v>
      </c>
      <c r="C280" t="s">
        <v>9</v>
      </c>
      <c r="E280" t="s">
        <v>843</v>
      </c>
      <c r="F280" t="s">
        <v>844</v>
      </c>
      <c r="G280" s="7" t="s">
        <v>845</v>
      </c>
      <c r="H280" s="7" t="str">
        <f>IF(LEFT(Table3[[#This Row],[Object ID]],4)="tbl-","fig-" &amp; MID(Table3[[#This Row],[Object ID]],5,LEN(Table3[[#This Row],[Object ID]])-4),"")</f>
        <v>fig-siena-reason-ed-not-emergency-income</v>
      </c>
    </row>
    <row r="281" spans="1:8" x14ac:dyDescent="0.2">
      <c r="A281" t="s">
        <v>8</v>
      </c>
      <c r="B281">
        <v>277</v>
      </c>
      <c r="C281" t="s">
        <v>16</v>
      </c>
      <c r="E281" t="s">
        <v>846</v>
      </c>
      <c r="F281" t="s">
        <v>847</v>
      </c>
      <c r="G281" s="7" t="s">
        <v>848</v>
      </c>
      <c r="H281" s="7" t="str">
        <f>IF(LEFT(Table3[[#This Row],[Object ID]],4)="tbl-","fig-" &amp; MID(Table3[[#This Row],[Object ID]],5,LEN(Table3[[#This Row],[Object ID]])-4),"")</f>
        <v>fig-siena-routine-mh-visit</v>
      </c>
    </row>
    <row r="282" spans="1:8" x14ac:dyDescent="0.2">
      <c r="A282" t="s">
        <v>8</v>
      </c>
      <c r="B282">
        <v>278</v>
      </c>
      <c r="C282" t="s">
        <v>16</v>
      </c>
      <c r="E282" t="s">
        <v>849</v>
      </c>
      <c r="F282" t="s">
        <v>850</v>
      </c>
      <c r="G282" s="7" t="s">
        <v>851</v>
      </c>
      <c r="H282" s="7" t="str">
        <f>IF(LEFT(Table3[[#This Row],[Object ID]],4)="tbl-","fig-" &amp; MID(Table3[[#This Row],[Object ID]],5,LEN(Table3[[#This Row],[Object ID]])-4),"")</f>
        <v>fig-siena-routine-mh-visit-income</v>
      </c>
    </row>
    <row r="283" spans="1:8" x14ac:dyDescent="0.2">
      <c r="A283" t="s">
        <v>8</v>
      </c>
      <c r="B283">
        <v>279</v>
      </c>
      <c r="C283" t="s">
        <v>16</v>
      </c>
      <c r="E283" t="s">
        <v>852</v>
      </c>
      <c r="F283" t="s">
        <v>853</v>
      </c>
      <c r="G283" s="7" t="s">
        <v>854</v>
      </c>
      <c r="H283" s="7" t="str">
        <f>IF(LEFT(Table3[[#This Row],[Object ID]],4)="tbl-","fig-" &amp; MID(Table3[[#This Row],[Object ID]],5,LEN(Table3[[#This Row],[Object ID]])-4),"")</f>
        <v>fig-siena-reason-not-mh-visist</v>
      </c>
    </row>
    <row r="284" spans="1:8" x14ac:dyDescent="0.2">
      <c r="A284" t="s">
        <v>8</v>
      </c>
      <c r="B284">
        <v>280</v>
      </c>
      <c r="C284" t="s">
        <v>9</v>
      </c>
      <c r="E284" t="s">
        <v>855</v>
      </c>
      <c r="F284" t="s">
        <v>856</v>
      </c>
      <c r="G284" s="7" t="s">
        <v>857</v>
      </c>
      <c r="H284" s="7" t="str">
        <f>IF(LEFT(Table3[[#This Row],[Object ID]],4)="tbl-","fig-" &amp; MID(Table3[[#This Row],[Object ID]],5,LEN(Table3[[#This Row],[Object ID]])-4),"")</f>
        <v>fig-siena-reason-not-mh-visist-income</v>
      </c>
    </row>
    <row r="285" spans="1:8" x14ac:dyDescent="0.2">
      <c r="A285" t="s">
        <v>8</v>
      </c>
      <c r="B285">
        <v>281</v>
      </c>
      <c r="C285" t="s">
        <v>16</v>
      </c>
      <c r="E285" t="s">
        <v>858</v>
      </c>
      <c r="F285" t="s">
        <v>859</v>
      </c>
      <c r="G285" s="7" t="s">
        <v>860</v>
      </c>
      <c r="H285" s="7" t="str">
        <f>IF(LEFT(Table3[[#This Row],[Object ID]],4)="tbl-","fig-" &amp; MID(Table3[[#This Row],[Object ID]],5,LEN(Table3[[#This Row],[Object ID]])-4),"")</f>
        <v>fig-siena-had-covid</v>
      </c>
    </row>
    <row r="286" spans="1:8" x14ac:dyDescent="0.2">
      <c r="A286" t="s">
        <v>8</v>
      </c>
      <c r="B286">
        <v>282</v>
      </c>
      <c r="C286" t="s">
        <v>16</v>
      </c>
      <c r="E286" t="s">
        <v>861</v>
      </c>
      <c r="F286" t="s">
        <v>862</v>
      </c>
      <c r="G286" s="7" t="s">
        <v>863</v>
      </c>
      <c r="H286" s="7" t="str">
        <f>IF(LEFT(Table3[[#This Row],[Object ID]],4)="tbl-","fig-" &amp; MID(Table3[[#This Row],[Object ID]],5,LEN(Table3[[#This Row],[Object ID]])-4),"")</f>
        <v>fig-siena-had-covid-income</v>
      </c>
    </row>
    <row r="287" spans="1:8" x14ac:dyDescent="0.2">
      <c r="A287" t="s">
        <v>8</v>
      </c>
      <c r="B287">
        <v>283</v>
      </c>
      <c r="C287" t="s">
        <v>16</v>
      </c>
      <c r="E287" t="s">
        <v>864</v>
      </c>
      <c r="F287" t="s">
        <v>865</v>
      </c>
      <c r="G287" s="7" t="s">
        <v>866</v>
      </c>
      <c r="H287" s="7" t="str">
        <f>IF(LEFT(Table3[[#This Row],[Object ID]],4)="tbl-","fig-" &amp; MID(Table3[[#This Row],[Object ID]],5,LEN(Table3[[#This Row],[Object ID]])-4),"")</f>
        <v>fig-siena-had-long-covid</v>
      </c>
    </row>
    <row r="288" spans="1:8" x14ac:dyDescent="0.2">
      <c r="A288" t="s">
        <v>8</v>
      </c>
      <c r="B288">
        <v>284</v>
      </c>
      <c r="C288" t="s">
        <v>16</v>
      </c>
      <c r="E288" t="s">
        <v>867</v>
      </c>
      <c r="F288" t="s">
        <v>868</v>
      </c>
      <c r="G288" s="7" t="s">
        <v>869</v>
      </c>
      <c r="H288" s="7" t="str">
        <f>IF(LEFT(Table3[[#This Row],[Object ID]],4)="tbl-","fig-" &amp; MID(Table3[[#This Row],[Object ID]],5,LEN(Table3[[#This Row],[Object ID]])-4),"")</f>
        <v>fig-siena-had-long-covid-income</v>
      </c>
    </row>
    <row r="289" spans="1:8" x14ac:dyDescent="0.2">
      <c r="A289" t="s">
        <v>8</v>
      </c>
      <c r="B289">
        <v>285</v>
      </c>
      <c r="C289" t="s">
        <v>16</v>
      </c>
      <c r="E289" t="s">
        <v>870</v>
      </c>
      <c r="F289" t="s">
        <v>871</v>
      </c>
      <c r="G289" s="7" t="s">
        <v>872</v>
      </c>
      <c r="H289" s="7" t="str">
        <f>IF(LEFT(Table3[[#This Row],[Object ID]],4)="tbl-","fig-" &amp; MID(Table3[[#This Row],[Object ID]],5,LEN(Table3[[#This Row],[Object ID]])-4),"")</f>
        <v>fig-siena-covid-vaccine</v>
      </c>
    </row>
    <row r="290" spans="1:8" x14ac:dyDescent="0.2">
      <c r="A290" t="s">
        <v>8</v>
      </c>
      <c r="B290">
        <v>286</v>
      </c>
      <c r="C290" t="s">
        <v>16</v>
      </c>
      <c r="E290" t="s">
        <v>873</v>
      </c>
      <c r="F290" t="s">
        <v>874</v>
      </c>
      <c r="G290" s="7" t="s">
        <v>875</v>
      </c>
      <c r="H290" s="7" t="str">
        <f>IF(LEFT(Table3[[#This Row],[Object ID]],4)="tbl-","fig-" &amp; MID(Table3[[#This Row],[Object ID]],5,LEN(Table3[[#This Row],[Object ID]])-4),"")</f>
        <v>fig-siena-covid-vaccine-income</v>
      </c>
    </row>
    <row r="291" spans="1:8" x14ac:dyDescent="0.2">
      <c r="A291" t="s">
        <v>8</v>
      </c>
      <c r="B291">
        <v>287</v>
      </c>
      <c r="C291" t="s">
        <v>16</v>
      </c>
      <c r="E291" t="s">
        <v>876</v>
      </c>
      <c r="F291" t="s">
        <v>877</v>
      </c>
      <c r="G291" s="7" t="s">
        <v>878</v>
      </c>
      <c r="H291" s="7" t="str">
        <f>IF(LEFT(Table3[[#This Row],[Object ID]],4)="tbl-","fig-" &amp; MID(Table3[[#This Row],[Object ID]],5,LEN(Table3[[#This Row],[Object ID]])-4),"")</f>
        <v>fig-siena-updated-covid-vaccine</v>
      </c>
    </row>
    <row r="292" spans="1:8" x14ac:dyDescent="0.2">
      <c r="A292" t="s">
        <v>8</v>
      </c>
      <c r="B292">
        <v>288</v>
      </c>
      <c r="C292" t="s">
        <v>16</v>
      </c>
      <c r="E292" t="s">
        <v>879</v>
      </c>
      <c r="F292" t="s">
        <v>880</v>
      </c>
      <c r="G292" s="7" t="s">
        <v>881</v>
      </c>
      <c r="H292" s="7" t="str">
        <f>IF(LEFT(Table3[[#This Row],[Object ID]],4)="tbl-","fig-" &amp; MID(Table3[[#This Row],[Object ID]],5,LEN(Table3[[#This Row],[Object ID]])-4),"")</f>
        <v>fig-siena-updated-covid-vaccine-income</v>
      </c>
    </row>
    <row r="293" spans="1:8" x14ac:dyDescent="0.2">
      <c r="A293" t="s">
        <v>8</v>
      </c>
      <c r="B293">
        <v>289</v>
      </c>
      <c r="C293" t="s">
        <v>16</v>
      </c>
      <c r="E293" t="s">
        <v>882</v>
      </c>
      <c r="F293" t="s">
        <v>883</v>
      </c>
      <c r="G293" s="7" t="s">
        <v>884</v>
      </c>
      <c r="H293" s="7" t="str">
        <f>IF(LEFT(Table3[[#This Row],[Object ID]],4)="tbl-","fig-" &amp; MID(Table3[[#This Row],[Object ID]],5,LEN(Table3[[#This Row],[Object ID]])-4),"")</f>
        <v>fig-siena-flu-vaccine</v>
      </c>
    </row>
    <row r="294" spans="1:8" x14ac:dyDescent="0.2">
      <c r="C294" t="s">
        <v>16</v>
      </c>
      <c r="E294" t="s">
        <v>885</v>
      </c>
      <c r="F294" t="s">
        <v>886</v>
      </c>
      <c r="G294" s="7" t="s">
        <v>887</v>
      </c>
      <c r="H294" s="7" t="str">
        <f>IF(LEFT(Table3[[#This Row],[Object ID]],4)="tbl-","fig-" &amp; MID(Table3[[#This Row],[Object ID]],5,LEN(Table3[[#This Row],[Object ID]])-4),"")</f>
        <v>fig-siena-flu-vaccine-income</v>
      </c>
    </row>
    <row r="295" spans="1:8" x14ac:dyDescent="0.2">
      <c r="C295" t="s">
        <v>16</v>
      </c>
      <c r="E295" t="s">
        <v>888</v>
      </c>
      <c r="F295" t="s">
        <v>889</v>
      </c>
      <c r="G295" s="7" t="s">
        <v>890</v>
      </c>
      <c r="H295" s="7" t="str">
        <f>IF(LEFT(Table3[[#This Row],[Object ID]],4)="tbl-","fig-" &amp; MID(Table3[[#This Row],[Object ID]],5,LEN(Table3[[#This Row],[Object ID]])-4),"")</f>
        <v>fig-siena-flu-vaccine-60yo</v>
      </c>
    </row>
    <row r="296" spans="1:8" x14ac:dyDescent="0.2">
      <c r="C296" t="s">
        <v>16</v>
      </c>
      <c r="E296" t="s">
        <v>891</v>
      </c>
      <c r="F296" t="s">
        <v>892</v>
      </c>
      <c r="G296" s="7" t="s">
        <v>893</v>
      </c>
      <c r="H296" s="7" t="str">
        <f>IF(LEFT(Table3[[#This Row],[Object ID]],4)="tbl-","fig-" &amp; MID(Table3[[#This Row],[Object ID]],5,LEN(Table3[[#This Row],[Object ID]])-4),"")</f>
        <v>fig-siena-feeling-nervous</v>
      </c>
    </row>
    <row r="297" spans="1:8" x14ac:dyDescent="0.2">
      <c r="C297" t="s">
        <v>16</v>
      </c>
      <c r="E297" t="s">
        <v>894</v>
      </c>
      <c r="F297" t="s">
        <v>895</v>
      </c>
      <c r="G297" s="7" t="s">
        <v>896</v>
      </c>
      <c r="H297" s="7" t="str">
        <f>IF(LEFT(Table3[[#This Row],[Object ID]],4)="tbl-","fig-" &amp; MID(Table3[[#This Row],[Object ID]],5,LEN(Table3[[#This Row],[Object ID]])-4),"")</f>
        <v>fig-siena-feeling-nervous-income</v>
      </c>
    </row>
    <row r="298" spans="1:8" x14ac:dyDescent="0.2">
      <c r="C298" t="s">
        <v>16</v>
      </c>
      <c r="E298" t="s">
        <v>897</v>
      </c>
      <c r="F298" t="s">
        <v>898</v>
      </c>
      <c r="G298" s="7" t="s">
        <v>899</v>
      </c>
      <c r="H298" s="7" t="str">
        <f>IF(LEFT(Table3[[#This Row],[Object ID]],4)="tbl-","fig-" &amp; MID(Table3[[#This Row],[Object ID]],5,LEN(Table3[[#This Row],[Object ID]])-4),"")</f>
        <v>fig-siena-feeling-hopeless</v>
      </c>
    </row>
    <row r="299" spans="1:8" x14ac:dyDescent="0.2">
      <c r="C299" t="s">
        <v>16</v>
      </c>
      <c r="E299" t="s">
        <v>900</v>
      </c>
      <c r="F299" t="s">
        <v>901</v>
      </c>
      <c r="G299" s="7" t="s">
        <v>902</v>
      </c>
      <c r="H299" s="7" t="str">
        <f>IF(LEFT(Table3[[#This Row],[Object ID]],4)="tbl-","fig-" &amp; MID(Table3[[#This Row],[Object ID]],5,LEN(Table3[[#This Row],[Object ID]])-4),"")</f>
        <v>fig-siena-feeling-hopeless-income</v>
      </c>
    </row>
    <row r="300" spans="1:8" x14ac:dyDescent="0.2">
      <c r="C300" t="s">
        <v>16</v>
      </c>
      <c r="E300" t="s">
        <v>903</v>
      </c>
      <c r="F300" t="s">
        <v>904</v>
      </c>
      <c r="G300" s="7" t="s">
        <v>905</v>
      </c>
      <c r="H300" s="7" t="str">
        <f>IF(LEFT(Table3[[#This Row],[Object ID]],4)="tbl-","fig-" &amp; MID(Table3[[#This Row],[Object ID]],5,LEN(Table3[[#This Row],[Object ID]])-4),"")</f>
        <v>fig-siena-restless-fidgety</v>
      </c>
    </row>
    <row r="301" spans="1:8" x14ac:dyDescent="0.2">
      <c r="C301" t="s">
        <v>16</v>
      </c>
      <c r="E301" t="s">
        <v>906</v>
      </c>
      <c r="F301" t="s">
        <v>907</v>
      </c>
      <c r="G301" s="7" t="s">
        <v>908</v>
      </c>
      <c r="H301" s="7" t="str">
        <f>IF(LEFT(Table3[[#This Row],[Object ID]],4)="tbl-","fig-" &amp; MID(Table3[[#This Row],[Object ID]],5,LEN(Table3[[#This Row],[Object ID]])-4),"")</f>
        <v>fig-siena-restless-fidgety-income</v>
      </c>
    </row>
    <row r="302" spans="1:8" x14ac:dyDescent="0.2">
      <c r="C302" t="s">
        <v>16</v>
      </c>
      <c r="E302" t="s">
        <v>909</v>
      </c>
      <c r="F302" t="s">
        <v>910</v>
      </c>
      <c r="G302" s="7" t="s">
        <v>911</v>
      </c>
      <c r="H302" s="7" t="str">
        <f>IF(LEFT(Table3[[#This Row],[Object ID]],4)="tbl-","fig-" &amp; MID(Table3[[#This Row],[Object ID]],5,LEN(Table3[[#This Row],[Object ID]])-4),"")</f>
        <v>fig-siena-depressed</v>
      </c>
    </row>
    <row r="303" spans="1:8" x14ac:dyDescent="0.2">
      <c r="C303" t="s">
        <v>16</v>
      </c>
      <c r="E303" t="s">
        <v>912</v>
      </c>
      <c r="F303" t="s">
        <v>913</v>
      </c>
      <c r="G303" s="7" t="s">
        <v>914</v>
      </c>
      <c r="H303" s="7" t="str">
        <f>IF(LEFT(Table3[[#This Row],[Object ID]],4)="tbl-","fig-" &amp; MID(Table3[[#This Row],[Object ID]],5,LEN(Table3[[#This Row],[Object ID]])-4),"")</f>
        <v>fig-siena-depressed-income</v>
      </c>
    </row>
    <row r="304" spans="1:8" x14ac:dyDescent="0.2">
      <c r="C304" t="s">
        <v>16</v>
      </c>
      <c r="E304" t="s">
        <v>915</v>
      </c>
      <c r="F304" t="s">
        <v>916</v>
      </c>
      <c r="G304" s="7" t="s">
        <v>917</v>
      </c>
      <c r="H304" s="7" t="str">
        <f>IF(LEFT(Table3[[#This Row],[Object ID]],4)="tbl-","fig-" &amp; MID(Table3[[#This Row],[Object ID]],5,LEN(Table3[[#This Row],[Object ID]])-4),"")</f>
        <v>fig-siena-everything-effort</v>
      </c>
    </row>
    <row r="305" spans="3:8" x14ac:dyDescent="0.2">
      <c r="C305" t="s">
        <v>16</v>
      </c>
      <c r="E305" t="s">
        <v>918</v>
      </c>
      <c r="F305" t="s">
        <v>919</v>
      </c>
      <c r="G305" s="7" t="s">
        <v>920</v>
      </c>
      <c r="H305" s="7" t="str">
        <f>IF(LEFT(Table3[[#This Row],[Object ID]],4)="tbl-","fig-" &amp; MID(Table3[[#This Row],[Object ID]],5,LEN(Table3[[#This Row],[Object ID]])-4),"")</f>
        <v>fig-siena-everything-effort-income</v>
      </c>
    </row>
    <row r="306" spans="3:8" x14ac:dyDescent="0.2">
      <c r="C306" t="s">
        <v>16</v>
      </c>
      <c r="E306" t="s">
        <v>921</v>
      </c>
      <c r="F306" t="s">
        <v>922</v>
      </c>
      <c r="G306" s="7" t="s">
        <v>923</v>
      </c>
      <c r="H306" s="7" t="str">
        <f>IF(LEFT(Table3[[#This Row],[Object ID]],4)="tbl-","fig-" &amp; MID(Table3[[#This Row],[Object ID]],5,LEN(Table3[[#This Row],[Object ID]])-4),"")</f>
        <v>fig-siena-worthless</v>
      </c>
    </row>
    <row r="307" spans="3:8" x14ac:dyDescent="0.2">
      <c r="C307" t="s">
        <v>16</v>
      </c>
      <c r="E307" t="s">
        <v>924</v>
      </c>
      <c r="F307" t="s">
        <v>925</v>
      </c>
      <c r="G307" s="7" t="s">
        <v>926</v>
      </c>
      <c r="H307" s="7" t="str">
        <f>IF(LEFT(Table3[[#This Row],[Object ID]],4)="tbl-","fig-" &amp; MID(Table3[[#This Row],[Object ID]],5,LEN(Table3[[#This Row],[Object ID]])-4),"")</f>
        <v>fig-siena-worthless-income</v>
      </c>
    </row>
    <row r="308" spans="3:8" x14ac:dyDescent="0.2">
      <c r="C308" t="s">
        <v>16</v>
      </c>
      <c r="E308" t="s">
        <v>927</v>
      </c>
      <c r="F308" t="s">
        <v>928</v>
      </c>
      <c r="G308" s="7" t="s">
        <v>929</v>
      </c>
      <c r="H308" s="7" t="str">
        <f>IF(LEFT(Table3[[#This Row],[Object ID]],4)="tbl-","fig-" &amp; MID(Table3[[#This Row],[Object ID]],5,LEN(Table3[[#This Row],[Object ID]])-4),"")</f>
        <v>fig-siena-kessler</v>
      </c>
    </row>
    <row r="309" spans="3:8" x14ac:dyDescent="0.2">
      <c r="C309" t="s">
        <v>16</v>
      </c>
      <c r="E309" t="s">
        <v>930</v>
      </c>
      <c r="F309" t="s">
        <v>931</v>
      </c>
      <c r="G309" s="7" t="s">
        <v>932</v>
      </c>
      <c r="H309" s="7" t="str">
        <f>IF(LEFT(Table3[[#This Row],[Object ID]],4)="tbl-","fig-" &amp; MID(Table3[[#This Row],[Object ID]],5,LEN(Table3[[#This Row],[Object ID]])-4),"")</f>
        <v>fig-siena-kessler-income</v>
      </c>
    </row>
    <row r="310" spans="3:8" x14ac:dyDescent="0.2">
      <c r="C310" t="s">
        <v>16</v>
      </c>
      <c r="E310" t="s">
        <v>933</v>
      </c>
      <c r="F310" t="s">
        <v>934</v>
      </c>
      <c r="G310" s="7" t="s">
        <v>935</v>
      </c>
      <c r="H310" s="7" t="str">
        <f>IF(LEFT(Table3[[#This Row],[Object ID]],4)="tbl-","fig-" &amp; MID(Table3[[#This Row],[Object ID]],5,LEN(Table3[[#This Row],[Object ID]])-4),"")</f>
        <v>fig-siena-had-a-child</v>
      </c>
    </row>
    <row r="311" spans="3:8" x14ac:dyDescent="0.2">
      <c r="C311" t="s">
        <v>16</v>
      </c>
      <c r="E311" t="s">
        <v>936</v>
      </c>
      <c r="F311" t="s">
        <v>937</v>
      </c>
      <c r="G311" s="7" t="s">
        <v>938</v>
      </c>
      <c r="H311" s="7" t="str">
        <f>IF(LEFT(Table3[[#This Row],[Object ID]],4)="tbl-","fig-" &amp; MID(Table3[[#This Row],[Object ID]],5,LEN(Table3[[#This Row],[Object ID]])-4),"")</f>
        <v>fig-siena-bf-any-child</v>
      </c>
    </row>
    <row r="312" spans="3:8" x14ac:dyDescent="0.2">
      <c r="C312" t="s">
        <v>16</v>
      </c>
      <c r="E312" t="s">
        <v>939</v>
      </c>
      <c r="F312" t="s">
        <v>940</v>
      </c>
      <c r="G312" s="7" t="s">
        <v>941</v>
      </c>
      <c r="H312" s="7" t="str">
        <f>IF(LEFT(Table3[[#This Row],[Object ID]],4)="tbl-","fig-" &amp; MID(Table3[[#This Row],[Object ID]],5,LEN(Table3[[#This Row],[Object ID]])-4),"")</f>
        <v>fig-siena-bf-duration</v>
      </c>
    </row>
    <row r="313" spans="3:8" x14ac:dyDescent="0.2">
      <c r="C313" t="s">
        <v>9</v>
      </c>
      <c r="E313" s="19" t="s">
        <v>942</v>
      </c>
      <c r="F313" s="33" t="s">
        <v>943</v>
      </c>
      <c r="G313" s="7" t="s">
        <v>944</v>
      </c>
      <c r="H313" s="7" t="str">
        <f>IF(LEFT(Table3[[#This Row],[Object ID]],4)="tbl-","fig-" &amp; MID(Table3[[#This Row],[Object ID]],5,LEN(Table3[[#This Row],[Object ID]])-4),"")</f>
        <v>fig-siena-help-basic-needs</v>
      </c>
    </row>
    <row r="314" spans="3:8" x14ac:dyDescent="0.2">
      <c r="C314" t="s">
        <v>9</v>
      </c>
      <c r="E314" s="19" t="s">
        <v>945</v>
      </c>
      <c r="F314" s="33" t="s">
        <v>946</v>
      </c>
      <c r="G314" s="7" t="s">
        <v>947</v>
      </c>
      <c r="H314" s="7" t="str">
        <f>IF(LEFT(Table3[[#This Row],[Object ID]],4)="tbl-","fig-" &amp; MID(Table3[[#This Row],[Object ID]],5,LEN(Table3[[#This Row],[Object ID]])-4),"")</f>
        <v>fig-siena-help-child-behavior-develop</v>
      </c>
    </row>
    <row r="315" spans="3:8" x14ac:dyDescent="0.2">
      <c r="C315" t="s">
        <v>16</v>
      </c>
      <c r="E315" t="s">
        <v>948</v>
      </c>
      <c r="F315" s="32" t="s">
        <v>949</v>
      </c>
      <c r="G315" s="7" t="s">
        <v>950</v>
      </c>
      <c r="H315" s="7" t="str">
        <f>IF(LEFT(Table3[[#This Row],[Object ID]],4)="tbl-","fig-" &amp; MID(Table3[[#This Row],[Object ID]],5,LEN(Table3[[#This Row],[Object ID]])-4),"")</f>
        <v>fig-siena-difficulty-help-for-child</v>
      </c>
    </row>
    <row r="316" spans="3:8" x14ac:dyDescent="0.2">
      <c r="C316" t="s">
        <v>16</v>
      </c>
      <c r="E316" t="s">
        <v>951</v>
      </c>
      <c r="F316" t="s">
        <v>952</v>
      </c>
      <c r="G316" s="7" t="s">
        <v>953</v>
      </c>
      <c r="H316" s="7" t="str">
        <f>IF(LEFT(Table3[[#This Row],[Object ID]],4)="tbl-","fig-" &amp; MID(Table3[[#This Row],[Object ID]],5,LEN(Table3[[#This Row],[Object ID]])-4),"")</f>
        <v>fig-data-review-guide</v>
      </c>
    </row>
    <row r="317" spans="3:8" x14ac:dyDescent="0.2">
      <c r="C317" t="s">
        <v>9</v>
      </c>
      <c r="E317" t="s">
        <v>954</v>
      </c>
      <c r="F317" t="s">
        <v>955</v>
      </c>
      <c r="G317" s="7" t="s">
        <v>956</v>
      </c>
      <c r="H317" s="7" t="str">
        <f>IF(LEFT(Table3[[#This Row],[Object ID]],4)="tbl-","fig-" &amp; MID(Table3[[#This Row],[Object ID]],5,LEN(Table3[[#This Row],[Object ID]])-4),"")</f>
        <v>fig-top-areas-concern</v>
      </c>
    </row>
    <row r="318" spans="3:8" x14ac:dyDescent="0.2">
      <c r="C318" t="s">
        <v>16</v>
      </c>
      <c r="E318" t="s">
        <v>957</v>
      </c>
      <c r="F318" t="s">
        <v>958</v>
      </c>
      <c r="G318" s="7" t="s">
        <v>959</v>
      </c>
      <c r="H318" s="7" t="str">
        <f>IF(LEFT(Table3[[#This Row],[Object ID]],4)="tbl-","fig-" &amp; MID(Table3[[#This Row],[Object ID]],5,LEN(Table3[[#This Row],[Object ID]])-4),"")</f>
        <v>fig-data-review-process</v>
      </c>
    </row>
    <row r="319" spans="3:8" x14ac:dyDescent="0.2">
      <c r="C319" t="s">
        <v>9</v>
      </c>
      <c r="E319" t="s">
        <v>960</v>
      </c>
      <c r="F319" t="s">
        <v>961</v>
      </c>
      <c r="G319" s="7" t="s">
        <v>962</v>
      </c>
      <c r="H319" s="7" t="str">
        <f>IF(LEFT(Table3[[#This Row],[Object ID]],4)="tbl-","fig-" &amp; MID(Table3[[#This Row],[Object ID]],5,LEN(Table3[[#This Row],[Object ID]])-4),"")</f>
        <v>fig-ebi-long-term-objective</v>
      </c>
    </row>
    <row r="320" spans="3:8" x14ac:dyDescent="0.2">
      <c r="C320" t="s">
        <v>9</v>
      </c>
      <c r="E320" t="s">
        <v>963</v>
      </c>
      <c r="F320" t="s">
        <v>964</v>
      </c>
      <c r="G320" s="7" t="s">
        <v>965</v>
      </c>
      <c r="H320" s="7" t="str">
        <f>IF(LEFT(Table3[[#This Row],[Object ID]],4)="tbl-","fig-" &amp; MID(Table3[[#This Row],[Object ID]],5,LEN(Table3[[#This Row],[Object ID]])-4),"")</f>
        <v>fig-short-term-process</v>
      </c>
    </row>
    <row r="321" spans="1:8" x14ac:dyDescent="0.2">
      <c r="A321" s="61"/>
      <c r="B321" s="61"/>
      <c r="C321" s="61"/>
      <c r="E321" s="61"/>
      <c r="F321" s="61" t="s">
        <v>966</v>
      </c>
      <c r="G321" s="7" t="s">
        <v>967</v>
      </c>
      <c r="H321" s="62" t="str">
        <f>IF(LEFT(Table3[[#This Row],[Object ID]],4)="tbl-","fig-" &amp; MID(Table3[[#This Row],[Object ID]],5,LEN(Table3[[#This Row],[Object ID]])-4),"")</f>
        <v>fig-primary-focus-groups</v>
      </c>
    </row>
  </sheetData>
  <conditionalFormatting sqref="F4 F8 F18 F34 F41 F45 F86 F215:F217 F274">
    <cfRule type="duplicateValues" dxfId="1" priority="3"/>
  </conditionalFormatting>
  <conditionalFormatting sqref="F116">
    <cfRule type="duplicateValues" dxfId="0" priority="1"/>
  </conditionalFormatting>
  <dataValidations disablePrompts="1" count="2">
    <dataValidation type="list" allowBlank="1" showInputMessage="1" showErrorMessage="1" sqref="C2:D77 C79:D271 C273:D275 C277:D308" xr:uid="{00000000-0002-0000-0000-000000000000}">
      <formula1>"Table,Figure"</formula1>
    </dataValidation>
    <dataValidation type="list" allowBlank="1" showInputMessage="1" showErrorMessage="1" sqref="A2:A321" xr:uid="{00000000-0002-0000-0000-000001000000}">
      <formula1>"Activate,Deactivate"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F60"/>
  <sheetViews>
    <sheetView workbookViewId="0">
      <selection activeCell="A2" sqref="A2"/>
    </sheetView>
  </sheetViews>
  <sheetFormatPr baseColWidth="10" defaultColWidth="8.6640625" defaultRowHeight="15" x14ac:dyDescent="0.2"/>
  <cols>
    <col min="2" max="2" width="16.1640625" customWidth="1"/>
    <col min="3" max="3" width="6.33203125" customWidth="1"/>
    <col min="4" max="4" width="255.6640625" bestFit="1" customWidth="1"/>
    <col min="5" max="5" width="16.1640625" customWidth="1"/>
    <col min="6" max="6" width="134.6640625" bestFit="1" customWidth="1"/>
  </cols>
  <sheetData>
    <row r="1" spans="1:6" x14ac:dyDescent="0.2">
      <c r="A1" t="s">
        <v>968</v>
      </c>
      <c r="B1" s="15" t="s">
        <v>969</v>
      </c>
      <c r="C1" s="1"/>
      <c r="D1" s="1" t="s">
        <v>970</v>
      </c>
      <c r="E1" s="1" t="s">
        <v>971</v>
      </c>
      <c r="F1" s="1" t="s">
        <v>972</v>
      </c>
    </row>
    <row r="2" spans="1:6" x14ac:dyDescent="0.2">
      <c r="A2" t="s">
        <v>973</v>
      </c>
      <c r="B2" t="s">
        <v>974</v>
      </c>
      <c r="C2" t="s">
        <v>975</v>
      </c>
      <c r="D2" t="s">
        <v>976</v>
      </c>
      <c r="E2" s="2" t="s">
        <v>977</v>
      </c>
      <c r="F2" s="3" t="s">
        <v>978</v>
      </c>
    </row>
    <row r="3" spans="1:6" x14ac:dyDescent="0.2">
      <c r="A3" t="s">
        <v>979</v>
      </c>
      <c r="B3" t="s">
        <v>980</v>
      </c>
      <c r="C3" t="s">
        <v>975</v>
      </c>
      <c r="D3" t="s">
        <v>981</v>
      </c>
      <c r="E3" s="5" t="s">
        <v>982</v>
      </c>
      <c r="F3" s="3" t="s">
        <v>983</v>
      </c>
    </row>
    <row r="4" spans="1:6" x14ac:dyDescent="0.2">
      <c r="A4" t="s">
        <v>984</v>
      </c>
      <c r="B4" t="s">
        <v>985</v>
      </c>
      <c r="C4" t="s">
        <v>975</v>
      </c>
      <c r="D4" t="s">
        <v>986</v>
      </c>
      <c r="E4" s="5" t="s">
        <v>987</v>
      </c>
      <c r="F4" s="3" t="s">
        <v>988</v>
      </c>
    </row>
    <row r="5" spans="1:6" x14ac:dyDescent="0.2">
      <c r="A5" t="s">
        <v>989</v>
      </c>
      <c r="B5" t="s">
        <v>990</v>
      </c>
      <c r="C5" t="s">
        <v>975</v>
      </c>
      <c r="D5" t="s">
        <v>991</v>
      </c>
      <c r="E5" s="5" t="s">
        <v>992</v>
      </c>
      <c r="F5" s="3" t="s">
        <v>993</v>
      </c>
    </row>
    <row r="6" spans="1:6" x14ac:dyDescent="0.2">
      <c r="A6" t="s">
        <v>994</v>
      </c>
      <c r="B6" t="s">
        <v>995</v>
      </c>
      <c r="C6" t="s">
        <v>975</v>
      </c>
      <c r="D6" t="s">
        <v>996</v>
      </c>
      <c r="E6" s="5" t="s">
        <v>997</v>
      </c>
      <c r="F6" s="3" t="s">
        <v>998</v>
      </c>
    </row>
    <row r="7" spans="1:6" x14ac:dyDescent="0.2">
      <c r="A7" t="s">
        <v>999</v>
      </c>
      <c r="B7" t="s">
        <v>1000</v>
      </c>
      <c r="C7" t="s">
        <v>975</v>
      </c>
      <c r="D7" t="s">
        <v>1001</v>
      </c>
      <c r="E7" s="5" t="s">
        <v>1002</v>
      </c>
      <c r="F7" s="3" t="s">
        <v>1003</v>
      </c>
    </row>
    <row r="8" spans="1:6" x14ac:dyDescent="0.2">
      <c r="A8" t="s">
        <v>1004</v>
      </c>
      <c r="B8" t="s">
        <v>1005</v>
      </c>
      <c r="C8" t="s">
        <v>975</v>
      </c>
      <c r="D8" t="s">
        <v>1006</v>
      </c>
      <c r="E8" s="5" t="s">
        <v>1007</v>
      </c>
      <c r="F8" s="3" t="s">
        <v>1008</v>
      </c>
    </row>
    <row r="9" spans="1:6" x14ac:dyDescent="0.2">
      <c r="A9" t="s">
        <v>1009</v>
      </c>
      <c r="B9" t="s">
        <v>1010</v>
      </c>
      <c r="C9" t="s">
        <v>1011</v>
      </c>
      <c r="D9" t="s">
        <v>1012</v>
      </c>
      <c r="E9" s="5" t="s">
        <v>1013</v>
      </c>
      <c r="F9" s="3" t="s">
        <v>1014</v>
      </c>
    </row>
    <row r="10" spans="1:6" x14ac:dyDescent="0.2">
      <c r="C10" s="6" t="s">
        <v>1015</v>
      </c>
      <c r="D10" s="4" t="s">
        <v>1016</v>
      </c>
      <c r="E10" s="5" t="s">
        <v>1017</v>
      </c>
      <c r="F10" s="3" t="s">
        <v>1018</v>
      </c>
    </row>
    <row r="11" spans="1:6" x14ac:dyDescent="0.2">
      <c r="C11" s="6" t="s">
        <v>1015</v>
      </c>
      <c r="D11" s="4" t="s">
        <v>1019</v>
      </c>
      <c r="E11" s="5" t="s">
        <v>1020</v>
      </c>
      <c r="F11" s="3" t="s">
        <v>1021</v>
      </c>
    </row>
    <row r="12" spans="1:6" x14ac:dyDescent="0.2">
      <c r="C12" s="6" t="s">
        <v>1015</v>
      </c>
      <c r="D12" s="4" t="s">
        <v>1022</v>
      </c>
      <c r="E12" s="5" t="s">
        <v>1023</v>
      </c>
      <c r="F12" s="3" t="s">
        <v>1024</v>
      </c>
    </row>
    <row r="13" spans="1:6" x14ac:dyDescent="0.2">
      <c r="C13" s="6" t="s">
        <v>1015</v>
      </c>
      <c r="D13" s="4" t="s">
        <v>1025</v>
      </c>
      <c r="E13" s="5" t="s">
        <v>1026</v>
      </c>
      <c r="F13" s="3" t="s">
        <v>1027</v>
      </c>
    </row>
    <row r="14" spans="1:6" x14ac:dyDescent="0.2">
      <c r="C14" s="6" t="s">
        <v>1015</v>
      </c>
      <c r="D14" s="4" t="s">
        <v>1028</v>
      </c>
      <c r="E14" s="2" t="s">
        <v>1029</v>
      </c>
      <c r="F14" s="3" t="s">
        <v>1030</v>
      </c>
    </row>
    <row r="15" spans="1:6" x14ac:dyDescent="0.2">
      <c r="C15" t="s">
        <v>1031</v>
      </c>
      <c r="D15" t="s">
        <v>1032</v>
      </c>
      <c r="E15" s="2" t="s">
        <v>1033</v>
      </c>
      <c r="F15" s="3" t="s">
        <v>1034</v>
      </c>
    </row>
    <row r="16" spans="1:6" x14ac:dyDescent="0.2">
      <c r="C16" t="s">
        <v>1031</v>
      </c>
      <c r="D16" t="s">
        <v>1035</v>
      </c>
      <c r="E16" s="2" t="s">
        <v>1036</v>
      </c>
      <c r="F16" s="3" t="s">
        <v>1037</v>
      </c>
    </row>
    <row r="17" spans="3:6" x14ac:dyDescent="0.2">
      <c r="C17" t="s">
        <v>1031</v>
      </c>
      <c r="D17" s="7" t="s">
        <v>1038</v>
      </c>
      <c r="E17" s="2" t="s">
        <v>1039</v>
      </c>
      <c r="F17" s="3" t="s">
        <v>1040</v>
      </c>
    </row>
    <row r="18" spans="3:6" x14ac:dyDescent="0.2">
      <c r="C18" t="s">
        <v>1031</v>
      </c>
      <c r="D18" t="s">
        <v>1041</v>
      </c>
      <c r="E18" s="5" t="s">
        <v>1042</v>
      </c>
      <c r="F18" s="3" t="s">
        <v>1043</v>
      </c>
    </row>
    <row r="19" spans="3:6" x14ac:dyDescent="0.2">
      <c r="C19" t="s">
        <v>1031</v>
      </c>
      <c r="D19" t="s">
        <v>1044</v>
      </c>
      <c r="E19" s="2" t="s">
        <v>1045</v>
      </c>
      <c r="F19" s="3" t="s">
        <v>1046</v>
      </c>
    </row>
    <row r="20" spans="3:6" x14ac:dyDescent="0.2">
      <c r="C20" s="1"/>
      <c r="D20" s="1"/>
      <c r="E20" s="5" t="s">
        <v>1047</v>
      </c>
      <c r="F20" s="3" t="s">
        <v>1048</v>
      </c>
    </row>
    <row r="21" spans="3:6" x14ac:dyDescent="0.2">
      <c r="C21" s="1"/>
      <c r="D21" s="1"/>
      <c r="E21" s="5" t="s">
        <v>1049</v>
      </c>
      <c r="F21" s="3" t="s">
        <v>1050</v>
      </c>
    </row>
    <row r="22" spans="3:6" x14ac:dyDescent="0.2">
      <c r="C22" s="1"/>
      <c r="D22" s="1"/>
      <c r="E22" s="5" t="s">
        <v>1051</v>
      </c>
      <c r="F22" s="3" t="s">
        <v>1052</v>
      </c>
    </row>
    <row r="23" spans="3:6" x14ac:dyDescent="0.2">
      <c r="C23" s="1"/>
      <c r="D23" s="1"/>
      <c r="E23" s="5" t="s">
        <v>1053</v>
      </c>
      <c r="F23" s="3" t="s">
        <v>1054</v>
      </c>
    </row>
    <row r="24" spans="3:6" x14ac:dyDescent="0.2">
      <c r="C24" s="1"/>
      <c r="D24" s="1"/>
      <c r="E24" s="5" t="s">
        <v>1055</v>
      </c>
      <c r="F24" s="3" t="s">
        <v>1056</v>
      </c>
    </row>
    <row r="25" spans="3:6" x14ac:dyDescent="0.2">
      <c r="C25" s="1"/>
      <c r="D25" s="1"/>
      <c r="E25" s="5" t="s">
        <v>1057</v>
      </c>
      <c r="F25" s="3" t="s">
        <v>1058</v>
      </c>
    </row>
    <row r="26" spans="3:6" x14ac:dyDescent="0.2">
      <c r="C26" s="1"/>
      <c r="D26" s="1"/>
      <c r="E26" s="5" t="s">
        <v>1059</v>
      </c>
      <c r="F26" s="3" t="s">
        <v>1060</v>
      </c>
    </row>
    <row r="27" spans="3:6" x14ac:dyDescent="0.2">
      <c r="C27" s="1"/>
      <c r="D27" s="1"/>
      <c r="E27" s="5" t="s">
        <v>1061</v>
      </c>
      <c r="F27" s="3" t="s">
        <v>1062</v>
      </c>
    </row>
    <row r="28" spans="3:6" x14ac:dyDescent="0.2">
      <c r="C28" s="1"/>
      <c r="D28" s="1"/>
      <c r="E28" s="5" t="s">
        <v>1063</v>
      </c>
      <c r="F28" s="3" t="s">
        <v>1064</v>
      </c>
    </row>
    <row r="29" spans="3:6" x14ac:dyDescent="0.2">
      <c r="C29" s="1"/>
      <c r="D29" s="1"/>
      <c r="E29" s="1"/>
      <c r="F29" s="3" t="s">
        <v>1065</v>
      </c>
    </row>
    <row r="30" spans="3:6" x14ac:dyDescent="0.2">
      <c r="C30" s="1"/>
      <c r="D30" s="1"/>
      <c r="E30" s="1"/>
      <c r="F30" s="3" t="s">
        <v>1066</v>
      </c>
    </row>
    <row r="31" spans="3:6" x14ac:dyDescent="0.2">
      <c r="C31" s="1"/>
      <c r="D31" s="1"/>
      <c r="E31" s="1"/>
      <c r="F31" s="3" t="s">
        <v>1067</v>
      </c>
    </row>
    <row r="32" spans="3:6" x14ac:dyDescent="0.2">
      <c r="C32" s="1"/>
      <c r="D32" s="1"/>
      <c r="E32" s="1"/>
      <c r="F32" s="3" t="s">
        <v>1068</v>
      </c>
    </row>
    <row r="33" spans="3:6" x14ac:dyDescent="0.2">
      <c r="C33" s="1"/>
      <c r="D33" s="1"/>
      <c r="E33" s="1"/>
      <c r="F33" s="3" t="s">
        <v>1069</v>
      </c>
    </row>
    <row r="34" spans="3:6" x14ac:dyDescent="0.2">
      <c r="C34" s="1"/>
      <c r="D34" s="1"/>
      <c r="E34" s="1"/>
      <c r="F34" s="3" t="s">
        <v>1070</v>
      </c>
    </row>
    <row r="35" spans="3:6" x14ac:dyDescent="0.2">
      <c r="C35" s="1"/>
      <c r="D35" s="1"/>
      <c r="E35" s="1"/>
      <c r="F35" s="3" t="s">
        <v>1071</v>
      </c>
    </row>
    <row r="36" spans="3:6" x14ac:dyDescent="0.2">
      <c r="C36" s="1"/>
      <c r="D36" s="1"/>
      <c r="E36" s="1"/>
      <c r="F36" s="3" t="s">
        <v>1072</v>
      </c>
    </row>
    <row r="37" spans="3:6" x14ac:dyDescent="0.2">
      <c r="C37" s="1"/>
      <c r="D37" s="1"/>
      <c r="E37" s="1"/>
      <c r="F37" s="3" t="s">
        <v>1073</v>
      </c>
    </row>
    <row r="38" spans="3:6" x14ac:dyDescent="0.2">
      <c r="C38" s="1"/>
      <c r="D38" s="1"/>
      <c r="E38" s="1"/>
      <c r="F38" s="3" t="s">
        <v>1074</v>
      </c>
    </row>
    <row r="39" spans="3:6" x14ac:dyDescent="0.2">
      <c r="C39" s="1"/>
      <c r="D39" s="1"/>
      <c r="E39" s="1"/>
      <c r="F39" s="3" t="s">
        <v>1034</v>
      </c>
    </row>
    <row r="40" spans="3:6" x14ac:dyDescent="0.2">
      <c r="C40" s="1"/>
      <c r="D40" s="1"/>
      <c r="E40" s="1"/>
      <c r="F40" s="3" t="s">
        <v>1075</v>
      </c>
    </row>
    <row r="41" spans="3:6" x14ac:dyDescent="0.2">
      <c r="C41" s="1"/>
      <c r="D41" s="1"/>
      <c r="E41" s="1"/>
      <c r="F41" s="3" t="s">
        <v>1076</v>
      </c>
    </row>
    <row r="42" spans="3:6" x14ac:dyDescent="0.2">
      <c r="C42" s="1"/>
      <c r="D42" s="1"/>
      <c r="E42" s="1"/>
      <c r="F42" s="1"/>
    </row>
    <row r="43" spans="3:6" x14ac:dyDescent="0.2">
      <c r="C43" s="1"/>
      <c r="D43" s="1"/>
      <c r="E43" s="1"/>
      <c r="F43" s="1"/>
    </row>
    <row r="44" spans="3:6" x14ac:dyDescent="0.2">
      <c r="C44" s="1"/>
      <c r="D44" s="1"/>
      <c r="E44" s="1"/>
      <c r="F44" s="1"/>
    </row>
    <row r="45" spans="3:6" x14ac:dyDescent="0.2">
      <c r="C45" s="1"/>
      <c r="D45" s="1"/>
      <c r="E45" s="1"/>
      <c r="F45" s="1"/>
    </row>
    <row r="46" spans="3:6" x14ac:dyDescent="0.2">
      <c r="C46" s="1"/>
      <c r="D46" s="1"/>
      <c r="E46" s="1"/>
      <c r="F46" s="1"/>
    </row>
    <row r="47" spans="3:6" x14ac:dyDescent="0.2">
      <c r="C47" s="1"/>
      <c r="D47" s="1"/>
      <c r="E47" s="1"/>
      <c r="F47" s="1"/>
    </row>
    <row r="48" spans="3:6" x14ac:dyDescent="0.2">
      <c r="C48" s="1"/>
      <c r="D48" s="1"/>
      <c r="E48" s="1"/>
      <c r="F48" s="1"/>
    </row>
    <row r="49" spans="3:6" x14ac:dyDescent="0.2">
      <c r="C49" s="1"/>
      <c r="D49" s="1"/>
      <c r="E49" s="1"/>
      <c r="F49" s="1"/>
    </row>
    <row r="50" spans="3:6" x14ac:dyDescent="0.2">
      <c r="C50" s="1"/>
      <c r="D50" s="1"/>
      <c r="E50" s="1"/>
      <c r="F50" s="1"/>
    </row>
    <row r="51" spans="3:6" x14ac:dyDescent="0.2">
      <c r="C51" s="1"/>
      <c r="D51" s="1"/>
      <c r="E51" s="1"/>
      <c r="F51" s="1"/>
    </row>
    <row r="52" spans="3:6" x14ac:dyDescent="0.2">
      <c r="C52" s="1"/>
      <c r="D52" s="1"/>
      <c r="E52" s="1"/>
      <c r="F52" s="1"/>
    </row>
    <row r="53" spans="3:6" x14ac:dyDescent="0.2">
      <c r="C53" s="1"/>
      <c r="D53" s="1"/>
      <c r="E53" s="1"/>
      <c r="F53" s="1"/>
    </row>
    <row r="54" spans="3:6" x14ac:dyDescent="0.2">
      <c r="C54" s="1"/>
      <c r="D54" s="1"/>
      <c r="E54" s="1"/>
      <c r="F54" s="1"/>
    </row>
    <row r="55" spans="3:6" x14ac:dyDescent="0.2">
      <c r="C55" s="1"/>
      <c r="D55" s="1"/>
      <c r="E55" s="1"/>
      <c r="F55" s="1"/>
    </row>
    <row r="56" spans="3:6" x14ac:dyDescent="0.2">
      <c r="C56" s="1"/>
      <c r="D56" s="1"/>
      <c r="E56" s="1"/>
      <c r="F56" s="1"/>
    </row>
    <row r="57" spans="3:6" x14ac:dyDescent="0.2">
      <c r="C57" s="1"/>
      <c r="D57" s="1"/>
      <c r="E57" s="1"/>
      <c r="F57" s="1"/>
    </row>
    <row r="58" spans="3:6" x14ac:dyDescent="0.2">
      <c r="C58" s="1"/>
      <c r="D58" s="1"/>
      <c r="E58" s="1"/>
      <c r="F58" s="1"/>
    </row>
    <row r="59" spans="3:6" x14ac:dyDescent="0.2">
      <c r="C59" s="1"/>
      <c r="D59" s="1"/>
      <c r="E59" s="1"/>
      <c r="F59" s="1"/>
    </row>
    <row r="60" spans="3:6" x14ac:dyDescent="0.2">
      <c r="C60" s="1"/>
      <c r="D60" s="1"/>
      <c r="E60" s="1"/>
      <c r="F60" s="1"/>
    </row>
  </sheetData>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 ref="F32" r:id="rId31" xr:uid="{00000000-0004-0000-0100-00001E000000}"/>
    <hyperlink ref="F33" r:id="rId32" xr:uid="{00000000-0004-0000-0100-00001F000000}"/>
    <hyperlink ref="F34" r:id="rId33" xr:uid="{00000000-0004-0000-0100-000020000000}"/>
    <hyperlink ref="F35" r:id="rId34" xr:uid="{00000000-0004-0000-0100-000021000000}"/>
    <hyperlink ref="F36" r:id="rId35" xr:uid="{00000000-0004-0000-0100-000022000000}"/>
    <hyperlink ref="F37" r:id="rId36" xr:uid="{00000000-0004-0000-0100-000023000000}"/>
    <hyperlink ref="F38" r:id="rId37" xr:uid="{00000000-0004-0000-0100-000024000000}"/>
    <hyperlink ref="F39" r:id="rId38" xr:uid="{00000000-0004-0000-0100-000025000000}"/>
    <hyperlink ref="F40" r:id="rId39" xr:uid="{00000000-0004-0000-0100-000026000000}"/>
    <hyperlink ref="F41" r:id="rId40" xr:uid="{00000000-0004-0000-0100-000027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5.83203125" style="17" bestFit="1" customWidth="1"/>
    <col min="8" max="8" width="12.33203125" style="17" bestFit="1" customWidth="1"/>
    <col min="9" max="10" width="11" style="17" bestFit="1" customWidth="1"/>
    <col min="11" max="11" width="9.33203125" style="17" bestFit="1" customWidth="1"/>
    <col min="12" max="12" width="9.5" style="17" bestFit="1" customWidth="1"/>
    <col min="13" max="14" width="12.33203125" style="17" bestFit="1" customWidth="1"/>
    <col min="15" max="16" width="12.5" bestFit="1" customWidth="1"/>
  </cols>
  <sheetData>
    <row r="1" spans="1:17" x14ac:dyDescent="0.2">
      <c r="A1" s="16" t="s">
        <v>1077</v>
      </c>
      <c r="B1" s="79" t="s">
        <v>11</v>
      </c>
      <c r="C1" s="80"/>
      <c r="D1" s="80"/>
      <c r="E1" s="80"/>
      <c r="F1" s="80"/>
      <c r="G1" s="84"/>
      <c r="H1" s="84"/>
      <c r="I1" s="84"/>
      <c r="J1" s="84"/>
      <c r="K1" s="84"/>
      <c r="L1" s="84"/>
      <c r="M1" s="84"/>
      <c r="N1" s="84"/>
      <c r="O1" s="80"/>
    </row>
    <row r="2" spans="1:17" x14ac:dyDescent="0.2">
      <c r="A2" s="16" t="s">
        <v>1078</v>
      </c>
      <c r="B2" t="s">
        <v>1079</v>
      </c>
    </row>
    <row r="3" spans="1:17" x14ac:dyDescent="0.2">
      <c r="A3" s="16" t="s">
        <v>1080</v>
      </c>
      <c r="B3" t="str">
        <f>IF($B$1="","",_xlfn.XLOOKUP($B$1,Master!$F$2:$F$321,Master!$G$2:$G$321,""))</f>
        <v>tbl-demographics-sum</v>
      </c>
    </row>
    <row r="4" spans="1:17" x14ac:dyDescent="0.2">
      <c r="A4" s="16" t="s">
        <v>7</v>
      </c>
      <c r="B4" t="str">
        <f>IF($B$1="","",_xlfn.XLOOKUP($B$1,Master!$F$2:$F$321,Master!$H$2:$H$321,""))</f>
        <v>fig-demographics-sum</v>
      </c>
      <c r="E4" s="8"/>
      <c r="F4" s="10" t="s">
        <v>1009</v>
      </c>
      <c r="G4" s="11" t="s">
        <v>973</v>
      </c>
      <c r="H4" s="11" t="s">
        <v>973</v>
      </c>
      <c r="I4" s="11" t="s">
        <v>973</v>
      </c>
      <c r="J4" s="11" t="s">
        <v>973</v>
      </c>
      <c r="K4" s="11" t="s">
        <v>973</v>
      </c>
      <c r="L4" s="11" t="s">
        <v>973</v>
      </c>
      <c r="M4" s="11" t="s">
        <v>973</v>
      </c>
      <c r="N4" s="11" t="s">
        <v>979</v>
      </c>
      <c r="O4" s="10"/>
      <c r="P4" s="10"/>
      <c r="Q4" s="10"/>
    </row>
    <row r="5" spans="1:17" x14ac:dyDescent="0.2">
      <c r="A5" s="83" t="s">
        <v>1081</v>
      </c>
      <c r="B5" s="80"/>
      <c r="E5" s="82" t="s">
        <v>1082</v>
      </c>
      <c r="F5" s="84" t="s">
        <v>1083</v>
      </c>
      <c r="G5" s="17" t="s">
        <v>1084</v>
      </c>
      <c r="H5" s="84" t="s">
        <v>1085</v>
      </c>
      <c r="I5" s="84"/>
      <c r="J5" s="84"/>
      <c r="K5" s="84"/>
      <c r="L5" s="84" t="s">
        <v>1086</v>
      </c>
      <c r="M5" s="84"/>
      <c r="N5" s="84" t="s">
        <v>1087</v>
      </c>
    </row>
    <row r="6" spans="1:17" ht="15" customHeight="1" x14ac:dyDescent="0.2">
      <c r="A6" t="s">
        <v>1088</v>
      </c>
      <c r="B6" t="b">
        <v>1</v>
      </c>
      <c r="E6" s="80"/>
      <c r="F6" s="80"/>
      <c r="G6" s="17" t="s">
        <v>1089</v>
      </c>
      <c r="H6" s="17" t="s">
        <v>1090</v>
      </c>
      <c r="I6" s="17" t="s">
        <v>1091</v>
      </c>
      <c r="J6" s="17" t="s">
        <v>1092</v>
      </c>
      <c r="K6" s="17" t="s">
        <v>1093</v>
      </c>
      <c r="L6" s="17" t="s">
        <v>1094</v>
      </c>
      <c r="M6" s="17" t="s">
        <v>1095</v>
      </c>
      <c r="N6" s="84"/>
      <c r="O6" s="15"/>
    </row>
    <row r="7" spans="1:17" ht="15.75" customHeight="1" x14ac:dyDescent="0.2">
      <c r="E7" s="80"/>
      <c r="F7" s="16" t="s">
        <v>1096</v>
      </c>
      <c r="G7" s="29">
        <v>403840</v>
      </c>
      <c r="H7" s="29">
        <v>103740</v>
      </c>
      <c r="I7" s="29">
        <v>41468</v>
      </c>
      <c r="J7" s="29">
        <v>200687</v>
      </c>
      <c r="K7" s="29">
        <v>57945</v>
      </c>
      <c r="L7" s="29">
        <v>201512</v>
      </c>
      <c r="M7" s="29">
        <v>202328</v>
      </c>
      <c r="N7" s="17">
        <v>36.9</v>
      </c>
      <c r="O7" s="15"/>
    </row>
    <row r="8" spans="1:17" x14ac:dyDescent="0.2">
      <c r="E8" s="80"/>
      <c r="F8" s="16" t="s">
        <v>1097</v>
      </c>
      <c r="G8" s="29">
        <v>18672</v>
      </c>
      <c r="H8" s="29">
        <v>5333</v>
      </c>
      <c r="I8" s="29">
        <v>1742</v>
      </c>
      <c r="J8" s="29">
        <v>9322</v>
      </c>
      <c r="K8" s="29">
        <v>2275</v>
      </c>
      <c r="L8" s="29">
        <v>9133</v>
      </c>
      <c r="M8" s="29">
        <v>9539</v>
      </c>
      <c r="N8" s="17">
        <v>34.4</v>
      </c>
      <c r="O8" s="15"/>
      <c r="P8" s="9"/>
    </row>
    <row r="9" spans="1:17" x14ac:dyDescent="0.2">
      <c r="A9" s="83" t="s">
        <v>1098</v>
      </c>
      <c r="B9" s="80"/>
      <c r="E9" s="80"/>
      <c r="F9" s="47" t="s">
        <v>1099</v>
      </c>
      <c r="G9" s="29">
        <v>3880</v>
      </c>
      <c r="H9" s="29">
        <v>1658</v>
      </c>
      <c r="I9" s="29">
        <v>263</v>
      </c>
      <c r="J9" s="29">
        <v>1622</v>
      </c>
      <c r="K9" s="29">
        <v>337</v>
      </c>
      <c r="L9" s="29">
        <v>1933</v>
      </c>
      <c r="M9" s="29">
        <v>1947</v>
      </c>
      <c r="N9" s="17">
        <v>25.2</v>
      </c>
      <c r="O9" s="15"/>
    </row>
    <row r="10" spans="1:17" x14ac:dyDescent="0.2">
      <c r="A10" t="s">
        <v>1100</v>
      </c>
      <c r="E10" s="80"/>
      <c r="F10" s="47" t="s">
        <v>1101</v>
      </c>
      <c r="G10" s="29">
        <v>5723</v>
      </c>
      <c r="H10" s="29">
        <v>1287</v>
      </c>
      <c r="I10" s="29">
        <v>430</v>
      </c>
      <c r="J10" s="29">
        <v>3121</v>
      </c>
      <c r="K10" s="29">
        <v>885</v>
      </c>
      <c r="L10" s="29">
        <v>2883</v>
      </c>
      <c r="M10" s="29">
        <v>2840</v>
      </c>
      <c r="N10" s="17">
        <v>39.1</v>
      </c>
    </row>
    <row r="11" spans="1:17" x14ac:dyDescent="0.2">
      <c r="A11" t="s">
        <v>1102</v>
      </c>
      <c r="E11" s="80"/>
      <c r="F11" s="16" t="s">
        <v>1103</v>
      </c>
      <c r="G11" s="29">
        <v>12621</v>
      </c>
      <c r="H11" s="29">
        <v>2702</v>
      </c>
      <c r="I11" s="29">
        <v>1198</v>
      </c>
      <c r="J11" s="29">
        <v>6927</v>
      </c>
      <c r="K11" s="29">
        <v>1794</v>
      </c>
      <c r="L11" s="29">
        <v>5839</v>
      </c>
      <c r="M11" s="29">
        <v>6782</v>
      </c>
      <c r="N11" s="17">
        <v>39.1</v>
      </c>
      <c r="O11" s="12"/>
    </row>
    <row r="12" spans="1:17" x14ac:dyDescent="0.2">
      <c r="A12" t="s">
        <v>1104</v>
      </c>
      <c r="E12" s="80"/>
      <c r="F12" s="49" t="s">
        <v>1105</v>
      </c>
      <c r="G12" s="29">
        <v>4052</v>
      </c>
      <c r="H12" s="29">
        <v>738</v>
      </c>
      <c r="I12" s="29">
        <v>313</v>
      </c>
      <c r="J12" s="29">
        <v>2451</v>
      </c>
      <c r="K12" s="29">
        <v>550</v>
      </c>
      <c r="L12" s="29">
        <v>1961</v>
      </c>
      <c r="M12" s="29" t="s">
        <v>1106</v>
      </c>
      <c r="N12" s="13" t="s">
        <v>1107</v>
      </c>
      <c r="O12" s="12"/>
    </row>
    <row r="13" spans="1:17" x14ac:dyDescent="0.2">
      <c r="A13" t="s">
        <v>1108</v>
      </c>
      <c r="E13" s="80"/>
      <c r="F13" s="24" t="s">
        <v>1109</v>
      </c>
      <c r="G13" s="29">
        <v>12801</v>
      </c>
      <c r="H13" s="29">
        <v>2714</v>
      </c>
      <c r="I13" s="29">
        <v>1148</v>
      </c>
      <c r="J13" s="29">
        <v>6435</v>
      </c>
      <c r="K13" s="29">
        <v>2504</v>
      </c>
      <c r="L13" s="29">
        <v>6218</v>
      </c>
      <c r="M13" s="29" t="s">
        <v>1110</v>
      </c>
      <c r="N13" s="13" t="s">
        <v>1111</v>
      </c>
    </row>
    <row r="14" spans="1:17" x14ac:dyDescent="0.2">
      <c r="A14" t="s">
        <v>1112</v>
      </c>
      <c r="E14" s="80"/>
      <c r="F14" s="47" t="s">
        <v>1113</v>
      </c>
      <c r="G14" s="29">
        <v>3046</v>
      </c>
      <c r="H14" s="29">
        <v>593</v>
      </c>
      <c r="I14" s="29">
        <v>321</v>
      </c>
      <c r="J14" s="29">
        <v>1580</v>
      </c>
      <c r="K14" s="29">
        <v>552</v>
      </c>
      <c r="L14" s="29">
        <v>1460</v>
      </c>
      <c r="M14" s="29">
        <v>1586</v>
      </c>
      <c r="N14" s="17">
        <v>44.7</v>
      </c>
    </row>
    <row r="15" spans="1:17" x14ac:dyDescent="0.2">
      <c r="A15" t="s">
        <v>1114</v>
      </c>
      <c r="E15" s="80"/>
      <c r="F15" s="16" t="s">
        <v>1115</v>
      </c>
      <c r="G15" s="29">
        <v>9097</v>
      </c>
      <c r="H15" s="29">
        <v>2086</v>
      </c>
      <c r="I15" s="29">
        <v>814</v>
      </c>
      <c r="J15" s="29">
        <v>5014</v>
      </c>
      <c r="K15" s="29">
        <v>1183</v>
      </c>
      <c r="L15" s="29">
        <v>4732</v>
      </c>
      <c r="M15" s="29">
        <v>4365</v>
      </c>
      <c r="N15" s="17">
        <v>40.799999999999997</v>
      </c>
    </row>
    <row r="16" spans="1:17" x14ac:dyDescent="0.2">
      <c r="A16" t="s">
        <v>1116</v>
      </c>
      <c r="E16" s="80"/>
      <c r="F16" s="16" t="s">
        <v>1117</v>
      </c>
      <c r="G16" s="29">
        <v>7471</v>
      </c>
      <c r="H16" s="29">
        <v>1512</v>
      </c>
      <c r="I16" s="29">
        <v>508</v>
      </c>
      <c r="J16" s="29">
        <v>3786</v>
      </c>
      <c r="K16" s="29">
        <v>1665</v>
      </c>
      <c r="L16" s="29">
        <v>3753</v>
      </c>
      <c r="M16" s="29">
        <v>3718</v>
      </c>
      <c r="N16" s="17">
        <v>45.4</v>
      </c>
    </row>
    <row r="17" spans="1:15" x14ac:dyDescent="0.2">
      <c r="E17" s="80"/>
      <c r="F17" s="16" t="s">
        <v>1118</v>
      </c>
      <c r="G17" s="29">
        <v>14463</v>
      </c>
      <c r="H17" s="29">
        <v>2871</v>
      </c>
      <c r="I17" s="29">
        <v>1226</v>
      </c>
      <c r="J17" s="29">
        <v>7303</v>
      </c>
      <c r="K17" s="29">
        <v>3063</v>
      </c>
      <c r="L17" s="29">
        <v>7390</v>
      </c>
      <c r="M17" s="29">
        <v>7073</v>
      </c>
      <c r="N17" s="17">
        <v>44.7</v>
      </c>
    </row>
    <row r="18" spans="1:15" x14ac:dyDescent="0.2">
      <c r="A18" s="83" t="s">
        <v>1119</v>
      </c>
      <c r="B18" s="80"/>
      <c r="E18" s="80"/>
      <c r="F18" s="47" t="s">
        <v>1120</v>
      </c>
      <c r="G18" s="29">
        <v>5751</v>
      </c>
      <c r="H18" s="29">
        <v>1108</v>
      </c>
      <c r="I18" s="29">
        <v>367</v>
      </c>
      <c r="J18" s="29">
        <v>2744</v>
      </c>
      <c r="K18" s="29">
        <v>1532</v>
      </c>
      <c r="L18" s="29">
        <v>2745</v>
      </c>
      <c r="M18" s="29">
        <v>3006</v>
      </c>
      <c r="N18" s="17">
        <v>48</v>
      </c>
    </row>
    <row r="19" spans="1:15" x14ac:dyDescent="0.2">
      <c r="A19" t="s">
        <v>1121</v>
      </c>
      <c r="B19" t="s">
        <v>1122</v>
      </c>
      <c r="E19" s="80"/>
      <c r="F19" s="16" t="s">
        <v>1123</v>
      </c>
      <c r="G19" s="29">
        <v>4680</v>
      </c>
      <c r="H19" s="29">
        <v>1167</v>
      </c>
      <c r="I19" s="29">
        <v>266</v>
      </c>
      <c r="J19" s="29">
        <v>2637</v>
      </c>
      <c r="K19" s="29">
        <v>610</v>
      </c>
      <c r="L19" s="29">
        <v>2458</v>
      </c>
      <c r="M19" s="29">
        <v>2222</v>
      </c>
      <c r="N19" s="17">
        <v>37.799999999999997</v>
      </c>
    </row>
    <row r="20" spans="1:15" x14ac:dyDescent="0.2">
      <c r="E20" s="80"/>
      <c r="F20" s="16" t="s">
        <v>1124</v>
      </c>
      <c r="G20" s="29">
        <v>5507</v>
      </c>
      <c r="H20" s="29">
        <v>1280</v>
      </c>
      <c r="I20" s="29">
        <v>499</v>
      </c>
      <c r="J20" s="29">
        <v>2943</v>
      </c>
      <c r="K20" s="29">
        <v>785</v>
      </c>
      <c r="L20" s="29">
        <v>2924</v>
      </c>
      <c r="M20" s="29">
        <v>2583</v>
      </c>
      <c r="N20" s="17">
        <v>44.3</v>
      </c>
      <c r="O20" s="12"/>
    </row>
    <row r="21" spans="1:15" x14ac:dyDescent="0.2">
      <c r="A21" s="81" t="s">
        <v>1125</v>
      </c>
      <c r="B21" s="80"/>
      <c r="E21" s="80"/>
      <c r="F21" s="25" t="s">
        <v>1126</v>
      </c>
      <c r="G21" s="29" t="s">
        <v>1127</v>
      </c>
      <c r="H21" s="29" t="s">
        <v>1128</v>
      </c>
      <c r="I21" s="29" t="s">
        <v>1129</v>
      </c>
      <c r="J21" s="29" t="s">
        <v>1130</v>
      </c>
      <c r="K21" s="29" t="s">
        <v>1131</v>
      </c>
      <c r="L21" s="29" t="s">
        <v>1132</v>
      </c>
      <c r="M21" s="29" t="s">
        <v>1133</v>
      </c>
      <c r="N21" s="13" t="s">
        <v>1134</v>
      </c>
      <c r="O21" s="12"/>
    </row>
    <row r="22" spans="1:15" x14ac:dyDescent="0.2">
      <c r="A22" t="s">
        <v>1135</v>
      </c>
      <c r="B22" t="s">
        <v>1136</v>
      </c>
      <c r="E22" s="80"/>
      <c r="F22" s="47" t="s">
        <v>1137</v>
      </c>
      <c r="G22" s="29" t="s">
        <v>1138</v>
      </c>
      <c r="H22" s="29" t="s">
        <v>1139</v>
      </c>
      <c r="I22" s="29" t="s">
        <v>1140</v>
      </c>
      <c r="J22" s="29" t="s">
        <v>1141</v>
      </c>
      <c r="K22" s="29" t="s">
        <v>1142</v>
      </c>
      <c r="L22" s="29" t="s">
        <v>1143</v>
      </c>
      <c r="M22" s="29" t="s">
        <v>1144</v>
      </c>
      <c r="N22" s="13" t="s">
        <v>1145</v>
      </c>
    </row>
    <row r="23" spans="1:15" x14ac:dyDescent="0.2">
      <c r="E23" s="80"/>
      <c r="F23" s="25" t="s">
        <v>1146</v>
      </c>
      <c r="G23" s="29" t="s">
        <v>1147</v>
      </c>
      <c r="H23" s="29" t="s">
        <v>1148</v>
      </c>
      <c r="I23" s="29" t="s">
        <v>1149</v>
      </c>
      <c r="J23" s="29">
        <v>15768</v>
      </c>
      <c r="K23" s="29">
        <v>4110</v>
      </c>
      <c r="L23" s="29">
        <v>15640</v>
      </c>
      <c r="M23" s="29">
        <v>14587</v>
      </c>
      <c r="N23" s="17">
        <v>35.700000000000003</v>
      </c>
    </row>
    <row r="24" spans="1:15" x14ac:dyDescent="0.2">
      <c r="E24" s="80"/>
      <c r="F24" s="25" t="s">
        <v>1150</v>
      </c>
      <c r="G24" s="29" t="s">
        <v>1151</v>
      </c>
      <c r="H24" s="29" t="s">
        <v>1152</v>
      </c>
      <c r="I24" s="29" t="s">
        <v>1153</v>
      </c>
      <c r="J24" s="29">
        <v>2371</v>
      </c>
      <c r="K24" s="29">
        <v>524</v>
      </c>
      <c r="L24" s="29">
        <v>2246</v>
      </c>
      <c r="M24" s="29">
        <v>2402</v>
      </c>
      <c r="N24" s="17">
        <v>36.5</v>
      </c>
    </row>
    <row r="25" spans="1:15" x14ac:dyDescent="0.2">
      <c r="E25" s="80"/>
      <c r="F25" s="49" t="s">
        <v>1154</v>
      </c>
      <c r="G25" s="29" t="s">
        <v>1155</v>
      </c>
      <c r="H25" s="29" t="s">
        <v>1156</v>
      </c>
      <c r="I25" s="29" t="s">
        <v>1157</v>
      </c>
      <c r="J25" s="29">
        <v>304</v>
      </c>
      <c r="K25" s="29">
        <v>79</v>
      </c>
      <c r="L25" s="29">
        <v>282</v>
      </c>
      <c r="M25" s="29">
        <v>402</v>
      </c>
      <c r="N25" s="17">
        <v>30.5</v>
      </c>
    </row>
    <row r="26" spans="1:15" x14ac:dyDescent="0.2">
      <c r="E26" s="80"/>
      <c r="F26" s="27" t="s">
        <v>1158</v>
      </c>
      <c r="G26" s="29" t="s">
        <v>1159</v>
      </c>
      <c r="H26" s="29" t="s">
        <v>1160</v>
      </c>
      <c r="I26" s="29" t="s">
        <v>1161</v>
      </c>
      <c r="J26" s="29">
        <v>10438</v>
      </c>
      <c r="K26" s="29">
        <v>3039</v>
      </c>
      <c r="L26" s="29">
        <v>9782</v>
      </c>
      <c r="M26" s="29">
        <v>11517</v>
      </c>
      <c r="N26" s="17">
        <v>36.799999999999997</v>
      </c>
    </row>
    <row r="27" spans="1:15" x14ac:dyDescent="0.2">
      <c r="A27" s="81"/>
      <c r="B27" s="80"/>
      <c r="E27" s="80"/>
      <c r="F27" s="47" t="s">
        <v>1162</v>
      </c>
      <c r="G27" s="29">
        <v>2089</v>
      </c>
      <c r="H27" s="29">
        <v>598</v>
      </c>
      <c r="I27" s="29" t="s">
        <v>1163</v>
      </c>
      <c r="J27" s="29">
        <v>1033</v>
      </c>
      <c r="K27" s="29">
        <v>363</v>
      </c>
      <c r="L27" s="29">
        <v>877</v>
      </c>
      <c r="M27" s="29">
        <v>1212</v>
      </c>
      <c r="N27" s="17">
        <v>37</v>
      </c>
    </row>
    <row r="28" spans="1:15" x14ac:dyDescent="0.2">
      <c r="E28" s="80"/>
      <c r="F28" s="47" t="s">
        <v>1164</v>
      </c>
      <c r="G28" s="29">
        <v>9466</v>
      </c>
      <c r="H28" s="29">
        <v>2552</v>
      </c>
      <c r="I28" s="29" t="s">
        <v>1165</v>
      </c>
      <c r="J28" s="29">
        <v>4846</v>
      </c>
      <c r="K28" s="29">
        <v>950</v>
      </c>
      <c r="L28" s="29">
        <v>4473</v>
      </c>
      <c r="M28" s="29">
        <v>4993</v>
      </c>
      <c r="N28" s="17">
        <v>32.799999999999997</v>
      </c>
    </row>
    <row r="29" spans="1:15" x14ac:dyDescent="0.2">
      <c r="E29" s="80"/>
      <c r="F29" s="25" t="s">
        <v>1166</v>
      </c>
      <c r="G29" s="29">
        <v>23235</v>
      </c>
      <c r="H29" s="29">
        <v>5597</v>
      </c>
      <c r="I29" s="29" t="s">
        <v>1167</v>
      </c>
      <c r="J29" s="29">
        <v>12228</v>
      </c>
      <c r="K29" s="29">
        <v>3358</v>
      </c>
      <c r="L29" s="29">
        <v>11058</v>
      </c>
      <c r="M29" s="29">
        <v>12177</v>
      </c>
      <c r="N29" s="17">
        <v>39.4</v>
      </c>
    </row>
    <row r="30" spans="1:15" x14ac:dyDescent="0.2">
      <c r="E30" s="80"/>
      <c r="F30" s="47" t="s">
        <v>1168</v>
      </c>
      <c r="G30" s="29">
        <v>3147</v>
      </c>
      <c r="H30" s="29">
        <v>507</v>
      </c>
      <c r="I30" s="29" t="s">
        <v>1169</v>
      </c>
      <c r="J30" s="29">
        <v>1772</v>
      </c>
      <c r="K30" s="29">
        <v>660</v>
      </c>
      <c r="L30" s="29">
        <v>1451</v>
      </c>
      <c r="M30" s="29">
        <v>1696</v>
      </c>
      <c r="N30" s="17">
        <v>46.5</v>
      </c>
    </row>
    <row r="31" spans="1:15" x14ac:dyDescent="0.2">
      <c r="E31" s="80"/>
      <c r="F31" s="47" t="s">
        <v>1170</v>
      </c>
      <c r="G31" s="29">
        <v>3800</v>
      </c>
      <c r="H31" s="29">
        <v>962</v>
      </c>
      <c r="I31" s="29" t="s">
        <v>1171</v>
      </c>
      <c r="J31" s="29">
        <v>1960</v>
      </c>
      <c r="K31" s="29">
        <v>553</v>
      </c>
      <c r="L31" s="29">
        <v>1722</v>
      </c>
      <c r="M31" s="29">
        <v>2078</v>
      </c>
      <c r="N31" s="17">
        <v>39.799999999999997</v>
      </c>
    </row>
    <row r="32" spans="1:15" x14ac:dyDescent="0.2">
      <c r="E32" s="80"/>
      <c r="F32" s="47" t="s">
        <v>1172</v>
      </c>
      <c r="G32" s="29">
        <v>6871</v>
      </c>
      <c r="H32" s="29">
        <v>1664</v>
      </c>
      <c r="I32" s="29" t="s">
        <v>1173</v>
      </c>
      <c r="J32" s="29">
        <v>3732</v>
      </c>
      <c r="K32" s="29">
        <v>816</v>
      </c>
      <c r="L32" s="29">
        <v>3498</v>
      </c>
      <c r="M32" s="29">
        <v>3373</v>
      </c>
      <c r="N32" s="17">
        <v>38.1</v>
      </c>
    </row>
    <row r="33" spans="5:14" x14ac:dyDescent="0.2">
      <c r="E33" s="80"/>
      <c r="F33" s="16" t="s">
        <v>1174</v>
      </c>
      <c r="G33" s="29" t="s">
        <v>1175</v>
      </c>
      <c r="H33" s="29" t="s">
        <v>1176</v>
      </c>
      <c r="I33" s="29" t="s">
        <v>1177</v>
      </c>
      <c r="J33" s="29">
        <v>3856</v>
      </c>
      <c r="K33" s="29">
        <v>1079</v>
      </c>
      <c r="L33" s="29">
        <v>3897</v>
      </c>
      <c r="M33" s="29">
        <v>2603</v>
      </c>
      <c r="N33" s="17">
        <v>44.3</v>
      </c>
    </row>
    <row r="34" spans="5:14" x14ac:dyDescent="0.2">
      <c r="E34" s="80"/>
      <c r="F34" s="47" t="s">
        <v>1178</v>
      </c>
      <c r="G34" s="29">
        <v>1210</v>
      </c>
      <c r="H34" s="29">
        <v>353</v>
      </c>
      <c r="I34" s="29" t="s">
        <v>1179</v>
      </c>
      <c r="J34" s="29">
        <v>564</v>
      </c>
      <c r="K34" s="29">
        <v>237</v>
      </c>
      <c r="L34" s="29">
        <v>623</v>
      </c>
      <c r="M34" s="29">
        <v>587</v>
      </c>
      <c r="N34" s="17">
        <v>35.6</v>
      </c>
    </row>
    <row r="35" spans="5:14" x14ac:dyDescent="0.2">
      <c r="E35" s="80"/>
      <c r="F35" s="25" t="s">
        <v>1180</v>
      </c>
      <c r="G35" s="29">
        <v>28649</v>
      </c>
      <c r="H35" s="29">
        <v>7379</v>
      </c>
      <c r="I35" s="29" t="s">
        <v>1181</v>
      </c>
      <c r="J35" s="29">
        <v>14393</v>
      </c>
      <c r="K35" s="29">
        <v>3540</v>
      </c>
      <c r="L35" s="29">
        <v>13424</v>
      </c>
      <c r="M35" s="29">
        <v>15225</v>
      </c>
      <c r="N35" s="17">
        <v>31.7</v>
      </c>
    </row>
    <row r="36" spans="5:14" x14ac:dyDescent="0.2">
      <c r="E36" s="80"/>
      <c r="F36" s="25" t="s">
        <v>1182</v>
      </c>
      <c r="G36" s="29">
        <v>31866</v>
      </c>
      <c r="H36" s="29">
        <v>6121</v>
      </c>
      <c r="I36" s="29" t="s">
        <v>1183</v>
      </c>
      <c r="J36" s="29">
        <v>17297</v>
      </c>
      <c r="K36" s="29">
        <v>5460</v>
      </c>
      <c r="L36" s="29">
        <v>16112</v>
      </c>
      <c r="M36" s="29">
        <v>15754</v>
      </c>
      <c r="N36" s="17">
        <v>41.8</v>
      </c>
    </row>
    <row r="37" spans="5:14" x14ac:dyDescent="0.2">
      <c r="E37" s="80"/>
      <c r="F37" s="25" t="s">
        <v>1184</v>
      </c>
      <c r="G37" s="29">
        <v>27781</v>
      </c>
      <c r="H37" s="29">
        <v>5691</v>
      </c>
      <c r="I37" s="29" t="s">
        <v>1185</v>
      </c>
      <c r="J37" s="29">
        <v>15049</v>
      </c>
      <c r="K37" s="29">
        <v>4593</v>
      </c>
      <c r="L37" s="29">
        <v>13475</v>
      </c>
      <c r="M37" s="29">
        <v>14306</v>
      </c>
      <c r="N37" s="17">
        <v>41.4</v>
      </c>
    </row>
    <row r="38" spans="5:14" x14ac:dyDescent="0.2">
      <c r="E38" s="80"/>
      <c r="F38" s="25" t="s">
        <v>1186</v>
      </c>
      <c r="G38" s="29">
        <v>36572</v>
      </c>
      <c r="H38" s="29">
        <v>20811</v>
      </c>
      <c r="I38" s="29" t="s">
        <v>1187</v>
      </c>
      <c r="J38" s="29">
        <v>9535</v>
      </c>
      <c r="K38" s="29">
        <v>969</v>
      </c>
      <c r="L38" s="29">
        <v>18558</v>
      </c>
      <c r="M38" s="29">
        <v>18014</v>
      </c>
      <c r="N38" s="17">
        <v>15.1</v>
      </c>
    </row>
    <row r="39" spans="5:14" x14ac:dyDescent="0.2">
      <c r="E39" s="80"/>
      <c r="F39" s="49" t="s">
        <v>1188</v>
      </c>
      <c r="G39" s="29" t="s">
        <v>1189</v>
      </c>
      <c r="H39" s="29" t="s">
        <v>1190</v>
      </c>
      <c r="I39" s="29" t="s">
        <v>1187</v>
      </c>
      <c r="J39" s="29">
        <v>9535</v>
      </c>
      <c r="K39" s="29">
        <v>969</v>
      </c>
      <c r="L39" s="29">
        <v>18558</v>
      </c>
      <c r="M39" s="29">
        <v>18014</v>
      </c>
      <c r="N39" s="17">
        <v>15.1</v>
      </c>
    </row>
    <row r="40" spans="5:14" x14ac:dyDescent="0.2">
      <c r="E40" s="80"/>
      <c r="F40" s="26" t="s">
        <v>1191</v>
      </c>
      <c r="G40" s="29" t="s">
        <v>1192</v>
      </c>
      <c r="H40" s="29" t="s">
        <v>1193</v>
      </c>
      <c r="I40" s="29" t="s">
        <v>1194</v>
      </c>
      <c r="J40" s="29">
        <v>4209</v>
      </c>
      <c r="K40" s="29">
        <v>1615</v>
      </c>
      <c r="L40" s="29">
        <v>4267</v>
      </c>
      <c r="M40" s="29">
        <v>4442</v>
      </c>
      <c r="N40" s="17">
        <v>39.6</v>
      </c>
    </row>
    <row r="41" spans="5:14" x14ac:dyDescent="0.2">
      <c r="E41" s="80"/>
      <c r="F41" s="16" t="s">
        <v>1195</v>
      </c>
      <c r="G41" s="29" t="s">
        <v>1196</v>
      </c>
      <c r="H41" s="29" t="s">
        <v>1197</v>
      </c>
      <c r="I41" s="29" t="s">
        <v>1198</v>
      </c>
      <c r="J41" s="29">
        <v>1954</v>
      </c>
      <c r="K41" s="29">
        <v>869</v>
      </c>
      <c r="L41" s="29">
        <v>1975</v>
      </c>
      <c r="M41" s="29">
        <v>1790</v>
      </c>
      <c r="N41" s="17">
        <v>48.4</v>
      </c>
    </row>
    <row r="42" spans="5:14" x14ac:dyDescent="0.2">
      <c r="E42" s="80"/>
      <c r="F42" s="47" t="s">
        <v>1199</v>
      </c>
      <c r="G42" s="29">
        <v>3083</v>
      </c>
      <c r="H42" s="29">
        <v>620</v>
      </c>
      <c r="I42" s="29">
        <v>228</v>
      </c>
      <c r="J42" s="29">
        <v>1543</v>
      </c>
      <c r="K42" s="29">
        <v>692</v>
      </c>
      <c r="L42" s="29">
        <v>1546</v>
      </c>
      <c r="M42" s="29">
        <v>1537</v>
      </c>
      <c r="N42" s="17">
        <v>45.1</v>
      </c>
    </row>
    <row r="43" spans="5:14" x14ac:dyDescent="0.2">
      <c r="E43" s="80"/>
      <c r="F43" s="47" t="s">
        <v>1200</v>
      </c>
      <c r="G43" s="29">
        <v>682</v>
      </c>
      <c r="H43" s="29">
        <v>82</v>
      </c>
      <c r="I43" s="29">
        <v>12</v>
      </c>
      <c r="J43" s="29">
        <v>411</v>
      </c>
      <c r="K43" s="29">
        <v>177</v>
      </c>
      <c r="L43" s="29">
        <v>429</v>
      </c>
      <c r="M43" s="29">
        <v>253</v>
      </c>
      <c r="N43" s="17">
        <v>51.9</v>
      </c>
    </row>
    <row r="44" spans="5:14" x14ac:dyDescent="0.2">
      <c r="E44" s="80"/>
      <c r="F44" s="16" t="s">
        <v>1201</v>
      </c>
      <c r="G44" s="29">
        <v>30790</v>
      </c>
      <c r="H44" s="29">
        <v>5920</v>
      </c>
      <c r="I44" s="29">
        <v>3341</v>
      </c>
      <c r="J44" s="29">
        <v>16353</v>
      </c>
      <c r="K44" s="29">
        <v>5176</v>
      </c>
      <c r="L44" s="29">
        <v>15650</v>
      </c>
      <c r="M44" s="29">
        <v>15140</v>
      </c>
      <c r="N44" s="17">
        <v>41.3</v>
      </c>
    </row>
    <row r="45" spans="5:14" x14ac:dyDescent="0.2">
      <c r="E45" s="80"/>
      <c r="F45" s="16" t="s">
        <v>1202</v>
      </c>
      <c r="G45" s="29">
        <v>31909</v>
      </c>
      <c r="H45" s="29">
        <v>6273</v>
      </c>
      <c r="I45" s="29">
        <v>2216</v>
      </c>
      <c r="J45" s="29">
        <v>17141</v>
      </c>
      <c r="K45" s="29">
        <v>6279</v>
      </c>
      <c r="L45" s="29">
        <v>15794</v>
      </c>
      <c r="M45" s="29">
        <v>16115</v>
      </c>
      <c r="N45" s="17">
        <v>44.1</v>
      </c>
    </row>
    <row r="46" spans="5:14" x14ac:dyDescent="0.2">
      <c r="E46" s="80"/>
      <c r="F46" s="47" t="s">
        <v>1203</v>
      </c>
      <c r="G46" s="29">
        <v>2915</v>
      </c>
      <c r="H46" s="29">
        <v>620</v>
      </c>
      <c r="I46" s="29">
        <v>278</v>
      </c>
      <c r="J46" s="29">
        <v>1575</v>
      </c>
      <c r="K46" s="29">
        <v>442</v>
      </c>
      <c r="L46" s="29">
        <v>1566</v>
      </c>
      <c r="M46" s="29">
        <v>1349</v>
      </c>
      <c r="N46" s="17">
        <v>36</v>
      </c>
    </row>
    <row r="47" spans="5:14" x14ac:dyDescent="0.2">
      <c r="E47" s="80"/>
      <c r="F47" s="47" t="s">
        <v>1204</v>
      </c>
      <c r="G47" s="29">
        <v>3022</v>
      </c>
      <c r="H47" s="29">
        <v>529</v>
      </c>
      <c r="I47" s="29">
        <v>101</v>
      </c>
      <c r="J47" s="29">
        <v>1760</v>
      </c>
      <c r="K47" s="29">
        <v>632</v>
      </c>
      <c r="L47" s="29">
        <v>1471</v>
      </c>
      <c r="M47" s="29">
        <v>1551</v>
      </c>
      <c r="N47" s="17">
        <v>42.2</v>
      </c>
    </row>
    <row r="48" spans="5:14" x14ac:dyDescent="0.2">
      <c r="E48" s="80"/>
      <c r="F48" s="47" t="s">
        <v>1205</v>
      </c>
      <c r="G48" s="29">
        <v>6625</v>
      </c>
      <c r="H48" s="29">
        <v>1274</v>
      </c>
      <c r="I48" s="29">
        <v>418</v>
      </c>
      <c r="J48" s="29">
        <v>3125</v>
      </c>
      <c r="K48" s="29">
        <v>1808</v>
      </c>
      <c r="L48" s="29">
        <v>2921</v>
      </c>
      <c r="M48" s="29">
        <v>3704</v>
      </c>
      <c r="N48" s="17">
        <v>48.4</v>
      </c>
    </row>
    <row r="49" spans="5:14" x14ac:dyDescent="0.2">
      <c r="E49" s="80"/>
      <c r="F49" s="16" t="s">
        <v>1206</v>
      </c>
      <c r="G49" s="29">
        <v>7493</v>
      </c>
      <c r="H49" s="29">
        <v>1726</v>
      </c>
      <c r="I49" s="29">
        <v>882</v>
      </c>
      <c r="J49" s="29">
        <v>3842</v>
      </c>
      <c r="K49" s="29">
        <v>1043</v>
      </c>
      <c r="L49" s="29">
        <v>3585</v>
      </c>
      <c r="M49" s="29">
        <v>3908</v>
      </c>
      <c r="N49" s="17">
        <v>39.200000000000003</v>
      </c>
    </row>
    <row r="50" spans="5:14" x14ac:dyDescent="0.2">
      <c r="E50" s="80"/>
      <c r="F50" s="16" t="s">
        <v>1207</v>
      </c>
      <c r="G50" s="29">
        <v>12191</v>
      </c>
      <c r="H50" s="29">
        <v>3079</v>
      </c>
      <c r="I50" s="29">
        <v>1478</v>
      </c>
      <c r="J50" s="29">
        <v>6286</v>
      </c>
      <c r="K50" s="29">
        <v>1348</v>
      </c>
      <c r="L50" s="29">
        <v>6205</v>
      </c>
      <c r="M50" s="29">
        <v>5986</v>
      </c>
      <c r="N50" s="17">
        <v>40</v>
      </c>
    </row>
    <row r="51" spans="5:14" x14ac:dyDescent="0.2">
      <c r="E51" s="80"/>
      <c r="F51" s="47" t="s">
        <v>1162</v>
      </c>
      <c r="G51" s="29">
        <v>754</v>
      </c>
      <c r="H51" s="29">
        <v>149</v>
      </c>
      <c r="I51" s="29">
        <v>39</v>
      </c>
      <c r="J51" s="29">
        <v>505</v>
      </c>
      <c r="K51" s="29">
        <v>61</v>
      </c>
      <c r="L51" s="29">
        <v>337</v>
      </c>
      <c r="M51" s="29">
        <v>417</v>
      </c>
      <c r="N51" s="17">
        <v>37</v>
      </c>
    </row>
    <row r="52" spans="5:14" x14ac:dyDescent="0.2">
      <c r="E52" s="80"/>
      <c r="F52" s="47" t="s">
        <v>1208</v>
      </c>
      <c r="G52" s="29">
        <v>11437</v>
      </c>
      <c r="H52" s="29">
        <v>2930</v>
      </c>
      <c r="I52" s="29">
        <v>1439</v>
      </c>
      <c r="J52" s="29">
        <v>5781</v>
      </c>
      <c r="K52" s="29">
        <v>1287</v>
      </c>
      <c r="L52" s="29">
        <v>5868</v>
      </c>
      <c r="M52" s="29">
        <v>5569</v>
      </c>
      <c r="N52" s="17">
        <v>39.700000000000003</v>
      </c>
    </row>
    <row r="53" spans="5:14" x14ac:dyDescent="0.2">
      <c r="E53" s="80"/>
    </row>
    <row r="54" spans="5:14" x14ac:dyDescent="0.2">
      <c r="E54" s="80"/>
    </row>
    <row r="55" spans="5:14" x14ac:dyDescent="0.2">
      <c r="E55" s="80"/>
    </row>
    <row r="56" spans="5:14" x14ac:dyDescent="0.2">
      <c r="E56" s="80"/>
    </row>
    <row r="57" spans="5:14" x14ac:dyDescent="0.2">
      <c r="E57" s="80"/>
    </row>
  </sheetData>
  <mergeCells count="11">
    <mergeCell ref="B1:O1"/>
    <mergeCell ref="A21:B21"/>
    <mergeCell ref="N5:N6"/>
    <mergeCell ref="E5:E57"/>
    <mergeCell ref="A9:B9"/>
    <mergeCell ref="A5:B5"/>
    <mergeCell ref="L5:M5"/>
    <mergeCell ref="F5:F6"/>
    <mergeCell ref="A18:B18"/>
    <mergeCell ref="A27:B27"/>
    <mergeCell ref="H5:K5"/>
  </mergeCells>
  <dataValidations count="4">
    <dataValidation type="list" allowBlank="1" showInputMessage="1" showErrorMessage="1" sqref="P4:Q4" xr:uid="{00000000-0002-0000-0200-000000000000}">
      <formula1>"integer, number, percent1"</formula1>
    </dataValidation>
    <dataValidation type="list" allowBlank="1" showInputMessage="1" showErrorMessage="1" sqref="B10" xr:uid="{00000000-0002-0000-0200-000001000000}">
      <formula1>"Line,Clustered Bar,Stacked Bar,Bar,Horizontal Stacked Bar"</formula1>
    </dataValidation>
    <dataValidation type="list" allowBlank="1" showInputMessage="1" showErrorMessage="1" sqref="B2" xr:uid="{00000000-0002-0000-0200-000002000000}">
      <formula1>"Table,Figure,Both"</formula1>
    </dataValidation>
    <dataValidation type="list" allowBlank="1" showInputMessage="1" showErrorMessage="1" sqref="B6 B15:B16" xr:uid="{00000000-0002-0000-0200-000003000000}">
      <formula1>"True,False"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7"/>
  <sheetViews>
    <sheetView workbookViewId="0">
      <selection activeCell="B19" sqref="B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5.6640625" bestFit="1" customWidth="1"/>
    <col min="8" max="8" width="12.1640625" bestFit="1" customWidth="1"/>
    <col min="9" max="9" width="8.83203125" bestFit="1" customWidth="1"/>
    <col min="10" max="10" width="10.83203125"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tbl-pop</v>
      </c>
    </row>
    <row r="4" spans="1:17" x14ac:dyDescent="0.2">
      <c r="A4" s="16" t="s">
        <v>7</v>
      </c>
      <c r="B4" t="str">
        <f>IF($B$1="","",_xlfn.XLOOKUP($B$1,Master!$F$2:$F$321,Master!$H$2:$H$321,""))</f>
        <v>fig-pop</v>
      </c>
      <c r="E4" s="8"/>
      <c r="F4" s="10" t="s">
        <v>1009</v>
      </c>
      <c r="G4" s="10" t="s">
        <v>973</v>
      </c>
      <c r="H4" s="10" t="s">
        <v>973</v>
      </c>
      <c r="I4" s="10" t="s">
        <v>973</v>
      </c>
      <c r="J4" s="10" t="s">
        <v>973</v>
      </c>
      <c r="K4" s="10" t="s">
        <v>973</v>
      </c>
      <c r="L4" s="10" t="s">
        <v>973</v>
      </c>
      <c r="M4" s="10"/>
      <c r="N4" s="10"/>
      <c r="O4" s="10"/>
      <c r="P4" s="10"/>
      <c r="Q4" s="10"/>
    </row>
    <row r="5" spans="1:17" x14ac:dyDescent="0.2">
      <c r="A5" s="83" t="s">
        <v>1081</v>
      </c>
      <c r="B5" s="80"/>
      <c r="E5" s="82" t="s">
        <v>1082</v>
      </c>
      <c r="F5" s="84" t="s">
        <v>1083</v>
      </c>
      <c r="G5" s="84" t="s">
        <v>1209</v>
      </c>
      <c r="H5" s="80"/>
      <c r="I5" s="80"/>
      <c r="J5" s="80"/>
      <c r="K5" s="80"/>
      <c r="L5" s="80"/>
      <c r="M5" s="21"/>
      <c r="N5" s="21"/>
    </row>
    <row r="6" spans="1:17" ht="15" customHeight="1" x14ac:dyDescent="0.2">
      <c r="A6" t="s">
        <v>1088</v>
      </c>
      <c r="E6" s="80"/>
      <c r="F6" s="80"/>
      <c r="G6" s="17">
        <v>1970</v>
      </c>
      <c r="H6" s="15">
        <v>1980</v>
      </c>
      <c r="I6" s="15">
        <v>1990</v>
      </c>
      <c r="J6" s="15">
        <v>2000</v>
      </c>
      <c r="K6" s="15">
        <v>2010</v>
      </c>
      <c r="L6" s="15">
        <v>2020</v>
      </c>
      <c r="M6" s="15"/>
      <c r="N6" s="21"/>
      <c r="O6" s="15"/>
    </row>
    <row r="7" spans="1:17" ht="15.75" customHeight="1" x14ac:dyDescent="0.2">
      <c r="E7" s="80"/>
      <c r="F7" s="16" t="s">
        <v>1096</v>
      </c>
      <c r="G7" s="23">
        <v>221657</v>
      </c>
      <c r="H7" s="23">
        <v>259603</v>
      </c>
      <c r="I7" s="23">
        <v>307647</v>
      </c>
      <c r="J7" s="23">
        <v>341367</v>
      </c>
      <c r="K7" s="23">
        <v>372813</v>
      </c>
      <c r="L7" s="23">
        <v>401310</v>
      </c>
      <c r="M7" s="15"/>
      <c r="N7" s="15"/>
      <c r="O7" s="15"/>
    </row>
    <row r="8" spans="1:17" x14ac:dyDescent="0.2">
      <c r="E8" s="80"/>
      <c r="F8" s="16" t="s">
        <v>1097</v>
      </c>
      <c r="G8" s="23">
        <v>8813</v>
      </c>
      <c r="H8" s="23">
        <v>12339</v>
      </c>
      <c r="I8" s="23">
        <v>16673</v>
      </c>
      <c r="J8" s="23">
        <v>17351</v>
      </c>
      <c r="K8" s="23">
        <v>18028</v>
      </c>
      <c r="L8" s="23">
        <v>18811</v>
      </c>
      <c r="M8" s="15"/>
      <c r="N8" s="15"/>
      <c r="O8" s="15"/>
      <c r="P8" s="9"/>
    </row>
    <row r="9" spans="1:17" x14ac:dyDescent="0.2">
      <c r="A9" s="83" t="s">
        <v>1098</v>
      </c>
      <c r="B9" s="80"/>
      <c r="E9" s="80"/>
      <c r="F9" s="47" t="s">
        <v>1099</v>
      </c>
      <c r="G9" s="15" t="s">
        <v>1210</v>
      </c>
      <c r="H9" s="15" t="s">
        <v>1210</v>
      </c>
      <c r="I9" s="15" t="s">
        <v>1210</v>
      </c>
      <c r="J9" s="15" t="s">
        <v>1210</v>
      </c>
      <c r="K9" s="23">
        <v>3234</v>
      </c>
      <c r="L9" s="23">
        <v>3973</v>
      </c>
      <c r="M9" s="15"/>
      <c r="N9" s="15"/>
      <c r="O9" s="15"/>
    </row>
    <row r="10" spans="1:17" x14ac:dyDescent="0.2">
      <c r="A10" t="s">
        <v>1100</v>
      </c>
      <c r="E10" s="80"/>
      <c r="F10" s="47" t="s">
        <v>1101</v>
      </c>
      <c r="G10" s="23">
        <v>1887</v>
      </c>
      <c r="H10" s="23">
        <v>2380</v>
      </c>
      <c r="I10" s="23">
        <v>4906</v>
      </c>
      <c r="J10" s="23">
        <v>5851</v>
      </c>
      <c r="K10" s="23">
        <v>5899</v>
      </c>
      <c r="L10" s="23">
        <v>5657</v>
      </c>
      <c r="M10" s="15"/>
      <c r="N10" s="15"/>
    </row>
    <row r="11" spans="1:17" x14ac:dyDescent="0.2">
      <c r="A11" t="s">
        <v>1102</v>
      </c>
      <c r="E11" s="80"/>
      <c r="F11" s="16" t="s">
        <v>1103</v>
      </c>
      <c r="G11" s="23">
        <v>4767</v>
      </c>
      <c r="H11" s="23">
        <v>6850</v>
      </c>
      <c r="I11" s="23">
        <v>9138</v>
      </c>
      <c r="J11" s="28">
        <v>12140</v>
      </c>
      <c r="K11" s="28">
        <v>11981</v>
      </c>
      <c r="L11" s="28">
        <v>12646</v>
      </c>
      <c r="M11" s="15"/>
      <c r="N11" s="15"/>
      <c r="O11" s="12"/>
    </row>
    <row r="12" spans="1:17" x14ac:dyDescent="0.2">
      <c r="A12" t="s">
        <v>1104</v>
      </c>
      <c r="E12" s="80"/>
      <c r="F12" s="49" t="s">
        <v>1105</v>
      </c>
      <c r="G12" s="28">
        <v>1627</v>
      </c>
      <c r="H12" s="28">
        <v>1910</v>
      </c>
      <c r="I12" s="23">
        <v>3270</v>
      </c>
      <c r="J12" s="23">
        <v>3445</v>
      </c>
      <c r="K12" s="23">
        <v>3969</v>
      </c>
      <c r="L12" s="23">
        <v>3993</v>
      </c>
      <c r="M12" s="17"/>
      <c r="N12" s="17"/>
      <c r="O12" s="12"/>
    </row>
    <row r="13" spans="1:17" x14ac:dyDescent="0.2">
      <c r="A13" t="s">
        <v>1108</v>
      </c>
      <c r="E13" s="80"/>
      <c r="F13" s="24" t="s">
        <v>1109</v>
      </c>
      <c r="G13" s="23">
        <v>9672</v>
      </c>
      <c r="H13" s="23">
        <v>10774</v>
      </c>
      <c r="I13" s="23">
        <v>11270</v>
      </c>
      <c r="J13" s="23">
        <v>12307</v>
      </c>
      <c r="K13" s="23">
        <v>12646</v>
      </c>
      <c r="L13" s="23">
        <v>12884</v>
      </c>
      <c r="M13" s="15"/>
      <c r="N13" s="15"/>
    </row>
    <row r="14" spans="1:17" x14ac:dyDescent="0.2">
      <c r="A14" t="s">
        <v>1112</v>
      </c>
      <c r="E14" s="80"/>
      <c r="F14" s="47" t="s">
        <v>1113</v>
      </c>
      <c r="G14" s="23">
        <v>3131</v>
      </c>
      <c r="H14" s="23">
        <v>3164</v>
      </c>
      <c r="I14" s="23">
        <v>3093</v>
      </c>
      <c r="J14" s="23">
        <v>3058</v>
      </c>
      <c r="K14" s="23">
        <v>3018</v>
      </c>
      <c r="L14" s="23">
        <v>3075</v>
      </c>
      <c r="M14" s="15"/>
      <c r="N14" s="15"/>
    </row>
    <row r="15" spans="1:17" x14ac:dyDescent="0.2">
      <c r="A15" t="s">
        <v>1114</v>
      </c>
      <c r="E15" s="80"/>
      <c r="F15" s="16" t="s">
        <v>1115</v>
      </c>
      <c r="G15" s="23">
        <v>3896</v>
      </c>
      <c r="H15" s="23">
        <v>4910</v>
      </c>
      <c r="I15" s="23">
        <v>6394</v>
      </c>
      <c r="J15" s="23">
        <v>7875</v>
      </c>
      <c r="K15" s="23">
        <v>9316</v>
      </c>
      <c r="L15" s="23">
        <v>9130</v>
      </c>
      <c r="M15" s="15"/>
      <c r="N15" s="15"/>
    </row>
    <row r="16" spans="1:17" x14ac:dyDescent="0.2">
      <c r="A16" t="s">
        <v>1116</v>
      </c>
      <c r="E16" s="80"/>
      <c r="F16" s="16" t="s">
        <v>1117</v>
      </c>
      <c r="G16" s="23">
        <v>4370</v>
      </c>
      <c r="H16" s="23">
        <v>5633</v>
      </c>
      <c r="I16" s="23">
        <v>7832</v>
      </c>
      <c r="J16" s="23">
        <v>7858</v>
      </c>
      <c r="K16" s="23">
        <v>7901</v>
      </c>
      <c r="L16" s="23">
        <v>7509</v>
      </c>
      <c r="M16" s="15"/>
      <c r="N16" s="15"/>
    </row>
    <row r="17" spans="1:15" x14ac:dyDescent="0.2">
      <c r="E17" s="80"/>
      <c r="F17" s="16" t="s">
        <v>1118</v>
      </c>
      <c r="G17" s="23">
        <v>8393</v>
      </c>
      <c r="H17" s="23">
        <v>10463</v>
      </c>
      <c r="I17" s="23">
        <v>11500</v>
      </c>
      <c r="J17" s="23">
        <v>12913</v>
      </c>
      <c r="K17" s="23">
        <v>13687</v>
      </c>
      <c r="L17" s="23">
        <v>14571</v>
      </c>
      <c r="M17" s="15"/>
      <c r="N17" s="15"/>
    </row>
    <row r="18" spans="1:15" x14ac:dyDescent="0.2">
      <c r="A18" s="83" t="s">
        <v>1119</v>
      </c>
      <c r="B18" s="80"/>
      <c r="E18" s="80"/>
      <c r="F18" s="47" t="s">
        <v>1120</v>
      </c>
      <c r="G18" s="23">
        <v>4342</v>
      </c>
      <c r="H18" s="23">
        <v>4874</v>
      </c>
      <c r="I18" s="23">
        <v>5255</v>
      </c>
      <c r="J18" s="23">
        <v>5676</v>
      </c>
      <c r="K18" s="23">
        <v>5454</v>
      </c>
      <c r="L18" s="23">
        <v>5777</v>
      </c>
      <c r="M18" s="15"/>
      <c r="N18" s="15"/>
    </row>
    <row r="19" spans="1:15" x14ac:dyDescent="0.2">
      <c r="A19" t="s">
        <v>1121</v>
      </c>
      <c r="B19" t="s">
        <v>1211</v>
      </c>
      <c r="E19" s="80"/>
      <c r="F19" s="16" t="s">
        <v>1123</v>
      </c>
      <c r="G19" s="23">
        <v>1379</v>
      </c>
      <c r="H19" s="23">
        <v>2085</v>
      </c>
      <c r="I19" s="23">
        <v>3120</v>
      </c>
      <c r="J19" s="23">
        <v>3800</v>
      </c>
      <c r="K19" s="23">
        <v>4616</v>
      </c>
      <c r="L19" s="23">
        <v>4689</v>
      </c>
      <c r="M19" s="15"/>
      <c r="N19" s="15"/>
    </row>
    <row r="20" spans="1:15" x14ac:dyDescent="0.2">
      <c r="E20" s="80"/>
      <c r="F20" s="16" t="s">
        <v>1124</v>
      </c>
      <c r="G20" s="23">
        <v>2204</v>
      </c>
      <c r="H20" s="23">
        <v>2945</v>
      </c>
      <c r="I20" s="23">
        <v>3910</v>
      </c>
      <c r="J20" s="23">
        <v>4686</v>
      </c>
      <c r="K20" s="23">
        <v>5561</v>
      </c>
      <c r="L20" s="23">
        <v>5489</v>
      </c>
      <c r="M20" s="15"/>
      <c r="N20" s="15"/>
      <c r="O20" s="12"/>
    </row>
    <row r="21" spans="1:15" x14ac:dyDescent="0.2">
      <c r="A21" s="81" t="s">
        <v>1125</v>
      </c>
      <c r="B21" s="80"/>
      <c r="E21" s="80"/>
      <c r="F21" s="25" t="s">
        <v>1126</v>
      </c>
      <c r="G21" s="23">
        <v>14661</v>
      </c>
      <c r="H21" s="23">
        <v>14004</v>
      </c>
      <c r="I21" s="23">
        <v>13667</v>
      </c>
      <c r="J21" s="23">
        <v>12484</v>
      </c>
      <c r="K21" s="23">
        <v>12492</v>
      </c>
      <c r="L21" s="23">
        <v>12939</v>
      </c>
      <c r="M21" s="15"/>
      <c r="N21" s="15"/>
      <c r="O21" s="12"/>
    </row>
    <row r="22" spans="1:15" x14ac:dyDescent="0.2">
      <c r="A22" t="s">
        <v>1135</v>
      </c>
      <c r="B22" t="s">
        <v>1212</v>
      </c>
      <c r="E22" s="80"/>
      <c r="F22" s="47" t="s">
        <v>1137</v>
      </c>
      <c r="G22" s="23">
        <v>4638</v>
      </c>
      <c r="H22" s="23">
        <v>4187</v>
      </c>
      <c r="I22" s="23">
        <v>3937</v>
      </c>
      <c r="J22" s="23">
        <v>3678</v>
      </c>
      <c r="K22" s="23">
        <v>3900</v>
      </c>
      <c r="L22" s="23">
        <v>3684</v>
      </c>
      <c r="M22" s="15"/>
      <c r="N22" s="15"/>
    </row>
    <row r="23" spans="1:15" x14ac:dyDescent="0.2">
      <c r="E23" s="80"/>
      <c r="F23" s="25" t="s">
        <v>1146</v>
      </c>
      <c r="G23" s="23">
        <v>22607</v>
      </c>
      <c r="H23" s="23">
        <v>21454</v>
      </c>
      <c r="I23" s="23">
        <v>24160</v>
      </c>
      <c r="J23" s="23">
        <v>25388</v>
      </c>
      <c r="K23" s="23">
        <v>28086</v>
      </c>
      <c r="L23" s="23">
        <v>30345</v>
      </c>
      <c r="M23" s="15"/>
      <c r="N23" s="15"/>
    </row>
    <row r="24" spans="1:15" x14ac:dyDescent="0.2">
      <c r="E24" s="80"/>
      <c r="F24" s="25" t="s">
        <v>1150</v>
      </c>
      <c r="G24" s="23">
        <v>1942</v>
      </c>
      <c r="H24" s="23">
        <v>2488</v>
      </c>
      <c r="I24" s="23">
        <v>2981</v>
      </c>
      <c r="J24" s="23">
        <v>3585</v>
      </c>
      <c r="K24" s="23">
        <v>4490</v>
      </c>
      <c r="L24" s="23">
        <v>4621</v>
      </c>
      <c r="M24" s="15"/>
      <c r="N24" s="15"/>
    </row>
    <row r="25" spans="1:15" x14ac:dyDescent="0.2">
      <c r="E25" s="80"/>
      <c r="F25" s="49" t="s">
        <v>1154</v>
      </c>
      <c r="G25" s="15">
        <v>576</v>
      </c>
      <c r="H25" s="15">
        <v>574</v>
      </c>
      <c r="I25" s="15">
        <v>548</v>
      </c>
      <c r="J25" s="15">
        <v>536</v>
      </c>
      <c r="K25" s="15">
        <v>612</v>
      </c>
      <c r="L25" s="15">
        <v>592</v>
      </c>
      <c r="M25" s="15"/>
      <c r="N25" s="15"/>
    </row>
    <row r="26" spans="1:15" x14ac:dyDescent="0.2">
      <c r="E26" s="80"/>
      <c r="F26" s="27" t="s">
        <v>1158</v>
      </c>
      <c r="G26" s="23">
        <v>9190</v>
      </c>
      <c r="H26" s="23">
        <v>14948</v>
      </c>
      <c r="I26" s="23">
        <v>23035</v>
      </c>
      <c r="J26" s="23">
        <v>31407</v>
      </c>
      <c r="K26" s="23">
        <v>39912</v>
      </c>
      <c r="L26" s="23">
        <v>21387</v>
      </c>
      <c r="M26" s="15"/>
      <c r="N26" s="15"/>
    </row>
    <row r="27" spans="1:15" x14ac:dyDescent="0.2">
      <c r="A27" s="81"/>
      <c r="B27" s="80"/>
      <c r="E27" s="80"/>
      <c r="F27" s="47" t="s">
        <v>1162</v>
      </c>
      <c r="G27" s="15">
        <v>955</v>
      </c>
      <c r="H27" s="15">
        <v>796</v>
      </c>
      <c r="I27" s="23">
        <v>2288</v>
      </c>
      <c r="J27" s="23">
        <v>2252</v>
      </c>
      <c r="K27" s="23">
        <v>2424</v>
      </c>
      <c r="L27" s="23">
        <v>2714</v>
      </c>
      <c r="M27" s="15"/>
      <c r="N27" s="15"/>
    </row>
    <row r="28" spans="1:15" x14ac:dyDescent="0.2">
      <c r="E28" s="80"/>
      <c r="F28" s="47" t="s">
        <v>1164</v>
      </c>
      <c r="G28" s="23">
        <v>4439</v>
      </c>
      <c r="H28" s="23">
        <v>5996</v>
      </c>
      <c r="I28" s="23">
        <v>6672</v>
      </c>
      <c r="J28" s="23">
        <v>7780</v>
      </c>
      <c r="K28" s="23">
        <v>8364</v>
      </c>
      <c r="L28" s="23">
        <v>9343</v>
      </c>
      <c r="M28" s="15"/>
      <c r="N28" s="15"/>
    </row>
    <row r="29" spans="1:15" x14ac:dyDescent="0.2">
      <c r="E29" s="80"/>
      <c r="F29" s="25" t="s">
        <v>1166</v>
      </c>
      <c r="G29" s="23">
        <v>13995</v>
      </c>
      <c r="H29" s="23">
        <v>16576</v>
      </c>
      <c r="I29" s="23">
        <v>18501</v>
      </c>
      <c r="J29" s="23">
        <v>20891</v>
      </c>
      <c r="K29" s="23">
        <v>22606</v>
      </c>
      <c r="L29" s="23">
        <v>23322</v>
      </c>
      <c r="M29" s="15"/>
      <c r="N29" s="15"/>
    </row>
    <row r="30" spans="1:15" x14ac:dyDescent="0.2">
      <c r="E30" s="80"/>
      <c r="F30" s="47" t="s">
        <v>1168</v>
      </c>
      <c r="G30" s="23">
        <v>1536</v>
      </c>
      <c r="H30" s="23">
        <v>2007</v>
      </c>
      <c r="I30" s="23">
        <v>2802</v>
      </c>
      <c r="J30" s="23">
        <v>3084</v>
      </c>
      <c r="K30" s="23">
        <v>2958</v>
      </c>
      <c r="L30" s="23">
        <v>3150</v>
      </c>
      <c r="M30" s="15"/>
      <c r="N30" s="15"/>
    </row>
    <row r="31" spans="1:15" x14ac:dyDescent="0.2">
      <c r="E31" s="80"/>
      <c r="F31" s="47" t="s">
        <v>1170</v>
      </c>
      <c r="G31" s="23">
        <v>1533</v>
      </c>
      <c r="H31" s="23">
        <v>2316</v>
      </c>
      <c r="I31" s="23">
        <v>2696</v>
      </c>
      <c r="J31" s="23">
        <v>3636</v>
      </c>
      <c r="K31" s="23">
        <v>3814</v>
      </c>
      <c r="L31" s="23">
        <v>3834</v>
      </c>
      <c r="M31" s="15"/>
      <c r="N31" s="15"/>
    </row>
    <row r="32" spans="1:15" x14ac:dyDescent="0.2">
      <c r="E32" s="80"/>
      <c r="F32" s="47" t="s">
        <v>1172</v>
      </c>
      <c r="G32" s="23">
        <v>5277</v>
      </c>
      <c r="H32" s="23">
        <v>5659</v>
      </c>
      <c r="I32" s="23">
        <v>5836</v>
      </c>
      <c r="J32" s="23">
        <v>6164</v>
      </c>
      <c r="K32" s="23">
        <v>6978</v>
      </c>
      <c r="L32" s="23">
        <v>6818</v>
      </c>
      <c r="M32" s="15"/>
      <c r="N32" s="15"/>
    </row>
    <row r="33" spans="5:14" x14ac:dyDescent="0.2">
      <c r="E33" s="80"/>
      <c r="F33" s="16" t="s">
        <v>1174</v>
      </c>
      <c r="G33" s="23">
        <v>2966</v>
      </c>
      <c r="H33" s="23">
        <v>4398</v>
      </c>
      <c r="I33" s="23">
        <v>5971</v>
      </c>
      <c r="J33" s="23">
        <v>6639</v>
      </c>
      <c r="K33" s="23">
        <v>7018</v>
      </c>
      <c r="L33" s="23">
        <v>6537</v>
      </c>
      <c r="M33" s="15"/>
      <c r="N33" s="15"/>
    </row>
    <row r="34" spans="5:14" x14ac:dyDescent="0.2">
      <c r="E34" s="80"/>
      <c r="F34" s="47" t="s">
        <v>1178</v>
      </c>
      <c r="G34" s="15">
        <v>933</v>
      </c>
      <c r="H34" s="15">
        <v>953</v>
      </c>
      <c r="I34" s="28">
        <v>1078</v>
      </c>
      <c r="J34" s="15">
        <v>989</v>
      </c>
      <c r="K34" s="23">
        <v>1068</v>
      </c>
      <c r="L34" s="15">
        <v>989</v>
      </c>
      <c r="M34" s="15"/>
      <c r="N34" s="15"/>
    </row>
    <row r="35" spans="5:14" x14ac:dyDescent="0.2">
      <c r="E35" s="80"/>
      <c r="F35" s="25" t="s">
        <v>1180</v>
      </c>
      <c r="G35" s="23">
        <v>26219</v>
      </c>
      <c r="H35" s="23">
        <v>23438</v>
      </c>
      <c r="I35" s="28">
        <v>26454</v>
      </c>
      <c r="J35" s="23">
        <v>28259</v>
      </c>
      <c r="K35" s="23">
        <v>28866</v>
      </c>
      <c r="L35" s="23">
        <v>28856</v>
      </c>
      <c r="M35" s="15"/>
      <c r="N35" s="15"/>
    </row>
    <row r="36" spans="5:14" x14ac:dyDescent="0.2">
      <c r="E36" s="80"/>
      <c r="F36" s="25" t="s">
        <v>1182</v>
      </c>
      <c r="G36" s="23">
        <v>21593</v>
      </c>
      <c r="H36" s="23">
        <v>22747</v>
      </c>
      <c r="I36" s="28">
        <v>24058</v>
      </c>
      <c r="J36" s="23">
        <v>27568</v>
      </c>
      <c r="K36" s="23">
        <v>29801</v>
      </c>
      <c r="L36" s="23">
        <v>31985</v>
      </c>
      <c r="M36" s="15"/>
      <c r="N36" s="15"/>
    </row>
    <row r="37" spans="5:14" x14ac:dyDescent="0.2">
      <c r="E37" s="80"/>
      <c r="F37" s="25" t="s">
        <v>1184</v>
      </c>
      <c r="G37" s="23">
        <v>16650</v>
      </c>
      <c r="H37" s="23">
        <v>19534</v>
      </c>
      <c r="I37" s="28">
        <v>22937</v>
      </c>
      <c r="J37" s="23">
        <v>22866</v>
      </c>
      <c r="K37" s="23">
        <v>25244</v>
      </c>
      <c r="L37" s="23">
        <v>27805</v>
      </c>
      <c r="M37" s="15"/>
      <c r="N37" s="15"/>
    </row>
    <row r="38" spans="5:14" x14ac:dyDescent="0.2">
      <c r="E38" s="80"/>
      <c r="F38" s="25" t="s">
        <v>1186</v>
      </c>
      <c r="G38" s="15" t="s">
        <v>1210</v>
      </c>
      <c r="H38" s="15" t="s">
        <v>1210</v>
      </c>
      <c r="I38" s="15" t="s">
        <v>1210</v>
      </c>
      <c r="J38" s="15" t="s">
        <v>1210</v>
      </c>
      <c r="K38" s="15" t="s">
        <v>1210</v>
      </c>
      <c r="L38" s="23">
        <v>32954</v>
      </c>
      <c r="M38" s="15"/>
      <c r="N38" s="15"/>
    </row>
    <row r="39" spans="5:14" x14ac:dyDescent="0.2">
      <c r="E39" s="80"/>
      <c r="F39" s="49" t="s">
        <v>1188</v>
      </c>
      <c r="G39" s="15">
        <v>0</v>
      </c>
      <c r="H39" s="23">
        <v>2088</v>
      </c>
      <c r="I39" s="23">
        <v>7437</v>
      </c>
      <c r="J39" s="23">
        <v>13138</v>
      </c>
      <c r="K39" s="23">
        <v>20175</v>
      </c>
      <c r="L39" s="23">
        <v>32954</v>
      </c>
      <c r="M39" s="15"/>
      <c r="N39" s="15"/>
    </row>
    <row r="40" spans="5:14" x14ac:dyDescent="0.2">
      <c r="E40" s="80"/>
      <c r="F40" s="26" t="s">
        <v>1191</v>
      </c>
      <c r="G40" s="23">
        <v>8852</v>
      </c>
      <c r="H40" s="23">
        <v>8699</v>
      </c>
      <c r="I40" s="23">
        <v>9060</v>
      </c>
      <c r="J40" s="23">
        <v>8860</v>
      </c>
      <c r="K40" s="23">
        <v>8828</v>
      </c>
      <c r="L40" s="23">
        <v>8775</v>
      </c>
      <c r="M40" s="15"/>
      <c r="N40" s="15"/>
    </row>
    <row r="41" spans="5:14" x14ac:dyDescent="0.2">
      <c r="E41" s="80"/>
      <c r="F41" s="16" t="s">
        <v>1195</v>
      </c>
      <c r="G41" s="14">
        <v>2967</v>
      </c>
      <c r="H41" s="14">
        <v>3069</v>
      </c>
      <c r="I41" s="14">
        <v>3023</v>
      </c>
      <c r="J41" s="14">
        <v>3334</v>
      </c>
      <c r="K41" s="14">
        <v>3624</v>
      </c>
      <c r="L41" s="14">
        <v>3811</v>
      </c>
      <c r="M41" s="15"/>
      <c r="N41" s="15"/>
    </row>
    <row r="42" spans="5:14" x14ac:dyDescent="0.2">
      <c r="E42" s="80"/>
      <c r="F42" s="47" t="s">
        <v>1199</v>
      </c>
      <c r="G42" s="15">
        <v>861</v>
      </c>
      <c r="H42" s="15">
        <v>809</v>
      </c>
      <c r="I42" s="15">
        <v>706</v>
      </c>
      <c r="J42" s="15">
        <v>731</v>
      </c>
      <c r="K42" s="15">
        <v>623</v>
      </c>
      <c r="L42" s="15">
        <v>645</v>
      </c>
      <c r="M42" s="15"/>
      <c r="N42" s="15"/>
    </row>
    <row r="43" spans="5:14" x14ac:dyDescent="0.2">
      <c r="E43" s="80"/>
      <c r="F43" s="47" t="s">
        <v>1200</v>
      </c>
      <c r="G43" s="23">
        <v>11518</v>
      </c>
      <c r="H43" s="23">
        <v>20481</v>
      </c>
      <c r="I43" s="23">
        <v>23016</v>
      </c>
      <c r="J43" s="23">
        <v>24659</v>
      </c>
      <c r="K43" s="23">
        <v>27426</v>
      </c>
      <c r="L43" s="23">
        <v>30486</v>
      </c>
      <c r="M43" s="15"/>
      <c r="N43" s="15"/>
    </row>
    <row r="44" spans="5:14" x14ac:dyDescent="0.2">
      <c r="E44" s="80"/>
      <c r="F44" s="16" t="s">
        <v>1201</v>
      </c>
      <c r="G44" s="23">
        <v>16956</v>
      </c>
      <c r="H44" s="23">
        <v>20976</v>
      </c>
      <c r="I44" s="23">
        <v>27193</v>
      </c>
      <c r="J44" s="23">
        <v>30764</v>
      </c>
      <c r="K44" s="23">
        <v>32065</v>
      </c>
      <c r="L44" s="23">
        <v>32027</v>
      </c>
      <c r="M44" s="15"/>
      <c r="N44" s="15"/>
    </row>
    <row r="45" spans="5:14" x14ac:dyDescent="0.2">
      <c r="E45" s="80"/>
      <c r="F45" s="16" t="s">
        <v>1202</v>
      </c>
      <c r="G45" s="23">
        <v>1674</v>
      </c>
      <c r="H45" s="23">
        <v>1947</v>
      </c>
      <c r="I45" s="23">
        <v>2497</v>
      </c>
      <c r="J45" s="23">
        <v>2571</v>
      </c>
      <c r="K45" s="23">
        <v>2833</v>
      </c>
      <c r="L45" s="23">
        <v>2888</v>
      </c>
      <c r="M45" s="15"/>
      <c r="N45" s="15"/>
    </row>
    <row r="46" spans="5:14" x14ac:dyDescent="0.2">
      <c r="E46" s="80"/>
      <c r="F46" s="47" t="s">
        <v>1203</v>
      </c>
      <c r="G46" s="23">
        <v>2262</v>
      </c>
      <c r="H46" s="23">
        <v>2809</v>
      </c>
      <c r="I46" s="23">
        <v>3208</v>
      </c>
      <c r="J46" s="23">
        <v>3411</v>
      </c>
      <c r="K46" s="23">
        <v>3154</v>
      </c>
      <c r="L46" s="23">
        <v>2994</v>
      </c>
      <c r="M46" s="15"/>
      <c r="N46" s="15"/>
    </row>
    <row r="47" spans="5:14" x14ac:dyDescent="0.2">
      <c r="E47" s="80"/>
      <c r="F47" s="47" t="s">
        <v>1204</v>
      </c>
      <c r="G47" s="23">
        <v>3604</v>
      </c>
      <c r="H47" s="23">
        <v>4320</v>
      </c>
      <c r="I47" s="23">
        <v>5984</v>
      </c>
      <c r="J47" s="23">
        <v>6412</v>
      </c>
      <c r="K47" s="23">
        <v>6731</v>
      </c>
      <c r="L47" s="23">
        <v>6652</v>
      </c>
      <c r="M47" s="15"/>
      <c r="N47" s="15"/>
    </row>
    <row r="48" spans="5:14" x14ac:dyDescent="0.2">
      <c r="E48" s="80"/>
      <c r="F48" s="47" t="s">
        <v>1205</v>
      </c>
      <c r="G48" s="23">
        <v>3408</v>
      </c>
      <c r="H48" s="23">
        <v>4298</v>
      </c>
      <c r="I48" s="23">
        <v>5518</v>
      </c>
      <c r="J48" s="23">
        <v>6273</v>
      </c>
      <c r="K48" s="23">
        <v>7266</v>
      </c>
      <c r="L48" s="23">
        <v>7534</v>
      </c>
      <c r="M48" s="15"/>
      <c r="N48" s="15"/>
    </row>
    <row r="49" spans="5:14" x14ac:dyDescent="0.2">
      <c r="E49" s="80"/>
      <c r="F49" s="16" t="s">
        <v>1206</v>
      </c>
      <c r="G49" s="23">
        <v>4639</v>
      </c>
      <c r="H49" s="23">
        <v>6494</v>
      </c>
      <c r="I49" s="23">
        <v>8236</v>
      </c>
      <c r="J49" s="23">
        <v>9460</v>
      </c>
      <c r="K49" s="23">
        <v>11353</v>
      </c>
      <c r="L49" s="23">
        <v>12197</v>
      </c>
      <c r="M49" s="15"/>
      <c r="N49" s="15"/>
    </row>
    <row r="50" spans="5:14" x14ac:dyDescent="0.2">
      <c r="E50" s="80"/>
      <c r="F50" s="16" t="s">
        <v>1207</v>
      </c>
      <c r="G50" s="15" t="s">
        <v>1210</v>
      </c>
      <c r="H50" s="15" t="s">
        <v>1210</v>
      </c>
      <c r="I50" s="15" t="s">
        <v>1210</v>
      </c>
      <c r="J50" s="15" t="s">
        <v>1210</v>
      </c>
      <c r="K50" s="23">
        <v>10686</v>
      </c>
      <c r="L50" s="23">
        <v>11526</v>
      </c>
      <c r="M50" s="15"/>
      <c r="N50" s="15"/>
    </row>
    <row r="51" spans="5:14" x14ac:dyDescent="0.2">
      <c r="E51" s="80"/>
      <c r="F51" s="47" t="s">
        <v>1162</v>
      </c>
      <c r="G51" s="15" t="s">
        <v>1210</v>
      </c>
      <c r="H51" s="15" t="s">
        <v>1210</v>
      </c>
      <c r="I51" s="15" t="s">
        <v>1210</v>
      </c>
      <c r="J51" s="15" t="s">
        <v>1210</v>
      </c>
      <c r="K51" s="15" t="s">
        <v>1210</v>
      </c>
      <c r="L51" s="15" t="s">
        <v>1210</v>
      </c>
      <c r="M51" s="15"/>
      <c r="N51" s="15"/>
    </row>
    <row r="52" spans="5:14" x14ac:dyDescent="0.2">
      <c r="E52" s="80"/>
      <c r="F52" s="47" t="s">
        <v>1208</v>
      </c>
      <c r="G52" s="15" t="s">
        <v>1210</v>
      </c>
      <c r="H52" s="15" t="s">
        <v>1210</v>
      </c>
      <c r="I52" s="15" t="s">
        <v>1210</v>
      </c>
      <c r="J52" s="15" t="s">
        <v>1210</v>
      </c>
      <c r="K52" s="15" t="s">
        <v>1210</v>
      </c>
      <c r="L52" s="15" t="s">
        <v>1210</v>
      </c>
      <c r="M52" s="15"/>
      <c r="N52" s="15"/>
    </row>
    <row r="53" spans="5:14" x14ac:dyDescent="0.2">
      <c r="E53" s="80"/>
    </row>
    <row r="54" spans="5:14" x14ac:dyDescent="0.2">
      <c r="E54" s="80"/>
    </row>
    <row r="55" spans="5:14" x14ac:dyDescent="0.2">
      <c r="E55" s="80"/>
    </row>
    <row r="56" spans="5:14" x14ac:dyDescent="0.2">
      <c r="E56" s="80"/>
    </row>
    <row r="57" spans="5:14" x14ac:dyDescent="0.2">
      <c r="E57" s="80"/>
    </row>
  </sheetData>
  <mergeCells count="9">
    <mergeCell ref="B1:O1"/>
    <mergeCell ref="A21:B21"/>
    <mergeCell ref="E5:E57"/>
    <mergeCell ref="G5:L5"/>
    <mergeCell ref="A9:B9"/>
    <mergeCell ref="A5:B5"/>
    <mergeCell ref="F5:F6"/>
    <mergeCell ref="A18:B18"/>
    <mergeCell ref="A27:B27"/>
  </mergeCells>
  <dataValidations count="4">
    <dataValidation type="list" allowBlank="1" showInputMessage="1" showErrorMessage="1" sqref="P4:Q4" xr:uid="{00000000-0002-0000-0300-000000000000}">
      <formula1>"integer, number, percent1"</formula1>
    </dataValidation>
    <dataValidation type="list" allowBlank="1" showInputMessage="1" showErrorMessage="1" sqref="B10" xr:uid="{00000000-0002-0000-0300-000001000000}">
      <formula1>"Line,Clustered Bar,Stacked Bar,Bar,Horizontal Stacked Bar"</formula1>
    </dataValidation>
    <dataValidation type="list" allowBlank="1" showInputMessage="1" showErrorMessage="1" sqref="B2" xr:uid="{00000000-0002-0000-0300-000002000000}">
      <formula1>"Table,Figure,Both"</formula1>
    </dataValidation>
    <dataValidation type="list" allowBlank="1" showInputMessage="1" showErrorMessage="1" sqref="B6 B15:B16" xr:uid="{00000000-0002-0000-0300-000003000000}">
      <formula1>"True,False"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7"/>
  <sheetViews>
    <sheetView workbookViewId="0">
      <selection activeCell="B19" sqref="B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8" width="8.83203125" bestFit="1" customWidth="1"/>
    <col min="9" max="9" width="9.1640625" customWidth="1"/>
    <col min="10" max="11" width="9.6640625" bestFit="1" customWidth="1"/>
    <col min="12" max="12" width="8.83203125" bestFit="1" customWidth="1"/>
    <col min="13" max="13" width="12.1640625" bestFit="1" customWidth="1"/>
    <col min="14" max="14" width="12.33203125" bestFit="1" customWidth="1"/>
    <col min="15" max="16" width="12.5" bestFit="1" customWidth="1"/>
  </cols>
  <sheetData>
    <row r="1" spans="1:17" x14ac:dyDescent="0.2">
      <c r="A1" s="16" t="s">
        <v>1077</v>
      </c>
      <c r="B1" s="79" t="s">
        <v>21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tbl-pop-growth</v>
      </c>
    </row>
    <row r="4" spans="1:17" x14ac:dyDescent="0.2">
      <c r="A4" s="16" t="s">
        <v>7</v>
      </c>
      <c r="B4" t="str">
        <f>IF($B$1="","",_xlfn.XLOOKUP($B$1,Master!$F$2:$F$321,Master!$H$2:$H$321,""))</f>
        <v>fig-pop-growth</v>
      </c>
      <c r="E4" s="8"/>
      <c r="F4" s="10" t="s">
        <v>1009</v>
      </c>
      <c r="G4" s="10" t="s">
        <v>973</v>
      </c>
      <c r="H4" s="10" t="s">
        <v>973</v>
      </c>
      <c r="I4" s="10" t="s">
        <v>973</v>
      </c>
      <c r="J4" s="10" t="s">
        <v>979</v>
      </c>
      <c r="K4" s="10" t="s">
        <v>979</v>
      </c>
      <c r="L4" s="10" t="s">
        <v>979</v>
      </c>
      <c r="M4" s="10"/>
      <c r="N4" s="10"/>
      <c r="O4" s="10"/>
      <c r="P4" s="10"/>
      <c r="Q4" s="10"/>
    </row>
    <row r="5" spans="1:17" x14ac:dyDescent="0.2">
      <c r="A5" s="83" t="s">
        <v>1081</v>
      </c>
      <c r="B5" s="80"/>
      <c r="E5" s="82" t="s">
        <v>1082</v>
      </c>
      <c r="F5" s="84" t="s">
        <v>1083</v>
      </c>
      <c r="G5" s="84" t="s">
        <v>1213</v>
      </c>
      <c r="H5" s="80"/>
      <c r="I5" s="80"/>
      <c r="J5" s="84" t="s">
        <v>1214</v>
      </c>
      <c r="K5" s="80"/>
      <c r="L5" s="80"/>
    </row>
    <row r="6" spans="1:17" ht="15" customHeight="1" x14ac:dyDescent="0.2">
      <c r="A6" t="s">
        <v>1088</v>
      </c>
      <c r="B6" t="b">
        <v>0</v>
      </c>
      <c r="E6" s="80"/>
      <c r="F6" s="80"/>
      <c r="G6" s="17">
        <v>2000</v>
      </c>
      <c r="H6" s="17">
        <v>2010</v>
      </c>
      <c r="I6" s="17">
        <v>2020</v>
      </c>
      <c r="J6" s="17" t="s">
        <v>1215</v>
      </c>
      <c r="K6" s="17" t="s">
        <v>1216</v>
      </c>
      <c r="L6" s="17" t="s">
        <v>1217</v>
      </c>
      <c r="M6" s="15"/>
      <c r="N6" s="15"/>
      <c r="O6" s="15"/>
    </row>
    <row r="7" spans="1:17" ht="15.75" customHeight="1" x14ac:dyDescent="0.2">
      <c r="E7" s="80"/>
      <c r="F7" s="16" t="s">
        <v>1096</v>
      </c>
      <c r="G7" s="28">
        <v>341367</v>
      </c>
      <c r="H7" s="28">
        <v>372813</v>
      </c>
      <c r="I7" s="28">
        <v>401310</v>
      </c>
      <c r="J7" s="17">
        <v>9.1999999999999993</v>
      </c>
      <c r="K7" s="17">
        <v>7.6</v>
      </c>
      <c r="L7" s="17">
        <v>17.600000000000001</v>
      </c>
      <c r="M7" s="15"/>
      <c r="N7" s="15"/>
      <c r="O7" s="15"/>
    </row>
    <row r="8" spans="1:17" x14ac:dyDescent="0.2">
      <c r="E8" s="80"/>
      <c r="F8" s="16" t="s">
        <v>1097</v>
      </c>
      <c r="G8" s="28">
        <v>17351</v>
      </c>
      <c r="H8" s="28">
        <v>18028</v>
      </c>
      <c r="I8" s="28">
        <v>18811</v>
      </c>
      <c r="J8" s="17">
        <v>3.9</v>
      </c>
      <c r="K8" s="17">
        <v>4.3</v>
      </c>
      <c r="L8" s="17">
        <v>8.4</v>
      </c>
      <c r="M8" s="15"/>
      <c r="N8" s="15"/>
      <c r="O8" s="15"/>
    </row>
    <row r="9" spans="1:17" x14ac:dyDescent="0.2">
      <c r="A9" s="83" t="s">
        <v>1098</v>
      </c>
      <c r="B9" s="80"/>
      <c r="E9" s="80"/>
      <c r="F9" s="47" t="s">
        <v>1099</v>
      </c>
      <c r="G9" s="17" t="s">
        <v>1218</v>
      </c>
      <c r="H9" s="28">
        <v>3234</v>
      </c>
      <c r="I9" s="28">
        <v>3973</v>
      </c>
      <c r="J9" s="17" t="s">
        <v>1210</v>
      </c>
      <c r="K9" s="17">
        <v>22.9</v>
      </c>
      <c r="L9" s="17" t="s">
        <v>1210</v>
      </c>
      <c r="M9" s="15"/>
      <c r="N9" s="15"/>
      <c r="O9" s="15"/>
    </row>
    <row r="10" spans="1:17" x14ac:dyDescent="0.2">
      <c r="A10" t="s">
        <v>1100</v>
      </c>
      <c r="E10" s="80"/>
      <c r="F10" s="47" t="s">
        <v>1101</v>
      </c>
      <c r="G10" s="28">
        <v>5851</v>
      </c>
      <c r="H10" s="28">
        <v>5899</v>
      </c>
      <c r="I10" s="28">
        <v>5657</v>
      </c>
      <c r="J10" s="17">
        <v>0.8</v>
      </c>
      <c r="K10" s="17">
        <v>-4.0999999999999996</v>
      </c>
      <c r="L10" s="17">
        <v>-3.3</v>
      </c>
    </row>
    <row r="11" spans="1:17" x14ac:dyDescent="0.2">
      <c r="A11" t="s">
        <v>1102</v>
      </c>
      <c r="E11" s="80"/>
      <c r="F11" s="16" t="s">
        <v>1103</v>
      </c>
      <c r="G11" s="28">
        <v>12140</v>
      </c>
      <c r="H11" s="28">
        <v>11981</v>
      </c>
      <c r="I11" s="28">
        <v>12646</v>
      </c>
      <c r="J11" s="17">
        <v>-1.3</v>
      </c>
      <c r="K11" s="17">
        <v>5.6</v>
      </c>
      <c r="L11" s="17">
        <v>4.2</v>
      </c>
      <c r="M11" s="17"/>
      <c r="N11" s="17"/>
    </row>
    <row r="12" spans="1:17" x14ac:dyDescent="0.2">
      <c r="A12" t="s">
        <v>1104</v>
      </c>
      <c r="E12" s="80"/>
      <c r="F12" s="49" t="s">
        <v>1105</v>
      </c>
      <c r="G12" s="28">
        <v>3445</v>
      </c>
      <c r="H12" s="28">
        <v>3969</v>
      </c>
      <c r="I12" s="28">
        <v>3993</v>
      </c>
      <c r="J12" s="17">
        <v>15.2</v>
      </c>
      <c r="K12" s="17">
        <v>0.6</v>
      </c>
      <c r="L12" s="17">
        <v>15.9</v>
      </c>
    </row>
    <row r="13" spans="1:17" x14ac:dyDescent="0.2">
      <c r="A13" t="s">
        <v>1108</v>
      </c>
      <c r="E13" s="80"/>
      <c r="F13" s="24" t="s">
        <v>1109</v>
      </c>
      <c r="G13" s="28">
        <v>12307</v>
      </c>
      <c r="H13" s="28">
        <v>12646</v>
      </c>
      <c r="I13" s="28">
        <v>12884</v>
      </c>
      <c r="J13" s="17">
        <v>2.8</v>
      </c>
      <c r="K13" s="17">
        <v>1.9</v>
      </c>
      <c r="L13" s="17">
        <v>4.7</v>
      </c>
    </row>
    <row r="14" spans="1:17" x14ac:dyDescent="0.2">
      <c r="A14" t="s">
        <v>1112</v>
      </c>
      <c r="E14" s="80"/>
      <c r="F14" s="47" t="s">
        <v>1113</v>
      </c>
      <c r="G14" s="28">
        <v>3058</v>
      </c>
      <c r="H14" s="28">
        <v>3018</v>
      </c>
      <c r="I14" s="28">
        <v>3075</v>
      </c>
      <c r="J14" s="17">
        <v>-1.3</v>
      </c>
      <c r="K14" s="17">
        <v>1.9</v>
      </c>
      <c r="L14" s="17">
        <v>0.6</v>
      </c>
    </row>
    <row r="15" spans="1:17" x14ac:dyDescent="0.2">
      <c r="A15" t="s">
        <v>1114</v>
      </c>
      <c r="E15" s="80"/>
      <c r="F15" s="16" t="s">
        <v>1115</v>
      </c>
      <c r="G15" s="28">
        <v>7875</v>
      </c>
      <c r="H15" s="28">
        <v>9316</v>
      </c>
      <c r="I15" s="28">
        <v>9130</v>
      </c>
      <c r="J15" s="17">
        <v>18.3</v>
      </c>
      <c r="K15" s="17">
        <v>-2</v>
      </c>
      <c r="L15" s="17">
        <v>15.9</v>
      </c>
    </row>
    <row r="16" spans="1:17" x14ac:dyDescent="0.2">
      <c r="A16" t="s">
        <v>1116</v>
      </c>
      <c r="E16" s="80"/>
      <c r="F16" s="16" t="s">
        <v>1117</v>
      </c>
      <c r="G16" s="28">
        <v>7858</v>
      </c>
      <c r="H16" s="28">
        <v>7901</v>
      </c>
      <c r="I16" s="28">
        <v>7509</v>
      </c>
      <c r="J16" s="17">
        <v>0.5</v>
      </c>
      <c r="K16" s="17">
        <v>-5</v>
      </c>
      <c r="L16" s="17">
        <v>-4.4000000000000004</v>
      </c>
    </row>
    <row r="17" spans="1:12" x14ac:dyDescent="0.2">
      <c r="E17" s="80"/>
      <c r="F17" s="16" t="s">
        <v>1118</v>
      </c>
      <c r="G17" s="28">
        <v>12913</v>
      </c>
      <c r="H17" s="28">
        <v>13687</v>
      </c>
      <c r="I17" s="28">
        <v>14571</v>
      </c>
      <c r="J17" s="17">
        <v>6</v>
      </c>
      <c r="K17" s="17">
        <v>6.5</v>
      </c>
      <c r="L17" s="17">
        <v>12.8</v>
      </c>
    </row>
    <row r="18" spans="1:12" x14ac:dyDescent="0.2">
      <c r="A18" s="83" t="s">
        <v>1119</v>
      </c>
      <c r="B18" s="80"/>
      <c r="E18" s="80"/>
      <c r="F18" s="47" t="s">
        <v>1120</v>
      </c>
      <c r="G18" s="28">
        <v>5676</v>
      </c>
      <c r="H18" s="28">
        <v>5454</v>
      </c>
      <c r="I18" s="28">
        <v>5777</v>
      </c>
      <c r="J18" s="17">
        <v>-3.9</v>
      </c>
      <c r="K18" s="17">
        <v>5.9</v>
      </c>
      <c r="L18" s="17">
        <v>1.8</v>
      </c>
    </row>
    <row r="19" spans="1:12" x14ac:dyDescent="0.2">
      <c r="A19" t="s">
        <v>1121</v>
      </c>
      <c r="B19" t="s">
        <v>1219</v>
      </c>
      <c r="E19" s="80"/>
      <c r="F19" s="16" t="s">
        <v>1123</v>
      </c>
      <c r="G19" s="28">
        <v>3800</v>
      </c>
      <c r="H19" s="28">
        <v>4616</v>
      </c>
      <c r="I19" s="28">
        <v>4689</v>
      </c>
      <c r="J19" s="17">
        <v>21.5</v>
      </c>
      <c r="K19" s="17">
        <v>1.6</v>
      </c>
      <c r="L19" s="17">
        <v>23.4</v>
      </c>
    </row>
    <row r="20" spans="1:12" x14ac:dyDescent="0.2">
      <c r="E20" s="80"/>
      <c r="F20" s="16" t="s">
        <v>1124</v>
      </c>
      <c r="G20" s="28">
        <v>4686</v>
      </c>
      <c r="H20" s="28">
        <v>5561</v>
      </c>
      <c r="I20" s="28">
        <v>5489</v>
      </c>
      <c r="J20" s="17">
        <v>18.7</v>
      </c>
      <c r="K20" s="17">
        <v>-1.3</v>
      </c>
      <c r="L20" s="17">
        <v>17.100000000000001</v>
      </c>
    </row>
    <row r="21" spans="1:12" x14ac:dyDescent="0.2">
      <c r="A21" s="83" t="s">
        <v>1125</v>
      </c>
      <c r="B21" s="80"/>
      <c r="E21" s="80"/>
      <c r="F21" s="25" t="s">
        <v>1126</v>
      </c>
      <c r="G21" s="28">
        <v>12484</v>
      </c>
      <c r="H21" s="28">
        <v>12492</v>
      </c>
      <c r="I21" s="28">
        <v>12939</v>
      </c>
      <c r="J21" s="17">
        <v>0.1</v>
      </c>
      <c r="K21" s="17">
        <v>3.6</v>
      </c>
      <c r="L21" s="17">
        <v>3.6</v>
      </c>
    </row>
    <row r="22" spans="1:12" x14ac:dyDescent="0.2">
      <c r="A22" t="s">
        <v>1135</v>
      </c>
      <c r="B22" t="s">
        <v>1220</v>
      </c>
      <c r="E22" s="80"/>
      <c r="F22" s="47" t="s">
        <v>1137</v>
      </c>
      <c r="G22" s="28">
        <v>3678</v>
      </c>
      <c r="H22" s="28">
        <v>3900</v>
      </c>
      <c r="I22" s="28">
        <v>3684</v>
      </c>
      <c r="J22" s="17">
        <v>6</v>
      </c>
      <c r="K22" s="17">
        <v>-5.5</v>
      </c>
      <c r="L22" s="17">
        <v>0.2</v>
      </c>
    </row>
    <row r="23" spans="1:12" x14ac:dyDescent="0.2">
      <c r="A23" s="85"/>
      <c r="B23" s="80"/>
      <c r="E23" s="80"/>
      <c r="F23" s="25" t="s">
        <v>1146</v>
      </c>
      <c r="G23" s="28">
        <v>25388</v>
      </c>
      <c r="H23" s="28">
        <v>28086</v>
      </c>
      <c r="I23" s="28">
        <v>30345</v>
      </c>
      <c r="J23" s="17">
        <v>10.6</v>
      </c>
      <c r="K23" s="17">
        <v>8</v>
      </c>
      <c r="L23" s="17">
        <v>19.5</v>
      </c>
    </row>
    <row r="24" spans="1:12" x14ac:dyDescent="0.2">
      <c r="E24" s="80"/>
      <c r="F24" s="25" t="s">
        <v>1150</v>
      </c>
      <c r="G24" s="28">
        <v>3585</v>
      </c>
      <c r="H24" s="28">
        <v>4490</v>
      </c>
      <c r="I24" s="28">
        <v>4621</v>
      </c>
      <c r="J24" s="17">
        <v>25.2</v>
      </c>
      <c r="K24" s="17">
        <v>2.9</v>
      </c>
      <c r="L24" s="17">
        <v>28.9</v>
      </c>
    </row>
    <row r="25" spans="1:12" x14ac:dyDescent="0.2">
      <c r="E25" s="80"/>
      <c r="F25" s="49" t="s">
        <v>1154</v>
      </c>
      <c r="G25" s="17">
        <v>536</v>
      </c>
      <c r="H25" s="17">
        <v>612</v>
      </c>
      <c r="I25" s="17">
        <v>592</v>
      </c>
      <c r="J25" s="17">
        <v>14.2</v>
      </c>
      <c r="K25" s="17">
        <v>-3.3</v>
      </c>
      <c r="L25" s="17">
        <v>10.4</v>
      </c>
    </row>
    <row r="26" spans="1:12" x14ac:dyDescent="0.2">
      <c r="A26" s="81"/>
      <c r="B26" s="80"/>
      <c r="E26" s="80"/>
      <c r="F26" s="27" t="s">
        <v>1158</v>
      </c>
      <c r="G26" s="28">
        <v>31407</v>
      </c>
      <c r="H26" s="28">
        <v>39912</v>
      </c>
      <c r="I26" s="28">
        <v>21387</v>
      </c>
      <c r="J26" s="17">
        <v>27.1</v>
      </c>
      <c r="K26" s="17">
        <v>-46.4</v>
      </c>
      <c r="L26" s="17">
        <v>-31.9</v>
      </c>
    </row>
    <row r="27" spans="1:12" x14ac:dyDescent="0.2">
      <c r="E27" s="80"/>
      <c r="F27" s="47" t="s">
        <v>1162</v>
      </c>
      <c r="G27" s="28">
        <v>2252</v>
      </c>
      <c r="H27" s="28">
        <v>2424</v>
      </c>
      <c r="I27" s="28">
        <v>2714</v>
      </c>
      <c r="J27" s="17">
        <v>7.6</v>
      </c>
      <c r="K27" s="17">
        <v>12</v>
      </c>
      <c r="L27" s="17">
        <v>20.5</v>
      </c>
    </row>
    <row r="28" spans="1:12" x14ac:dyDescent="0.2">
      <c r="E28" s="80"/>
      <c r="F28" s="47" t="s">
        <v>1164</v>
      </c>
      <c r="G28" s="28">
        <v>7780</v>
      </c>
      <c r="H28" s="28">
        <v>8364</v>
      </c>
      <c r="I28" s="28">
        <v>9343</v>
      </c>
      <c r="J28" s="17">
        <v>7.5</v>
      </c>
      <c r="K28" s="17">
        <v>11.7</v>
      </c>
      <c r="L28" s="17">
        <v>20.100000000000001</v>
      </c>
    </row>
    <row r="29" spans="1:12" x14ac:dyDescent="0.2">
      <c r="E29" s="80"/>
      <c r="F29" s="25" t="s">
        <v>1166</v>
      </c>
      <c r="G29" s="28">
        <v>20891</v>
      </c>
      <c r="H29" s="28">
        <v>22606</v>
      </c>
      <c r="I29" s="28">
        <v>23322</v>
      </c>
      <c r="J29" s="17">
        <v>8.1999999999999993</v>
      </c>
      <c r="K29" s="17">
        <v>3.2</v>
      </c>
      <c r="L29" s="17">
        <v>11.6</v>
      </c>
    </row>
    <row r="30" spans="1:12" x14ac:dyDescent="0.2">
      <c r="E30" s="80"/>
      <c r="F30" s="47" t="s">
        <v>1168</v>
      </c>
      <c r="G30" s="28">
        <v>3084</v>
      </c>
      <c r="H30" s="28">
        <v>2958</v>
      </c>
      <c r="I30" s="28">
        <v>3150</v>
      </c>
      <c r="J30" s="17">
        <v>-4.0999999999999996</v>
      </c>
      <c r="K30" s="17">
        <v>6.5</v>
      </c>
      <c r="L30" s="17">
        <v>2.1</v>
      </c>
    </row>
    <row r="31" spans="1:12" x14ac:dyDescent="0.2">
      <c r="E31" s="80"/>
      <c r="F31" s="47" t="s">
        <v>1170</v>
      </c>
      <c r="G31" s="28">
        <v>3636</v>
      </c>
      <c r="H31" s="28">
        <v>3814</v>
      </c>
      <c r="I31" s="28">
        <v>3834</v>
      </c>
      <c r="J31" s="17">
        <v>4.9000000000000004</v>
      </c>
      <c r="K31" s="17">
        <v>0.5</v>
      </c>
      <c r="L31" s="17">
        <v>5.4</v>
      </c>
    </row>
    <row r="32" spans="1:12" x14ac:dyDescent="0.2">
      <c r="E32" s="80"/>
      <c r="F32" s="47" t="s">
        <v>1172</v>
      </c>
      <c r="G32" s="28">
        <v>6164</v>
      </c>
      <c r="H32" s="28">
        <v>6978</v>
      </c>
      <c r="I32" s="28">
        <v>6818</v>
      </c>
      <c r="J32" s="17">
        <v>13.2</v>
      </c>
      <c r="K32" s="17">
        <v>-2.2999999999999998</v>
      </c>
      <c r="L32" s="17">
        <v>10.6</v>
      </c>
    </row>
    <row r="33" spans="5:12" x14ac:dyDescent="0.2">
      <c r="E33" s="80"/>
      <c r="F33" s="16" t="s">
        <v>1174</v>
      </c>
      <c r="G33" s="28">
        <v>6639</v>
      </c>
      <c r="H33" s="28">
        <v>7018</v>
      </c>
      <c r="I33" s="28">
        <v>6537</v>
      </c>
      <c r="J33" s="17">
        <v>5.7</v>
      </c>
      <c r="K33" s="17">
        <v>-6.9</v>
      </c>
      <c r="L33" s="17">
        <v>-1.5</v>
      </c>
    </row>
    <row r="34" spans="5:12" x14ac:dyDescent="0.2">
      <c r="E34" s="80"/>
      <c r="F34" s="47" t="s">
        <v>1178</v>
      </c>
      <c r="G34" s="17">
        <v>989</v>
      </c>
      <c r="H34" s="28">
        <v>1068</v>
      </c>
      <c r="I34" s="17">
        <v>989</v>
      </c>
      <c r="J34" s="17">
        <v>8</v>
      </c>
      <c r="K34" s="17">
        <v>-7.4</v>
      </c>
      <c r="L34" s="17">
        <v>0</v>
      </c>
    </row>
    <row r="35" spans="5:12" x14ac:dyDescent="0.2">
      <c r="E35" s="80"/>
      <c r="F35" s="25" t="s">
        <v>1180</v>
      </c>
      <c r="G35" s="28">
        <v>28259</v>
      </c>
      <c r="H35" s="28">
        <v>28866</v>
      </c>
      <c r="I35" s="28">
        <v>28856</v>
      </c>
      <c r="J35" s="17">
        <v>2.1</v>
      </c>
      <c r="K35" s="17">
        <v>0</v>
      </c>
      <c r="L35" s="17">
        <v>2.1</v>
      </c>
    </row>
    <row r="36" spans="5:12" x14ac:dyDescent="0.2">
      <c r="E36" s="80"/>
      <c r="F36" s="25" t="s">
        <v>1182</v>
      </c>
      <c r="G36" s="28">
        <v>27568</v>
      </c>
      <c r="H36" s="28">
        <v>29801</v>
      </c>
      <c r="I36" s="28">
        <v>31985</v>
      </c>
      <c r="J36" s="17">
        <v>8.1</v>
      </c>
      <c r="K36" s="17">
        <v>7.3</v>
      </c>
      <c r="L36" s="17">
        <v>16</v>
      </c>
    </row>
    <row r="37" spans="5:12" x14ac:dyDescent="0.2">
      <c r="E37" s="80"/>
      <c r="F37" s="25" t="s">
        <v>1184</v>
      </c>
      <c r="G37" s="28">
        <v>22866</v>
      </c>
      <c r="H37" s="28">
        <v>25244</v>
      </c>
      <c r="I37" s="28">
        <v>27805</v>
      </c>
      <c r="J37" s="17">
        <v>10.4</v>
      </c>
      <c r="K37" s="17">
        <v>10.1</v>
      </c>
      <c r="L37" s="17">
        <v>21.6</v>
      </c>
    </row>
    <row r="38" spans="5:12" x14ac:dyDescent="0.2">
      <c r="E38" s="80"/>
      <c r="F38" s="25" t="s">
        <v>1186</v>
      </c>
      <c r="G38" s="17" t="s">
        <v>1210</v>
      </c>
      <c r="H38" s="17" t="s">
        <v>1210</v>
      </c>
      <c r="I38" s="28">
        <v>32954</v>
      </c>
      <c r="J38" s="17" t="s">
        <v>1210</v>
      </c>
      <c r="K38" s="17" t="s">
        <v>1210</v>
      </c>
      <c r="L38" s="17" t="s">
        <v>1210</v>
      </c>
    </row>
    <row r="39" spans="5:12" x14ac:dyDescent="0.2">
      <c r="E39" s="80"/>
      <c r="F39" s="49" t="s">
        <v>1188</v>
      </c>
      <c r="G39" s="28">
        <v>13138</v>
      </c>
      <c r="H39" s="28">
        <v>20175</v>
      </c>
      <c r="I39" s="28">
        <v>32954</v>
      </c>
      <c r="J39" s="17">
        <v>53.6</v>
      </c>
      <c r="K39" s="17">
        <v>63.3</v>
      </c>
      <c r="L39" s="17">
        <v>150.80000000000001</v>
      </c>
    </row>
    <row r="40" spans="5:12" x14ac:dyDescent="0.2">
      <c r="E40" s="80"/>
      <c r="F40" s="26" t="s">
        <v>1191</v>
      </c>
      <c r="G40" s="28">
        <v>8860</v>
      </c>
      <c r="H40" s="28">
        <v>8828</v>
      </c>
      <c r="I40" s="28">
        <v>8775</v>
      </c>
      <c r="J40" s="17">
        <v>-0.4</v>
      </c>
      <c r="K40" s="17">
        <v>-0.6</v>
      </c>
      <c r="L40" s="17">
        <v>-1</v>
      </c>
    </row>
    <row r="41" spans="5:12" x14ac:dyDescent="0.2">
      <c r="E41" s="80"/>
      <c r="F41" s="16" t="s">
        <v>1195</v>
      </c>
      <c r="G41" s="28">
        <v>3334</v>
      </c>
      <c r="H41" s="28">
        <v>3624</v>
      </c>
      <c r="I41" s="28">
        <v>3811</v>
      </c>
      <c r="J41" s="17">
        <v>8.6999999999999993</v>
      </c>
      <c r="K41" s="17">
        <v>5.2</v>
      </c>
      <c r="L41" s="17">
        <v>14.3</v>
      </c>
    </row>
    <row r="42" spans="5:12" x14ac:dyDescent="0.2">
      <c r="E42" s="80"/>
      <c r="F42" s="47" t="s">
        <v>1199</v>
      </c>
      <c r="G42" s="17">
        <v>731</v>
      </c>
      <c r="H42" s="17">
        <v>623</v>
      </c>
      <c r="I42" s="17">
        <v>645</v>
      </c>
      <c r="J42" s="17">
        <v>-14.8</v>
      </c>
      <c r="K42" s="17">
        <v>3.5</v>
      </c>
      <c r="L42" s="17">
        <v>-11.8</v>
      </c>
    </row>
    <row r="43" spans="5:12" x14ac:dyDescent="0.2">
      <c r="E43" s="80"/>
      <c r="F43" s="47" t="s">
        <v>1200</v>
      </c>
      <c r="G43" s="28">
        <v>24659</v>
      </c>
      <c r="H43" s="28">
        <v>27426</v>
      </c>
      <c r="I43" s="28">
        <v>30486</v>
      </c>
      <c r="J43" s="17">
        <v>11.2</v>
      </c>
      <c r="K43" s="17">
        <v>11.2</v>
      </c>
      <c r="L43" s="17">
        <v>23.6</v>
      </c>
    </row>
    <row r="44" spans="5:12" x14ac:dyDescent="0.2">
      <c r="E44" s="80"/>
      <c r="F44" s="16" t="s">
        <v>1201</v>
      </c>
      <c r="G44" s="28">
        <v>30764</v>
      </c>
      <c r="H44" s="28">
        <v>32065</v>
      </c>
      <c r="I44" s="28">
        <v>32027</v>
      </c>
      <c r="J44" s="17">
        <v>4.2</v>
      </c>
      <c r="K44" s="17">
        <v>-0.1</v>
      </c>
      <c r="L44" s="17">
        <v>4.0999999999999996</v>
      </c>
    </row>
    <row r="45" spans="5:12" x14ac:dyDescent="0.2">
      <c r="E45" s="80"/>
      <c r="F45" s="16" t="s">
        <v>1202</v>
      </c>
      <c r="G45" s="28">
        <v>2571</v>
      </c>
      <c r="H45" s="28">
        <v>2833</v>
      </c>
      <c r="I45" s="28">
        <v>2888</v>
      </c>
      <c r="J45" s="17">
        <v>10.199999999999999</v>
      </c>
      <c r="K45" s="17">
        <v>1.9</v>
      </c>
      <c r="L45" s="17">
        <v>12.3</v>
      </c>
    </row>
    <row r="46" spans="5:12" x14ac:dyDescent="0.2">
      <c r="E46" s="80"/>
      <c r="F46" s="47" t="s">
        <v>1203</v>
      </c>
      <c r="G46" s="28">
        <v>3411</v>
      </c>
      <c r="H46" s="28">
        <v>3154</v>
      </c>
      <c r="I46" s="28">
        <v>2994</v>
      </c>
      <c r="J46" s="17">
        <v>-7.5</v>
      </c>
      <c r="K46" s="17">
        <v>-5.0999999999999996</v>
      </c>
      <c r="L46" s="17">
        <v>-12.2</v>
      </c>
    </row>
    <row r="47" spans="5:12" x14ac:dyDescent="0.2">
      <c r="E47" s="80"/>
      <c r="F47" s="47" t="s">
        <v>1204</v>
      </c>
      <c r="G47" s="28">
        <v>6412</v>
      </c>
      <c r="H47" s="28">
        <v>6731</v>
      </c>
      <c r="I47" s="28">
        <v>6652</v>
      </c>
      <c r="J47" s="17">
        <v>5</v>
      </c>
      <c r="K47" s="17">
        <v>-1.2</v>
      </c>
      <c r="L47" s="17">
        <v>3.7</v>
      </c>
    </row>
    <row r="48" spans="5:12" x14ac:dyDescent="0.2">
      <c r="E48" s="80"/>
      <c r="F48" s="47" t="s">
        <v>1205</v>
      </c>
      <c r="G48" s="28">
        <v>6273</v>
      </c>
      <c r="H48" s="28">
        <v>7266</v>
      </c>
      <c r="I48" s="28">
        <v>7534</v>
      </c>
      <c r="J48" s="17">
        <v>15.8</v>
      </c>
      <c r="K48" s="17">
        <v>3.7</v>
      </c>
      <c r="L48" s="17">
        <v>20.100000000000001</v>
      </c>
    </row>
    <row r="49" spans="5:12" x14ac:dyDescent="0.2">
      <c r="E49" s="80"/>
      <c r="F49" s="16" t="s">
        <v>1206</v>
      </c>
      <c r="G49" s="28">
        <v>9460</v>
      </c>
      <c r="H49" s="28">
        <v>11353</v>
      </c>
      <c r="I49" s="28">
        <v>12197</v>
      </c>
      <c r="J49" s="17">
        <v>20</v>
      </c>
      <c r="K49" s="17">
        <v>7.4</v>
      </c>
      <c r="L49" s="17">
        <v>28.9</v>
      </c>
    </row>
    <row r="50" spans="5:12" x14ac:dyDescent="0.2">
      <c r="E50" s="80"/>
      <c r="F50" s="16" t="s">
        <v>1207</v>
      </c>
      <c r="G50" s="17" t="s">
        <v>1210</v>
      </c>
      <c r="H50" s="28">
        <v>10686</v>
      </c>
      <c r="I50" s="28">
        <v>11526</v>
      </c>
      <c r="J50" s="17" t="s">
        <v>1210</v>
      </c>
      <c r="K50" s="17">
        <v>7.9</v>
      </c>
      <c r="L50" s="17" t="s">
        <v>1210</v>
      </c>
    </row>
    <row r="51" spans="5:12" x14ac:dyDescent="0.2">
      <c r="E51" s="80"/>
      <c r="F51" s="47" t="s">
        <v>1162</v>
      </c>
      <c r="G51" s="17" t="s">
        <v>1210</v>
      </c>
      <c r="H51" s="17" t="s">
        <v>1210</v>
      </c>
      <c r="I51" s="17" t="s">
        <v>1210</v>
      </c>
      <c r="J51" s="17" t="s">
        <v>1210</v>
      </c>
      <c r="K51" s="17" t="s">
        <v>1210</v>
      </c>
      <c r="L51" s="17" t="s">
        <v>1210</v>
      </c>
    </row>
    <row r="52" spans="5:12" x14ac:dyDescent="0.2">
      <c r="E52" s="80"/>
      <c r="F52" s="47" t="s">
        <v>1208</v>
      </c>
      <c r="G52" s="17" t="s">
        <v>1210</v>
      </c>
      <c r="H52" s="17" t="s">
        <v>1210</v>
      </c>
      <c r="I52" s="17" t="s">
        <v>1210</v>
      </c>
      <c r="J52" s="17" t="s">
        <v>1210</v>
      </c>
      <c r="K52" s="17" t="s">
        <v>1210</v>
      </c>
      <c r="L52" s="17" t="s">
        <v>1210</v>
      </c>
    </row>
    <row r="53" spans="5:12" x14ac:dyDescent="0.2">
      <c r="E53" s="80"/>
    </row>
    <row r="54" spans="5:12" x14ac:dyDescent="0.2">
      <c r="E54" s="80"/>
    </row>
    <row r="55" spans="5:12" x14ac:dyDescent="0.2">
      <c r="E55" s="80"/>
    </row>
    <row r="56" spans="5:12" x14ac:dyDescent="0.2">
      <c r="E56" s="80"/>
    </row>
    <row r="57" spans="5:12" x14ac:dyDescent="0.2">
      <c r="E57" s="80"/>
    </row>
  </sheetData>
  <mergeCells count="11">
    <mergeCell ref="J5:L5"/>
    <mergeCell ref="A26:B26"/>
    <mergeCell ref="A21:B21"/>
    <mergeCell ref="B1:O1"/>
    <mergeCell ref="F5:F6"/>
    <mergeCell ref="G5:I5"/>
    <mergeCell ref="A9:B9"/>
    <mergeCell ref="A5:B5"/>
    <mergeCell ref="A23:B23"/>
    <mergeCell ref="A18:B18"/>
    <mergeCell ref="E5:E57"/>
  </mergeCells>
  <dataValidations count="4">
    <dataValidation type="list" allowBlank="1" showInputMessage="1" showErrorMessage="1" sqref="P4:Q4" xr:uid="{00000000-0002-0000-0400-000000000000}">
      <formula1>"integer, number, percent1"</formula1>
    </dataValidation>
    <dataValidation type="list" allowBlank="1" showInputMessage="1" showErrorMessage="1" sqref="B10" xr:uid="{00000000-0002-0000-0400-000001000000}">
      <formula1>"Line,Clustered Bar,Stacked Bar,Bar,Horizontal Stacked Bar"</formula1>
    </dataValidation>
    <dataValidation type="list" allowBlank="1" showInputMessage="1" showErrorMessage="1" sqref="B2" xr:uid="{00000000-0002-0000-0400-000002000000}">
      <formula1>"Table,Figure,Both"</formula1>
    </dataValidation>
    <dataValidation type="list" allowBlank="1" showInputMessage="1" showErrorMessage="1" sqref="B6 B15:B16" xr:uid="{00000000-0002-0000-0400-000003000000}">
      <formula1>"True,False"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7"/>
  <sheetViews>
    <sheetView workbookViewId="0">
      <selection activeCell="B19" sqref="B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4.5" bestFit="1" customWidth="1"/>
    <col min="8" max="8" width="22.1640625" bestFit="1" customWidth="1"/>
    <col min="9" max="9" width="28.16406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tbl-pop-housing-density</v>
      </c>
    </row>
    <row r="4" spans="1:17" x14ac:dyDescent="0.2">
      <c r="A4" s="16" t="s">
        <v>7</v>
      </c>
      <c r="B4" t="str">
        <f>IF($B$1="","",_xlfn.XLOOKUP($B$1,Master!$F$2:$F$321,Master!$H$2:$H$321,""))</f>
        <v>fig-pop-housing-density</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1083</v>
      </c>
      <c r="G5" t="s">
        <v>1221</v>
      </c>
      <c r="H5" t="s">
        <v>1222</v>
      </c>
      <c r="I5" t="s">
        <v>1223</v>
      </c>
    </row>
    <row r="6" spans="1:17" ht="15" customHeight="1" x14ac:dyDescent="0.2">
      <c r="A6" t="s">
        <v>1088</v>
      </c>
      <c r="B6" t="b">
        <v>0</v>
      </c>
      <c r="E6" s="80"/>
      <c r="F6" s="16" t="s">
        <v>1096</v>
      </c>
      <c r="G6" s="15">
        <v>812.3</v>
      </c>
      <c r="H6" s="15">
        <v>497.1</v>
      </c>
      <c r="I6" s="15">
        <v>182.8</v>
      </c>
      <c r="J6" s="15"/>
      <c r="K6" s="15"/>
      <c r="L6" s="15"/>
      <c r="M6" s="15"/>
      <c r="N6" s="15"/>
      <c r="O6" s="15"/>
    </row>
    <row r="7" spans="1:17" ht="15.75" customHeight="1" x14ac:dyDescent="0.2">
      <c r="E7" s="80"/>
      <c r="F7" s="16" t="s">
        <v>1097</v>
      </c>
      <c r="G7" s="15">
        <v>34.700000000000003</v>
      </c>
      <c r="H7" s="15">
        <v>537.6</v>
      </c>
      <c r="I7" s="15">
        <v>198.2</v>
      </c>
      <c r="J7" s="15"/>
      <c r="K7" s="15"/>
      <c r="L7" s="15"/>
      <c r="M7" s="15"/>
      <c r="N7" s="15"/>
      <c r="O7" s="15"/>
    </row>
    <row r="8" spans="1:17" x14ac:dyDescent="0.2">
      <c r="E8" s="80"/>
      <c r="F8" s="47" t="s">
        <v>1099</v>
      </c>
      <c r="G8" s="15">
        <v>4.7</v>
      </c>
      <c r="H8" s="15">
        <v>829.1</v>
      </c>
      <c r="I8" s="15">
        <v>297</v>
      </c>
      <c r="J8" s="15"/>
      <c r="K8" s="15"/>
      <c r="L8" s="15"/>
      <c r="M8" s="15"/>
      <c r="N8" s="15"/>
      <c r="O8" s="15"/>
    </row>
    <row r="9" spans="1:17" x14ac:dyDescent="0.2">
      <c r="A9" s="83" t="s">
        <v>1098</v>
      </c>
      <c r="B9" s="80"/>
      <c r="E9" s="80"/>
      <c r="F9" s="47" t="s">
        <v>1101</v>
      </c>
      <c r="G9" s="15">
        <v>2.5</v>
      </c>
      <c r="H9" s="30">
        <v>2253.1999999999998</v>
      </c>
      <c r="I9" s="15">
        <v>860.6</v>
      </c>
      <c r="J9" s="15"/>
      <c r="K9" s="15"/>
      <c r="L9" s="15"/>
      <c r="M9" s="15"/>
      <c r="N9" s="15"/>
      <c r="O9" s="15"/>
    </row>
    <row r="10" spans="1:17" x14ac:dyDescent="0.2">
      <c r="A10" t="s">
        <v>1100</v>
      </c>
      <c r="E10" s="80"/>
      <c r="F10" s="16" t="s">
        <v>1103</v>
      </c>
      <c r="G10" s="15">
        <v>25.1</v>
      </c>
      <c r="H10" s="15">
        <v>503.8</v>
      </c>
      <c r="I10" s="15">
        <v>190.1</v>
      </c>
    </row>
    <row r="11" spans="1:17" x14ac:dyDescent="0.2">
      <c r="A11" t="s">
        <v>1102</v>
      </c>
      <c r="E11" s="80"/>
      <c r="F11" s="49" t="s">
        <v>1105</v>
      </c>
      <c r="G11" s="15">
        <v>2.2000000000000002</v>
      </c>
      <c r="H11" s="30">
        <v>1884.7</v>
      </c>
      <c r="I11" s="15">
        <v>784.7</v>
      </c>
      <c r="J11" s="17"/>
      <c r="K11" s="17"/>
      <c r="L11" s="17"/>
      <c r="M11" s="17"/>
      <c r="N11" s="17"/>
    </row>
    <row r="12" spans="1:17" x14ac:dyDescent="0.2">
      <c r="A12" t="s">
        <v>1104</v>
      </c>
      <c r="E12" s="80"/>
      <c r="F12" s="24" t="s">
        <v>1109</v>
      </c>
      <c r="G12" s="17">
        <v>26.7</v>
      </c>
      <c r="H12" s="17">
        <v>480.2</v>
      </c>
      <c r="I12" s="15">
        <v>201.3</v>
      </c>
      <c r="J12" s="15"/>
      <c r="K12" s="15"/>
      <c r="L12" s="15"/>
    </row>
    <row r="13" spans="1:17" x14ac:dyDescent="0.2">
      <c r="A13" t="s">
        <v>1108</v>
      </c>
      <c r="E13" s="80"/>
      <c r="F13" s="47" t="s">
        <v>1113</v>
      </c>
      <c r="G13" s="15">
        <v>2</v>
      </c>
      <c r="H13" s="30">
        <v>1530.7</v>
      </c>
      <c r="I13" s="15">
        <v>671.9</v>
      </c>
    </row>
    <row r="14" spans="1:17" x14ac:dyDescent="0.2">
      <c r="A14" t="s">
        <v>1112</v>
      </c>
      <c r="E14" s="80"/>
      <c r="F14" s="16" t="s">
        <v>1115</v>
      </c>
      <c r="G14" s="15">
        <v>40</v>
      </c>
      <c r="H14" s="15">
        <v>227.3</v>
      </c>
      <c r="I14" s="15">
        <v>77.3</v>
      </c>
    </row>
    <row r="15" spans="1:17" x14ac:dyDescent="0.2">
      <c r="A15" t="s">
        <v>1114</v>
      </c>
      <c r="E15" s="80"/>
      <c r="F15" s="16" t="s">
        <v>1117</v>
      </c>
      <c r="G15" s="15">
        <v>66.5</v>
      </c>
      <c r="H15" s="15">
        <v>112.4</v>
      </c>
      <c r="I15" s="15">
        <v>50.3</v>
      </c>
    </row>
    <row r="16" spans="1:17" x14ac:dyDescent="0.2">
      <c r="A16" t="s">
        <v>1116</v>
      </c>
      <c r="E16" s="80"/>
      <c r="F16" s="16" t="s">
        <v>1118</v>
      </c>
      <c r="G16" s="15">
        <v>43.6</v>
      </c>
      <c r="H16" s="15">
        <v>331.4</v>
      </c>
      <c r="I16" s="15">
        <v>123.1</v>
      </c>
    </row>
    <row r="17" spans="1:11" x14ac:dyDescent="0.2">
      <c r="E17" s="80"/>
      <c r="F17" s="47" t="s">
        <v>1120</v>
      </c>
      <c r="G17" s="15">
        <v>3.3</v>
      </c>
      <c r="H17" s="30">
        <v>1732.2</v>
      </c>
      <c r="I17" s="15">
        <v>778</v>
      </c>
    </row>
    <row r="18" spans="1:11" x14ac:dyDescent="0.2">
      <c r="A18" s="83" t="s">
        <v>1119</v>
      </c>
      <c r="B18" s="80"/>
      <c r="E18" s="80"/>
      <c r="F18" s="16" t="s">
        <v>1123</v>
      </c>
      <c r="G18" s="15">
        <v>38.9</v>
      </c>
      <c r="H18" s="15">
        <v>120.3</v>
      </c>
      <c r="I18" s="15">
        <v>45.6</v>
      </c>
    </row>
    <row r="19" spans="1:11" x14ac:dyDescent="0.2">
      <c r="A19" t="s">
        <v>1121</v>
      </c>
      <c r="B19" t="s">
        <v>1224</v>
      </c>
      <c r="E19" s="80"/>
      <c r="F19" s="16" t="s">
        <v>1124</v>
      </c>
      <c r="G19" s="15">
        <v>26.8</v>
      </c>
      <c r="H19" s="15">
        <v>205.8</v>
      </c>
      <c r="I19" s="15">
        <v>68.8</v>
      </c>
    </row>
    <row r="20" spans="1:11" x14ac:dyDescent="0.2">
      <c r="E20" s="80"/>
      <c r="F20" s="25" t="s">
        <v>1126</v>
      </c>
      <c r="G20" s="15">
        <v>30.4</v>
      </c>
      <c r="H20" s="15">
        <v>424.1</v>
      </c>
      <c r="I20" s="15">
        <v>139.5</v>
      </c>
    </row>
    <row r="21" spans="1:11" x14ac:dyDescent="0.2">
      <c r="A21" s="83" t="s">
        <v>1125</v>
      </c>
      <c r="B21" s="80"/>
      <c r="E21" s="80"/>
      <c r="F21" s="47" t="s">
        <v>1137</v>
      </c>
      <c r="G21" s="15">
        <v>1.1000000000000001</v>
      </c>
      <c r="H21" s="30">
        <v>3390.8</v>
      </c>
      <c r="I21" s="30">
        <v>1649.5</v>
      </c>
    </row>
    <row r="22" spans="1:11" x14ac:dyDescent="0.2">
      <c r="A22" t="s">
        <v>1135</v>
      </c>
      <c r="B22" t="s">
        <v>1225</v>
      </c>
      <c r="E22" s="80"/>
      <c r="F22" s="25" t="s">
        <v>1146</v>
      </c>
      <c r="G22" s="15">
        <v>5.3</v>
      </c>
      <c r="H22" s="30">
        <v>5692.5</v>
      </c>
      <c r="I22" s="30">
        <v>2075</v>
      </c>
    </row>
    <row r="23" spans="1:11" x14ac:dyDescent="0.2">
      <c r="A23" s="85"/>
      <c r="B23" s="80"/>
      <c r="E23" s="80"/>
      <c r="F23" s="25" t="s">
        <v>1150</v>
      </c>
      <c r="G23" s="15">
        <v>23</v>
      </c>
      <c r="H23" s="15">
        <v>202.1</v>
      </c>
      <c r="I23" s="15">
        <v>70.8</v>
      </c>
    </row>
    <row r="24" spans="1:11" x14ac:dyDescent="0.2">
      <c r="E24" s="80"/>
      <c r="F24" s="49" t="s">
        <v>1154</v>
      </c>
      <c r="G24" s="15">
        <v>0.3</v>
      </c>
      <c r="H24" s="30">
        <v>2206.5</v>
      </c>
      <c r="I24" s="15">
        <v>758.1</v>
      </c>
    </row>
    <row r="25" spans="1:11" x14ac:dyDescent="0.2">
      <c r="E25" s="80"/>
      <c r="F25" s="27" t="s">
        <v>1158</v>
      </c>
      <c r="G25" s="15">
        <v>18.600000000000001</v>
      </c>
      <c r="H25" s="30">
        <v>1148.2</v>
      </c>
      <c r="I25" s="15">
        <v>398.7</v>
      </c>
      <c r="K25" t="s">
        <v>1226</v>
      </c>
    </row>
    <row r="26" spans="1:11" x14ac:dyDescent="0.2">
      <c r="E26" s="80"/>
      <c r="F26" s="47" t="s">
        <v>1162</v>
      </c>
      <c r="G26" s="15">
        <v>0.5</v>
      </c>
      <c r="H26" s="30">
        <v>4352.1000000000004</v>
      </c>
      <c r="I26" s="30">
        <v>1829.2</v>
      </c>
    </row>
    <row r="27" spans="1:11" x14ac:dyDescent="0.2">
      <c r="A27" s="81"/>
      <c r="B27" s="80"/>
      <c r="E27" s="80"/>
      <c r="F27" s="47" t="s">
        <v>1164</v>
      </c>
      <c r="G27" s="15">
        <v>3.5</v>
      </c>
      <c r="H27" s="30">
        <v>2712.3</v>
      </c>
      <c r="I27" s="15">
        <v>850.7</v>
      </c>
    </row>
    <row r="28" spans="1:11" x14ac:dyDescent="0.2">
      <c r="E28" s="80"/>
      <c r="F28" s="25" t="s">
        <v>1166</v>
      </c>
      <c r="G28" s="15">
        <v>50.3</v>
      </c>
      <c r="H28" s="15">
        <v>462.3</v>
      </c>
      <c r="I28" s="15">
        <v>178.5</v>
      </c>
    </row>
    <row r="29" spans="1:11" x14ac:dyDescent="0.2">
      <c r="E29" s="80"/>
      <c r="F29" s="47" t="s">
        <v>1168</v>
      </c>
      <c r="G29" s="15">
        <v>1.4</v>
      </c>
      <c r="H29" s="30">
        <v>2331.1</v>
      </c>
      <c r="I29" s="30">
        <v>1125.2</v>
      </c>
    </row>
    <row r="30" spans="1:11" x14ac:dyDescent="0.2">
      <c r="E30" s="80"/>
      <c r="F30" s="47" t="s">
        <v>1170</v>
      </c>
      <c r="G30" s="15">
        <v>1.4</v>
      </c>
      <c r="H30" s="30">
        <v>2695</v>
      </c>
      <c r="I30" s="30">
        <v>1134.8</v>
      </c>
    </row>
    <row r="31" spans="1:11" x14ac:dyDescent="0.2">
      <c r="E31" s="80"/>
      <c r="F31" s="47" t="s">
        <v>1172</v>
      </c>
      <c r="G31" s="15">
        <v>2</v>
      </c>
      <c r="H31" s="30">
        <v>3487.8</v>
      </c>
      <c r="I31" s="30">
        <v>1462.9</v>
      </c>
      <c r="K31" t="s">
        <v>1227</v>
      </c>
    </row>
    <row r="32" spans="1:11" x14ac:dyDescent="0.2">
      <c r="E32" s="80"/>
      <c r="F32" s="16" t="s">
        <v>1174</v>
      </c>
      <c r="G32" s="15">
        <v>25.1</v>
      </c>
      <c r="H32" s="15">
        <v>258.7</v>
      </c>
      <c r="I32" s="15">
        <v>91.1</v>
      </c>
    </row>
    <row r="33" spans="5:9" x14ac:dyDescent="0.2">
      <c r="E33" s="80"/>
      <c r="F33" s="47" t="s">
        <v>1178</v>
      </c>
      <c r="G33" s="15">
        <v>0.8</v>
      </c>
      <c r="H33" s="30">
        <v>1592.1</v>
      </c>
      <c r="I33" s="15">
        <v>615.79999999999995</v>
      </c>
    </row>
    <row r="34" spans="5:9" x14ac:dyDescent="0.2">
      <c r="E34" s="80"/>
      <c r="F34" s="25" t="s">
        <v>1180</v>
      </c>
      <c r="G34" s="15">
        <v>3.8</v>
      </c>
      <c r="H34" s="30">
        <v>7519.4</v>
      </c>
      <c r="I34" s="31">
        <v>3050.9</v>
      </c>
    </row>
    <row r="35" spans="5:9" x14ac:dyDescent="0.2">
      <c r="E35" s="80"/>
      <c r="F35" s="25" t="s">
        <v>1182</v>
      </c>
      <c r="G35" s="15">
        <v>43.4</v>
      </c>
      <c r="H35" s="15">
        <v>734.9</v>
      </c>
      <c r="I35" s="17">
        <v>284.89999999999998</v>
      </c>
    </row>
    <row r="36" spans="5:9" x14ac:dyDescent="0.2">
      <c r="E36" s="80"/>
      <c r="F36" s="25" t="s">
        <v>1184</v>
      </c>
      <c r="G36" s="15">
        <v>34.1</v>
      </c>
      <c r="H36" s="15">
        <v>815.2</v>
      </c>
      <c r="I36" s="17">
        <v>332.6</v>
      </c>
    </row>
    <row r="37" spans="5:9" x14ac:dyDescent="0.2">
      <c r="E37" s="80"/>
      <c r="F37" s="25" t="s">
        <v>1186</v>
      </c>
      <c r="G37" s="15">
        <v>1.5</v>
      </c>
      <c r="H37" s="30">
        <v>25049.3</v>
      </c>
      <c r="I37" s="31">
        <v>5056.8999999999996</v>
      </c>
    </row>
    <row r="38" spans="5:9" x14ac:dyDescent="0.2">
      <c r="E38" s="80"/>
      <c r="F38" s="49" t="s">
        <v>1188</v>
      </c>
      <c r="G38" s="15">
        <v>1.5</v>
      </c>
      <c r="H38" s="30">
        <v>25049.3</v>
      </c>
      <c r="I38" s="30">
        <v>5056.8999999999996</v>
      </c>
    </row>
    <row r="39" spans="5:9" x14ac:dyDescent="0.2">
      <c r="E39" s="80"/>
      <c r="F39" s="26" t="s">
        <v>1191</v>
      </c>
      <c r="G39" s="15">
        <v>2.5</v>
      </c>
      <c r="H39" s="30">
        <v>3442.3</v>
      </c>
      <c r="I39" s="30">
        <v>1539.9</v>
      </c>
    </row>
    <row r="40" spans="5:9" x14ac:dyDescent="0.2">
      <c r="E40" s="80"/>
      <c r="F40" s="16" t="s">
        <v>1195</v>
      </c>
      <c r="G40" s="15">
        <v>47.1</v>
      </c>
      <c r="H40" s="15">
        <v>80</v>
      </c>
      <c r="I40" s="15">
        <v>37.5</v>
      </c>
    </row>
    <row r="41" spans="5:9" x14ac:dyDescent="0.2">
      <c r="E41" s="80"/>
      <c r="F41" s="47" t="s">
        <v>1199</v>
      </c>
      <c r="G41" s="15">
        <v>44.4</v>
      </c>
      <c r="H41" s="15">
        <v>69.5</v>
      </c>
      <c r="I41" s="15">
        <v>28.9</v>
      </c>
    </row>
    <row r="42" spans="5:9" x14ac:dyDescent="0.2">
      <c r="E42" s="80"/>
      <c r="F42" s="47" t="s">
        <v>1200</v>
      </c>
      <c r="G42" s="15">
        <v>2.7</v>
      </c>
      <c r="H42" s="15">
        <v>256.39999999999998</v>
      </c>
      <c r="I42" s="15">
        <v>181.2</v>
      </c>
    </row>
    <row r="43" spans="5:9" x14ac:dyDescent="0.2">
      <c r="E43" s="80"/>
      <c r="F43" s="16" t="s">
        <v>1201</v>
      </c>
      <c r="G43" s="15">
        <v>61.9</v>
      </c>
      <c r="H43" s="15">
        <v>497.5</v>
      </c>
      <c r="I43" s="15">
        <v>198.5</v>
      </c>
    </row>
    <row r="44" spans="5:9" x14ac:dyDescent="0.2">
      <c r="E44" s="80"/>
      <c r="F44" s="16" t="s">
        <v>1202</v>
      </c>
      <c r="G44" s="15">
        <v>101.3</v>
      </c>
      <c r="H44" s="15">
        <v>315</v>
      </c>
      <c r="I44" s="15">
        <v>128.80000000000001</v>
      </c>
    </row>
    <row r="45" spans="5:9" x14ac:dyDescent="0.2">
      <c r="E45" s="80"/>
      <c r="F45" s="47" t="s">
        <v>1203</v>
      </c>
      <c r="G45" s="15">
        <v>2.2999999999999998</v>
      </c>
      <c r="H45" s="30">
        <v>1295.5999999999999</v>
      </c>
      <c r="I45" s="15">
        <v>445.3</v>
      </c>
    </row>
    <row r="46" spans="5:9" x14ac:dyDescent="0.2">
      <c r="E46" s="80"/>
      <c r="F46" s="47" t="s">
        <v>1204</v>
      </c>
      <c r="G46" s="15">
        <v>2</v>
      </c>
      <c r="H46" s="30">
        <v>1496</v>
      </c>
      <c r="I46" s="15">
        <v>682.7</v>
      </c>
    </row>
    <row r="47" spans="5:9" x14ac:dyDescent="0.2">
      <c r="E47" s="80"/>
      <c r="F47" s="47" t="s">
        <v>1205</v>
      </c>
      <c r="G47" s="15">
        <v>2.4</v>
      </c>
      <c r="H47" s="30">
        <v>2726.3</v>
      </c>
      <c r="I47" s="30">
        <v>1359.7</v>
      </c>
    </row>
    <row r="48" spans="5:9" x14ac:dyDescent="0.2">
      <c r="E48" s="80"/>
      <c r="F48" s="16" t="s">
        <v>1206</v>
      </c>
      <c r="G48" s="15">
        <v>34.700000000000003</v>
      </c>
      <c r="H48" s="15">
        <v>215.9</v>
      </c>
      <c r="I48" s="15">
        <v>75.900000000000006</v>
      </c>
    </row>
    <row r="49" spans="5:9" x14ac:dyDescent="0.2">
      <c r="E49" s="80"/>
      <c r="F49" s="16" t="s">
        <v>1207</v>
      </c>
      <c r="G49" s="15">
        <v>36.1</v>
      </c>
      <c r="H49" s="15">
        <v>337.7</v>
      </c>
      <c r="I49" s="15">
        <v>116.2</v>
      </c>
    </row>
    <row r="50" spans="5:9" x14ac:dyDescent="0.2">
      <c r="E50" s="80"/>
      <c r="F50" s="47" t="s">
        <v>1162</v>
      </c>
      <c r="G50" s="15">
        <v>0.5</v>
      </c>
      <c r="H50" s="30">
        <v>1450</v>
      </c>
      <c r="I50" s="15">
        <v>498.1</v>
      </c>
    </row>
    <row r="51" spans="5:9" x14ac:dyDescent="0.2">
      <c r="E51" s="80"/>
      <c r="F51" s="47" t="s">
        <v>1208</v>
      </c>
      <c r="G51" s="15">
        <v>35.6</v>
      </c>
      <c r="H51" s="15">
        <v>321.39999999999998</v>
      </c>
      <c r="I51" s="15">
        <v>110.6</v>
      </c>
    </row>
    <row r="52" spans="5:9" x14ac:dyDescent="0.2">
      <c r="E52" s="80"/>
    </row>
    <row r="53" spans="5:9" x14ac:dyDescent="0.2">
      <c r="E53" s="80"/>
    </row>
    <row r="54" spans="5:9" x14ac:dyDescent="0.2">
      <c r="E54" s="80"/>
    </row>
    <row r="55" spans="5:9" x14ac:dyDescent="0.2">
      <c r="E55" s="80"/>
    </row>
    <row r="56" spans="5:9" x14ac:dyDescent="0.2">
      <c r="E56" s="80"/>
    </row>
    <row r="57" spans="5:9" x14ac:dyDescent="0.2">
      <c r="E57" s="80"/>
    </row>
  </sheetData>
  <mergeCells count="8">
    <mergeCell ref="B1:O1"/>
    <mergeCell ref="A21:B21"/>
    <mergeCell ref="E5:E57"/>
    <mergeCell ref="A9:B9"/>
    <mergeCell ref="A5:B5"/>
    <mergeCell ref="A23:B23"/>
    <mergeCell ref="A18:B18"/>
    <mergeCell ref="A27:B27"/>
  </mergeCells>
  <dataValidations count="4">
    <dataValidation type="list" allowBlank="1" showInputMessage="1" showErrorMessage="1" sqref="P4:Q4" xr:uid="{00000000-0002-0000-0500-000000000000}">
      <formula1>"integer, number, percent1"</formula1>
    </dataValidation>
    <dataValidation type="list" allowBlank="1" showInputMessage="1" showErrorMessage="1" sqref="B10" xr:uid="{00000000-0002-0000-0500-000001000000}">
      <formula1>"Line,Clustered Bar,Stacked Bar,Bar,Horizontal Stacked Bar"</formula1>
    </dataValidation>
    <dataValidation type="list" allowBlank="1" showInputMessage="1" showErrorMessage="1" sqref="B2" xr:uid="{00000000-0002-0000-0500-000002000000}">
      <formula1>"Table,Figure,Both"</formula1>
    </dataValidation>
    <dataValidation type="list" allowBlank="1" showInputMessage="1" showErrorMessage="1" sqref="B6 B15:B16" xr:uid="{00000000-0002-0000-0500-000003000000}">
      <formula1>"True,False"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7"/>
  <sheetViews>
    <sheetView workbookViewId="0">
      <selection activeCell="U10" sqref="U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7.6640625"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12.5" bestFit="1" customWidth="1"/>
    <col min="16" max="16" width="8" bestFit="1" customWidth="1"/>
  </cols>
  <sheetData>
    <row r="1" spans="1:18" x14ac:dyDescent="0.2">
      <c r="A1" s="16" t="s">
        <v>1077</v>
      </c>
      <c r="B1" s="79" t="s">
        <v>27</v>
      </c>
      <c r="C1" s="80"/>
      <c r="D1" s="80"/>
      <c r="E1" s="80"/>
      <c r="F1" s="80"/>
      <c r="G1" s="80"/>
      <c r="H1" s="80"/>
      <c r="I1" s="80"/>
      <c r="J1" s="80"/>
      <c r="K1" s="80"/>
      <c r="L1" s="80"/>
      <c r="M1" s="80"/>
      <c r="N1" s="80"/>
      <c r="O1" s="80"/>
    </row>
    <row r="2" spans="1:18" x14ac:dyDescent="0.2">
      <c r="A2" s="16" t="s">
        <v>1078</v>
      </c>
      <c r="B2" t="s">
        <v>1079</v>
      </c>
    </row>
    <row r="3" spans="1:18" x14ac:dyDescent="0.2">
      <c r="A3" s="16" t="s">
        <v>1080</v>
      </c>
      <c r="B3" t="str">
        <f>IF($B$1="","",_xlfn.XLOOKUP($B$1,Master!$F$2:$F$321,Master!$G$2:$G$321,""))</f>
        <v>tbl-pop-sex-age</v>
      </c>
    </row>
    <row r="4" spans="1:18" x14ac:dyDescent="0.2">
      <c r="A4" s="16" t="s">
        <v>7</v>
      </c>
      <c r="B4" t="str">
        <f>IF($B$1="","",_xlfn.XLOOKUP($B$1,Master!$F$2:$F$321,Master!$H$2:$H$321,""))</f>
        <v>fig-pop-sex-age</v>
      </c>
      <c r="E4" s="8"/>
      <c r="F4" s="10" t="s">
        <v>1009</v>
      </c>
      <c r="G4" s="10" t="s">
        <v>973</v>
      </c>
      <c r="H4" s="10" t="s">
        <v>973</v>
      </c>
      <c r="I4" s="10" t="s">
        <v>973</v>
      </c>
      <c r="J4" s="10" t="s">
        <v>973</v>
      </c>
      <c r="K4" s="10" t="s">
        <v>973</v>
      </c>
      <c r="L4" s="10" t="s">
        <v>973</v>
      </c>
      <c r="M4" s="10" t="s">
        <v>973</v>
      </c>
      <c r="N4" s="10" t="s">
        <v>973</v>
      </c>
      <c r="O4" s="10" t="s">
        <v>973</v>
      </c>
      <c r="P4" s="10" t="s">
        <v>973</v>
      </c>
      <c r="Q4" s="10" t="s">
        <v>973</v>
      </c>
      <c r="R4" s="10" t="s">
        <v>973</v>
      </c>
    </row>
    <row r="5" spans="1:18" x14ac:dyDescent="0.2">
      <c r="A5" s="83" t="s">
        <v>1081</v>
      </c>
      <c r="B5" s="80"/>
      <c r="E5" s="82" t="s">
        <v>1082</v>
      </c>
      <c r="F5" s="84" t="s">
        <v>1083</v>
      </c>
      <c r="G5" s="84" t="s">
        <v>1213</v>
      </c>
      <c r="H5" s="80"/>
      <c r="I5" s="80"/>
      <c r="J5" s="84" t="s">
        <v>1228</v>
      </c>
      <c r="K5" s="80"/>
      <c r="L5" s="80"/>
      <c r="M5" s="84" t="s">
        <v>1229</v>
      </c>
      <c r="N5" s="80"/>
      <c r="O5" s="80"/>
      <c r="P5" s="84" t="s">
        <v>1230</v>
      </c>
      <c r="Q5" s="80"/>
      <c r="R5" s="80"/>
    </row>
    <row r="6" spans="1:18" ht="15" customHeight="1" x14ac:dyDescent="0.2">
      <c r="A6" t="s">
        <v>1088</v>
      </c>
      <c r="B6" t="b">
        <v>1</v>
      </c>
      <c r="E6" s="80"/>
      <c r="F6" s="80"/>
      <c r="G6" s="17" t="s">
        <v>1089</v>
      </c>
      <c r="H6" s="17" t="s">
        <v>1094</v>
      </c>
      <c r="I6" s="17" t="s">
        <v>1095</v>
      </c>
      <c r="J6" s="17" t="s">
        <v>1089</v>
      </c>
      <c r="K6" s="17" t="s">
        <v>1094</v>
      </c>
      <c r="L6" s="17" t="s">
        <v>1095</v>
      </c>
      <c r="M6" s="17" t="s">
        <v>1089</v>
      </c>
      <c r="N6" s="17" t="s">
        <v>1094</v>
      </c>
      <c r="O6" s="17" t="s">
        <v>1095</v>
      </c>
      <c r="P6" s="17" t="s">
        <v>1089</v>
      </c>
      <c r="Q6" s="17" t="s">
        <v>1094</v>
      </c>
      <c r="R6" s="17" t="s">
        <v>1095</v>
      </c>
    </row>
    <row r="7" spans="1:18" ht="15.75" customHeight="1" x14ac:dyDescent="0.2">
      <c r="E7" s="80"/>
      <c r="F7" s="16" t="s">
        <v>1096</v>
      </c>
      <c r="G7" s="14">
        <v>403840</v>
      </c>
      <c r="H7" s="14">
        <v>201512</v>
      </c>
      <c r="I7" s="14">
        <v>202328</v>
      </c>
      <c r="J7" s="14">
        <v>103740</v>
      </c>
      <c r="K7" s="14">
        <v>53161</v>
      </c>
      <c r="L7" s="14">
        <v>50579</v>
      </c>
      <c r="M7" s="14">
        <v>157903</v>
      </c>
      <c r="N7" s="14">
        <v>80408</v>
      </c>
      <c r="O7" s="14">
        <v>77495</v>
      </c>
      <c r="P7" s="14">
        <v>57945</v>
      </c>
      <c r="Q7" s="14">
        <v>26221</v>
      </c>
      <c r="R7" s="14">
        <v>31724</v>
      </c>
    </row>
    <row r="8" spans="1:18" x14ac:dyDescent="0.2">
      <c r="E8" s="80"/>
      <c r="F8" s="16" t="s">
        <v>1097</v>
      </c>
      <c r="G8" s="14">
        <v>18672</v>
      </c>
      <c r="H8" s="14">
        <v>9133</v>
      </c>
      <c r="I8" s="14">
        <v>9539</v>
      </c>
      <c r="J8" s="14">
        <v>5333</v>
      </c>
      <c r="K8" s="14">
        <v>2906</v>
      </c>
      <c r="L8" s="14">
        <v>2427</v>
      </c>
      <c r="M8" s="14">
        <v>7299</v>
      </c>
      <c r="N8" s="14">
        <v>3507</v>
      </c>
      <c r="O8" s="14">
        <v>3792</v>
      </c>
      <c r="P8" s="14">
        <v>2275</v>
      </c>
      <c r="Q8" s="14">
        <v>1093</v>
      </c>
      <c r="R8" s="14">
        <v>1182</v>
      </c>
    </row>
    <row r="9" spans="1:18" x14ac:dyDescent="0.2">
      <c r="A9" s="83" t="s">
        <v>1098</v>
      </c>
      <c r="B9" s="80"/>
      <c r="E9" s="80"/>
      <c r="F9" s="47" t="s">
        <v>1099</v>
      </c>
      <c r="G9" s="14">
        <v>3880</v>
      </c>
      <c r="H9" s="14">
        <v>1933</v>
      </c>
      <c r="I9" s="14">
        <v>1947</v>
      </c>
      <c r="J9" s="14">
        <v>1658</v>
      </c>
      <c r="K9">
        <v>774</v>
      </c>
      <c r="L9">
        <v>884</v>
      </c>
      <c r="M9" s="14">
        <v>1552</v>
      </c>
      <c r="N9">
        <v>738</v>
      </c>
      <c r="O9">
        <v>814</v>
      </c>
      <c r="P9">
        <v>337</v>
      </c>
      <c r="Q9">
        <v>188</v>
      </c>
      <c r="R9">
        <v>149</v>
      </c>
    </row>
    <row r="10" spans="1:18" x14ac:dyDescent="0.2">
      <c r="A10" t="s">
        <v>1100</v>
      </c>
      <c r="E10" s="80"/>
      <c r="F10" s="47" t="s">
        <v>1101</v>
      </c>
      <c r="G10" s="14">
        <v>5723</v>
      </c>
      <c r="H10" s="14">
        <v>2883</v>
      </c>
      <c r="I10" s="14">
        <v>2840</v>
      </c>
      <c r="J10" s="50">
        <v>1287</v>
      </c>
      <c r="K10" s="21">
        <v>740</v>
      </c>
      <c r="L10" s="21">
        <v>547</v>
      </c>
      <c r="M10" s="50">
        <v>2353</v>
      </c>
      <c r="N10" s="50">
        <v>1384</v>
      </c>
      <c r="O10">
        <v>969</v>
      </c>
      <c r="P10">
        <v>885</v>
      </c>
      <c r="Q10">
        <v>377</v>
      </c>
      <c r="R10">
        <v>508</v>
      </c>
    </row>
    <row r="11" spans="1:18" x14ac:dyDescent="0.2">
      <c r="A11" t="s">
        <v>1102</v>
      </c>
      <c r="E11" s="80"/>
      <c r="F11" s="16" t="s">
        <v>1103</v>
      </c>
      <c r="G11" s="50">
        <v>12621</v>
      </c>
      <c r="H11" s="50">
        <v>5839</v>
      </c>
      <c r="I11" s="14">
        <v>6782</v>
      </c>
      <c r="J11" s="14">
        <v>2702</v>
      </c>
      <c r="K11" s="14">
        <v>1098</v>
      </c>
      <c r="L11" s="14">
        <v>1604</v>
      </c>
      <c r="M11" s="14">
        <v>5120</v>
      </c>
      <c r="N11" s="14">
        <v>2506</v>
      </c>
      <c r="O11" s="14">
        <v>2614</v>
      </c>
      <c r="P11" s="14">
        <v>1794</v>
      </c>
      <c r="Q11">
        <v>726</v>
      </c>
      <c r="R11" s="14">
        <v>1068</v>
      </c>
    </row>
    <row r="12" spans="1:18" x14ac:dyDescent="0.2">
      <c r="A12" t="s">
        <v>1104</v>
      </c>
      <c r="E12" s="80"/>
      <c r="F12" s="49" t="s">
        <v>1105</v>
      </c>
      <c r="G12" s="14">
        <v>4052</v>
      </c>
      <c r="H12" s="14">
        <v>1961</v>
      </c>
      <c r="I12" s="14">
        <v>2091</v>
      </c>
      <c r="J12">
        <v>738</v>
      </c>
      <c r="K12">
        <v>369</v>
      </c>
      <c r="L12">
        <v>369</v>
      </c>
      <c r="M12" s="14">
        <v>1797</v>
      </c>
      <c r="N12" s="14">
        <v>1018</v>
      </c>
      <c r="O12">
        <v>779</v>
      </c>
      <c r="P12">
        <v>550</v>
      </c>
      <c r="Q12">
        <v>221</v>
      </c>
      <c r="R12">
        <v>329</v>
      </c>
    </row>
    <row r="13" spans="1:18" x14ac:dyDescent="0.2">
      <c r="A13" t="s">
        <v>1108</v>
      </c>
      <c r="E13" s="80"/>
      <c r="F13" s="24" t="s">
        <v>1109</v>
      </c>
      <c r="G13" s="14">
        <v>12801</v>
      </c>
      <c r="H13" s="14">
        <v>6218</v>
      </c>
      <c r="I13" s="14">
        <v>6583</v>
      </c>
      <c r="J13" s="14">
        <v>2714</v>
      </c>
      <c r="K13" s="14">
        <v>1263</v>
      </c>
      <c r="L13" s="14">
        <v>1451</v>
      </c>
      <c r="M13" s="14">
        <v>4709</v>
      </c>
      <c r="N13" s="14">
        <v>2289</v>
      </c>
      <c r="O13" s="14">
        <v>2420</v>
      </c>
      <c r="P13" s="14">
        <v>2504</v>
      </c>
      <c r="Q13" s="14">
        <v>1207</v>
      </c>
      <c r="R13" s="14">
        <v>1297</v>
      </c>
    </row>
    <row r="14" spans="1:18" x14ac:dyDescent="0.2">
      <c r="A14" t="s">
        <v>1112</v>
      </c>
      <c r="E14" s="80"/>
      <c r="F14" s="47" t="s">
        <v>1113</v>
      </c>
      <c r="G14" s="14">
        <v>3046</v>
      </c>
      <c r="H14" s="14">
        <v>1460</v>
      </c>
      <c r="I14" s="14">
        <v>1586</v>
      </c>
      <c r="J14">
        <v>593</v>
      </c>
      <c r="K14">
        <v>228</v>
      </c>
      <c r="L14">
        <v>365</v>
      </c>
      <c r="M14" s="14">
        <v>1087</v>
      </c>
      <c r="N14">
        <v>484</v>
      </c>
      <c r="O14">
        <v>603</v>
      </c>
      <c r="P14">
        <v>552</v>
      </c>
      <c r="Q14">
        <v>233</v>
      </c>
      <c r="R14">
        <v>319</v>
      </c>
    </row>
    <row r="15" spans="1:18" x14ac:dyDescent="0.2">
      <c r="A15" t="s">
        <v>1114</v>
      </c>
      <c r="E15" s="80"/>
      <c r="F15" s="16" t="s">
        <v>1115</v>
      </c>
      <c r="G15" s="14">
        <v>9097</v>
      </c>
      <c r="H15" s="14">
        <v>4732</v>
      </c>
      <c r="I15" s="14">
        <v>4365</v>
      </c>
      <c r="J15" s="14">
        <v>2086</v>
      </c>
      <c r="K15" s="14">
        <v>1380</v>
      </c>
      <c r="L15">
        <v>706</v>
      </c>
      <c r="M15" s="14">
        <v>3571</v>
      </c>
      <c r="N15" s="14">
        <v>1701</v>
      </c>
      <c r="O15" s="14">
        <v>1870</v>
      </c>
      <c r="P15" s="14">
        <v>1183</v>
      </c>
      <c r="Q15">
        <v>495</v>
      </c>
      <c r="R15">
        <v>688</v>
      </c>
    </row>
    <row r="16" spans="1:18" x14ac:dyDescent="0.2">
      <c r="A16" t="s">
        <v>1116</v>
      </c>
      <c r="E16" s="80"/>
      <c r="F16" s="16" t="s">
        <v>1117</v>
      </c>
      <c r="G16" s="14">
        <v>7471</v>
      </c>
      <c r="H16" s="14">
        <v>3753</v>
      </c>
      <c r="I16" s="14">
        <v>3718</v>
      </c>
      <c r="J16" s="14">
        <v>1512</v>
      </c>
      <c r="K16">
        <v>494</v>
      </c>
      <c r="L16" s="14">
        <v>1018</v>
      </c>
      <c r="M16" s="14">
        <v>2498</v>
      </c>
      <c r="N16" s="14">
        <v>1298</v>
      </c>
      <c r="O16" s="14">
        <v>1200</v>
      </c>
      <c r="P16" s="14">
        <v>1665</v>
      </c>
      <c r="Q16">
        <v>925</v>
      </c>
      <c r="R16">
        <v>740</v>
      </c>
    </row>
    <row r="17" spans="1:18" x14ac:dyDescent="0.2">
      <c r="E17" s="80"/>
      <c r="F17" s="16" t="s">
        <v>1118</v>
      </c>
      <c r="G17" s="14">
        <v>14463</v>
      </c>
      <c r="H17" s="14">
        <v>7390</v>
      </c>
      <c r="I17" s="14">
        <v>7073</v>
      </c>
      <c r="J17" s="14">
        <v>2871</v>
      </c>
      <c r="K17" s="14">
        <v>1373</v>
      </c>
      <c r="L17" s="14">
        <v>1498</v>
      </c>
      <c r="M17" s="14">
        <v>4911</v>
      </c>
      <c r="N17" s="14">
        <v>2696</v>
      </c>
      <c r="O17" s="14">
        <v>2215</v>
      </c>
      <c r="P17" s="14">
        <v>3063</v>
      </c>
      <c r="Q17" s="14">
        <v>1307</v>
      </c>
      <c r="R17" s="14">
        <v>1756</v>
      </c>
    </row>
    <row r="18" spans="1:18" x14ac:dyDescent="0.2">
      <c r="A18" s="83" t="s">
        <v>1119</v>
      </c>
      <c r="B18" s="80"/>
      <c r="E18" s="80"/>
      <c r="F18" s="47" t="s">
        <v>1120</v>
      </c>
      <c r="G18" s="14">
        <v>5751</v>
      </c>
      <c r="H18" s="14">
        <v>2745</v>
      </c>
      <c r="I18" s="14">
        <v>3006</v>
      </c>
      <c r="J18" s="14">
        <v>1108</v>
      </c>
      <c r="K18">
        <v>594</v>
      </c>
      <c r="L18">
        <v>514</v>
      </c>
      <c r="M18" s="14">
        <v>1675</v>
      </c>
      <c r="N18">
        <v>812</v>
      </c>
      <c r="O18">
        <v>863</v>
      </c>
      <c r="P18" s="14">
        <v>1532</v>
      </c>
      <c r="Q18">
        <v>591</v>
      </c>
      <c r="R18">
        <v>941</v>
      </c>
    </row>
    <row r="19" spans="1:18" x14ac:dyDescent="0.2">
      <c r="A19" t="s">
        <v>1121</v>
      </c>
      <c r="B19" t="s">
        <v>1231</v>
      </c>
      <c r="E19" s="80"/>
      <c r="F19" s="16" t="s">
        <v>1123</v>
      </c>
      <c r="G19" s="14">
        <v>4680</v>
      </c>
      <c r="H19" s="14">
        <v>2458</v>
      </c>
      <c r="I19" s="14">
        <v>2222</v>
      </c>
      <c r="J19" s="14">
        <v>1167</v>
      </c>
      <c r="K19">
        <v>659</v>
      </c>
      <c r="L19">
        <v>508</v>
      </c>
      <c r="M19" s="14">
        <v>1869</v>
      </c>
      <c r="N19" s="14">
        <v>1015</v>
      </c>
      <c r="O19">
        <v>854</v>
      </c>
      <c r="P19">
        <v>610</v>
      </c>
      <c r="Q19">
        <v>285</v>
      </c>
      <c r="R19">
        <v>325</v>
      </c>
    </row>
    <row r="20" spans="1:18" x14ac:dyDescent="0.2">
      <c r="E20" s="80"/>
      <c r="F20" s="16" t="s">
        <v>1124</v>
      </c>
      <c r="G20" s="14">
        <v>5507</v>
      </c>
      <c r="H20" s="14">
        <v>2924</v>
      </c>
      <c r="I20" s="14">
        <v>2583</v>
      </c>
      <c r="J20" s="14">
        <v>1280</v>
      </c>
      <c r="K20">
        <v>818</v>
      </c>
      <c r="L20">
        <v>462</v>
      </c>
      <c r="M20" s="14">
        <v>1877</v>
      </c>
      <c r="N20" s="14">
        <v>1033</v>
      </c>
      <c r="O20">
        <v>844</v>
      </c>
      <c r="P20">
        <v>785</v>
      </c>
      <c r="Q20">
        <v>340</v>
      </c>
      <c r="R20">
        <v>445</v>
      </c>
    </row>
    <row r="21" spans="1:18" x14ac:dyDescent="0.2">
      <c r="A21" s="83" t="s">
        <v>1125</v>
      </c>
      <c r="B21" s="80"/>
      <c r="E21" s="80"/>
      <c r="F21" s="25" t="s">
        <v>1126</v>
      </c>
      <c r="G21" s="14">
        <v>12894</v>
      </c>
      <c r="H21" s="14">
        <v>7397</v>
      </c>
      <c r="I21" s="14">
        <v>5497</v>
      </c>
      <c r="J21" s="14">
        <v>3027</v>
      </c>
      <c r="K21" s="14">
        <v>1700</v>
      </c>
      <c r="L21" s="14">
        <v>1327</v>
      </c>
      <c r="M21" s="14">
        <v>6519</v>
      </c>
      <c r="N21" s="14">
        <v>3791</v>
      </c>
      <c r="O21" s="14">
        <v>2728</v>
      </c>
      <c r="P21" s="14">
        <v>1064</v>
      </c>
      <c r="Q21">
        <v>553</v>
      </c>
      <c r="R21">
        <v>511</v>
      </c>
    </row>
    <row r="22" spans="1:18" x14ac:dyDescent="0.2">
      <c r="A22" t="s">
        <v>1135</v>
      </c>
      <c r="B22" t="s">
        <v>1232</v>
      </c>
      <c r="E22" s="80"/>
      <c r="F22" s="47" t="s">
        <v>1137</v>
      </c>
      <c r="G22" s="14">
        <v>3696</v>
      </c>
      <c r="H22" s="14">
        <v>2000</v>
      </c>
      <c r="I22" s="14">
        <v>1696</v>
      </c>
      <c r="J22">
        <v>773</v>
      </c>
      <c r="K22">
        <v>439</v>
      </c>
      <c r="L22">
        <v>334</v>
      </c>
      <c r="M22" s="14">
        <v>1323</v>
      </c>
      <c r="N22">
        <v>694</v>
      </c>
      <c r="O22">
        <v>629</v>
      </c>
      <c r="P22">
        <v>447</v>
      </c>
      <c r="Q22">
        <v>176</v>
      </c>
      <c r="R22">
        <v>271</v>
      </c>
    </row>
    <row r="23" spans="1:18" x14ac:dyDescent="0.2">
      <c r="E23" s="80"/>
      <c r="F23" s="25" t="s">
        <v>1146</v>
      </c>
      <c r="G23" s="14">
        <v>30227</v>
      </c>
      <c r="H23" s="14">
        <v>15640</v>
      </c>
      <c r="I23" s="14">
        <v>14587</v>
      </c>
      <c r="J23" s="14">
        <v>7796</v>
      </c>
      <c r="K23" s="14">
        <v>4379</v>
      </c>
      <c r="L23" s="14">
        <v>3417</v>
      </c>
      <c r="M23" s="14">
        <v>12169</v>
      </c>
      <c r="N23" s="14">
        <v>6647</v>
      </c>
      <c r="O23" s="14">
        <v>5522</v>
      </c>
      <c r="P23" s="14">
        <v>4110</v>
      </c>
      <c r="Q23" s="14">
        <v>1855</v>
      </c>
      <c r="R23" s="14">
        <v>2255</v>
      </c>
    </row>
    <row r="24" spans="1:18" x14ac:dyDescent="0.2">
      <c r="E24" s="80"/>
      <c r="F24" s="25" t="s">
        <v>1150</v>
      </c>
      <c r="G24" s="14">
        <v>4648</v>
      </c>
      <c r="H24" s="14">
        <v>2246</v>
      </c>
      <c r="I24" s="14">
        <v>2402</v>
      </c>
      <c r="J24" s="14">
        <v>1277</v>
      </c>
      <c r="K24">
        <v>496</v>
      </c>
      <c r="L24">
        <v>781</v>
      </c>
      <c r="M24" s="14">
        <v>1806</v>
      </c>
      <c r="N24">
        <v>841</v>
      </c>
      <c r="O24">
        <v>965</v>
      </c>
      <c r="P24">
        <v>524</v>
      </c>
      <c r="Q24">
        <v>332</v>
      </c>
      <c r="R24">
        <v>192</v>
      </c>
    </row>
    <row r="25" spans="1:18" x14ac:dyDescent="0.2">
      <c r="E25" s="80"/>
      <c r="F25" s="49" t="s">
        <v>1154</v>
      </c>
      <c r="G25">
        <v>684</v>
      </c>
      <c r="H25">
        <v>282</v>
      </c>
      <c r="I25">
        <v>402</v>
      </c>
      <c r="J25">
        <v>222</v>
      </c>
      <c r="K25">
        <v>61</v>
      </c>
      <c r="L25">
        <v>161</v>
      </c>
      <c r="M25">
        <v>278</v>
      </c>
      <c r="N25">
        <v>114</v>
      </c>
      <c r="O25">
        <v>164</v>
      </c>
      <c r="P25">
        <v>79</v>
      </c>
      <c r="Q25">
        <v>38</v>
      </c>
      <c r="R25">
        <v>41</v>
      </c>
    </row>
    <row r="26" spans="1:18" x14ac:dyDescent="0.2">
      <c r="E26" s="80"/>
      <c r="F26" s="27" t="s">
        <v>1158</v>
      </c>
      <c r="G26" s="14">
        <v>21299</v>
      </c>
      <c r="H26" s="14">
        <v>9782</v>
      </c>
      <c r="I26" s="14">
        <v>11517</v>
      </c>
      <c r="J26" s="14">
        <v>5787</v>
      </c>
      <c r="K26" s="14">
        <v>2800</v>
      </c>
      <c r="L26" s="14">
        <v>2987</v>
      </c>
      <c r="M26" s="14">
        <v>7992</v>
      </c>
      <c r="N26" s="14">
        <v>3423</v>
      </c>
      <c r="O26" s="14">
        <v>4569</v>
      </c>
      <c r="P26" s="14">
        <v>3039</v>
      </c>
      <c r="Q26" s="14">
        <v>1509</v>
      </c>
      <c r="R26" s="14">
        <v>1530</v>
      </c>
    </row>
    <row r="27" spans="1:18" x14ac:dyDescent="0.2">
      <c r="A27" s="81"/>
      <c r="B27" s="80"/>
      <c r="E27" s="80"/>
      <c r="F27" s="47" t="s">
        <v>1162</v>
      </c>
      <c r="G27" s="14">
        <v>2089</v>
      </c>
      <c r="H27">
        <v>877</v>
      </c>
      <c r="I27" s="14">
        <v>1212</v>
      </c>
      <c r="J27">
        <v>598</v>
      </c>
      <c r="K27">
        <v>232</v>
      </c>
      <c r="L27">
        <v>366</v>
      </c>
      <c r="M27">
        <v>839</v>
      </c>
      <c r="N27">
        <v>399</v>
      </c>
      <c r="O27">
        <v>440</v>
      </c>
      <c r="P27">
        <v>363</v>
      </c>
      <c r="Q27">
        <v>117</v>
      </c>
      <c r="R27">
        <v>246</v>
      </c>
    </row>
    <row r="28" spans="1:18" x14ac:dyDescent="0.2">
      <c r="E28" s="80"/>
      <c r="F28" s="47" t="s">
        <v>1164</v>
      </c>
      <c r="G28" s="14">
        <v>9466</v>
      </c>
      <c r="H28" s="14">
        <v>4473</v>
      </c>
      <c r="I28" s="14">
        <v>4993</v>
      </c>
      <c r="J28" s="14">
        <v>2552</v>
      </c>
      <c r="K28" s="14">
        <v>1325</v>
      </c>
      <c r="L28" s="14">
        <v>1227</v>
      </c>
      <c r="M28" s="14">
        <v>3867</v>
      </c>
      <c r="N28" s="14">
        <v>1767</v>
      </c>
      <c r="O28" s="14">
        <v>2100</v>
      </c>
      <c r="P28">
        <v>950</v>
      </c>
      <c r="Q28">
        <v>344</v>
      </c>
      <c r="R28">
        <v>606</v>
      </c>
    </row>
    <row r="29" spans="1:18" x14ac:dyDescent="0.2">
      <c r="E29" s="80"/>
      <c r="F29" s="25" t="s">
        <v>1166</v>
      </c>
      <c r="G29" s="14">
        <v>23235</v>
      </c>
      <c r="H29" s="14">
        <v>11058</v>
      </c>
      <c r="I29" s="14">
        <v>12177</v>
      </c>
      <c r="J29" s="14">
        <v>5597</v>
      </c>
      <c r="K29" s="14">
        <v>2566</v>
      </c>
      <c r="L29" s="14">
        <v>3031</v>
      </c>
      <c r="M29" s="14">
        <v>8825</v>
      </c>
      <c r="N29" s="14">
        <v>4262</v>
      </c>
      <c r="O29" s="14">
        <v>4563</v>
      </c>
      <c r="P29" s="14">
        <v>3358</v>
      </c>
      <c r="Q29" s="14">
        <v>1473</v>
      </c>
      <c r="R29" s="14">
        <v>1885</v>
      </c>
    </row>
    <row r="30" spans="1:18" x14ac:dyDescent="0.2">
      <c r="E30" s="80"/>
      <c r="F30" s="47" t="s">
        <v>1168</v>
      </c>
      <c r="G30" s="14">
        <v>3147</v>
      </c>
      <c r="H30" s="14">
        <v>1451</v>
      </c>
      <c r="I30" s="14">
        <v>1696</v>
      </c>
      <c r="J30">
        <v>507</v>
      </c>
      <c r="K30">
        <v>202</v>
      </c>
      <c r="L30">
        <v>305</v>
      </c>
      <c r="M30" s="14">
        <v>1094</v>
      </c>
      <c r="N30">
        <v>626</v>
      </c>
      <c r="O30">
        <v>468</v>
      </c>
      <c r="P30">
        <v>660</v>
      </c>
      <c r="Q30">
        <v>273</v>
      </c>
      <c r="R30">
        <v>387</v>
      </c>
    </row>
    <row r="31" spans="1:18" x14ac:dyDescent="0.2">
      <c r="E31" s="80"/>
      <c r="F31" s="47" t="s">
        <v>1170</v>
      </c>
      <c r="G31" s="14">
        <v>3800</v>
      </c>
      <c r="H31" s="14">
        <v>1722</v>
      </c>
      <c r="I31" s="14">
        <v>2078</v>
      </c>
      <c r="J31">
        <v>962</v>
      </c>
      <c r="K31">
        <v>434</v>
      </c>
      <c r="L31">
        <v>528</v>
      </c>
      <c r="M31" s="14">
        <v>1407</v>
      </c>
      <c r="N31">
        <v>679</v>
      </c>
      <c r="O31">
        <v>728</v>
      </c>
      <c r="P31">
        <v>553</v>
      </c>
      <c r="Q31">
        <v>186</v>
      </c>
      <c r="R31">
        <v>367</v>
      </c>
    </row>
    <row r="32" spans="1:18" x14ac:dyDescent="0.2">
      <c r="E32" s="80"/>
      <c r="F32" s="47" t="s">
        <v>1172</v>
      </c>
      <c r="G32" s="14">
        <v>6871</v>
      </c>
      <c r="H32" s="14">
        <v>3498</v>
      </c>
      <c r="I32" s="14">
        <v>3373</v>
      </c>
      <c r="J32" s="14">
        <v>1664</v>
      </c>
      <c r="K32">
        <v>868</v>
      </c>
      <c r="L32">
        <v>796</v>
      </c>
      <c r="M32" s="14">
        <v>2710</v>
      </c>
      <c r="N32" s="14">
        <v>1279</v>
      </c>
      <c r="O32" s="14">
        <v>1431</v>
      </c>
      <c r="P32">
        <v>816</v>
      </c>
      <c r="Q32">
        <v>337</v>
      </c>
      <c r="R32">
        <v>479</v>
      </c>
    </row>
    <row r="33" spans="5:18" x14ac:dyDescent="0.2">
      <c r="E33" s="80"/>
      <c r="F33" s="16" t="s">
        <v>1174</v>
      </c>
      <c r="G33" s="14">
        <v>6500</v>
      </c>
      <c r="H33" s="14">
        <v>3897</v>
      </c>
      <c r="I33" s="50">
        <v>2603</v>
      </c>
      <c r="J33" s="14">
        <v>1080</v>
      </c>
      <c r="K33">
        <v>541</v>
      </c>
      <c r="L33">
        <v>539</v>
      </c>
      <c r="M33" s="14">
        <v>2476</v>
      </c>
      <c r="N33" s="14">
        <v>1540</v>
      </c>
      <c r="O33">
        <v>936</v>
      </c>
      <c r="P33" s="14">
        <v>1079</v>
      </c>
      <c r="Q33">
        <v>540</v>
      </c>
      <c r="R33">
        <v>539</v>
      </c>
    </row>
    <row r="34" spans="5:18" x14ac:dyDescent="0.2">
      <c r="E34" s="80"/>
      <c r="F34" s="47" t="s">
        <v>1178</v>
      </c>
      <c r="G34" s="14">
        <v>1210</v>
      </c>
      <c r="H34">
        <v>623</v>
      </c>
      <c r="I34" s="21">
        <v>587</v>
      </c>
      <c r="J34">
        <v>353</v>
      </c>
      <c r="K34">
        <v>148</v>
      </c>
      <c r="L34">
        <v>205</v>
      </c>
      <c r="M34">
        <v>464</v>
      </c>
      <c r="N34">
        <v>267</v>
      </c>
      <c r="O34">
        <v>197</v>
      </c>
      <c r="P34">
        <v>237</v>
      </c>
      <c r="Q34">
        <v>102</v>
      </c>
      <c r="R34">
        <v>135</v>
      </c>
    </row>
    <row r="35" spans="5:18" x14ac:dyDescent="0.2">
      <c r="E35" s="80"/>
      <c r="F35" s="25" t="s">
        <v>1180</v>
      </c>
      <c r="G35" s="14">
        <v>28649</v>
      </c>
      <c r="H35" s="14">
        <v>13424</v>
      </c>
      <c r="I35" s="50">
        <v>15225</v>
      </c>
      <c r="J35" s="14">
        <v>7379</v>
      </c>
      <c r="K35" s="14">
        <v>3882</v>
      </c>
      <c r="L35" s="14">
        <v>3497</v>
      </c>
      <c r="M35" s="14">
        <v>12569</v>
      </c>
      <c r="N35" s="14">
        <v>5909</v>
      </c>
      <c r="O35" s="14">
        <v>6660</v>
      </c>
      <c r="P35" s="14">
        <v>3540</v>
      </c>
      <c r="Q35" s="14">
        <v>1339</v>
      </c>
      <c r="R35" s="14">
        <v>2201</v>
      </c>
    </row>
    <row r="36" spans="5:18" x14ac:dyDescent="0.2">
      <c r="E36" s="80"/>
      <c r="F36" s="25" t="s">
        <v>1182</v>
      </c>
      <c r="G36" s="14">
        <v>31866</v>
      </c>
      <c r="H36" s="14">
        <v>16112</v>
      </c>
      <c r="I36" s="50">
        <v>15754</v>
      </c>
      <c r="J36" s="14">
        <v>6121</v>
      </c>
      <c r="K36" s="14">
        <v>3348</v>
      </c>
      <c r="L36" s="14">
        <v>2773</v>
      </c>
      <c r="M36" s="14">
        <v>12104</v>
      </c>
      <c r="N36" s="14">
        <v>6078</v>
      </c>
      <c r="O36" s="14">
        <v>6026</v>
      </c>
      <c r="P36" s="14">
        <v>5460</v>
      </c>
      <c r="Q36" s="14">
        <v>2695</v>
      </c>
      <c r="R36" s="14">
        <v>2765</v>
      </c>
    </row>
    <row r="37" spans="5:18" x14ac:dyDescent="0.2">
      <c r="E37" s="80"/>
      <c r="F37" s="25" t="s">
        <v>1184</v>
      </c>
      <c r="G37" s="14">
        <v>27781</v>
      </c>
      <c r="H37" s="14">
        <v>13475</v>
      </c>
      <c r="I37" s="14">
        <v>14306</v>
      </c>
      <c r="J37" s="14">
        <v>5691</v>
      </c>
      <c r="K37" s="14">
        <v>2802</v>
      </c>
      <c r="L37" s="14">
        <v>2889</v>
      </c>
      <c r="M37" s="14">
        <v>11036</v>
      </c>
      <c r="N37" s="14">
        <v>5596</v>
      </c>
      <c r="O37" s="14">
        <v>5440</v>
      </c>
      <c r="P37" s="14">
        <v>4593</v>
      </c>
      <c r="Q37" s="14">
        <v>1908</v>
      </c>
      <c r="R37" s="14">
        <v>2685</v>
      </c>
    </row>
    <row r="38" spans="5:18" x14ac:dyDescent="0.2">
      <c r="E38" s="80"/>
      <c r="F38" s="25" t="s">
        <v>1186</v>
      </c>
      <c r="G38" s="14">
        <v>36572</v>
      </c>
      <c r="H38" s="14">
        <v>18558</v>
      </c>
      <c r="I38" s="14">
        <v>18014</v>
      </c>
      <c r="J38" s="14">
        <v>20811</v>
      </c>
      <c r="K38" s="14">
        <v>10582</v>
      </c>
      <c r="L38" s="14">
        <v>10229</v>
      </c>
      <c r="M38" s="14">
        <v>14907</v>
      </c>
      <c r="N38" s="14">
        <v>7680</v>
      </c>
      <c r="O38" s="14">
        <v>7227</v>
      </c>
      <c r="P38">
        <v>969</v>
      </c>
      <c r="Q38">
        <v>424</v>
      </c>
      <c r="R38">
        <v>545</v>
      </c>
    </row>
    <row r="39" spans="5:18" x14ac:dyDescent="0.2">
      <c r="E39" s="80"/>
      <c r="F39" s="49" t="s">
        <v>1188</v>
      </c>
      <c r="G39" s="14">
        <v>36572</v>
      </c>
      <c r="H39" s="14">
        <v>18558</v>
      </c>
      <c r="I39" s="14">
        <v>18014</v>
      </c>
      <c r="J39" s="14">
        <v>20811</v>
      </c>
      <c r="K39" s="14">
        <v>10582</v>
      </c>
      <c r="L39" s="14">
        <v>10229</v>
      </c>
      <c r="M39" s="14">
        <v>14907</v>
      </c>
      <c r="N39" s="14">
        <v>7680</v>
      </c>
      <c r="O39" s="14">
        <v>7227</v>
      </c>
      <c r="P39">
        <v>969</v>
      </c>
      <c r="Q39">
        <v>424</v>
      </c>
      <c r="R39">
        <v>545</v>
      </c>
    </row>
    <row r="40" spans="5:18" x14ac:dyDescent="0.2">
      <c r="E40" s="80"/>
      <c r="F40" s="26" t="s">
        <v>1191</v>
      </c>
      <c r="G40" s="14">
        <v>8709</v>
      </c>
      <c r="H40" s="14">
        <v>4267</v>
      </c>
      <c r="I40" s="14">
        <v>4442</v>
      </c>
      <c r="J40" s="14">
        <v>1809</v>
      </c>
      <c r="K40">
        <v>875</v>
      </c>
      <c r="L40">
        <v>934</v>
      </c>
      <c r="M40" s="14">
        <v>3614</v>
      </c>
      <c r="N40" s="14">
        <v>1882</v>
      </c>
      <c r="O40" s="14">
        <v>1732</v>
      </c>
      <c r="P40" s="14">
        <v>1615</v>
      </c>
      <c r="Q40">
        <v>631</v>
      </c>
      <c r="R40">
        <v>984</v>
      </c>
    </row>
    <row r="41" spans="5:18" x14ac:dyDescent="0.2">
      <c r="E41" s="80"/>
      <c r="F41" s="16" t="s">
        <v>1195</v>
      </c>
      <c r="G41" s="14">
        <v>3765</v>
      </c>
      <c r="H41" s="14">
        <v>1975</v>
      </c>
      <c r="I41" s="14">
        <v>1790</v>
      </c>
      <c r="J41">
        <v>702</v>
      </c>
      <c r="K41">
        <v>360</v>
      </c>
      <c r="L41">
        <v>342</v>
      </c>
      <c r="M41" s="14">
        <v>1099</v>
      </c>
      <c r="N41">
        <v>600</v>
      </c>
      <c r="O41">
        <v>499</v>
      </c>
      <c r="P41">
        <v>869</v>
      </c>
      <c r="Q41">
        <v>398</v>
      </c>
      <c r="R41">
        <v>471</v>
      </c>
    </row>
    <row r="42" spans="5:18" x14ac:dyDescent="0.2">
      <c r="E42" s="80"/>
      <c r="F42" s="47" t="s">
        <v>1199</v>
      </c>
      <c r="G42" s="14">
        <v>3083</v>
      </c>
      <c r="H42" s="14">
        <v>1546</v>
      </c>
      <c r="I42" s="14">
        <v>1537</v>
      </c>
      <c r="J42">
        <v>620</v>
      </c>
      <c r="K42">
        <v>302</v>
      </c>
      <c r="L42">
        <v>318</v>
      </c>
      <c r="M42">
        <v>998</v>
      </c>
      <c r="N42">
        <v>556</v>
      </c>
      <c r="O42">
        <v>442</v>
      </c>
      <c r="P42">
        <v>692</v>
      </c>
      <c r="Q42">
        <v>304</v>
      </c>
      <c r="R42">
        <v>388</v>
      </c>
    </row>
    <row r="43" spans="5:18" x14ac:dyDescent="0.2">
      <c r="E43" s="80"/>
      <c r="F43" s="47" t="s">
        <v>1200</v>
      </c>
      <c r="G43">
        <v>682</v>
      </c>
      <c r="H43">
        <v>429</v>
      </c>
      <c r="I43">
        <v>253</v>
      </c>
      <c r="J43">
        <v>82</v>
      </c>
      <c r="K43">
        <v>58</v>
      </c>
      <c r="L43">
        <v>24</v>
      </c>
      <c r="M43">
        <v>101</v>
      </c>
      <c r="N43">
        <v>44</v>
      </c>
      <c r="O43">
        <v>57</v>
      </c>
      <c r="P43">
        <v>177</v>
      </c>
      <c r="Q43">
        <v>94</v>
      </c>
      <c r="R43">
        <v>83</v>
      </c>
    </row>
    <row r="44" spans="5:18" x14ac:dyDescent="0.2">
      <c r="E44" s="80"/>
      <c r="F44" s="16" t="s">
        <v>1201</v>
      </c>
      <c r="G44" s="14">
        <v>30790</v>
      </c>
      <c r="H44" s="14">
        <v>15650</v>
      </c>
      <c r="I44" s="14">
        <v>15140</v>
      </c>
      <c r="J44" s="14">
        <v>5920</v>
      </c>
      <c r="K44" s="14">
        <v>3193</v>
      </c>
      <c r="L44" s="14">
        <v>2727</v>
      </c>
      <c r="M44" s="14">
        <v>12150</v>
      </c>
      <c r="N44" s="14">
        <v>6415</v>
      </c>
      <c r="O44" s="14">
        <v>5735</v>
      </c>
      <c r="P44" s="14">
        <v>5176</v>
      </c>
      <c r="Q44" s="14">
        <v>2171</v>
      </c>
      <c r="R44" s="14">
        <v>3005</v>
      </c>
    </row>
    <row r="45" spans="5:18" x14ac:dyDescent="0.2">
      <c r="E45" s="80"/>
      <c r="F45" s="16" t="s">
        <v>1202</v>
      </c>
      <c r="G45" s="14">
        <v>31909</v>
      </c>
      <c r="H45" s="14">
        <v>15794</v>
      </c>
      <c r="I45" s="14">
        <v>16115</v>
      </c>
      <c r="J45" s="14">
        <v>6273</v>
      </c>
      <c r="K45" s="14">
        <v>3096</v>
      </c>
      <c r="L45" s="14">
        <v>3177</v>
      </c>
      <c r="M45" s="14">
        <v>11255</v>
      </c>
      <c r="N45" s="14">
        <v>5803</v>
      </c>
      <c r="O45" s="14">
        <v>5452</v>
      </c>
      <c r="P45" s="14">
        <v>6279</v>
      </c>
      <c r="Q45" s="14">
        <v>2773</v>
      </c>
      <c r="R45" s="14">
        <v>3506</v>
      </c>
    </row>
    <row r="46" spans="5:18" x14ac:dyDescent="0.2">
      <c r="E46" s="80"/>
      <c r="F46" s="47" t="s">
        <v>1203</v>
      </c>
      <c r="G46" s="14">
        <v>2915</v>
      </c>
      <c r="H46" s="14">
        <v>1566</v>
      </c>
      <c r="I46" s="14">
        <v>1349</v>
      </c>
      <c r="J46">
        <v>620</v>
      </c>
      <c r="K46">
        <v>413</v>
      </c>
      <c r="L46">
        <v>207</v>
      </c>
      <c r="M46" s="14">
        <v>1251</v>
      </c>
      <c r="N46">
        <v>677</v>
      </c>
      <c r="O46">
        <v>574</v>
      </c>
      <c r="P46">
        <v>442</v>
      </c>
      <c r="Q46">
        <v>188</v>
      </c>
      <c r="R46">
        <v>254</v>
      </c>
    </row>
    <row r="47" spans="5:18" x14ac:dyDescent="0.2">
      <c r="E47" s="80"/>
      <c r="F47" s="47" t="s">
        <v>1204</v>
      </c>
      <c r="G47" s="14">
        <v>3022</v>
      </c>
      <c r="H47" s="14">
        <v>1471</v>
      </c>
      <c r="I47" s="14">
        <v>1551</v>
      </c>
      <c r="J47">
        <v>529</v>
      </c>
      <c r="K47">
        <v>270</v>
      </c>
      <c r="L47">
        <v>259</v>
      </c>
      <c r="M47" s="14">
        <v>1225</v>
      </c>
      <c r="N47">
        <v>520</v>
      </c>
      <c r="O47">
        <v>705</v>
      </c>
      <c r="P47">
        <v>632</v>
      </c>
      <c r="Q47">
        <v>359</v>
      </c>
      <c r="R47">
        <v>273</v>
      </c>
    </row>
    <row r="48" spans="5:18" x14ac:dyDescent="0.2">
      <c r="E48" s="80"/>
      <c r="F48" s="47" t="s">
        <v>1205</v>
      </c>
      <c r="G48" s="14">
        <v>6625</v>
      </c>
      <c r="H48" s="14">
        <v>2921</v>
      </c>
      <c r="I48" s="14">
        <v>3704</v>
      </c>
      <c r="J48" s="14">
        <v>1274</v>
      </c>
      <c r="K48">
        <v>566</v>
      </c>
      <c r="L48">
        <v>708</v>
      </c>
      <c r="M48" s="14">
        <v>2054</v>
      </c>
      <c r="N48" s="14">
        <v>1005</v>
      </c>
      <c r="O48" s="14">
        <v>1049</v>
      </c>
      <c r="P48" s="14">
        <v>1808</v>
      </c>
      <c r="Q48">
        <v>682</v>
      </c>
      <c r="R48" s="14">
        <v>1126</v>
      </c>
    </row>
    <row r="49" spans="5:18" x14ac:dyDescent="0.2">
      <c r="E49" s="80"/>
      <c r="F49" s="16" t="s">
        <v>1206</v>
      </c>
      <c r="G49" s="14">
        <v>7493</v>
      </c>
      <c r="H49" s="14">
        <v>3585</v>
      </c>
      <c r="I49" s="14">
        <v>3908</v>
      </c>
      <c r="J49" s="14">
        <v>1726</v>
      </c>
      <c r="K49">
        <v>726</v>
      </c>
      <c r="L49" s="14">
        <v>1000</v>
      </c>
      <c r="M49" s="14">
        <v>2794</v>
      </c>
      <c r="N49" s="14">
        <v>1326</v>
      </c>
      <c r="O49" s="14">
        <v>1468</v>
      </c>
      <c r="P49" s="14">
        <v>1043</v>
      </c>
      <c r="Q49">
        <v>584</v>
      </c>
      <c r="R49">
        <v>459</v>
      </c>
    </row>
    <row r="50" spans="5:18" x14ac:dyDescent="0.2">
      <c r="E50" s="80"/>
      <c r="F50" s="16" t="s">
        <v>1207</v>
      </c>
      <c r="G50" s="14">
        <v>12191</v>
      </c>
      <c r="H50" s="14">
        <v>6205</v>
      </c>
      <c r="I50" s="14">
        <v>5986</v>
      </c>
      <c r="J50" s="14">
        <v>3079</v>
      </c>
      <c r="K50" s="14">
        <v>1824</v>
      </c>
      <c r="L50" s="14">
        <v>1255</v>
      </c>
      <c r="M50" s="14">
        <v>4734</v>
      </c>
      <c r="N50" s="14">
        <v>2570</v>
      </c>
      <c r="O50" s="14">
        <v>2164</v>
      </c>
      <c r="P50" s="14">
        <v>1348</v>
      </c>
      <c r="Q50">
        <v>658</v>
      </c>
      <c r="R50">
        <v>690</v>
      </c>
    </row>
    <row r="51" spans="5:18" x14ac:dyDescent="0.2">
      <c r="E51" s="80"/>
      <c r="F51" s="47" t="s">
        <v>1162</v>
      </c>
      <c r="G51">
        <v>754</v>
      </c>
      <c r="H51">
        <v>337</v>
      </c>
      <c r="I51">
        <v>417</v>
      </c>
      <c r="J51">
        <v>149</v>
      </c>
      <c r="K51">
        <v>103</v>
      </c>
      <c r="L51">
        <v>46</v>
      </c>
      <c r="M51">
        <v>250</v>
      </c>
      <c r="N51">
        <v>114</v>
      </c>
      <c r="O51">
        <v>136</v>
      </c>
      <c r="P51">
        <v>61</v>
      </c>
      <c r="Q51">
        <v>38</v>
      </c>
      <c r="R51">
        <v>23</v>
      </c>
    </row>
    <row r="52" spans="5:18" x14ac:dyDescent="0.2">
      <c r="E52" s="80"/>
      <c r="F52" s="47" t="s">
        <v>1208</v>
      </c>
      <c r="G52" s="14">
        <v>11437</v>
      </c>
      <c r="H52" s="14">
        <v>5868</v>
      </c>
      <c r="I52" s="14">
        <v>5569</v>
      </c>
      <c r="J52" s="14">
        <v>2930</v>
      </c>
      <c r="K52" s="14">
        <v>1721</v>
      </c>
      <c r="L52" s="14">
        <v>1209</v>
      </c>
      <c r="M52" s="14">
        <v>4484</v>
      </c>
      <c r="N52" s="14">
        <v>2456</v>
      </c>
      <c r="O52" s="14">
        <v>2028</v>
      </c>
      <c r="P52" s="14">
        <v>1287</v>
      </c>
      <c r="Q52">
        <v>620</v>
      </c>
      <c r="R52">
        <v>667</v>
      </c>
    </row>
    <row r="53" spans="5:18" x14ac:dyDescent="0.2">
      <c r="E53" s="80"/>
    </row>
    <row r="54" spans="5:18" x14ac:dyDescent="0.2">
      <c r="E54" s="80"/>
    </row>
    <row r="55" spans="5:18" x14ac:dyDescent="0.2">
      <c r="E55" s="80"/>
    </row>
    <row r="56" spans="5:18" x14ac:dyDescent="0.2">
      <c r="E56" s="80"/>
    </row>
    <row r="57" spans="5:18" x14ac:dyDescent="0.2">
      <c r="E57" s="80"/>
    </row>
  </sheetData>
  <mergeCells count="12">
    <mergeCell ref="J5:L5"/>
    <mergeCell ref="B1:O1"/>
    <mergeCell ref="A21:B21"/>
    <mergeCell ref="E5:E57"/>
    <mergeCell ref="P5:R5"/>
    <mergeCell ref="G5:I5"/>
    <mergeCell ref="A9:B9"/>
    <mergeCell ref="M5:O5"/>
    <mergeCell ref="A5:B5"/>
    <mergeCell ref="F5:F6"/>
    <mergeCell ref="A18:B18"/>
    <mergeCell ref="A27:B27"/>
  </mergeCells>
  <dataValidations disablePrompts="1" count="3">
    <dataValidation type="list" allowBlank="1" showInputMessage="1" showErrorMessage="1" sqref="B10" xr:uid="{00000000-0002-0000-0600-000000000000}">
      <formula1>"Line,Clustered Bar,Stacked Bar,Bar,Horizontal Stacked Bar"</formula1>
    </dataValidation>
    <dataValidation type="list" allowBlank="1" showInputMessage="1" showErrorMessage="1" sqref="B2" xr:uid="{00000000-0002-0000-0600-000001000000}">
      <formula1>"Table,Figure,Both"</formula1>
    </dataValidation>
    <dataValidation type="list" allowBlank="1" showInputMessage="1" showErrorMessage="1" sqref="B6 B15:B16" xr:uid="{00000000-0002-0000-0600-000002000000}">
      <formula1>"True,False"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11.5" bestFit="1" customWidth="1"/>
    <col min="12" max="12" width="36.1640625" bestFit="1" customWidth="1"/>
    <col min="13" max="13" width="22.33203125" bestFit="1" customWidth="1"/>
    <col min="14" max="14" width="17.83203125" bestFit="1" customWidth="1"/>
    <col min="15" max="15" width="16.6640625" bestFit="1" customWidth="1"/>
    <col min="16" max="16" width="20.5" bestFit="1" customWidth="1"/>
  </cols>
  <sheetData>
    <row r="1" spans="1:17" x14ac:dyDescent="0.2">
      <c r="A1" s="16" t="s">
        <v>1077</v>
      </c>
      <c r="B1" s="79" t="s">
        <v>33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tbl-pop-race-ethnicity</v>
      </c>
    </row>
    <row r="4" spans="1:17" x14ac:dyDescent="0.2">
      <c r="A4" s="16" t="s">
        <v>7</v>
      </c>
      <c r="B4" t="str">
        <f>IF($B$1="","",_xlfn.XLOOKUP($B$1,Master!$F$2:$F$321,Master!$H$2:$H$321,""))</f>
        <v>fig-pop-race-ethnicity</v>
      </c>
      <c r="E4" s="8"/>
      <c r="F4" s="10" t="s">
        <v>1009</v>
      </c>
      <c r="G4" s="10" t="s">
        <v>973</v>
      </c>
      <c r="H4" s="10" t="s">
        <v>973</v>
      </c>
      <c r="I4" s="10" t="s">
        <v>973</v>
      </c>
      <c r="J4" s="10" t="s">
        <v>973</v>
      </c>
      <c r="K4" s="10" t="s">
        <v>973</v>
      </c>
      <c r="L4" s="10" t="s">
        <v>973</v>
      </c>
      <c r="M4" s="10" t="s">
        <v>973</v>
      </c>
      <c r="N4" s="10" t="s">
        <v>973</v>
      </c>
      <c r="O4" s="10" t="s">
        <v>973</v>
      </c>
      <c r="P4" s="10" t="s">
        <v>973</v>
      </c>
      <c r="Q4" s="10"/>
    </row>
    <row r="5" spans="1:17" x14ac:dyDescent="0.2">
      <c r="A5" s="83" t="s">
        <v>1081</v>
      </c>
      <c r="B5" s="80"/>
      <c r="E5" s="82" t="s">
        <v>1082</v>
      </c>
      <c r="F5" t="s">
        <v>1083</v>
      </c>
      <c r="G5" s="17" t="s">
        <v>1233</v>
      </c>
      <c r="H5" s="17" t="s">
        <v>1234</v>
      </c>
      <c r="I5" s="17" t="s">
        <v>1235</v>
      </c>
      <c r="J5" s="17" t="s">
        <v>1236</v>
      </c>
      <c r="K5" s="17" t="s">
        <v>1237</v>
      </c>
      <c r="L5" s="17" t="s">
        <v>1238</v>
      </c>
      <c r="M5" s="17" t="s">
        <v>1239</v>
      </c>
      <c r="N5" s="17" t="s">
        <v>1240</v>
      </c>
      <c r="O5" s="17" t="s">
        <v>1241</v>
      </c>
      <c r="P5" s="17" t="s">
        <v>1242</v>
      </c>
    </row>
    <row r="6" spans="1:17" ht="15" customHeight="1" x14ac:dyDescent="0.2">
      <c r="A6" t="s">
        <v>1088</v>
      </c>
      <c r="B6" t="b">
        <v>0</v>
      </c>
      <c r="E6" s="80"/>
      <c r="F6" t="s">
        <v>1096</v>
      </c>
      <c r="G6" s="28">
        <v>401310</v>
      </c>
      <c r="H6" s="28">
        <v>248085</v>
      </c>
      <c r="I6" s="28">
        <v>45543</v>
      </c>
      <c r="J6" s="28">
        <v>2949</v>
      </c>
      <c r="K6" s="28">
        <v>12025</v>
      </c>
      <c r="L6" s="17">
        <v>185</v>
      </c>
      <c r="M6" s="28">
        <v>52023</v>
      </c>
      <c r="N6" s="28">
        <v>40500</v>
      </c>
      <c r="O6" s="28">
        <v>89744</v>
      </c>
      <c r="P6" s="28">
        <v>311566</v>
      </c>
    </row>
    <row r="7" spans="1:17" ht="15.75" customHeight="1" x14ac:dyDescent="0.2">
      <c r="E7" s="80"/>
      <c r="F7" t="s">
        <v>1097</v>
      </c>
      <c r="G7" s="28">
        <v>18811</v>
      </c>
      <c r="H7" s="28">
        <v>12738</v>
      </c>
      <c r="I7" s="28">
        <v>1539</v>
      </c>
      <c r="J7" s="17">
        <v>121</v>
      </c>
      <c r="K7" s="17">
        <v>416</v>
      </c>
      <c r="L7" s="17">
        <v>7</v>
      </c>
      <c r="M7" s="28">
        <v>1784</v>
      </c>
      <c r="N7" s="28">
        <v>2206</v>
      </c>
      <c r="O7" s="28">
        <v>3913</v>
      </c>
      <c r="P7" s="28">
        <v>14898</v>
      </c>
    </row>
    <row r="8" spans="1:17" x14ac:dyDescent="0.2">
      <c r="E8" s="80"/>
      <c r="F8" t="s">
        <v>1099</v>
      </c>
      <c r="G8" s="28">
        <v>3973</v>
      </c>
      <c r="H8" s="28">
        <v>2786</v>
      </c>
      <c r="I8" s="17">
        <v>311</v>
      </c>
      <c r="J8" s="17">
        <v>25</v>
      </c>
      <c r="K8" s="17">
        <v>52</v>
      </c>
      <c r="L8" s="17">
        <v>5</v>
      </c>
      <c r="M8" s="17">
        <v>484</v>
      </c>
      <c r="N8" s="17">
        <v>310</v>
      </c>
      <c r="O8" s="17">
        <v>555</v>
      </c>
      <c r="P8" s="28">
        <v>3418</v>
      </c>
    </row>
    <row r="9" spans="1:17" x14ac:dyDescent="0.2">
      <c r="A9" s="83" t="s">
        <v>1098</v>
      </c>
      <c r="B9" s="80"/>
      <c r="E9" s="80"/>
      <c r="F9" t="s">
        <v>1101</v>
      </c>
      <c r="G9" s="28">
        <v>5657</v>
      </c>
      <c r="H9" s="28">
        <v>3555</v>
      </c>
      <c r="I9" s="17">
        <v>630</v>
      </c>
      <c r="J9" s="17">
        <v>26</v>
      </c>
      <c r="K9" s="17">
        <v>131</v>
      </c>
      <c r="L9" s="17">
        <v>1</v>
      </c>
      <c r="M9" s="17">
        <v>590</v>
      </c>
      <c r="N9" s="17">
        <v>724</v>
      </c>
      <c r="O9" s="28">
        <v>1466</v>
      </c>
      <c r="P9" s="28">
        <v>4191</v>
      </c>
    </row>
    <row r="10" spans="1:17" x14ac:dyDescent="0.2">
      <c r="A10" t="s">
        <v>1100</v>
      </c>
      <c r="E10" s="80"/>
      <c r="F10" t="s">
        <v>1103</v>
      </c>
      <c r="G10" s="28">
        <v>12646</v>
      </c>
      <c r="H10" s="28">
        <v>8574</v>
      </c>
      <c r="I10" s="28">
        <v>1188</v>
      </c>
      <c r="J10" s="17">
        <v>53</v>
      </c>
      <c r="K10" s="17">
        <v>513</v>
      </c>
      <c r="L10" s="17">
        <v>2</v>
      </c>
      <c r="M10" s="17">
        <v>984</v>
      </c>
      <c r="N10" s="28">
        <v>1332</v>
      </c>
      <c r="O10" s="28">
        <v>2446</v>
      </c>
      <c r="P10" s="28">
        <v>10200</v>
      </c>
    </row>
    <row r="11" spans="1:17" x14ac:dyDescent="0.2">
      <c r="A11" t="s">
        <v>1102</v>
      </c>
      <c r="E11" s="80"/>
      <c r="F11" t="s">
        <v>1105</v>
      </c>
      <c r="G11" s="28">
        <v>3993</v>
      </c>
      <c r="H11" s="28">
        <v>2287</v>
      </c>
      <c r="I11" s="17">
        <v>611</v>
      </c>
      <c r="J11" s="17">
        <v>33</v>
      </c>
      <c r="K11" s="17">
        <v>212</v>
      </c>
      <c r="L11" s="17">
        <v>2</v>
      </c>
      <c r="M11" s="17">
        <v>417</v>
      </c>
      <c r="N11" s="17">
        <v>431</v>
      </c>
      <c r="O11" s="17">
        <v>912</v>
      </c>
      <c r="P11" s="28">
        <v>3081</v>
      </c>
    </row>
    <row r="12" spans="1:17" x14ac:dyDescent="0.2">
      <c r="A12" t="s">
        <v>1104</v>
      </c>
      <c r="E12" s="80"/>
      <c r="F12" s="21" t="s">
        <v>1109</v>
      </c>
      <c r="G12" s="28">
        <v>12884</v>
      </c>
      <c r="H12" s="28">
        <v>10225</v>
      </c>
      <c r="I12" s="17">
        <v>466</v>
      </c>
      <c r="J12" s="17">
        <v>37</v>
      </c>
      <c r="K12" s="17">
        <v>412</v>
      </c>
      <c r="L12" s="17">
        <v>5</v>
      </c>
      <c r="M12" s="17">
        <v>585</v>
      </c>
      <c r="N12" s="28">
        <v>1154</v>
      </c>
      <c r="O12" s="28">
        <v>1664</v>
      </c>
      <c r="P12" s="28">
        <v>11220</v>
      </c>
    </row>
    <row r="13" spans="1:17" x14ac:dyDescent="0.2">
      <c r="A13" t="s">
        <v>1108</v>
      </c>
      <c r="E13" s="80"/>
      <c r="F13" t="s">
        <v>1113</v>
      </c>
      <c r="G13" s="28">
        <v>3075</v>
      </c>
      <c r="H13" s="28">
        <v>2598</v>
      </c>
      <c r="I13" s="17">
        <v>82</v>
      </c>
      <c r="J13" s="17">
        <v>9</v>
      </c>
      <c r="K13" s="17">
        <v>51</v>
      </c>
      <c r="L13" s="17">
        <v>3</v>
      </c>
      <c r="M13" s="17">
        <v>65</v>
      </c>
      <c r="N13" s="17">
        <v>267</v>
      </c>
      <c r="O13" s="17">
        <v>277</v>
      </c>
      <c r="P13" s="28">
        <v>2798</v>
      </c>
    </row>
    <row r="14" spans="1:17" x14ac:dyDescent="0.2">
      <c r="A14" t="s">
        <v>1112</v>
      </c>
      <c r="E14" s="80"/>
      <c r="F14" t="s">
        <v>1115</v>
      </c>
      <c r="G14" s="28">
        <v>9130</v>
      </c>
      <c r="H14" s="28">
        <v>7187</v>
      </c>
      <c r="I14" s="17">
        <v>390</v>
      </c>
      <c r="J14" s="17">
        <v>38</v>
      </c>
      <c r="K14" s="17">
        <v>152</v>
      </c>
      <c r="L14" s="17">
        <v>1</v>
      </c>
      <c r="M14" s="17">
        <v>439</v>
      </c>
      <c r="N14" s="17">
        <v>923</v>
      </c>
      <c r="O14" s="28">
        <v>1370</v>
      </c>
      <c r="P14" s="28">
        <v>7760</v>
      </c>
    </row>
    <row r="15" spans="1:17" x14ac:dyDescent="0.2">
      <c r="A15" t="s">
        <v>1114</v>
      </c>
      <c r="E15" s="80"/>
      <c r="F15" t="s">
        <v>1117</v>
      </c>
      <c r="G15" s="28">
        <v>7509</v>
      </c>
      <c r="H15" s="28">
        <v>6083</v>
      </c>
      <c r="I15" s="17">
        <v>240</v>
      </c>
      <c r="J15" s="17">
        <v>37</v>
      </c>
      <c r="K15" s="17">
        <v>334</v>
      </c>
      <c r="L15" s="17">
        <v>3</v>
      </c>
      <c r="M15" s="17">
        <v>188</v>
      </c>
      <c r="N15" s="17">
        <v>624</v>
      </c>
      <c r="O15" s="17">
        <v>657</v>
      </c>
      <c r="P15" s="28">
        <v>6852</v>
      </c>
    </row>
    <row r="16" spans="1:17" x14ac:dyDescent="0.2">
      <c r="A16" t="s">
        <v>1116</v>
      </c>
      <c r="E16" s="80"/>
      <c r="F16" t="s">
        <v>1118</v>
      </c>
      <c r="G16" s="28">
        <v>14571</v>
      </c>
      <c r="H16" s="28">
        <v>10315</v>
      </c>
      <c r="I16" s="28">
        <v>1026</v>
      </c>
      <c r="J16" s="17">
        <v>68</v>
      </c>
      <c r="K16" s="17">
        <v>491</v>
      </c>
      <c r="L16" s="17">
        <v>3</v>
      </c>
      <c r="M16" s="28">
        <v>1196</v>
      </c>
      <c r="N16" s="28">
        <v>1472</v>
      </c>
      <c r="O16" s="28">
        <v>3133</v>
      </c>
      <c r="P16" s="28">
        <v>11438</v>
      </c>
    </row>
    <row r="17" spans="1:16" x14ac:dyDescent="0.2">
      <c r="E17" s="80"/>
      <c r="F17" t="s">
        <v>1120</v>
      </c>
      <c r="G17" s="28">
        <v>5777</v>
      </c>
      <c r="H17" s="28">
        <v>4230</v>
      </c>
      <c r="I17" s="17">
        <v>303</v>
      </c>
      <c r="J17" s="17">
        <v>31</v>
      </c>
      <c r="K17" s="17">
        <v>185</v>
      </c>
      <c r="L17" s="17">
        <v>2</v>
      </c>
      <c r="M17" s="17">
        <v>509</v>
      </c>
      <c r="N17" s="17">
        <v>517</v>
      </c>
      <c r="O17" s="28">
        <v>1205</v>
      </c>
      <c r="P17" s="28">
        <v>4572</v>
      </c>
    </row>
    <row r="18" spans="1:16" x14ac:dyDescent="0.2">
      <c r="A18" s="83" t="s">
        <v>1119</v>
      </c>
      <c r="B18" s="80"/>
      <c r="E18" s="80"/>
      <c r="F18" t="s">
        <v>1123</v>
      </c>
      <c r="G18" s="28">
        <v>4689</v>
      </c>
      <c r="H18" s="28">
        <v>3828</v>
      </c>
      <c r="I18" s="17">
        <v>164</v>
      </c>
      <c r="J18" s="17">
        <v>17</v>
      </c>
      <c r="K18" s="17">
        <v>55</v>
      </c>
      <c r="L18" s="17">
        <v>0</v>
      </c>
      <c r="M18" s="17">
        <v>229</v>
      </c>
      <c r="N18" s="17">
        <v>396</v>
      </c>
      <c r="O18" s="17">
        <v>626</v>
      </c>
      <c r="P18" s="28">
        <v>4063</v>
      </c>
    </row>
    <row r="19" spans="1:16" x14ac:dyDescent="0.2">
      <c r="A19" t="s">
        <v>1121</v>
      </c>
      <c r="B19" t="s">
        <v>1211</v>
      </c>
      <c r="E19" s="80"/>
      <c r="F19" t="s">
        <v>1124</v>
      </c>
      <c r="G19" s="28">
        <v>5489</v>
      </c>
      <c r="H19" s="28">
        <v>4274</v>
      </c>
      <c r="I19" s="17">
        <v>189</v>
      </c>
      <c r="J19" s="17">
        <v>20</v>
      </c>
      <c r="K19" s="17">
        <v>204</v>
      </c>
      <c r="L19" s="17">
        <v>0</v>
      </c>
      <c r="M19" s="17">
        <v>227</v>
      </c>
      <c r="N19" s="17">
        <v>575</v>
      </c>
      <c r="O19" s="17">
        <v>797</v>
      </c>
      <c r="P19" s="28">
        <v>4692</v>
      </c>
    </row>
    <row r="20" spans="1:16" x14ac:dyDescent="0.2">
      <c r="E20" s="80"/>
      <c r="F20" s="15" t="s">
        <v>1126</v>
      </c>
      <c r="G20" s="28">
        <v>12939</v>
      </c>
      <c r="H20" s="28">
        <v>8655</v>
      </c>
      <c r="I20" s="28">
        <v>1435</v>
      </c>
      <c r="J20" s="17">
        <v>137</v>
      </c>
      <c r="K20" s="17">
        <v>613</v>
      </c>
      <c r="L20" s="17">
        <v>31</v>
      </c>
      <c r="M20" s="17">
        <v>893</v>
      </c>
      <c r="N20" s="28">
        <v>1175</v>
      </c>
      <c r="O20" s="28">
        <v>2066</v>
      </c>
      <c r="P20" s="28">
        <v>10873</v>
      </c>
    </row>
    <row r="21" spans="1:16" x14ac:dyDescent="0.2">
      <c r="A21" s="83" t="s">
        <v>1125</v>
      </c>
      <c r="B21" s="80"/>
      <c r="E21" s="80"/>
      <c r="F21" s="15" t="s">
        <v>1137</v>
      </c>
      <c r="G21" s="28">
        <v>3684</v>
      </c>
      <c r="H21" s="28">
        <v>2100</v>
      </c>
      <c r="I21" s="17">
        <v>561</v>
      </c>
      <c r="J21" s="17">
        <v>54</v>
      </c>
      <c r="K21" s="17">
        <v>110</v>
      </c>
      <c r="L21" s="17">
        <v>3</v>
      </c>
      <c r="M21" s="17">
        <v>441</v>
      </c>
      <c r="N21" s="17">
        <v>415</v>
      </c>
      <c r="O21" s="17">
        <v>947</v>
      </c>
      <c r="P21" s="28">
        <v>2737</v>
      </c>
    </row>
    <row r="22" spans="1:16" x14ac:dyDescent="0.2">
      <c r="A22" t="s">
        <v>1135</v>
      </c>
      <c r="B22" t="s">
        <v>1243</v>
      </c>
      <c r="E22" s="80"/>
      <c r="F22" s="15" t="s">
        <v>1146</v>
      </c>
      <c r="G22" s="28">
        <v>30345</v>
      </c>
      <c r="H22" s="28">
        <v>9983</v>
      </c>
      <c r="I22" s="28">
        <v>7116</v>
      </c>
      <c r="J22" s="17">
        <v>424</v>
      </c>
      <c r="K22" s="28">
        <v>1165</v>
      </c>
      <c r="L22" s="17">
        <v>14</v>
      </c>
      <c r="M22" s="28">
        <v>7284</v>
      </c>
      <c r="N22" s="28">
        <v>4359</v>
      </c>
      <c r="O22" s="28">
        <v>13243</v>
      </c>
      <c r="P22" s="28">
        <v>17102</v>
      </c>
    </row>
    <row r="23" spans="1:16" x14ac:dyDescent="0.2">
      <c r="E23" s="80"/>
      <c r="F23" s="15" t="s">
        <v>1150</v>
      </c>
      <c r="G23" s="28">
        <v>4621</v>
      </c>
      <c r="H23" s="28">
        <v>3829</v>
      </c>
      <c r="I23" s="17">
        <v>177</v>
      </c>
      <c r="J23" s="17">
        <v>8</v>
      </c>
      <c r="K23" s="17">
        <v>49</v>
      </c>
      <c r="L23" s="17">
        <v>0</v>
      </c>
      <c r="M23" s="17">
        <v>188</v>
      </c>
      <c r="N23" s="17">
        <v>370</v>
      </c>
      <c r="O23" s="17">
        <v>618</v>
      </c>
      <c r="P23" s="28">
        <v>4003</v>
      </c>
    </row>
    <row r="24" spans="1:16" x14ac:dyDescent="0.2">
      <c r="E24" s="80"/>
      <c r="F24" t="s">
        <v>1154</v>
      </c>
      <c r="G24" s="17">
        <v>592</v>
      </c>
      <c r="H24" s="17">
        <v>505</v>
      </c>
      <c r="I24" s="17">
        <v>27</v>
      </c>
      <c r="J24" s="17">
        <v>0</v>
      </c>
      <c r="K24" s="17">
        <v>4</v>
      </c>
      <c r="L24" s="17">
        <v>0</v>
      </c>
      <c r="M24" s="17">
        <v>23</v>
      </c>
      <c r="N24" s="17">
        <v>33</v>
      </c>
      <c r="O24" s="17">
        <v>53</v>
      </c>
      <c r="P24" s="17">
        <v>539</v>
      </c>
    </row>
    <row r="25" spans="1:16" x14ac:dyDescent="0.2">
      <c r="E25" s="80"/>
      <c r="F25" s="15" t="s">
        <v>1158</v>
      </c>
      <c r="G25" s="28">
        <v>21387</v>
      </c>
      <c r="H25" s="28">
        <v>13246</v>
      </c>
      <c r="I25" s="28">
        <v>1685</v>
      </c>
      <c r="J25" s="17">
        <v>137</v>
      </c>
      <c r="K25" s="28">
        <v>1221</v>
      </c>
      <c r="L25" s="17">
        <v>6</v>
      </c>
      <c r="M25" s="28">
        <v>2833</v>
      </c>
      <c r="N25" s="28">
        <v>2259</v>
      </c>
      <c r="O25" s="28">
        <v>5342</v>
      </c>
      <c r="P25" s="28">
        <v>16045</v>
      </c>
    </row>
    <row r="26" spans="1:16" x14ac:dyDescent="0.2">
      <c r="E26" s="80"/>
      <c r="F26" s="15" t="s">
        <v>1244</v>
      </c>
      <c r="G26" s="28">
        <v>2714</v>
      </c>
      <c r="H26" s="28">
        <v>1247</v>
      </c>
      <c r="I26" s="17">
        <v>495</v>
      </c>
      <c r="J26" s="17">
        <v>9</v>
      </c>
      <c r="K26" s="17">
        <v>258</v>
      </c>
      <c r="L26" s="17">
        <v>5</v>
      </c>
      <c r="M26" s="17">
        <v>364</v>
      </c>
      <c r="N26" s="17">
        <v>336</v>
      </c>
      <c r="O26" s="17">
        <v>783</v>
      </c>
      <c r="P26" s="28">
        <v>1931</v>
      </c>
    </row>
    <row r="27" spans="1:16" x14ac:dyDescent="0.2">
      <c r="A27" s="81"/>
      <c r="B27" s="80"/>
      <c r="E27" s="80"/>
      <c r="F27" s="15" t="s">
        <v>1164</v>
      </c>
      <c r="G27" s="28">
        <v>9343</v>
      </c>
      <c r="H27" s="28">
        <v>5528</v>
      </c>
      <c r="I27" s="17">
        <v>699</v>
      </c>
      <c r="J27" s="17">
        <v>64</v>
      </c>
      <c r="K27" s="17">
        <v>530</v>
      </c>
      <c r="L27" s="17">
        <v>0</v>
      </c>
      <c r="M27" s="28">
        <v>1544</v>
      </c>
      <c r="N27" s="17">
        <v>978</v>
      </c>
      <c r="O27" s="28">
        <v>2790</v>
      </c>
      <c r="P27" s="28">
        <v>6553</v>
      </c>
    </row>
    <row r="28" spans="1:16" x14ac:dyDescent="0.2">
      <c r="E28" s="80"/>
      <c r="F28" s="15" t="s">
        <v>1166</v>
      </c>
      <c r="G28" s="28">
        <v>23322</v>
      </c>
      <c r="H28" s="28">
        <v>16894</v>
      </c>
      <c r="I28" s="28">
        <v>1842</v>
      </c>
      <c r="J28" s="17">
        <v>117</v>
      </c>
      <c r="K28" s="17">
        <v>414</v>
      </c>
      <c r="L28" s="17">
        <v>6</v>
      </c>
      <c r="M28" s="28">
        <v>1562</v>
      </c>
      <c r="N28" s="28">
        <v>2487</v>
      </c>
      <c r="O28" s="28">
        <v>4320</v>
      </c>
      <c r="P28" s="28">
        <v>19002</v>
      </c>
    </row>
    <row r="29" spans="1:16" x14ac:dyDescent="0.2">
      <c r="E29" s="80"/>
      <c r="F29" s="15" t="s">
        <v>1168</v>
      </c>
      <c r="G29" s="28">
        <v>3150</v>
      </c>
      <c r="H29" s="28">
        <v>1930</v>
      </c>
      <c r="I29" s="17">
        <v>461</v>
      </c>
      <c r="J29" s="17">
        <v>11</v>
      </c>
      <c r="K29" s="17">
        <v>43</v>
      </c>
      <c r="L29" s="17">
        <v>0</v>
      </c>
      <c r="M29" s="17">
        <v>286</v>
      </c>
      <c r="N29" s="17">
        <v>419</v>
      </c>
      <c r="O29" s="17">
        <v>803</v>
      </c>
      <c r="P29" s="28">
        <v>2347</v>
      </c>
    </row>
    <row r="30" spans="1:16" x14ac:dyDescent="0.2">
      <c r="E30" s="80"/>
      <c r="F30" s="15" t="s">
        <v>1170</v>
      </c>
      <c r="G30" s="28">
        <v>3834</v>
      </c>
      <c r="H30" s="28">
        <v>2896</v>
      </c>
      <c r="I30" s="17">
        <v>275</v>
      </c>
      <c r="J30" s="17">
        <v>9</v>
      </c>
      <c r="K30" s="17">
        <v>61</v>
      </c>
      <c r="L30" s="17">
        <v>0</v>
      </c>
      <c r="M30" s="17">
        <v>181</v>
      </c>
      <c r="N30" s="17">
        <v>412</v>
      </c>
      <c r="O30" s="17">
        <v>620</v>
      </c>
      <c r="P30" s="28">
        <v>3214</v>
      </c>
    </row>
    <row r="31" spans="1:16" x14ac:dyDescent="0.2">
      <c r="E31" s="80"/>
      <c r="F31" s="15" t="s">
        <v>1172</v>
      </c>
      <c r="G31" s="28">
        <v>6818</v>
      </c>
      <c r="H31" s="28">
        <v>4533</v>
      </c>
      <c r="I31" s="17">
        <v>680</v>
      </c>
      <c r="J31" s="17">
        <v>55</v>
      </c>
      <c r="K31" s="17">
        <v>130</v>
      </c>
      <c r="L31" s="17">
        <v>5</v>
      </c>
      <c r="M31" s="17">
        <v>588</v>
      </c>
      <c r="N31" s="17">
        <v>827</v>
      </c>
      <c r="O31" s="28">
        <v>1596</v>
      </c>
      <c r="P31" s="28">
        <v>5222</v>
      </c>
    </row>
    <row r="32" spans="1:16" x14ac:dyDescent="0.2">
      <c r="E32" s="80"/>
      <c r="F32" t="s">
        <v>1174</v>
      </c>
      <c r="G32" s="28">
        <v>6537</v>
      </c>
      <c r="H32" s="28">
        <v>4474</v>
      </c>
      <c r="I32" s="17">
        <v>824</v>
      </c>
      <c r="J32" s="17">
        <v>28</v>
      </c>
      <c r="K32" s="17">
        <v>312</v>
      </c>
      <c r="L32" s="17">
        <v>0</v>
      </c>
      <c r="M32" s="17">
        <v>387</v>
      </c>
      <c r="N32" s="17">
        <v>512</v>
      </c>
      <c r="O32" s="28">
        <v>1143</v>
      </c>
      <c r="P32" s="28">
        <v>5394</v>
      </c>
    </row>
    <row r="33" spans="5:16" x14ac:dyDescent="0.2">
      <c r="E33" s="80"/>
      <c r="F33" s="15" t="s">
        <v>1178</v>
      </c>
      <c r="G33" s="17">
        <v>969</v>
      </c>
      <c r="H33" s="17">
        <v>719</v>
      </c>
      <c r="I33" s="17">
        <v>52</v>
      </c>
      <c r="J33" s="17">
        <v>3</v>
      </c>
      <c r="K33" s="17">
        <v>72</v>
      </c>
      <c r="L33" s="17">
        <v>0</v>
      </c>
      <c r="M33" s="17">
        <v>34</v>
      </c>
      <c r="N33" s="17">
        <v>89</v>
      </c>
      <c r="O33" s="17">
        <v>159</v>
      </c>
      <c r="P33" s="17">
        <v>810</v>
      </c>
    </row>
    <row r="34" spans="5:16" x14ac:dyDescent="0.2">
      <c r="E34" s="80"/>
      <c r="F34" s="15" t="s">
        <v>1180</v>
      </c>
      <c r="G34" s="28">
        <v>28856</v>
      </c>
      <c r="H34" s="28">
        <v>6554</v>
      </c>
      <c r="I34" s="28">
        <v>8167</v>
      </c>
      <c r="J34" s="17">
        <v>656</v>
      </c>
      <c r="K34" s="17">
        <v>260</v>
      </c>
      <c r="L34" s="17">
        <v>24</v>
      </c>
      <c r="M34" s="28">
        <v>9737</v>
      </c>
      <c r="N34" s="28">
        <v>3458</v>
      </c>
      <c r="O34" s="28">
        <v>15085</v>
      </c>
      <c r="P34" s="28">
        <v>13771</v>
      </c>
    </row>
    <row r="35" spans="5:16" x14ac:dyDescent="0.2">
      <c r="E35" s="80"/>
      <c r="F35" s="15" t="s">
        <v>1182</v>
      </c>
      <c r="G35" s="28">
        <v>31985</v>
      </c>
      <c r="H35" s="28">
        <v>19719</v>
      </c>
      <c r="I35" s="28">
        <v>4462</v>
      </c>
      <c r="J35" s="17">
        <v>281</v>
      </c>
      <c r="K35" s="17">
        <v>948</v>
      </c>
      <c r="L35" s="17">
        <v>5</v>
      </c>
      <c r="M35" s="28">
        <v>3084</v>
      </c>
      <c r="N35" s="28">
        <v>3486</v>
      </c>
      <c r="O35" s="28">
        <v>7066</v>
      </c>
      <c r="P35" s="28">
        <v>24919</v>
      </c>
    </row>
    <row r="36" spans="5:16" x14ac:dyDescent="0.2">
      <c r="E36" s="80"/>
      <c r="F36" s="15" t="s">
        <v>1184</v>
      </c>
      <c r="G36" s="28">
        <v>27805</v>
      </c>
      <c r="H36" s="28">
        <v>15819</v>
      </c>
      <c r="I36" s="28">
        <v>4346</v>
      </c>
      <c r="J36" s="17">
        <v>194</v>
      </c>
      <c r="K36" s="28">
        <v>1084</v>
      </c>
      <c r="L36" s="17">
        <v>21</v>
      </c>
      <c r="M36" s="28">
        <v>3109</v>
      </c>
      <c r="N36" s="28">
        <v>3232</v>
      </c>
      <c r="O36" s="28">
        <v>7100</v>
      </c>
      <c r="P36" s="28">
        <v>20705</v>
      </c>
    </row>
    <row r="37" spans="5:16" x14ac:dyDescent="0.2">
      <c r="E37" s="80"/>
      <c r="F37" s="15" t="s">
        <v>1186</v>
      </c>
      <c r="G37" s="28">
        <v>32954</v>
      </c>
      <c r="H37" s="28">
        <v>23305</v>
      </c>
      <c r="I37" s="17">
        <v>58</v>
      </c>
      <c r="J37" s="17">
        <v>20</v>
      </c>
      <c r="K37" s="17">
        <v>18</v>
      </c>
      <c r="L37" s="17">
        <v>14</v>
      </c>
      <c r="M37" s="28">
        <v>8803</v>
      </c>
      <c r="N37" s="17">
        <v>736</v>
      </c>
      <c r="O37" s="17">
        <v>465</v>
      </c>
      <c r="P37" s="28">
        <v>32489</v>
      </c>
    </row>
    <row r="38" spans="5:16" x14ac:dyDescent="0.2">
      <c r="E38" s="80"/>
      <c r="F38" t="s">
        <v>1188</v>
      </c>
      <c r="G38" s="28">
        <v>32954</v>
      </c>
      <c r="H38" s="28">
        <v>23305</v>
      </c>
      <c r="I38" s="17">
        <v>58</v>
      </c>
      <c r="J38" s="17">
        <v>20</v>
      </c>
      <c r="K38" s="17">
        <v>18</v>
      </c>
      <c r="L38" s="17">
        <v>14</v>
      </c>
      <c r="M38" s="28">
        <v>8803</v>
      </c>
      <c r="N38" s="17">
        <v>736</v>
      </c>
      <c r="O38" s="17">
        <v>465</v>
      </c>
      <c r="P38" s="28">
        <v>32489</v>
      </c>
    </row>
    <row r="39" spans="5:16" x14ac:dyDescent="0.2">
      <c r="E39" s="80"/>
      <c r="F39" t="s">
        <v>1191</v>
      </c>
      <c r="G39" s="28">
        <v>8775</v>
      </c>
      <c r="H39" s="28">
        <v>6201</v>
      </c>
      <c r="I39" s="17">
        <v>803</v>
      </c>
      <c r="J39" s="17">
        <v>47</v>
      </c>
      <c r="K39" s="17">
        <v>187</v>
      </c>
      <c r="L39" s="17">
        <v>2</v>
      </c>
      <c r="M39" s="17">
        <v>606</v>
      </c>
      <c r="N39" s="17">
        <v>929</v>
      </c>
      <c r="O39" s="28">
        <v>1311</v>
      </c>
      <c r="P39" s="28">
        <v>7464</v>
      </c>
    </row>
    <row r="40" spans="5:16" x14ac:dyDescent="0.2">
      <c r="E40" s="80"/>
      <c r="F40" t="s">
        <v>1195</v>
      </c>
      <c r="G40" s="28">
        <v>3811</v>
      </c>
      <c r="H40" s="28">
        <v>2948</v>
      </c>
      <c r="I40" s="17">
        <v>186</v>
      </c>
      <c r="J40" s="17">
        <v>3</v>
      </c>
      <c r="K40" s="17">
        <v>193</v>
      </c>
      <c r="L40" s="17">
        <v>0</v>
      </c>
      <c r="M40" s="17">
        <v>183</v>
      </c>
      <c r="N40" s="17">
        <v>298</v>
      </c>
      <c r="O40" s="17">
        <v>466</v>
      </c>
      <c r="P40" s="28">
        <v>3345</v>
      </c>
    </row>
    <row r="41" spans="5:16" x14ac:dyDescent="0.2">
      <c r="E41" s="80"/>
      <c r="F41" t="s">
        <v>1200</v>
      </c>
      <c r="G41" s="17">
        <v>645</v>
      </c>
      <c r="H41" s="17">
        <v>535</v>
      </c>
      <c r="I41" s="17">
        <v>7</v>
      </c>
      <c r="J41" s="17">
        <v>0</v>
      </c>
      <c r="K41" s="17">
        <v>47</v>
      </c>
      <c r="L41" s="17">
        <v>0</v>
      </c>
      <c r="M41" s="17">
        <v>6</v>
      </c>
      <c r="N41" s="17">
        <v>50</v>
      </c>
      <c r="O41" s="17">
        <v>41</v>
      </c>
      <c r="P41" s="17">
        <v>604</v>
      </c>
    </row>
    <row r="42" spans="5:16" x14ac:dyDescent="0.2">
      <c r="E42" s="80"/>
      <c r="F42" t="s">
        <v>1201</v>
      </c>
      <c r="G42" s="28">
        <v>30486</v>
      </c>
      <c r="H42" s="28">
        <v>14858</v>
      </c>
      <c r="I42" s="28">
        <v>6244</v>
      </c>
      <c r="J42" s="17">
        <v>250</v>
      </c>
      <c r="K42" s="28">
        <v>1320</v>
      </c>
      <c r="L42" s="17">
        <v>16</v>
      </c>
      <c r="M42" s="28">
        <v>4025</v>
      </c>
      <c r="N42" s="28">
        <v>3773</v>
      </c>
      <c r="O42" s="28">
        <v>8492</v>
      </c>
      <c r="P42" s="28">
        <v>21994</v>
      </c>
    </row>
    <row r="43" spans="5:16" x14ac:dyDescent="0.2">
      <c r="E43" s="80"/>
      <c r="F43" t="s">
        <v>1202</v>
      </c>
      <c r="G43" s="28">
        <v>32027</v>
      </c>
      <c r="H43" s="28">
        <v>25384</v>
      </c>
      <c r="I43" s="28">
        <v>1377</v>
      </c>
      <c r="J43" s="17">
        <v>141</v>
      </c>
      <c r="K43" s="17">
        <v>643</v>
      </c>
      <c r="L43" s="17">
        <v>7</v>
      </c>
      <c r="M43" s="28">
        <v>1643</v>
      </c>
      <c r="N43" s="28">
        <v>2832</v>
      </c>
      <c r="O43" s="28">
        <v>4429</v>
      </c>
      <c r="P43" s="28">
        <v>27598</v>
      </c>
    </row>
    <row r="44" spans="5:16" x14ac:dyDescent="0.2">
      <c r="E44" s="80"/>
      <c r="F44" t="s">
        <v>1203</v>
      </c>
      <c r="G44" s="28">
        <v>2888</v>
      </c>
      <c r="H44" s="28">
        <v>2116</v>
      </c>
      <c r="I44" s="17">
        <v>236</v>
      </c>
      <c r="J44" s="17">
        <v>18</v>
      </c>
      <c r="K44" s="17">
        <v>71</v>
      </c>
      <c r="L44" s="17">
        <v>0</v>
      </c>
      <c r="M44" s="17">
        <v>166</v>
      </c>
      <c r="N44" s="17">
        <v>281</v>
      </c>
      <c r="O44" s="17">
        <v>510</v>
      </c>
      <c r="P44" s="28">
        <v>2378</v>
      </c>
    </row>
    <row r="45" spans="5:16" x14ac:dyDescent="0.2">
      <c r="E45" s="80"/>
      <c r="F45" t="s">
        <v>1204</v>
      </c>
      <c r="G45" s="28">
        <v>2994</v>
      </c>
      <c r="H45" s="28">
        <v>2452</v>
      </c>
      <c r="I45" s="17">
        <v>50</v>
      </c>
      <c r="J45" s="17">
        <v>11</v>
      </c>
      <c r="K45" s="17">
        <v>41</v>
      </c>
      <c r="L45" s="17">
        <v>4</v>
      </c>
      <c r="M45" s="17">
        <v>130</v>
      </c>
      <c r="N45" s="17">
        <v>306</v>
      </c>
      <c r="O45" s="17">
        <v>413</v>
      </c>
      <c r="P45" s="28">
        <v>2581</v>
      </c>
    </row>
    <row r="46" spans="5:16" x14ac:dyDescent="0.2">
      <c r="E46" s="80"/>
      <c r="F46" t="s">
        <v>1205</v>
      </c>
      <c r="G46" s="28">
        <v>6652</v>
      </c>
      <c r="H46" s="28">
        <v>5568</v>
      </c>
      <c r="I46" s="17">
        <v>182</v>
      </c>
      <c r="J46" s="17">
        <v>36</v>
      </c>
      <c r="K46" s="17">
        <v>94</v>
      </c>
      <c r="L46" s="17">
        <v>0</v>
      </c>
      <c r="M46" s="17">
        <v>247</v>
      </c>
      <c r="N46" s="17">
        <v>525</v>
      </c>
      <c r="O46" s="17">
        <v>826</v>
      </c>
      <c r="P46" s="28">
        <v>5826</v>
      </c>
    </row>
    <row r="47" spans="5:16" x14ac:dyDescent="0.2">
      <c r="E47" s="80"/>
      <c r="F47" t="s">
        <v>1206</v>
      </c>
      <c r="G47" s="28">
        <v>7534</v>
      </c>
      <c r="H47" s="28">
        <v>5546</v>
      </c>
      <c r="I47" s="17">
        <v>498</v>
      </c>
      <c r="J47" s="17">
        <v>22</v>
      </c>
      <c r="K47" s="17">
        <v>194</v>
      </c>
      <c r="L47" s="17">
        <v>0</v>
      </c>
      <c r="M47" s="17">
        <v>567</v>
      </c>
      <c r="N47" s="17">
        <v>707</v>
      </c>
      <c r="O47" s="28">
        <v>1335</v>
      </c>
      <c r="P47" s="28">
        <v>6199</v>
      </c>
    </row>
    <row r="48" spans="5:16" x14ac:dyDescent="0.2">
      <c r="E48" s="80"/>
      <c r="F48" t="s">
        <v>1207</v>
      </c>
      <c r="G48" s="28">
        <v>12197</v>
      </c>
      <c r="H48" s="28">
        <v>7446</v>
      </c>
      <c r="I48" s="28">
        <v>1121</v>
      </c>
      <c r="J48" s="17">
        <v>93</v>
      </c>
      <c r="K48" s="17">
        <v>827</v>
      </c>
      <c r="L48" s="17">
        <v>18</v>
      </c>
      <c r="M48" s="28">
        <v>1487</v>
      </c>
      <c r="N48" s="28">
        <v>1205</v>
      </c>
      <c r="O48" s="28">
        <v>2657</v>
      </c>
      <c r="P48" s="28">
        <v>9540</v>
      </c>
    </row>
    <row r="49" spans="5:16" x14ac:dyDescent="0.2">
      <c r="E49" s="80"/>
      <c r="F49" t="s">
        <v>1208</v>
      </c>
      <c r="G49" s="28">
        <v>11526</v>
      </c>
      <c r="H49" s="28">
        <v>7226</v>
      </c>
      <c r="I49" s="17">
        <v>942</v>
      </c>
      <c r="J49" s="17">
        <v>92</v>
      </c>
      <c r="K49" s="17">
        <v>720</v>
      </c>
      <c r="L49" s="17">
        <v>15</v>
      </c>
      <c r="M49" s="28">
        <v>1389</v>
      </c>
      <c r="N49" s="28">
        <v>1142</v>
      </c>
      <c r="O49" s="28">
        <v>2458</v>
      </c>
      <c r="P49" s="28">
        <v>9068</v>
      </c>
    </row>
    <row r="50" spans="5:16" x14ac:dyDescent="0.2">
      <c r="E50" s="80"/>
    </row>
    <row r="51" spans="5:16" x14ac:dyDescent="0.2">
      <c r="E51" s="80"/>
    </row>
    <row r="52" spans="5:16" x14ac:dyDescent="0.2">
      <c r="E52" s="80"/>
    </row>
    <row r="53" spans="5:16" x14ac:dyDescent="0.2">
      <c r="E53" s="80"/>
    </row>
    <row r="54" spans="5:16" x14ac:dyDescent="0.2">
      <c r="E54" s="80"/>
    </row>
    <row r="55" spans="5:16" x14ac:dyDescent="0.2">
      <c r="E55" s="80"/>
    </row>
    <row r="56" spans="5:16" x14ac:dyDescent="0.2">
      <c r="E56" s="80"/>
    </row>
    <row r="57" spans="5:16"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Q4" xr:uid="{00000000-0002-0000-0700-000000000000}">
      <formula1>"integer, number, percent1"</formula1>
    </dataValidation>
    <dataValidation type="list" allowBlank="1" showInputMessage="1" showErrorMessage="1" sqref="B10" xr:uid="{00000000-0002-0000-0700-000001000000}">
      <formula1>"Line,Clustered Bar,Stacked Bar,Bar,Horizontal Stacked Bar"</formula1>
    </dataValidation>
    <dataValidation type="list" allowBlank="1" showInputMessage="1" showErrorMessage="1" sqref="B2" xr:uid="{00000000-0002-0000-0700-000002000000}">
      <formula1>"Table,Figure,Both"</formula1>
    </dataValidation>
    <dataValidation type="list" allowBlank="1" showInputMessage="1" showErrorMessage="1" sqref="B6 B15:B16" xr:uid="{00000000-0002-0000-0700-000003000000}">
      <formula1>"True,False"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57"/>
  <sheetViews>
    <sheetView topLeftCell="A9" workbookViewId="0">
      <selection activeCell="O23" sqref="O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35.1640625" bestFit="1" customWidth="1"/>
    <col min="8" max="8" width="8.16406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43.5" bestFit="1" customWidth="1"/>
    <col min="16" max="16" width="12.5" bestFit="1" customWidth="1"/>
    <col min="21" max="21" width="14" bestFit="1" customWidth="1"/>
  </cols>
  <sheetData>
    <row r="1" spans="1:22" x14ac:dyDescent="0.2">
      <c r="A1" s="16" t="s">
        <v>1077</v>
      </c>
      <c r="B1" s="79" t="s">
        <v>36</v>
      </c>
      <c r="C1" s="80"/>
      <c r="D1" s="80"/>
      <c r="E1" s="80"/>
      <c r="F1" s="80"/>
      <c r="G1" s="80"/>
      <c r="H1" s="80"/>
      <c r="I1" s="80"/>
      <c r="J1" s="80"/>
      <c r="K1" s="80"/>
      <c r="L1" s="80"/>
      <c r="M1" s="80"/>
      <c r="N1" s="80"/>
      <c r="O1" s="80"/>
    </row>
    <row r="2" spans="1:22" x14ac:dyDescent="0.2">
      <c r="A2" s="16" t="s">
        <v>1078</v>
      </c>
      <c r="B2" t="s">
        <v>1079</v>
      </c>
    </row>
    <row r="3" spans="1:22" x14ac:dyDescent="0.2">
      <c r="A3" s="16" t="s">
        <v>1080</v>
      </c>
      <c r="B3" t="str">
        <f>IF($B$1="","",_xlfn.XLOOKUP($B$1,Master!$F$2:$F$321,Master!$G$2:$G$321,""))</f>
        <v>tbl-employed-civilians-industry</v>
      </c>
    </row>
    <row r="4" spans="1:22" x14ac:dyDescent="0.2">
      <c r="A4" s="16" t="s">
        <v>7</v>
      </c>
      <c r="B4" t="str">
        <f>IF($B$1="","",_xlfn.XLOOKUP($B$1,Master!$F$2:$F$321,Master!$H$2:$H$321,""))</f>
        <v>fig-employed-civilians-industry</v>
      </c>
      <c r="E4" s="8"/>
      <c r="F4" s="10" t="s">
        <v>1009</v>
      </c>
      <c r="G4" s="10" t="s">
        <v>973</v>
      </c>
      <c r="H4" s="10" t="s">
        <v>973</v>
      </c>
      <c r="I4" s="10" t="s">
        <v>973</v>
      </c>
      <c r="J4" s="10" t="s">
        <v>973</v>
      </c>
      <c r="K4" s="10" t="s">
        <v>973</v>
      </c>
      <c r="L4" s="10" t="s">
        <v>973</v>
      </c>
      <c r="M4" s="10" t="s">
        <v>973</v>
      </c>
      <c r="N4" s="10" t="s">
        <v>973</v>
      </c>
      <c r="O4" s="10" t="s">
        <v>973</v>
      </c>
      <c r="P4" s="10" t="s">
        <v>973</v>
      </c>
      <c r="Q4" s="10" t="s">
        <v>973</v>
      </c>
      <c r="R4" s="10" t="s">
        <v>973</v>
      </c>
      <c r="S4" s="10" t="s">
        <v>973</v>
      </c>
      <c r="T4" s="10" t="s">
        <v>973</v>
      </c>
    </row>
    <row r="5" spans="1:22" x14ac:dyDescent="0.2">
      <c r="A5" s="83" t="s">
        <v>1081</v>
      </c>
      <c r="B5" s="80"/>
      <c r="E5" s="82" t="s">
        <v>1082</v>
      </c>
      <c r="F5" s="86" t="s">
        <v>1083</v>
      </c>
      <c r="G5" s="86" t="s">
        <v>1245</v>
      </c>
      <c r="H5" s="81" t="s">
        <v>1246</v>
      </c>
      <c r="I5" s="80"/>
      <c r="J5" s="80"/>
      <c r="K5" s="80"/>
      <c r="L5" s="80"/>
      <c r="M5" s="80"/>
      <c r="N5" s="80"/>
      <c r="O5" s="80"/>
      <c r="P5" s="80"/>
      <c r="Q5" s="80"/>
      <c r="R5" s="80"/>
      <c r="S5" s="80"/>
      <c r="T5" s="80"/>
    </row>
    <row r="6" spans="1:22" ht="15" customHeight="1" x14ac:dyDescent="0.2">
      <c r="A6" t="s">
        <v>1088</v>
      </c>
      <c r="B6" t="b">
        <v>1</v>
      </c>
      <c r="E6" s="80"/>
      <c r="F6" s="80"/>
      <c r="G6" s="80"/>
      <c r="H6" s="35" t="s">
        <v>1247</v>
      </c>
      <c r="I6" s="35" t="s">
        <v>1248</v>
      </c>
      <c r="J6" s="35" t="s">
        <v>1249</v>
      </c>
      <c r="K6" s="35" t="s">
        <v>1250</v>
      </c>
      <c r="L6" s="35" t="s">
        <v>1251</v>
      </c>
      <c r="M6" s="35" t="s">
        <v>1252</v>
      </c>
      <c r="N6" s="35" t="s">
        <v>1253</v>
      </c>
      <c r="O6" s="35" t="s">
        <v>1254</v>
      </c>
      <c r="P6" s="35" t="s">
        <v>1255</v>
      </c>
      <c r="Q6" s="35" t="s">
        <v>1256</v>
      </c>
      <c r="R6" s="35" t="s">
        <v>1257</v>
      </c>
      <c r="S6" s="35" t="s">
        <v>1258</v>
      </c>
      <c r="T6" s="35" t="s">
        <v>1259</v>
      </c>
      <c r="V6" s="15"/>
    </row>
    <row r="7" spans="1:22" ht="15.75" customHeight="1" x14ac:dyDescent="0.2">
      <c r="E7" s="80"/>
      <c r="F7" s="16" t="s">
        <v>1096</v>
      </c>
      <c r="G7" s="23">
        <v>184167</v>
      </c>
      <c r="H7" s="23">
        <v>1278</v>
      </c>
      <c r="I7" s="23">
        <v>13492</v>
      </c>
      <c r="J7" s="23">
        <v>11754</v>
      </c>
      <c r="K7" s="23">
        <v>5470</v>
      </c>
      <c r="L7" s="23">
        <v>23207</v>
      </c>
      <c r="M7" s="23">
        <v>12393</v>
      </c>
      <c r="N7" s="23">
        <v>4268</v>
      </c>
      <c r="O7" s="23">
        <v>10817</v>
      </c>
      <c r="P7" s="23">
        <v>18700</v>
      </c>
      <c r="Q7" s="23">
        <v>50693</v>
      </c>
      <c r="R7" s="23">
        <v>12127</v>
      </c>
      <c r="S7" s="23">
        <v>10996</v>
      </c>
      <c r="T7" s="23">
        <v>8972</v>
      </c>
      <c r="U7" s="15"/>
      <c r="V7" s="15"/>
    </row>
    <row r="8" spans="1:22" x14ac:dyDescent="0.2">
      <c r="E8" s="80"/>
      <c r="F8" s="16" t="s">
        <v>1097</v>
      </c>
      <c r="G8" s="23">
        <v>8167</v>
      </c>
      <c r="H8" s="15">
        <v>85</v>
      </c>
      <c r="I8" s="15">
        <v>766</v>
      </c>
      <c r="J8" s="15">
        <v>369</v>
      </c>
      <c r="K8" s="15">
        <v>263</v>
      </c>
      <c r="L8" s="15">
        <v>891</v>
      </c>
      <c r="M8" s="15">
        <v>375</v>
      </c>
      <c r="N8" s="15">
        <v>255</v>
      </c>
      <c r="O8" s="15">
        <v>633</v>
      </c>
      <c r="P8" s="15">
        <v>692</v>
      </c>
      <c r="Q8" s="23">
        <v>2359</v>
      </c>
      <c r="R8" s="15">
        <v>628</v>
      </c>
      <c r="S8" s="15">
        <v>495</v>
      </c>
      <c r="T8" s="15">
        <v>356</v>
      </c>
      <c r="U8" s="15"/>
      <c r="V8" s="15"/>
    </row>
    <row r="9" spans="1:22" x14ac:dyDescent="0.2">
      <c r="A9" s="83" t="s">
        <v>1098</v>
      </c>
      <c r="B9" s="80"/>
      <c r="E9" s="80"/>
      <c r="F9" s="47" t="s">
        <v>1099</v>
      </c>
      <c r="G9" s="23">
        <v>1268</v>
      </c>
      <c r="H9" s="15">
        <v>0</v>
      </c>
      <c r="I9" s="15">
        <v>103</v>
      </c>
      <c r="J9" s="15">
        <v>102</v>
      </c>
      <c r="K9" s="15">
        <v>49</v>
      </c>
      <c r="L9" s="15">
        <v>169</v>
      </c>
      <c r="M9" s="15">
        <v>55</v>
      </c>
      <c r="N9" s="15">
        <v>29</v>
      </c>
      <c r="O9" s="15">
        <v>99</v>
      </c>
      <c r="P9" s="15">
        <v>71</v>
      </c>
      <c r="Q9" s="15">
        <v>355</v>
      </c>
      <c r="R9" s="15">
        <v>132</v>
      </c>
      <c r="S9" s="15">
        <v>5</v>
      </c>
      <c r="T9" s="15">
        <v>99</v>
      </c>
      <c r="U9" s="15"/>
      <c r="V9" s="15"/>
    </row>
    <row r="10" spans="1:22" x14ac:dyDescent="0.2">
      <c r="A10" t="s">
        <v>1100</v>
      </c>
      <c r="E10" s="80"/>
      <c r="F10" s="47" t="s">
        <v>1101</v>
      </c>
      <c r="G10" s="23">
        <v>2827</v>
      </c>
      <c r="H10" s="15">
        <v>0</v>
      </c>
      <c r="I10" s="15">
        <v>120</v>
      </c>
      <c r="J10" s="15">
        <v>103</v>
      </c>
      <c r="K10" s="15">
        <v>187</v>
      </c>
      <c r="L10" s="15">
        <v>251</v>
      </c>
      <c r="M10" s="15">
        <v>89</v>
      </c>
      <c r="N10" s="15">
        <v>155</v>
      </c>
      <c r="O10" s="15">
        <v>288</v>
      </c>
      <c r="P10" s="15">
        <v>203</v>
      </c>
      <c r="Q10" s="15">
        <v>800</v>
      </c>
      <c r="R10" s="15">
        <v>169</v>
      </c>
      <c r="S10" s="15">
        <v>298</v>
      </c>
      <c r="T10" s="15">
        <v>164</v>
      </c>
      <c r="U10" s="15"/>
      <c r="V10" s="15"/>
    </row>
    <row r="11" spans="1:22" x14ac:dyDescent="0.2">
      <c r="A11" t="s">
        <v>1102</v>
      </c>
      <c r="E11" s="80"/>
      <c r="F11" s="16" t="s">
        <v>1103</v>
      </c>
      <c r="G11" s="23">
        <v>6888</v>
      </c>
      <c r="H11" s="15">
        <v>25</v>
      </c>
      <c r="I11" s="15">
        <v>346</v>
      </c>
      <c r="J11" s="17">
        <v>488</v>
      </c>
      <c r="K11" s="17">
        <v>283</v>
      </c>
      <c r="L11" s="28">
        <v>1099</v>
      </c>
      <c r="M11" s="17">
        <v>648</v>
      </c>
      <c r="N11" s="17">
        <v>244</v>
      </c>
      <c r="O11" s="15">
        <v>416</v>
      </c>
      <c r="P11" s="15">
        <v>790</v>
      </c>
      <c r="Q11" s="23">
        <v>1327</v>
      </c>
      <c r="R11" s="15">
        <v>533</v>
      </c>
      <c r="S11" s="15">
        <v>447</v>
      </c>
      <c r="T11" s="15">
        <v>242</v>
      </c>
      <c r="U11" s="15"/>
      <c r="V11" s="15"/>
    </row>
    <row r="12" spans="1:22" x14ac:dyDescent="0.2">
      <c r="A12" t="s">
        <v>1104</v>
      </c>
      <c r="E12" s="80"/>
      <c r="F12" s="49" t="s">
        <v>1105</v>
      </c>
      <c r="G12" s="28">
        <v>2488</v>
      </c>
      <c r="H12" s="17">
        <v>0</v>
      </c>
      <c r="I12" s="15">
        <v>89</v>
      </c>
      <c r="J12" s="15">
        <v>111</v>
      </c>
      <c r="K12" s="15">
        <v>96</v>
      </c>
      <c r="L12" s="15">
        <v>633</v>
      </c>
      <c r="M12" s="15">
        <v>263</v>
      </c>
      <c r="N12" s="15">
        <v>77</v>
      </c>
      <c r="O12" s="15">
        <v>175</v>
      </c>
      <c r="P12" s="15">
        <v>108</v>
      </c>
      <c r="Q12" s="15">
        <v>423</v>
      </c>
      <c r="R12" s="15">
        <v>260</v>
      </c>
      <c r="S12" s="15">
        <v>141</v>
      </c>
      <c r="T12" s="15">
        <v>112</v>
      </c>
      <c r="U12" s="15"/>
      <c r="V12" s="15"/>
    </row>
    <row r="13" spans="1:22" x14ac:dyDescent="0.2">
      <c r="A13" t="s">
        <v>1108</v>
      </c>
      <c r="E13" s="80"/>
      <c r="F13" s="24" t="s">
        <v>1109</v>
      </c>
      <c r="G13" s="23">
        <v>6425</v>
      </c>
      <c r="H13" s="15">
        <v>12</v>
      </c>
      <c r="I13" s="15">
        <v>357</v>
      </c>
      <c r="J13" s="15">
        <v>452</v>
      </c>
      <c r="K13" s="15">
        <v>155</v>
      </c>
      <c r="L13" s="15">
        <v>593</v>
      </c>
      <c r="M13" s="15">
        <v>207</v>
      </c>
      <c r="N13" s="15">
        <v>171</v>
      </c>
      <c r="O13" s="15">
        <v>406</v>
      </c>
      <c r="P13" s="15">
        <v>799</v>
      </c>
      <c r="Q13" s="23">
        <v>2023</v>
      </c>
      <c r="R13" s="15">
        <v>342</v>
      </c>
      <c r="S13" s="15">
        <v>725</v>
      </c>
      <c r="T13" s="15">
        <v>183</v>
      </c>
      <c r="U13" s="15"/>
      <c r="V13" s="15"/>
    </row>
    <row r="14" spans="1:22" x14ac:dyDescent="0.2">
      <c r="A14" t="s">
        <v>1112</v>
      </c>
      <c r="E14" s="80"/>
      <c r="F14" s="47" t="s">
        <v>1113</v>
      </c>
      <c r="G14" s="23">
        <v>1656</v>
      </c>
      <c r="H14" s="15">
        <v>0</v>
      </c>
      <c r="I14" s="15">
        <v>63</v>
      </c>
      <c r="J14" s="15">
        <v>156</v>
      </c>
      <c r="K14" s="15">
        <v>10</v>
      </c>
      <c r="L14" s="15">
        <v>189</v>
      </c>
      <c r="M14" s="15">
        <v>87</v>
      </c>
      <c r="N14" s="15">
        <v>30</v>
      </c>
      <c r="O14" s="15">
        <v>120</v>
      </c>
      <c r="P14" s="15">
        <v>148</v>
      </c>
      <c r="Q14" s="15">
        <v>534</v>
      </c>
      <c r="R14" s="15">
        <v>74</v>
      </c>
      <c r="S14" s="15">
        <v>202</v>
      </c>
      <c r="T14" s="15">
        <v>43</v>
      </c>
      <c r="U14" s="15"/>
      <c r="V14" s="15"/>
    </row>
    <row r="15" spans="1:22" x14ac:dyDescent="0.2">
      <c r="A15" t="s">
        <v>1114</v>
      </c>
      <c r="E15" s="80"/>
      <c r="F15" s="16" t="s">
        <v>1115</v>
      </c>
      <c r="G15" s="23">
        <v>5000</v>
      </c>
      <c r="H15" s="15">
        <v>58</v>
      </c>
      <c r="I15" s="15">
        <v>426</v>
      </c>
      <c r="J15" s="15">
        <v>162</v>
      </c>
      <c r="K15" s="15">
        <v>180</v>
      </c>
      <c r="L15" s="15">
        <v>580</v>
      </c>
      <c r="M15" s="15">
        <v>230</v>
      </c>
      <c r="N15" s="15">
        <v>149</v>
      </c>
      <c r="O15" s="15">
        <v>293</v>
      </c>
      <c r="P15" s="15">
        <v>516</v>
      </c>
      <c r="Q15" s="23">
        <v>1632</v>
      </c>
      <c r="R15" s="15">
        <v>255</v>
      </c>
      <c r="S15" s="15">
        <v>315</v>
      </c>
      <c r="T15" s="15">
        <v>204</v>
      </c>
      <c r="U15" s="15"/>
      <c r="V15" s="15"/>
    </row>
    <row r="16" spans="1:22" x14ac:dyDescent="0.2">
      <c r="A16" t="s">
        <v>1116</v>
      </c>
      <c r="E16" s="80"/>
      <c r="F16" s="16" t="s">
        <v>1117</v>
      </c>
      <c r="G16" s="23">
        <v>3207</v>
      </c>
      <c r="H16" s="15">
        <v>76</v>
      </c>
      <c r="I16" s="15">
        <v>232</v>
      </c>
      <c r="J16" s="15">
        <v>250</v>
      </c>
      <c r="K16" s="15">
        <v>52</v>
      </c>
      <c r="L16" s="15">
        <v>463</v>
      </c>
      <c r="M16" s="15">
        <v>239</v>
      </c>
      <c r="N16" s="15">
        <v>74</v>
      </c>
      <c r="O16" s="15">
        <v>30</v>
      </c>
      <c r="P16" s="15">
        <v>309</v>
      </c>
      <c r="Q16" s="15">
        <v>810</v>
      </c>
      <c r="R16" s="15">
        <v>163</v>
      </c>
      <c r="S16" s="15">
        <v>192</v>
      </c>
      <c r="T16" s="15">
        <v>317</v>
      </c>
      <c r="U16" s="15"/>
      <c r="V16" s="15"/>
    </row>
    <row r="17" spans="1:22" x14ac:dyDescent="0.2">
      <c r="E17" s="80"/>
      <c r="F17" s="16" t="s">
        <v>1118</v>
      </c>
      <c r="G17" s="23">
        <v>6373</v>
      </c>
      <c r="H17" s="15">
        <v>52</v>
      </c>
      <c r="I17" s="15">
        <v>372</v>
      </c>
      <c r="J17" s="15">
        <v>590</v>
      </c>
      <c r="K17" s="15">
        <v>214</v>
      </c>
      <c r="L17" s="15">
        <v>863</v>
      </c>
      <c r="M17" s="15">
        <v>270</v>
      </c>
      <c r="N17" s="15">
        <v>80</v>
      </c>
      <c r="O17" s="15">
        <v>328</v>
      </c>
      <c r="P17" s="15">
        <v>744</v>
      </c>
      <c r="Q17" s="23">
        <v>1875</v>
      </c>
      <c r="R17" s="15">
        <v>318</v>
      </c>
      <c r="S17" s="15">
        <v>439</v>
      </c>
      <c r="T17" s="15">
        <v>228</v>
      </c>
      <c r="U17" s="15"/>
      <c r="V17" s="15"/>
    </row>
    <row r="18" spans="1:22" x14ac:dyDescent="0.2">
      <c r="A18" s="83" t="s">
        <v>1119</v>
      </c>
      <c r="B18" s="80"/>
      <c r="E18" s="80"/>
      <c r="F18" s="47" t="s">
        <v>1120</v>
      </c>
      <c r="G18" s="23">
        <v>2703</v>
      </c>
      <c r="H18" s="15">
        <v>0</v>
      </c>
      <c r="I18" s="15">
        <v>175</v>
      </c>
      <c r="J18" s="15">
        <v>103</v>
      </c>
      <c r="K18" s="15">
        <v>61</v>
      </c>
      <c r="L18" s="15">
        <v>349</v>
      </c>
      <c r="M18" s="15">
        <v>127</v>
      </c>
      <c r="N18" s="15">
        <v>29</v>
      </c>
      <c r="O18" s="15">
        <v>178</v>
      </c>
      <c r="P18" s="15">
        <v>335</v>
      </c>
      <c r="Q18" s="15">
        <v>796</v>
      </c>
      <c r="R18" s="15">
        <v>232</v>
      </c>
      <c r="S18" s="15">
        <v>238</v>
      </c>
      <c r="T18" s="15">
        <v>80</v>
      </c>
      <c r="U18" s="15"/>
      <c r="V18" s="15"/>
    </row>
    <row r="19" spans="1:22" x14ac:dyDescent="0.2">
      <c r="A19" t="s">
        <v>1121</v>
      </c>
      <c r="B19" t="s">
        <v>1260</v>
      </c>
      <c r="E19" s="80"/>
      <c r="F19" s="16" t="s">
        <v>1123</v>
      </c>
      <c r="G19" s="23">
        <v>2563</v>
      </c>
      <c r="H19" s="15">
        <v>55</v>
      </c>
      <c r="I19" s="15">
        <v>206</v>
      </c>
      <c r="J19" s="15">
        <v>113</v>
      </c>
      <c r="K19" s="15">
        <v>36</v>
      </c>
      <c r="L19" s="15">
        <v>262</v>
      </c>
      <c r="M19" s="15">
        <v>250</v>
      </c>
      <c r="N19" s="15">
        <v>63</v>
      </c>
      <c r="O19" s="15">
        <v>115</v>
      </c>
      <c r="P19" s="15">
        <v>155</v>
      </c>
      <c r="Q19" s="15">
        <v>774</v>
      </c>
      <c r="R19" s="15">
        <v>49</v>
      </c>
      <c r="S19" s="15">
        <v>304</v>
      </c>
      <c r="T19" s="15">
        <v>181</v>
      </c>
      <c r="U19" s="15"/>
      <c r="V19" s="15"/>
    </row>
    <row r="20" spans="1:22" x14ac:dyDescent="0.2">
      <c r="E20" s="80"/>
      <c r="F20" s="16" t="s">
        <v>1124</v>
      </c>
      <c r="G20" s="23">
        <v>2495</v>
      </c>
      <c r="H20" s="15">
        <v>9</v>
      </c>
      <c r="I20" s="15">
        <v>368</v>
      </c>
      <c r="J20" s="15">
        <v>74</v>
      </c>
      <c r="K20" s="15">
        <v>112</v>
      </c>
      <c r="L20" s="15">
        <v>249</v>
      </c>
      <c r="M20" s="15">
        <v>110</v>
      </c>
      <c r="N20" s="15">
        <v>55</v>
      </c>
      <c r="O20" s="15">
        <v>113</v>
      </c>
      <c r="P20" s="15">
        <v>355</v>
      </c>
      <c r="Q20" s="15">
        <v>598</v>
      </c>
      <c r="R20" s="15">
        <v>161</v>
      </c>
      <c r="S20" s="15">
        <v>52</v>
      </c>
      <c r="T20" s="15">
        <v>239</v>
      </c>
      <c r="U20" s="15"/>
      <c r="V20" s="15"/>
    </row>
    <row r="21" spans="1:22" x14ac:dyDescent="0.2">
      <c r="A21" s="81" t="s">
        <v>1125</v>
      </c>
      <c r="B21" s="80"/>
      <c r="E21" s="80"/>
      <c r="F21" s="25" t="s">
        <v>1126</v>
      </c>
      <c r="G21" s="23">
        <v>4373</v>
      </c>
      <c r="H21" s="15">
        <v>7</v>
      </c>
      <c r="I21" s="15">
        <v>234</v>
      </c>
      <c r="J21" s="15">
        <v>202</v>
      </c>
      <c r="K21" s="15">
        <v>14</v>
      </c>
      <c r="L21" s="15">
        <v>257</v>
      </c>
      <c r="M21" s="15">
        <v>568</v>
      </c>
      <c r="N21" s="15">
        <v>82</v>
      </c>
      <c r="O21" s="15">
        <v>61</v>
      </c>
      <c r="P21" s="15">
        <v>632</v>
      </c>
      <c r="Q21" s="23">
        <v>1291</v>
      </c>
      <c r="R21" s="15">
        <v>423</v>
      </c>
      <c r="S21" s="15">
        <v>420</v>
      </c>
      <c r="T21" s="15">
        <v>182</v>
      </c>
      <c r="U21" s="15"/>
      <c r="V21" s="15"/>
    </row>
    <row r="22" spans="1:22" x14ac:dyDescent="0.2">
      <c r="A22" t="s">
        <v>1135</v>
      </c>
      <c r="B22" t="s">
        <v>1261</v>
      </c>
      <c r="E22" s="80"/>
      <c r="F22" s="47" t="s">
        <v>1137</v>
      </c>
      <c r="G22" s="23">
        <v>1770</v>
      </c>
      <c r="H22" s="15">
        <v>0</v>
      </c>
      <c r="I22" s="15">
        <v>109</v>
      </c>
      <c r="J22" s="15">
        <v>85</v>
      </c>
      <c r="K22" s="15">
        <v>14</v>
      </c>
      <c r="L22" s="15">
        <v>100</v>
      </c>
      <c r="M22" s="15">
        <v>135</v>
      </c>
      <c r="N22" s="15">
        <v>7</v>
      </c>
      <c r="O22" s="15">
        <v>15</v>
      </c>
      <c r="P22" s="15">
        <v>312</v>
      </c>
      <c r="Q22" s="15">
        <v>539</v>
      </c>
      <c r="R22" s="15">
        <v>207</v>
      </c>
      <c r="S22" s="15">
        <v>183</v>
      </c>
      <c r="T22" s="15">
        <v>64</v>
      </c>
      <c r="U22" s="15"/>
      <c r="V22" s="15"/>
    </row>
    <row r="23" spans="1:22" x14ac:dyDescent="0.2">
      <c r="E23" s="80"/>
      <c r="F23" s="25" t="s">
        <v>1146</v>
      </c>
      <c r="G23" s="23">
        <v>13664</v>
      </c>
      <c r="H23" s="15">
        <v>139</v>
      </c>
      <c r="I23" s="23">
        <v>1041</v>
      </c>
      <c r="J23" s="15">
        <v>834</v>
      </c>
      <c r="K23" s="15">
        <v>214</v>
      </c>
      <c r="L23" s="23">
        <v>1951</v>
      </c>
      <c r="M23" s="23">
        <v>1113</v>
      </c>
      <c r="N23" s="15">
        <v>308</v>
      </c>
      <c r="O23" s="15">
        <v>679</v>
      </c>
      <c r="P23" s="23">
        <v>1311</v>
      </c>
      <c r="Q23" s="23">
        <v>3597</v>
      </c>
      <c r="R23" s="23">
        <v>1028</v>
      </c>
      <c r="S23" s="15">
        <v>601</v>
      </c>
      <c r="T23" s="15">
        <v>848</v>
      </c>
      <c r="U23" s="15"/>
      <c r="V23" s="15"/>
    </row>
    <row r="24" spans="1:22" x14ac:dyDescent="0.2">
      <c r="E24" s="80"/>
      <c r="F24" s="25" t="s">
        <v>1150</v>
      </c>
      <c r="G24" s="23">
        <v>2456</v>
      </c>
      <c r="H24" s="15">
        <v>26</v>
      </c>
      <c r="I24" s="15">
        <v>101</v>
      </c>
      <c r="J24" s="15">
        <v>79</v>
      </c>
      <c r="K24" s="15">
        <v>71</v>
      </c>
      <c r="L24" s="15">
        <v>189</v>
      </c>
      <c r="M24" s="15">
        <v>270</v>
      </c>
      <c r="N24" s="15">
        <v>41</v>
      </c>
      <c r="O24" s="15">
        <v>134</v>
      </c>
      <c r="P24" s="15">
        <v>305</v>
      </c>
      <c r="Q24" s="15">
        <v>837</v>
      </c>
      <c r="R24" s="15">
        <v>127</v>
      </c>
      <c r="S24" s="15">
        <v>132</v>
      </c>
      <c r="T24" s="15">
        <v>144</v>
      </c>
      <c r="U24" s="15"/>
      <c r="V24" s="15"/>
    </row>
    <row r="25" spans="1:22" x14ac:dyDescent="0.2">
      <c r="E25" s="80"/>
      <c r="F25" s="49" t="s">
        <v>1154</v>
      </c>
      <c r="G25" s="15">
        <v>368</v>
      </c>
      <c r="H25" s="15">
        <v>0</v>
      </c>
      <c r="I25" s="15">
        <v>19</v>
      </c>
      <c r="J25" s="15">
        <v>0</v>
      </c>
      <c r="K25" s="15">
        <v>0</v>
      </c>
      <c r="L25" s="15">
        <v>43</v>
      </c>
      <c r="M25" s="15">
        <v>83</v>
      </c>
      <c r="N25" s="15">
        <v>0</v>
      </c>
      <c r="O25" s="15">
        <v>35</v>
      </c>
      <c r="P25" s="15">
        <v>76</v>
      </c>
      <c r="Q25" s="15">
        <v>80</v>
      </c>
      <c r="R25" s="15">
        <v>5</v>
      </c>
      <c r="S25" s="15">
        <v>0</v>
      </c>
      <c r="T25" s="15">
        <v>27</v>
      </c>
      <c r="U25" s="15"/>
      <c r="V25" s="15"/>
    </row>
    <row r="26" spans="1:22" x14ac:dyDescent="0.2">
      <c r="E26" s="80"/>
      <c r="F26" s="27" t="s">
        <v>1158</v>
      </c>
      <c r="G26" s="23">
        <v>10354</v>
      </c>
      <c r="H26" s="15">
        <v>7</v>
      </c>
      <c r="I26" s="15">
        <v>615</v>
      </c>
      <c r="J26" s="15">
        <v>554</v>
      </c>
      <c r="K26" s="15">
        <v>200</v>
      </c>
      <c r="L26" s="23">
        <v>1305</v>
      </c>
      <c r="M26" s="15">
        <v>544</v>
      </c>
      <c r="N26" s="15">
        <v>375</v>
      </c>
      <c r="O26" s="15">
        <v>715</v>
      </c>
      <c r="P26" s="23">
        <v>1187</v>
      </c>
      <c r="Q26" s="23">
        <v>2809</v>
      </c>
      <c r="R26" s="15">
        <v>643</v>
      </c>
      <c r="S26" s="15">
        <v>714</v>
      </c>
      <c r="T26" s="15">
        <v>686</v>
      </c>
      <c r="U26" s="15"/>
      <c r="V26" s="15"/>
    </row>
    <row r="27" spans="1:22" x14ac:dyDescent="0.2">
      <c r="E27" s="80"/>
      <c r="F27" s="47" t="s">
        <v>1162</v>
      </c>
      <c r="G27" s="23">
        <v>1052</v>
      </c>
      <c r="H27" s="15">
        <v>0</v>
      </c>
      <c r="I27" s="15">
        <v>82</v>
      </c>
      <c r="J27" s="15">
        <v>71</v>
      </c>
      <c r="K27" s="15">
        <v>8</v>
      </c>
      <c r="L27" s="15">
        <v>140</v>
      </c>
      <c r="M27" s="15">
        <v>38</v>
      </c>
      <c r="N27" s="15">
        <v>9</v>
      </c>
      <c r="O27" s="15">
        <v>18</v>
      </c>
      <c r="P27" s="15">
        <v>27</v>
      </c>
      <c r="Q27" s="15">
        <v>333</v>
      </c>
      <c r="R27" s="15">
        <v>73</v>
      </c>
      <c r="S27" s="15">
        <v>40</v>
      </c>
      <c r="T27" s="15">
        <v>113</v>
      </c>
      <c r="U27" s="15"/>
      <c r="V27" s="15"/>
    </row>
    <row r="28" spans="1:22" x14ac:dyDescent="0.2">
      <c r="E28" s="80"/>
      <c r="F28" s="47" t="s">
        <v>1164</v>
      </c>
      <c r="G28" s="23">
        <v>4852</v>
      </c>
      <c r="H28" s="15">
        <v>7</v>
      </c>
      <c r="I28" s="15">
        <v>299</v>
      </c>
      <c r="J28" s="15">
        <v>294</v>
      </c>
      <c r="K28" s="15">
        <v>45</v>
      </c>
      <c r="L28" s="15">
        <v>606</v>
      </c>
      <c r="M28" s="15">
        <v>276</v>
      </c>
      <c r="N28" s="15">
        <v>75</v>
      </c>
      <c r="O28" s="15">
        <v>317</v>
      </c>
      <c r="P28" s="15">
        <v>526</v>
      </c>
      <c r="Q28" s="23">
        <v>1482</v>
      </c>
      <c r="R28" s="15">
        <v>440</v>
      </c>
      <c r="S28" s="15">
        <v>310</v>
      </c>
      <c r="T28" s="15">
        <v>175</v>
      </c>
      <c r="U28" s="15"/>
      <c r="V28" s="15"/>
    </row>
    <row r="29" spans="1:22" x14ac:dyDescent="0.2">
      <c r="E29" s="80"/>
      <c r="F29" s="25" t="s">
        <v>1166</v>
      </c>
      <c r="G29" s="23">
        <v>11292</v>
      </c>
      <c r="H29" s="15">
        <v>127</v>
      </c>
      <c r="I29" s="15">
        <v>922</v>
      </c>
      <c r="J29" s="15">
        <v>819</v>
      </c>
      <c r="K29" s="15">
        <v>262</v>
      </c>
      <c r="L29" s="23">
        <v>1205</v>
      </c>
      <c r="M29" s="23">
        <v>1071</v>
      </c>
      <c r="N29" s="15">
        <v>214</v>
      </c>
      <c r="O29" s="15">
        <v>579</v>
      </c>
      <c r="P29" s="15">
        <v>859</v>
      </c>
      <c r="Q29" s="23">
        <v>2911</v>
      </c>
      <c r="R29" s="15">
        <v>865</v>
      </c>
      <c r="S29" s="15">
        <v>933</v>
      </c>
      <c r="T29" s="15">
        <v>525</v>
      </c>
      <c r="U29" s="15"/>
      <c r="V29" s="15"/>
    </row>
    <row r="30" spans="1:22" x14ac:dyDescent="0.2">
      <c r="E30" s="80"/>
      <c r="F30" s="47" t="s">
        <v>1168</v>
      </c>
      <c r="G30" s="23">
        <v>1807</v>
      </c>
      <c r="H30" s="15">
        <v>0</v>
      </c>
      <c r="I30" s="15">
        <v>88</v>
      </c>
      <c r="J30" s="15">
        <v>126</v>
      </c>
      <c r="K30" s="15">
        <v>32</v>
      </c>
      <c r="L30" s="15">
        <v>193</v>
      </c>
      <c r="M30" s="15">
        <v>367</v>
      </c>
      <c r="N30" s="15">
        <v>13</v>
      </c>
      <c r="O30" s="15">
        <v>119</v>
      </c>
      <c r="P30" s="15">
        <v>70</v>
      </c>
      <c r="Q30" s="15">
        <v>359</v>
      </c>
      <c r="R30" s="15">
        <v>187</v>
      </c>
      <c r="S30" s="15">
        <v>168</v>
      </c>
      <c r="T30" s="15">
        <v>85</v>
      </c>
      <c r="U30" s="15"/>
      <c r="V30" s="15"/>
    </row>
    <row r="31" spans="1:22" x14ac:dyDescent="0.2">
      <c r="E31" s="80"/>
      <c r="F31" s="47" t="s">
        <v>1170</v>
      </c>
      <c r="G31" s="23">
        <v>1871</v>
      </c>
      <c r="H31" s="15">
        <v>0</v>
      </c>
      <c r="I31" s="15">
        <v>155</v>
      </c>
      <c r="J31" s="15">
        <v>130</v>
      </c>
      <c r="K31" s="15">
        <v>76</v>
      </c>
      <c r="L31" s="15">
        <v>190</v>
      </c>
      <c r="M31" s="15">
        <v>101</v>
      </c>
      <c r="N31" s="15">
        <v>29</v>
      </c>
      <c r="O31" s="15">
        <v>110</v>
      </c>
      <c r="P31" s="15">
        <v>146</v>
      </c>
      <c r="Q31" s="15">
        <v>462</v>
      </c>
      <c r="R31" s="15">
        <v>180</v>
      </c>
      <c r="S31" s="15">
        <v>263</v>
      </c>
      <c r="T31" s="15">
        <v>29</v>
      </c>
      <c r="U31" s="15"/>
      <c r="V31" s="15"/>
    </row>
    <row r="32" spans="1:22" x14ac:dyDescent="0.2">
      <c r="E32" s="80"/>
      <c r="F32" s="47" t="s">
        <v>1172</v>
      </c>
      <c r="G32" s="23">
        <v>3220</v>
      </c>
      <c r="H32" s="15">
        <v>15</v>
      </c>
      <c r="I32" s="15">
        <v>208</v>
      </c>
      <c r="J32" s="15">
        <v>202</v>
      </c>
      <c r="K32" s="15">
        <v>84</v>
      </c>
      <c r="L32" s="15">
        <v>228</v>
      </c>
      <c r="M32" s="15">
        <v>422</v>
      </c>
      <c r="N32" s="15">
        <v>73</v>
      </c>
      <c r="O32" s="15">
        <v>152</v>
      </c>
      <c r="P32" s="15">
        <v>365</v>
      </c>
      <c r="Q32" s="23">
        <v>1031</v>
      </c>
      <c r="R32" s="15">
        <v>216</v>
      </c>
      <c r="S32" s="15">
        <v>99</v>
      </c>
      <c r="T32" s="15">
        <v>125</v>
      </c>
      <c r="U32" s="15"/>
      <c r="V32" s="15"/>
    </row>
    <row r="33" spans="5:22" x14ac:dyDescent="0.2">
      <c r="E33" s="80"/>
      <c r="F33" s="16" t="s">
        <v>1174</v>
      </c>
      <c r="G33" s="23">
        <v>2690</v>
      </c>
      <c r="H33" s="15">
        <v>3</v>
      </c>
      <c r="I33" s="15">
        <v>292</v>
      </c>
      <c r="J33" s="15">
        <v>123</v>
      </c>
      <c r="K33" s="15">
        <v>63</v>
      </c>
      <c r="L33" s="15">
        <v>350</v>
      </c>
      <c r="M33" s="15">
        <v>212</v>
      </c>
      <c r="N33" s="15">
        <v>35</v>
      </c>
      <c r="O33" s="15">
        <v>88</v>
      </c>
      <c r="P33" s="15">
        <v>235</v>
      </c>
      <c r="Q33" s="15">
        <v>823</v>
      </c>
      <c r="R33" s="15">
        <v>178</v>
      </c>
      <c r="S33" s="15">
        <v>162</v>
      </c>
      <c r="T33" s="15">
        <v>126</v>
      </c>
      <c r="U33" s="15"/>
      <c r="V33" s="15"/>
    </row>
    <row r="34" spans="5:22" x14ac:dyDescent="0.2">
      <c r="E34" s="80"/>
      <c r="F34" s="47" t="s">
        <v>1178</v>
      </c>
      <c r="G34" s="15">
        <v>500</v>
      </c>
      <c r="H34" s="15">
        <v>0</v>
      </c>
      <c r="I34" s="17">
        <v>97</v>
      </c>
      <c r="J34" s="15">
        <v>25</v>
      </c>
      <c r="K34" s="15">
        <v>6</v>
      </c>
      <c r="L34" s="15">
        <v>35</v>
      </c>
      <c r="M34" s="15">
        <v>45</v>
      </c>
      <c r="N34" s="15">
        <v>0</v>
      </c>
      <c r="O34" s="15">
        <v>17</v>
      </c>
      <c r="P34" s="15">
        <v>36</v>
      </c>
      <c r="Q34" s="15">
        <v>142</v>
      </c>
      <c r="R34" s="15">
        <v>52</v>
      </c>
      <c r="S34" s="15">
        <v>27</v>
      </c>
      <c r="T34" s="15">
        <v>18</v>
      </c>
      <c r="U34" s="15"/>
      <c r="V34" s="15"/>
    </row>
    <row r="35" spans="5:22" x14ac:dyDescent="0.2">
      <c r="E35" s="80"/>
      <c r="F35" s="25" t="s">
        <v>1180</v>
      </c>
      <c r="G35" s="23">
        <v>12879</v>
      </c>
      <c r="H35" s="15">
        <v>83</v>
      </c>
      <c r="I35" s="17">
        <v>833</v>
      </c>
      <c r="J35" s="15">
        <v>848</v>
      </c>
      <c r="K35" s="15">
        <v>621</v>
      </c>
      <c r="L35" s="23">
        <v>2230</v>
      </c>
      <c r="M35" s="23">
        <v>1065</v>
      </c>
      <c r="N35" s="15">
        <v>169</v>
      </c>
      <c r="O35" s="15">
        <v>467</v>
      </c>
      <c r="P35" s="15">
        <v>947</v>
      </c>
      <c r="Q35" s="23">
        <v>3036</v>
      </c>
      <c r="R35" s="23">
        <v>1223</v>
      </c>
      <c r="S35" s="15">
        <v>476</v>
      </c>
      <c r="T35" s="15">
        <v>881</v>
      </c>
      <c r="U35" s="15"/>
      <c r="V35" s="15"/>
    </row>
    <row r="36" spans="5:22" x14ac:dyDescent="0.2">
      <c r="E36" s="80"/>
      <c r="F36" s="25" t="s">
        <v>1182</v>
      </c>
      <c r="G36" s="23">
        <v>15856</v>
      </c>
      <c r="H36" s="15">
        <v>104</v>
      </c>
      <c r="I36" s="28">
        <v>1317</v>
      </c>
      <c r="J36" s="15">
        <v>684</v>
      </c>
      <c r="K36" s="15">
        <v>352</v>
      </c>
      <c r="L36" s="23">
        <v>1932</v>
      </c>
      <c r="M36" s="15">
        <v>930</v>
      </c>
      <c r="N36" s="15">
        <v>242</v>
      </c>
      <c r="O36" s="15">
        <v>871</v>
      </c>
      <c r="P36" s="23">
        <v>1593</v>
      </c>
      <c r="Q36" s="23">
        <v>4907</v>
      </c>
      <c r="R36" s="23">
        <v>1191</v>
      </c>
      <c r="S36" s="15">
        <v>817</v>
      </c>
      <c r="T36" s="15">
        <v>916</v>
      </c>
      <c r="U36" s="15"/>
      <c r="V36" s="15"/>
    </row>
    <row r="37" spans="5:22" x14ac:dyDescent="0.2">
      <c r="E37" s="80"/>
      <c r="F37" s="25" t="s">
        <v>1184</v>
      </c>
      <c r="G37" s="23">
        <v>13668</v>
      </c>
      <c r="H37" s="15">
        <v>129</v>
      </c>
      <c r="I37" s="17">
        <v>746</v>
      </c>
      <c r="J37" s="15">
        <v>666</v>
      </c>
      <c r="K37" s="15">
        <v>438</v>
      </c>
      <c r="L37" s="23">
        <v>1508</v>
      </c>
      <c r="M37" s="23">
        <v>1103</v>
      </c>
      <c r="N37" s="15">
        <v>391</v>
      </c>
      <c r="O37" s="23">
        <v>1163</v>
      </c>
      <c r="P37" s="23">
        <v>1120</v>
      </c>
      <c r="Q37" s="23">
        <v>3727</v>
      </c>
      <c r="R37" s="15">
        <v>672</v>
      </c>
      <c r="S37" s="23">
        <v>1092</v>
      </c>
      <c r="T37" s="15">
        <v>913</v>
      </c>
      <c r="U37" s="15"/>
      <c r="V37" s="15"/>
    </row>
    <row r="38" spans="5:22" x14ac:dyDescent="0.2">
      <c r="E38" s="80"/>
      <c r="F38" s="25" t="s">
        <v>1186</v>
      </c>
      <c r="G38" s="23">
        <v>8525</v>
      </c>
      <c r="H38" s="15">
        <v>43</v>
      </c>
      <c r="I38" s="15">
        <v>652</v>
      </c>
      <c r="J38" s="23">
        <v>1012</v>
      </c>
      <c r="K38" s="15">
        <v>506</v>
      </c>
      <c r="L38" s="23">
        <v>1314</v>
      </c>
      <c r="M38" s="15">
        <v>168</v>
      </c>
      <c r="N38" s="15">
        <v>37</v>
      </c>
      <c r="O38" s="15">
        <v>757</v>
      </c>
      <c r="P38" s="23">
        <v>1083</v>
      </c>
      <c r="Q38" s="23">
        <v>2531</v>
      </c>
      <c r="R38" s="15">
        <v>171</v>
      </c>
      <c r="S38" s="15">
        <v>68</v>
      </c>
      <c r="T38" s="15">
        <v>183</v>
      </c>
      <c r="U38" s="15"/>
      <c r="V38" s="15"/>
    </row>
    <row r="39" spans="5:22" x14ac:dyDescent="0.2">
      <c r="E39" s="80"/>
      <c r="F39" s="49" t="s">
        <v>1188</v>
      </c>
      <c r="G39" s="23">
        <v>8525</v>
      </c>
      <c r="H39" s="15">
        <v>43</v>
      </c>
      <c r="I39" s="15">
        <v>652</v>
      </c>
      <c r="J39" s="23">
        <v>1012</v>
      </c>
      <c r="K39" s="15">
        <v>506</v>
      </c>
      <c r="L39" s="23">
        <v>1314</v>
      </c>
      <c r="M39" s="15">
        <v>168</v>
      </c>
      <c r="N39" s="15">
        <v>37</v>
      </c>
      <c r="O39" s="15">
        <v>757</v>
      </c>
      <c r="P39" s="23">
        <v>1083</v>
      </c>
      <c r="Q39" s="23">
        <v>2531</v>
      </c>
      <c r="R39" s="15">
        <v>171</v>
      </c>
      <c r="S39" s="15">
        <v>68</v>
      </c>
      <c r="T39" s="15">
        <v>183</v>
      </c>
      <c r="U39" s="15"/>
      <c r="V39" s="15"/>
    </row>
    <row r="40" spans="5:22" x14ac:dyDescent="0.2">
      <c r="E40" s="80"/>
      <c r="F40" s="26" t="s">
        <v>1191</v>
      </c>
      <c r="G40" s="23">
        <v>3697</v>
      </c>
      <c r="H40" s="15">
        <v>0</v>
      </c>
      <c r="I40" s="15">
        <v>454</v>
      </c>
      <c r="J40" s="15">
        <v>675</v>
      </c>
      <c r="K40" s="15">
        <v>59</v>
      </c>
      <c r="L40" s="15">
        <v>555</v>
      </c>
      <c r="M40" s="15">
        <v>174</v>
      </c>
      <c r="N40" s="15">
        <v>32</v>
      </c>
      <c r="O40" s="15">
        <v>81</v>
      </c>
      <c r="P40" s="15">
        <v>314</v>
      </c>
      <c r="Q40" s="15">
        <v>842</v>
      </c>
      <c r="R40" s="15">
        <v>310</v>
      </c>
      <c r="S40" s="15">
        <v>93</v>
      </c>
      <c r="T40" s="15">
        <v>108</v>
      </c>
      <c r="U40" s="15"/>
      <c r="V40" s="15"/>
    </row>
    <row r="41" spans="5:22" x14ac:dyDescent="0.2">
      <c r="E41" s="80"/>
      <c r="F41" s="16" t="s">
        <v>1195</v>
      </c>
      <c r="G41" s="23">
        <v>1883</v>
      </c>
      <c r="H41" s="15">
        <v>0</v>
      </c>
      <c r="I41" s="15">
        <v>78</v>
      </c>
      <c r="J41" s="15">
        <v>82</v>
      </c>
      <c r="K41" s="15">
        <v>66</v>
      </c>
      <c r="L41" s="15">
        <v>238</v>
      </c>
      <c r="M41" s="15">
        <v>53</v>
      </c>
      <c r="N41" s="15">
        <v>54</v>
      </c>
      <c r="O41" s="15">
        <v>265</v>
      </c>
      <c r="P41" s="15">
        <v>284</v>
      </c>
      <c r="Q41" s="15">
        <v>422</v>
      </c>
      <c r="R41" s="15">
        <v>113</v>
      </c>
      <c r="S41" s="15">
        <v>138</v>
      </c>
      <c r="T41" s="15">
        <v>90</v>
      </c>
      <c r="U41" s="15"/>
      <c r="V41" s="15"/>
    </row>
    <row r="42" spans="5:22" x14ac:dyDescent="0.2">
      <c r="E42" s="80"/>
      <c r="F42" s="47" t="s">
        <v>1199</v>
      </c>
      <c r="G42" s="23">
        <v>1494</v>
      </c>
      <c r="H42" s="15">
        <v>0</v>
      </c>
      <c r="I42" s="15">
        <v>69</v>
      </c>
      <c r="J42" s="15">
        <v>76</v>
      </c>
      <c r="K42" s="15">
        <v>60</v>
      </c>
      <c r="L42" s="15">
        <v>223</v>
      </c>
      <c r="M42" s="15">
        <v>49</v>
      </c>
      <c r="N42" s="15">
        <v>49</v>
      </c>
      <c r="O42" s="15">
        <v>73</v>
      </c>
      <c r="P42" s="15">
        <v>229</v>
      </c>
      <c r="Q42" s="15">
        <v>348</v>
      </c>
      <c r="R42" s="15">
        <v>93</v>
      </c>
      <c r="S42" s="15">
        <v>135</v>
      </c>
      <c r="T42" s="15">
        <v>90</v>
      </c>
      <c r="U42" s="15"/>
      <c r="V42" s="15"/>
    </row>
    <row r="43" spans="5:22" x14ac:dyDescent="0.2">
      <c r="E43" s="80"/>
      <c r="F43" s="47" t="s">
        <v>1200</v>
      </c>
      <c r="G43" s="15">
        <v>389</v>
      </c>
      <c r="H43" s="15">
        <v>0</v>
      </c>
      <c r="I43" s="15">
        <v>9</v>
      </c>
      <c r="J43" s="15">
        <v>6</v>
      </c>
      <c r="K43" s="15">
        <v>6</v>
      </c>
      <c r="L43" s="15">
        <v>15</v>
      </c>
      <c r="M43" s="15">
        <v>4</v>
      </c>
      <c r="N43" s="15">
        <v>5</v>
      </c>
      <c r="O43" s="15">
        <v>192</v>
      </c>
      <c r="P43" s="15">
        <v>55</v>
      </c>
      <c r="Q43" s="15">
        <v>74</v>
      </c>
      <c r="R43" s="15">
        <v>20</v>
      </c>
      <c r="S43" s="15">
        <v>3</v>
      </c>
      <c r="T43" s="15">
        <v>0</v>
      </c>
      <c r="U43" s="15"/>
      <c r="V43" s="15"/>
    </row>
    <row r="44" spans="5:22" x14ac:dyDescent="0.2">
      <c r="E44" s="80"/>
      <c r="F44" s="16" t="s">
        <v>1201</v>
      </c>
      <c r="G44" s="23">
        <v>15847</v>
      </c>
      <c r="H44" s="15">
        <v>59</v>
      </c>
      <c r="I44" s="15">
        <v>968</v>
      </c>
      <c r="J44" s="15">
        <v>874</v>
      </c>
      <c r="K44" s="15">
        <v>623</v>
      </c>
      <c r="L44" s="23">
        <v>2389</v>
      </c>
      <c r="M44" s="23">
        <v>1335</v>
      </c>
      <c r="N44" s="15">
        <v>456</v>
      </c>
      <c r="O44" s="15">
        <v>808</v>
      </c>
      <c r="P44" s="23">
        <v>1406</v>
      </c>
      <c r="Q44" s="23">
        <v>4245</v>
      </c>
      <c r="R44" s="23">
        <v>1230</v>
      </c>
      <c r="S44" s="15">
        <v>830</v>
      </c>
      <c r="T44" s="15">
        <v>624</v>
      </c>
      <c r="U44" s="15"/>
      <c r="V44" s="15"/>
    </row>
    <row r="45" spans="5:22" x14ac:dyDescent="0.2">
      <c r="E45" s="80"/>
      <c r="F45" s="16" t="s">
        <v>1202</v>
      </c>
      <c r="G45" s="23">
        <v>16321</v>
      </c>
      <c r="H45" s="15">
        <v>167</v>
      </c>
      <c r="I45" s="23">
        <v>1590</v>
      </c>
      <c r="J45" s="23">
        <v>1203</v>
      </c>
      <c r="K45" s="15">
        <v>456</v>
      </c>
      <c r="L45" s="23">
        <v>1586</v>
      </c>
      <c r="M45" s="15">
        <v>758</v>
      </c>
      <c r="N45" s="15">
        <v>445</v>
      </c>
      <c r="O45" s="23">
        <v>1228</v>
      </c>
      <c r="P45" s="23">
        <v>1858</v>
      </c>
      <c r="Q45" s="23">
        <v>4420</v>
      </c>
      <c r="R45" s="23">
        <v>1086</v>
      </c>
      <c r="S45" s="23">
        <v>1009</v>
      </c>
      <c r="T45" s="15">
        <v>515</v>
      </c>
      <c r="U45" s="15"/>
      <c r="V45" s="15"/>
    </row>
    <row r="46" spans="5:22" x14ac:dyDescent="0.2">
      <c r="E46" s="80"/>
      <c r="F46" s="47" t="s">
        <v>1203</v>
      </c>
      <c r="G46" s="23">
        <v>1510</v>
      </c>
      <c r="H46" s="15">
        <v>7</v>
      </c>
      <c r="I46" s="15">
        <v>172</v>
      </c>
      <c r="J46" s="15">
        <v>145</v>
      </c>
      <c r="K46" s="15">
        <v>33</v>
      </c>
      <c r="L46" s="15">
        <v>208</v>
      </c>
      <c r="M46" s="15">
        <v>115</v>
      </c>
      <c r="N46" s="15">
        <v>28</v>
      </c>
      <c r="O46" s="15">
        <v>98</v>
      </c>
      <c r="P46" s="15">
        <v>85</v>
      </c>
      <c r="Q46" s="15">
        <v>308</v>
      </c>
      <c r="R46" s="15">
        <v>104</v>
      </c>
      <c r="S46" s="15">
        <v>105</v>
      </c>
      <c r="T46" s="15">
        <v>102</v>
      </c>
      <c r="U46" s="15"/>
      <c r="V46" s="15"/>
    </row>
    <row r="47" spans="5:22" x14ac:dyDescent="0.2">
      <c r="E47" s="80"/>
      <c r="F47" s="47" t="s">
        <v>1204</v>
      </c>
      <c r="G47" s="23">
        <v>1398</v>
      </c>
      <c r="H47" s="15">
        <v>0</v>
      </c>
      <c r="I47" s="15">
        <v>118</v>
      </c>
      <c r="J47" s="15">
        <v>108</v>
      </c>
      <c r="K47" s="15">
        <v>16</v>
      </c>
      <c r="L47" s="15">
        <v>163</v>
      </c>
      <c r="M47" s="15">
        <v>63</v>
      </c>
      <c r="N47" s="15">
        <v>57</v>
      </c>
      <c r="O47" s="15">
        <v>47</v>
      </c>
      <c r="P47" s="15">
        <v>244</v>
      </c>
      <c r="Q47" s="15">
        <v>305</v>
      </c>
      <c r="R47" s="15">
        <v>79</v>
      </c>
      <c r="S47" s="15">
        <v>125</v>
      </c>
      <c r="T47" s="15">
        <v>73</v>
      </c>
      <c r="U47" s="15"/>
      <c r="V47" s="15"/>
    </row>
    <row r="48" spans="5:22" x14ac:dyDescent="0.2">
      <c r="E48" s="80"/>
      <c r="F48" s="47" t="s">
        <v>1205</v>
      </c>
      <c r="G48" s="23">
        <v>3121</v>
      </c>
      <c r="H48" s="15">
        <v>32</v>
      </c>
      <c r="I48" s="15">
        <v>201</v>
      </c>
      <c r="J48" s="15">
        <v>132</v>
      </c>
      <c r="K48" s="15">
        <v>55</v>
      </c>
      <c r="L48" s="15">
        <v>184</v>
      </c>
      <c r="M48" s="15">
        <v>113</v>
      </c>
      <c r="N48" s="15">
        <v>53</v>
      </c>
      <c r="O48" s="15">
        <v>281</v>
      </c>
      <c r="P48" s="15">
        <v>452</v>
      </c>
      <c r="Q48" s="23">
        <v>1254</v>
      </c>
      <c r="R48" s="15">
        <v>212</v>
      </c>
      <c r="S48" s="15">
        <v>101</v>
      </c>
      <c r="T48" s="15">
        <v>51</v>
      </c>
      <c r="U48" s="15"/>
      <c r="V48" s="15"/>
    </row>
    <row r="49" spans="5:22" x14ac:dyDescent="0.2">
      <c r="E49" s="80"/>
      <c r="F49" s="16" t="s">
        <v>1206</v>
      </c>
      <c r="G49" s="23">
        <v>3790</v>
      </c>
      <c r="H49" s="15">
        <v>12</v>
      </c>
      <c r="I49" s="15">
        <v>183</v>
      </c>
      <c r="J49" s="15">
        <v>409</v>
      </c>
      <c r="K49" s="15">
        <v>123</v>
      </c>
      <c r="L49" s="15">
        <v>398</v>
      </c>
      <c r="M49" s="15">
        <v>210</v>
      </c>
      <c r="N49" s="15">
        <v>85</v>
      </c>
      <c r="O49" s="15">
        <v>203</v>
      </c>
      <c r="P49" s="15">
        <v>330</v>
      </c>
      <c r="Q49" s="23">
        <v>1361</v>
      </c>
      <c r="R49" s="15">
        <v>122</v>
      </c>
      <c r="S49" s="15">
        <v>260</v>
      </c>
      <c r="T49" s="15">
        <v>94</v>
      </c>
      <c r="U49" s="15"/>
      <c r="V49" s="15"/>
    </row>
    <row r="50" spans="5:22" x14ac:dyDescent="0.2">
      <c r="E50" s="80"/>
      <c r="F50" s="16" t="s">
        <v>1207</v>
      </c>
      <c r="G50" s="23">
        <v>5754</v>
      </c>
      <c r="H50" s="15">
        <v>0</v>
      </c>
      <c r="I50" s="15">
        <v>393</v>
      </c>
      <c r="J50" s="15">
        <v>192</v>
      </c>
      <c r="K50" s="15">
        <v>107</v>
      </c>
      <c r="L50" s="15">
        <v>800</v>
      </c>
      <c r="M50" s="15">
        <v>490</v>
      </c>
      <c r="N50" s="15">
        <v>211</v>
      </c>
      <c r="O50" s="15">
        <v>384</v>
      </c>
      <c r="P50" s="15">
        <v>876</v>
      </c>
      <c r="Q50" s="23">
        <v>1536</v>
      </c>
      <c r="R50" s="15">
        <v>296</v>
      </c>
      <c r="S50" s="15">
        <v>282</v>
      </c>
      <c r="T50" s="15">
        <v>187</v>
      </c>
      <c r="U50" s="15"/>
      <c r="V50" s="15"/>
    </row>
    <row r="51" spans="5:22" x14ac:dyDescent="0.2">
      <c r="E51" s="80"/>
      <c r="F51" s="47" t="s">
        <v>1162</v>
      </c>
      <c r="G51" s="15">
        <v>466</v>
      </c>
      <c r="H51" s="15">
        <v>0</v>
      </c>
      <c r="I51" s="15">
        <v>0</v>
      </c>
      <c r="J51" s="15">
        <v>22</v>
      </c>
      <c r="K51" s="15">
        <v>9</v>
      </c>
      <c r="L51" s="15">
        <v>173</v>
      </c>
      <c r="M51" s="15">
        <v>46</v>
      </c>
      <c r="N51" s="15">
        <v>29</v>
      </c>
      <c r="O51" s="15">
        <v>35</v>
      </c>
      <c r="P51" s="15">
        <v>47</v>
      </c>
      <c r="Q51" s="15">
        <v>72</v>
      </c>
      <c r="R51" s="15">
        <v>7</v>
      </c>
      <c r="S51" s="15">
        <v>13</v>
      </c>
      <c r="T51" s="15">
        <v>13</v>
      </c>
      <c r="U51" s="15"/>
      <c r="V51" s="15"/>
    </row>
    <row r="52" spans="5:22" x14ac:dyDescent="0.2">
      <c r="E52" s="80"/>
      <c r="F52" s="47" t="s">
        <v>1208</v>
      </c>
      <c r="G52" s="23">
        <v>5288</v>
      </c>
      <c r="H52" s="15">
        <v>0</v>
      </c>
      <c r="I52" s="15">
        <v>393</v>
      </c>
      <c r="J52" s="15">
        <v>170</v>
      </c>
      <c r="K52" s="15">
        <v>98</v>
      </c>
      <c r="L52" s="15">
        <v>627</v>
      </c>
      <c r="M52" s="15">
        <v>444</v>
      </c>
      <c r="N52" s="15">
        <v>182</v>
      </c>
      <c r="O52" s="15">
        <v>349</v>
      </c>
      <c r="P52" s="15">
        <v>829</v>
      </c>
      <c r="Q52" s="23">
        <v>1464</v>
      </c>
      <c r="R52" s="15">
        <v>289</v>
      </c>
      <c r="S52" s="15">
        <v>269</v>
      </c>
      <c r="T52" s="15">
        <v>174</v>
      </c>
      <c r="U52" s="15"/>
      <c r="V52" s="15"/>
    </row>
    <row r="53" spans="5:22" x14ac:dyDescent="0.2">
      <c r="E53" s="80"/>
    </row>
    <row r="54" spans="5:22" x14ac:dyDescent="0.2">
      <c r="E54" s="80"/>
    </row>
    <row r="55" spans="5:22" x14ac:dyDescent="0.2">
      <c r="E55" s="80"/>
    </row>
    <row r="56" spans="5:22" x14ac:dyDescent="0.2">
      <c r="E56" s="80"/>
    </row>
    <row r="57" spans="5:22" x14ac:dyDescent="0.2">
      <c r="E57" s="80"/>
    </row>
  </sheetData>
  <mergeCells count="9">
    <mergeCell ref="G5:G6"/>
    <mergeCell ref="B1:O1"/>
    <mergeCell ref="A21:B21"/>
    <mergeCell ref="H5:T5"/>
    <mergeCell ref="A9:B9"/>
    <mergeCell ref="A5:B5"/>
    <mergeCell ref="F5:F6"/>
    <mergeCell ref="A18:B18"/>
    <mergeCell ref="E5:E57"/>
  </mergeCells>
  <dataValidations count="3">
    <dataValidation type="list" allowBlank="1" showInputMessage="1" showErrorMessage="1" sqref="B10" xr:uid="{00000000-0002-0000-0800-000000000000}">
      <formula1>"Line,Clustered Bar,Stacked Bar,Bar,Horizontal Stacked Bar"</formula1>
    </dataValidation>
    <dataValidation type="list" allowBlank="1" showInputMessage="1" showErrorMessage="1" sqref="B2" xr:uid="{00000000-0002-0000-0800-000001000000}">
      <formula1>"Table,Figure,Both"</formula1>
    </dataValidation>
    <dataValidation type="list" allowBlank="1" showInputMessage="1" showErrorMessage="1" sqref="B6 B15:B16" xr:uid="{00000000-0002-0000-0800-000002000000}">
      <formula1>"True,False"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57"/>
  <sheetViews>
    <sheetView topLeftCell="A2" workbookViewId="0">
      <selection activeCell="G36" sqref="G3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35.1640625" bestFit="1" customWidth="1"/>
    <col min="8" max="8" width="37.6640625" bestFit="1" customWidth="1"/>
    <col min="9" max="9" width="8.83203125" bestFit="1" customWidth="1"/>
    <col min="10" max="10" width="15.33203125" bestFit="1" customWidth="1"/>
    <col min="11" max="11" width="43" bestFit="1" customWidth="1"/>
    <col min="12" max="12" width="41.1640625" bestFit="1" customWidth="1"/>
    <col min="13" max="13" width="12.1640625" bestFit="1" customWidth="1"/>
    <col min="14" max="14" width="12.33203125" bestFit="1" customWidth="1"/>
    <col min="15" max="16" width="12.5" bestFit="1" customWidth="1"/>
  </cols>
  <sheetData>
    <row r="1" spans="1:17" x14ac:dyDescent="0.2">
      <c r="A1" s="16" t="s">
        <v>1077</v>
      </c>
      <c r="B1" s="79" t="s">
        <v>39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tbl-employed-civilian-occupations</v>
      </c>
    </row>
    <row r="4" spans="1:17" x14ac:dyDescent="0.2">
      <c r="A4" s="16" t="s">
        <v>7</v>
      </c>
      <c r="B4" t="str">
        <f>IF($B$1="","",_xlfn.XLOOKUP($B$1,Master!$F$2:$F$321,Master!$H$2:$H$321,""))</f>
        <v>fig-employed-civilian-occupations</v>
      </c>
      <c r="E4" s="8"/>
      <c r="F4" s="10" t="s">
        <v>1009</v>
      </c>
      <c r="G4" s="10" t="s">
        <v>973</v>
      </c>
      <c r="H4" s="10" t="s">
        <v>973</v>
      </c>
      <c r="I4" s="10" t="s">
        <v>973</v>
      </c>
      <c r="J4" s="10" t="s">
        <v>973</v>
      </c>
      <c r="K4" s="10" t="s">
        <v>973</v>
      </c>
      <c r="L4" s="10" t="s">
        <v>973</v>
      </c>
      <c r="M4" s="10"/>
      <c r="N4" s="10"/>
      <c r="O4" s="10"/>
      <c r="P4" s="10"/>
      <c r="Q4" s="10"/>
    </row>
    <row r="5" spans="1:17" x14ac:dyDescent="0.2">
      <c r="A5" s="83" t="s">
        <v>1081</v>
      </c>
      <c r="B5" s="80"/>
      <c r="E5" s="82" t="s">
        <v>1082</v>
      </c>
      <c r="F5" s="84" t="s">
        <v>1083</v>
      </c>
      <c r="G5" s="84" t="s">
        <v>1245</v>
      </c>
      <c r="H5" s="84" t="s">
        <v>1262</v>
      </c>
      <c r="I5" s="80"/>
      <c r="J5" s="80"/>
      <c r="K5" s="80"/>
      <c r="L5" s="80"/>
    </row>
    <row r="6" spans="1:17" ht="15" customHeight="1" x14ac:dyDescent="0.2">
      <c r="A6" t="s">
        <v>1088</v>
      </c>
      <c r="B6" t="b">
        <v>1</v>
      </c>
      <c r="E6" s="80"/>
      <c r="F6" s="80"/>
      <c r="G6" s="80"/>
      <c r="H6" s="17" t="s">
        <v>1263</v>
      </c>
      <c r="I6" s="17" t="s">
        <v>1264</v>
      </c>
      <c r="J6" s="17" t="s">
        <v>1265</v>
      </c>
      <c r="K6" s="17" t="s">
        <v>1266</v>
      </c>
      <c r="L6" s="17" t="s">
        <v>1267</v>
      </c>
    </row>
    <row r="7" spans="1:17" ht="15.75" customHeight="1" x14ac:dyDescent="0.2">
      <c r="E7" s="80"/>
      <c r="F7" s="16" t="s">
        <v>1096</v>
      </c>
      <c r="G7" s="28">
        <v>184167</v>
      </c>
      <c r="H7" s="28">
        <v>74036</v>
      </c>
      <c r="I7" s="28">
        <v>32806</v>
      </c>
      <c r="J7" s="28">
        <v>40121</v>
      </c>
      <c r="K7" s="28">
        <v>16708</v>
      </c>
      <c r="L7" s="28">
        <v>20496</v>
      </c>
      <c r="M7" s="15"/>
      <c r="N7" s="15"/>
      <c r="O7" s="15"/>
    </row>
    <row r="8" spans="1:17" x14ac:dyDescent="0.2">
      <c r="E8" s="80"/>
      <c r="F8" s="16" t="s">
        <v>1097</v>
      </c>
      <c r="G8" s="28">
        <v>8167</v>
      </c>
      <c r="H8" s="28">
        <v>3370</v>
      </c>
      <c r="I8" s="28">
        <v>1503</v>
      </c>
      <c r="J8" s="28">
        <v>1872</v>
      </c>
      <c r="K8" s="17">
        <v>950</v>
      </c>
      <c r="L8" s="17">
        <v>472</v>
      </c>
      <c r="M8" s="15"/>
      <c r="N8" s="15"/>
      <c r="O8" s="15"/>
    </row>
    <row r="9" spans="1:17" x14ac:dyDescent="0.2">
      <c r="A9" s="83" t="s">
        <v>1098</v>
      </c>
      <c r="B9" s="80"/>
      <c r="E9" s="80"/>
      <c r="F9" s="47" t="s">
        <v>1099</v>
      </c>
      <c r="G9" s="28">
        <v>1268</v>
      </c>
      <c r="H9" s="17">
        <v>550</v>
      </c>
      <c r="I9" s="17">
        <v>194</v>
      </c>
      <c r="J9" s="17">
        <v>339</v>
      </c>
      <c r="K9" s="17">
        <v>118</v>
      </c>
      <c r="L9" s="17">
        <v>67</v>
      </c>
      <c r="M9" s="15"/>
      <c r="N9" s="15"/>
      <c r="O9" s="15"/>
    </row>
    <row r="10" spans="1:17" x14ac:dyDescent="0.2">
      <c r="A10" t="s">
        <v>1100</v>
      </c>
      <c r="E10" s="80"/>
      <c r="F10" s="47" t="s">
        <v>1101</v>
      </c>
      <c r="G10" s="28">
        <v>2827</v>
      </c>
      <c r="H10" s="28">
        <v>1117</v>
      </c>
      <c r="I10" s="17">
        <v>695</v>
      </c>
      <c r="J10" s="17">
        <v>695</v>
      </c>
      <c r="K10" s="17">
        <v>195</v>
      </c>
      <c r="L10" s="17">
        <v>125</v>
      </c>
    </row>
    <row r="11" spans="1:17" x14ac:dyDescent="0.2">
      <c r="A11" t="s">
        <v>1102</v>
      </c>
      <c r="E11" s="80"/>
      <c r="F11" s="16" t="s">
        <v>1103</v>
      </c>
      <c r="G11" s="28">
        <v>6888</v>
      </c>
      <c r="H11" s="28">
        <v>3206</v>
      </c>
      <c r="I11" s="17">
        <v>741</v>
      </c>
      <c r="J11" s="28">
        <v>1792</v>
      </c>
      <c r="K11" s="17">
        <v>447</v>
      </c>
      <c r="L11" s="17">
        <v>702</v>
      </c>
      <c r="M11" s="17"/>
      <c r="N11" s="17"/>
    </row>
    <row r="12" spans="1:17" x14ac:dyDescent="0.2">
      <c r="A12" t="s">
        <v>1104</v>
      </c>
      <c r="E12" s="80"/>
      <c r="F12" s="48" t="s">
        <v>1105</v>
      </c>
      <c r="G12" s="28">
        <v>2488</v>
      </c>
      <c r="H12" s="17">
        <v>927</v>
      </c>
      <c r="I12" s="17">
        <v>295</v>
      </c>
      <c r="J12" s="17">
        <v>824</v>
      </c>
      <c r="K12" s="17">
        <v>125</v>
      </c>
      <c r="L12" s="17">
        <v>317</v>
      </c>
    </row>
    <row r="13" spans="1:17" x14ac:dyDescent="0.2">
      <c r="A13" t="s">
        <v>1108</v>
      </c>
      <c r="E13" s="80"/>
      <c r="F13" s="16" t="s">
        <v>1109</v>
      </c>
      <c r="G13" s="28">
        <v>6425</v>
      </c>
      <c r="H13" s="28">
        <v>3459</v>
      </c>
      <c r="I13" s="17">
        <v>930</v>
      </c>
      <c r="J13" s="28">
        <v>1116</v>
      </c>
      <c r="K13" s="17">
        <v>522</v>
      </c>
      <c r="L13" s="17">
        <v>398</v>
      </c>
    </row>
    <row r="14" spans="1:17" x14ac:dyDescent="0.2">
      <c r="A14" t="s">
        <v>1112</v>
      </c>
      <c r="E14" s="80"/>
      <c r="F14" s="47" t="s">
        <v>1113</v>
      </c>
      <c r="G14" s="28">
        <v>1656</v>
      </c>
      <c r="H14" s="17">
        <v>885</v>
      </c>
      <c r="I14" s="17">
        <v>259</v>
      </c>
      <c r="J14" s="17">
        <v>276</v>
      </c>
      <c r="K14" s="17">
        <v>83</v>
      </c>
      <c r="L14" s="17">
        <v>153</v>
      </c>
    </row>
    <row r="15" spans="1:17" x14ac:dyDescent="0.2">
      <c r="A15" t="s">
        <v>1114</v>
      </c>
      <c r="E15" s="80"/>
      <c r="F15" s="16" t="s">
        <v>1115</v>
      </c>
      <c r="G15" s="28">
        <v>5000</v>
      </c>
      <c r="H15" s="28">
        <v>2041</v>
      </c>
      <c r="I15" s="17">
        <v>842</v>
      </c>
      <c r="J15" s="28">
        <v>1090</v>
      </c>
      <c r="K15" s="17">
        <v>588</v>
      </c>
      <c r="L15" s="17">
        <v>439</v>
      </c>
    </row>
    <row r="16" spans="1:17" x14ac:dyDescent="0.2">
      <c r="A16" t="s">
        <v>1116</v>
      </c>
      <c r="E16" s="80"/>
      <c r="F16" s="16" t="s">
        <v>1117</v>
      </c>
      <c r="G16" s="28">
        <v>3207</v>
      </c>
      <c r="H16" s="17">
        <v>915</v>
      </c>
      <c r="I16" s="17">
        <v>505</v>
      </c>
      <c r="J16" s="28">
        <v>1094</v>
      </c>
      <c r="K16" s="17">
        <v>267</v>
      </c>
      <c r="L16" s="17">
        <v>426</v>
      </c>
    </row>
    <row r="17" spans="1:12" x14ac:dyDescent="0.2">
      <c r="E17" s="80"/>
      <c r="F17" s="16" t="s">
        <v>1118</v>
      </c>
      <c r="G17" s="28">
        <v>6373</v>
      </c>
      <c r="H17" s="28">
        <v>3107</v>
      </c>
      <c r="I17" s="17">
        <v>948</v>
      </c>
      <c r="J17" s="28">
        <v>1322</v>
      </c>
      <c r="K17" s="17">
        <v>558</v>
      </c>
      <c r="L17" s="17">
        <v>438</v>
      </c>
    </row>
    <row r="18" spans="1:12" x14ac:dyDescent="0.2">
      <c r="A18" s="83" t="s">
        <v>1119</v>
      </c>
      <c r="B18" s="80"/>
      <c r="E18" s="80"/>
      <c r="F18" s="47" t="s">
        <v>1120</v>
      </c>
      <c r="G18" s="28">
        <v>2703</v>
      </c>
      <c r="H18" s="28">
        <v>1151</v>
      </c>
      <c r="I18" s="17">
        <v>600</v>
      </c>
      <c r="J18" s="17">
        <v>486</v>
      </c>
      <c r="K18" s="17">
        <v>199</v>
      </c>
      <c r="L18" s="17">
        <v>267</v>
      </c>
    </row>
    <row r="19" spans="1:12" x14ac:dyDescent="0.2">
      <c r="A19" t="s">
        <v>1121</v>
      </c>
      <c r="B19" t="s">
        <v>1268</v>
      </c>
      <c r="E19" s="80"/>
      <c r="F19" s="16" t="s">
        <v>1123</v>
      </c>
      <c r="G19" s="28">
        <v>2563</v>
      </c>
      <c r="H19" s="28">
        <v>1131</v>
      </c>
      <c r="I19" s="17">
        <v>450</v>
      </c>
      <c r="J19" s="17">
        <v>410</v>
      </c>
      <c r="K19" s="17">
        <v>182</v>
      </c>
      <c r="L19" s="17">
        <v>390</v>
      </c>
    </row>
    <row r="20" spans="1:12" x14ac:dyDescent="0.2">
      <c r="E20" s="80"/>
      <c r="F20" s="25" t="s">
        <v>1124</v>
      </c>
      <c r="G20" s="28">
        <v>2495</v>
      </c>
      <c r="H20" s="17">
        <v>998</v>
      </c>
      <c r="I20" s="17">
        <v>421</v>
      </c>
      <c r="J20" s="17">
        <v>408</v>
      </c>
      <c r="K20" s="17">
        <v>450</v>
      </c>
      <c r="L20" s="17">
        <v>218</v>
      </c>
    </row>
    <row r="21" spans="1:12" x14ac:dyDescent="0.2">
      <c r="A21" s="81" t="s">
        <v>1125</v>
      </c>
      <c r="B21" s="80"/>
      <c r="E21" s="80"/>
      <c r="F21" s="25" t="s">
        <v>1126</v>
      </c>
      <c r="G21" s="28">
        <v>4373</v>
      </c>
      <c r="H21" s="28">
        <v>1906</v>
      </c>
      <c r="I21" s="17">
        <v>661</v>
      </c>
      <c r="J21" s="17">
        <v>934</v>
      </c>
      <c r="K21" s="17">
        <v>325</v>
      </c>
      <c r="L21" s="17">
        <v>547</v>
      </c>
    </row>
    <row r="22" spans="1:12" x14ac:dyDescent="0.2">
      <c r="A22" t="s">
        <v>1135</v>
      </c>
      <c r="B22" t="s">
        <v>1269</v>
      </c>
      <c r="E22" s="80"/>
      <c r="F22" s="47" t="s">
        <v>1137</v>
      </c>
      <c r="G22" s="28">
        <v>1770</v>
      </c>
      <c r="H22" s="17">
        <v>809</v>
      </c>
      <c r="I22" s="17">
        <v>321</v>
      </c>
      <c r="J22" s="17">
        <v>245</v>
      </c>
      <c r="K22" s="17">
        <v>146</v>
      </c>
      <c r="L22" s="17">
        <v>249</v>
      </c>
    </row>
    <row r="23" spans="1:12" x14ac:dyDescent="0.2">
      <c r="E23" s="80"/>
      <c r="F23" s="25" t="s">
        <v>1146</v>
      </c>
      <c r="G23" s="28">
        <v>13664</v>
      </c>
      <c r="H23" s="28">
        <v>4662</v>
      </c>
      <c r="I23" s="28">
        <v>2868</v>
      </c>
      <c r="J23" s="28">
        <v>3059</v>
      </c>
      <c r="K23" s="28">
        <v>1397</v>
      </c>
      <c r="L23" s="28">
        <v>1678</v>
      </c>
    </row>
    <row r="24" spans="1:12" x14ac:dyDescent="0.2">
      <c r="E24" s="80"/>
      <c r="F24" s="16" t="s">
        <v>1150</v>
      </c>
      <c r="G24" s="28">
        <v>2456</v>
      </c>
      <c r="H24" s="28">
        <v>1153</v>
      </c>
      <c r="I24" s="17">
        <v>384</v>
      </c>
      <c r="J24" s="17">
        <v>617</v>
      </c>
      <c r="K24" s="17">
        <v>110</v>
      </c>
      <c r="L24" s="17">
        <v>192</v>
      </c>
    </row>
    <row r="25" spans="1:12" x14ac:dyDescent="0.2">
      <c r="E25" s="80"/>
      <c r="F25" s="47" t="s">
        <v>1154</v>
      </c>
      <c r="G25" s="17">
        <v>368</v>
      </c>
      <c r="H25" s="17">
        <v>180</v>
      </c>
      <c r="I25" s="17">
        <v>15</v>
      </c>
      <c r="J25" s="17">
        <v>84</v>
      </c>
      <c r="K25" s="17">
        <v>38</v>
      </c>
      <c r="L25" s="17">
        <v>51</v>
      </c>
    </row>
    <row r="26" spans="1:12" x14ac:dyDescent="0.2">
      <c r="E26" s="80"/>
      <c r="F26" s="25" t="s">
        <v>1158</v>
      </c>
      <c r="G26" s="28">
        <v>10354</v>
      </c>
      <c r="H26" s="28">
        <v>4355</v>
      </c>
      <c r="I26" s="28">
        <v>2184</v>
      </c>
      <c r="J26" s="28">
        <v>1856</v>
      </c>
      <c r="K26" s="17">
        <v>932</v>
      </c>
      <c r="L26" s="28">
        <v>1027</v>
      </c>
    </row>
    <row r="27" spans="1:12" x14ac:dyDescent="0.2">
      <c r="A27" s="81"/>
      <c r="B27" s="80"/>
      <c r="E27" s="80"/>
      <c r="F27" s="47" t="s">
        <v>1270</v>
      </c>
      <c r="G27" s="28">
        <v>1052</v>
      </c>
      <c r="H27" s="17">
        <v>517</v>
      </c>
      <c r="I27" s="17">
        <v>198</v>
      </c>
      <c r="J27" s="17">
        <v>154</v>
      </c>
      <c r="K27" s="17">
        <v>103</v>
      </c>
      <c r="L27" s="17">
        <v>80</v>
      </c>
    </row>
    <row r="28" spans="1:12" x14ac:dyDescent="0.2">
      <c r="E28" s="80"/>
      <c r="F28" s="47" t="s">
        <v>1164</v>
      </c>
      <c r="G28" s="28">
        <v>4852</v>
      </c>
      <c r="H28" s="28">
        <v>1998</v>
      </c>
      <c r="I28" s="28">
        <v>1004</v>
      </c>
      <c r="J28" s="17">
        <v>862</v>
      </c>
      <c r="K28" s="17">
        <v>421</v>
      </c>
      <c r="L28" s="17">
        <v>567</v>
      </c>
    </row>
    <row r="29" spans="1:12" x14ac:dyDescent="0.2">
      <c r="E29" s="80"/>
      <c r="F29" s="25" t="s">
        <v>1166</v>
      </c>
      <c r="G29" s="28">
        <v>11292</v>
      </c>
      <c r="H29" s="28">
        <v>4115</v>
      </c>
      <c r="I29" s="28">
        <v>1900</v>
      </c>
      <c r="J29" s="28">
        <v>2529</v>
      </c>
      <c r="K29" s="28">
        <v>1318</v>
      </c>
      <c r="L29" s="28">
        <v>1430</v>
      </c>
    </row>
    <row r="30" spans="1:12" x14ac:dyDescent="0.2">
      <c r="E30" s="80"/>
      <c r="F30" s="47" t="s">
        <v>1168</v>
      </c>
      <c r="G30" s="28">
        <v>1807</v>
      </c>
      <c r="H30" s="17">
        <v>474</v>
      </c>
      <c r="I30" s="17">
        <v>342</v>
      </c>
      <c r="J30" s="17">
        <v>527</v>
      </c>
      <c r="K30" s="17">
        <v>144</v>
      </c>
      <c r="L30" s="17">
        <v>320</v>
      </c>
    </row>
    <row r="31" spans="1:12" x14ac:dyDescent="0.2">
      <c r="E31" s="80"/>
      <c r="F31" s="47" t="s">
        <v>1170</v>
      </c>
      <c r="G31" s="28">
        <v>1871</v>
      </c>
      <c r="H31" s="17">
        <v>759</v>
      </c>
      <c r="I31" s="17">
        <v>309</v>
      </c>
      <c r="J31" s="17">
        <v>423</v>
      </c>
      <c r="K31" s="17">
        <v>163</v>
      </c>
      <c r="L31" s="17">
        <v>217</v>
      </c>
    </row>
    <row r="32" spans="1:12" x14ac:dyDescent="0.2">
      <c r="E32" s="80"/>
      <c r="F32" s="47" t="s">
        <v>1172</v>
      </c>
      <c r="G32" s="28">
        <v>3220</v>
      </c>
      <c r="H32" s="28">
        <v>1261</v>
      </c>
      <c r="I32" s="17">
        <v>513</v>
      </c>
      <c r="J32" s="17">
        <v>676</v>
      </c>
      <c r="K32" s="17">
        <v>460</v>
      </c>
      <c r="L32" s="17">
        <v>310</v>
      </c>
    </row>
    <row r="33" spans="5:12" x14ac:dyDescent="0.2">
      <c r="E33" s="80"/>
      <c r="F33" s="25" t="s">
        <v>1174</v>
      </c>
      <c r="G33" s="28">
        <v>2690</v>
      </c>
      <c r="H33" s="28">
        <v>1109</v>
      </c>
      <c r="I33" s="17">
        <v>454</v>
      </c>
      <c r="J33" s="17">
        <v>467</v>
      </c>
      <c r="K33" s="17">
        <v>264</v>
      </c>
      <c r="L33" s="17">
        <v>396</v>
      </c>
    </row>
    <row r="34" spans="5:12" x14ac:dyDescent="0.2">
      <c r="E34" s="80"/>
      <c r="F34" s="47" t="s">
        <v>1178</v>
      </c>
      <c r="G34" s="17">
        <v>500</v>
      </c>
      <c r="H34" s="17">
        <v>183</v>
      </c>
      <c r="I34" s="17">
        <v>69</v>
      </c>
      <c r="J34" s="17">
        <v>78</v>
      </c>
      <c r="K34" s="17">
        <v>114</v>
      </c>
      <c r="L34" s="17">
        <v>56</v>
      </c>
    </row>
    <row r="35" spans="5:12" x14ac:dyDescent="0.2">
      <c r="E35" s="80"/>
      <c r="F35" s="25" t="s">
        <v>1180</v>
      </c>
      <c r="G35" s="28">
        <v>12879</v>
      </c>
      <c r="H35" s="28">
        <v>3048</v>
      </c>
      <c r="I35" s="28">
        <v>3600</v>
      </c>
      <c r="J35" s="28">
        <v>2910</v>
      </c>
      <c r="K35" s="28">
        <v>1068</v>
      </c>
      <c r="L35" s="28">
        <v>2253</v>
      </c>
    </row>
    <row r="36" spans="5:12" x14ac:dyDescent="0.2">
      <c r="E36" s="80"/>
      <c r="F36" s="25" t="s">
        <v>1182</v>
      </c>
      <c r="G36" s="28">
        <v>15856</v>
      </c>
      <c r="H36" s="28">
        <v>6887</v>
      </c>
      <c r="I36" s="28">
        <v>3067</v>
      </c>
      <c r="J36" s="28">
        <v>2789</v>
      </c>
      <c r="K36" s="28">
        <v>1373</v>
      </c>
      <c r="L36" s="28">
        <v>1740</v>
      </c>
    </row>
    <row r="37" spans="5:12" x14ac:dyDescent="0.2">
      <c r="E37" s="80"/>
      <c r="F37" s="25" t="s">
        <v>1184</v>
      </c>
      <c r="G37" s="28">
        <v>13668</v>
      </c>
      <c r="H37" s="28">
        <v>5591</v>
      </c>
      <c r="I37" s="28">
        <v>2204</v>
      </c>
      <c r="J37" s="28">
        <v>3232</v>
      </c>
      <c r="K37" s="28">
        <v>1162</v>
      </c>
      <c r="L37" s="28">
        <v>1479</v>
      </c>
    </row>
    <row r="38" spans="5:12" x14ac:dyDescent="0.2">
      <c r="E38" s="80"/>
      <c r="F38" s="16" t="s">
        <v>1186</v>
      </c>
      <c r="G38" s="28">
        <v>8525</v>
      </c>
      <c r="H38" s="28">
        <v>3441</v>
      </c>
      <c r="I38" s="17">
        <v>711</v>
      </c>
      <c r="J38" s="28">
        <v>3170</v>
      </c>
      <c r="K38" s="17">
        <v>569</v>
      </c>
      <c r="L38" s="17">
        <v>634</v>
      </c>
    </row>
    <row r="39" spans="5:12" x14ac:dyDescent="0.2">
      <c r="E39" s="80"/>
      <c r="F39" s="47" t="s">
        <v>1188</v>
      </c>
      <c r="G39" s="28">
        <v>8525</v>
      </c>
      <c r="H39" s="28">
        <v>3441</v>
      </c>
      <c r="I39" s="17">
        <v>711</v>
      </c>
      <c r="J39" s="28">
        <v>3170</v>
      </c>
      <c r="K39" s="17">
        <v>569</v>
      </c>
      <c r="L39" s="17">
        <v>634</v>
      </c>
    </row>
    <row r="40" spans="5:12" x14ac:dyDescent="0.2">
      <c r="E40" s="80"/>
      <c r="F40" s="16" t="s">
        <v>1191</v>
      </c>
      <c r="G40" s="28">
        <v>3697</v>
      </c>
      <c r="H40" s="17">
        <v>796</v>
      </c>
      <c r="I40" s="17">
        <v>609</v>
      </c>
      <c r="J40" s="17">
        <v>938</v>
      </c>
      <c r="K40" s="17">
        <v>586</v>
      </c>
      <c r="L40" s="17">
        <v>768</v>
      </c>
    </row>
    <row r="41" spans="5:12" x14ac:dyDescent="0.2">
      <c r="E41" s="80"/>
      <c r="F41" s="16" t="s">
        <v>1195</v>
      </c>
      <c r="G41" s="28">
        <v>1883</v>
      </c>
      <c r="H41" s="17">
        <v>981</v>
      </c>
      <c r="I41" s="17">
        <v>348</v>
      </c>
      <c r="J41" s="17">
        <v>383</v>
      </c>
      <c r="K41" s="17">
        <v>125</v>
      </c>
      <c r="L41" s="17">
        <v>46</v>
      </c>
    </row>
    <row r="42" spans="5:12" x14ac:dyDescent="0.2">
      <c r="E42" s="80"/>
      <c r="F42" s="47" t="s">
        <v>1199</v>
      </c>
      <c r="G42" s="28">
        <v>1494</v>
      </c>
      <c r="H42" s="17">
        <v>687</v>
      </c>
      <c r="I42" s="17">
        <v>332</v>
      </c>
      <c r="J42" s="17">
        <v>311</v>
      </c>
      <c r="K42" s="17">
        <v>121</v>
      </c>
      <c r="L42" s="17">
        <v>43</v>
      </c>
    </row>
    <row r="43" spans="5:12" x14ac:dyDescent="0.2">
      <c r="E43" s="80"/>
      <c r="F43" s="47" t="s">
        <v>1200</v>
      </c>
      <c r="G43" s="17">
        <v>389</v>
      </c>
      <c r="H43" s="17">
        <v>294</v>
      </c>
      <c r="I43" s="17">
        <v>16</v>
      </c>
      <c r="J43" s="17">
        <v>72</v>
      </c>
      <c r="K43" s="17">
        <v>4</v>
      </c>
      <c r="L43" s="17">
        <v>3</v>
      </c>
    </row>
    <row r="44" spans="5:12" x14ac:dyDescent="0.2">
      <c r="E44" s="80"/>
      <c r="F44" s="16" t="s">
        <v>1201</v>
      </c>
      <c r="G44" s="28">
        <v>15847</v>
      </c>
      <c r="H44" s="28">
        <v>5564</v>
      </c>
      <c r="I44" s="28">
        <v>3392</v>
      </c>
      <c r="J44" s="28">
        <v>3384</v>
      </c>
      <c r="K44" s="28">
        <v>1248</v>
      </c>
      <c r="L44" s="28">
        <v>2259</v>
      </c>
    </row>
    <row r="45" spans="5:12" x14ac:dyDescent="0.2">
      <c r="E45" s="80"/>
      <c r="F45" s="16" t="s">
        <v>1202</v>
      </c>
      <c r="G45" s="28">
        <v>16321</v>
      </c>
      <c r="H45" s="28">
        <v>7489</v>
      </c>
      <c r="I45" s="28">
        <v>2753</v>
      </c>
      <c r="J45" s="28">
        <v>2990</v>
      </c>
      <c r="K45" s="28">
        <v>1566</v>
      </c>
      <c r="L45" s="28">
        <v>1523</v>
      </c>
    </row>
    <row r="46" spans="5:12" x14ac:dyDescent="0.2">
      <c r="E46" s="80"/>
      <c r="F46" s="47" t="s">
        <v>1203</v>
      </c>
      <c r="G46" s="28">
        <v>1510</v>
      </c>
      <c r="H46" s="17">
        <v>542</v>
      </c>
      <c r="I46" s="17">
        <v>201</v>
      </c>
      <c r="J46" s="17">
        <v>342</v>
      </c>
      <c r="K46" s="17">
        <v>215</v>
      </c>
      <c r="L46" s="17">
        <v>210</v>
      </c>
    </row>
    <row r="47" spans="5:12" x14ac:dyDescent="0.2">
      <c r="E47" s="80"/>
      <c r="F47" s="47" t="s">
        <v>1204</v>
      </c>
      <c r="G47" s="28">
        <v>1398</v>
      </c>
      <c r="H47" s="17">
        <v>526</v>
      </c>
      <c r="I47" s="17">
        <v>297</v>
      </c>
      <c r="J47" s="17">
        <v>201</v>
      </c>
      <c r="K47" s="17">
        <v>219</v>
      </c>
      <c r="L47" s="17">
        <v>155</v>
      </c>
    </row>
    <row r="48" spans="5:12" x14ac:dyDescent="0.2">
      <c r="E48" s="80"/>
      <c r="F48" s="47" t="s">
        <v>1205</v>
      </c>
      <c r="G48" s="28">
        <v>3121</v>
      </c>
      <c r="H48" s="28">
        <v>1566</v>
      </c>
      <c r="I48" s="17">
        <v>557</v>
      </c>
      <c r="J48" s="17">
        <v>490</v>
      </c>
      <c r="K48" s="17">
        <v>313</v>
      </c>
      <c r="L48" s="17">
        <v>195</v>
      </c>
    </row>
    <row r="49" spans="5:12" x14ac:dyDescent="0.2">
      <c r="E49" s="80"/>
      <c r="F49" s="16" t="s">
        <v>1206</v>
      </c>
      <c r="G49" s="28">
        <v>3790</v>
      </c>
      <c r="H49" s="28">
        <v>1747</v>
      </c>
      <c r="I49" s="17">
        <v>574</v>
      </c>
      <c r="J49" s="17">
        <v>749</v>
      </c>
      <c r="K49" s="17">
        <v>308</v>
      </c>
      <c r="L49" s="17">
        <v>412</v>
      </c>
    </row>
    <row r="50" spans="5:12" x14ac:dyDescent="0.2">
      <c r="E50" s="80"/>
      <c r="F50" s="16" t="s">
        <v>1207</v>
      </c>
      <c r="G50" s="28">
        <v>5754</v>
      </c>
      <c r="H50" s="28">
        <v>2965</v>
      </c>
      <c r="I50" s="17">
        <v>757</v>
      </c>
      <c r="J50" s="28">
        <v>1010</v>
      </c>
      <c r="K50" s="17">
        <v>393</v>
      </c>
      <c r="L50" s="17">
        <v>629</v>
      </c>
    </row>
    <row r="51" spans="5:12" x14ac:dyDescent="0.2">
      <c r="E51" s="80"/>
      <c r="F51" s="47" t="s">
        <v>1270</v>
      </c>
      <c r="G51" s="17">
        <v>466</v>
      </c>
      <c r="H51" s="17">
        <v>114</v>
      </c>
      <c r="I51" s="17">
        <v>65</v>
      </c>
      <c r="J51" s="17">
        <v>262</v>
      </c>
      <c r="K51" s="17">
        <v>0</v>
      </c>
      <c r="L51" s="17">
        <v>25</v>
      </c>
    </row>
    <row r="52" spans="5:12" x14ac:dyDescent="0.2">
      <c r="E52" s="80"/>
      <c r="F52" s="47" t="s">
        <v>1208</v>
      </c>
      <c r="G52" s="28">
        <v>5288</v>
      </c>
      <c r="H52" s="28">
        <v>2851</v>
      </c>
      <c r="I52" s="17">
        <v>692</v>
      </c>
      <c r="J52" s="17">
        <v>748</v>
      </c>
      <c r="K52" s="17">
        <v>393</v>
      </c>
      <c r="L52" s="17">
        <v>604</v>
      </c>
    </row>
    <row r="53" spans="5:12" x14ac:dyDescent="0.2">
      <c r="E53" s="80"/>
    </row>
    <row r="54" spans="5:12" x14ac:dyDescent="0.2">
      <c r="E54" s="80"/>
    </row>
    <row r="55" spans="5:12" x14ac:dyDescent="0.2">
      <c r="E55" s="80"/>
    </row>
    <row r="56" spans="5:12" x14ac:dyDescent="0.2">
      <c r="E56" s="80"/>
    </row>
    <row r="57" spans="5:12" x14ac:dyDescent="0.2">
      <c r="E57" s="80"/>
    </row>
  </sheetData>
  <mergeCells count="10">
    <mergeCell ref="G5:G6"/>
    <mergeCell ref="B1:O1"/>
    <mergeCell ref="A21:B21"/>
    <mergeCell ref="E5:E57"/>
    <mergeCell ref="F5:F6"/>
    <mergeCell ref="A9:B9"/>
    <mergeCell ref="A5:B5"/>
    <mergeCell ref="H5:L5"/>
    <mergeCell ref="A18:B18"/>
    <mergeCell ref="A27:B27"/>
  </mergeCells>
  <dataValidations count="4">
    <dataValidation type="list" allowBlank="1" showInputMessage="1" showErrorMessage="1" sqref="P4:Q4" xr:uid="{00000000-0002-0000-0900-000000000000}">
      <formula1>"integer, number, percent1"</formula1>
    </dataValidation>
    <dataValidation type="list" allowBlank="1" showInputMessage="1" showErrorMessage="1" sqref="B10" xr:uid="{00000000-0002-0000-0900-000001000000}">
      <formula1>"Line,Clustered Bar,Stacked Bar,Bar,Horizontal Stacked Bar"</formula1>
    </dataValidation>
    <dataValidation type="list" allowBlank="1" showInputMessage="1" showErrorMessage="1" sqref="B2" xr:uid="{00000000-0002-0000-0900-000002000000}">
      <formula1>"Table,Figure,Both"</formula1>
    </dataValidation>
    <dataValidation type="list" allowBlank="1" showInputMessage="1" showErrorMessage="1" sqref="B6 B15:B16" xr:uid="{00000000-0002-0000-0900-000003000000}">
      <formula1>"True,False"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7"/>
  <sheetViews>
    <sheetView workbookViewId="0">
      <selection activeCell="M15" sqref="M1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9.1640625" bestFit="1" customWidth="1"/>
    <col min="9" max="9" width="7.33203125" bestFit="1" customWidth="1"/>
    <col min="10" max="10" width="9.1640625" bestFit="1" customWidth="1"/>
    <col min="11" max="11" width="8.83203125" bestFit="1" customWidth="1"/>
    <col min="12" max="12" width="9.1640625" bestFit="1" customWidth="1"/>
    <col min="13" max="13" width="12.1640625" bestFit="1" customWidth="1"/>
    <col min="14" max="14" width="12.33203125" bestFit="1" customWidth="1"/>
    <col min="15" max="16" width="12.5" bestFit="1" customWidth="1"/>
  </cols>
  <sheetData>
    <row r="1" spans="1:17" x14ac:dyDescent="0.2">
      <c r="A1" s="16" t="s">
        <v>1077</v>
      </c>
      <c r="B1" s="79" t="s">
        <v>42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tbl-all-cause-mortal-rate-age-zip-code-rande</v>
      </c>
    </row>
    <row r="4" spans="1:17" x14ac:dyDescent="0.2">
      <c r="A4" s="16" t="s">
        <v>7</v>
      </c>
      <c r="B4" t="str">
        <f>IF($B$1="","",_xlfn.XLOOKUP($B$1,Master!$F$2:$F$321,Master!$H$2:$H$321,""))</f>
        <v>fig-all-cause-mortal-rate-age-zip-code-rande</v>
      </c>
      <c r="E4" s="8"/>
      <c r="F4" s="10" t="s">
        <v>1009</v>
      </c>
      <c r="G4" s="10" t="s">
        <v>973</v>
      </c>
      <c r="H4" s="10" t="s">
        <v>979</v>
      </c>
      <c r="I4" s="10" t="s">
        <v>973</v>
      </c>
      <c r="J4" s="10" t="s">
        <v>979</v>
      </c>
      <c r="K4" s="10" t="s">
        <v>973</v>
      </c>
      <c r="L4" s="10" t="s">
        <v>979</v>
      </c>
      <c r="M4" s="10" t="s">
        <v>973</v>
      </c>
      <c r="N4" s="10" t="s">
        <v>979</v>
      </c>
      <c r="O4" s="10" t="s">
        <v>973</v>
      </c>
      <c r="P4" s="10" t="s">
        <v>979</v>
      </c>
      <c r="Q4" s="10"/>
    </row>
    <row r="5" spans="1:17" x14ac:dyDescent="0.2">
      <c r="A5" s="83" t="s">
        <v>1081</v>
      </c>
      <c r="B5" s="80"/>
      <c r="E5" s="82" t="s">
        <v>1082</v>
      </c>
      <c r="F5" s="81"/>
      <c r="G5" s="81">
        <v>2020</v>
      </c>
      <c r="H5" s="80"/>
      <c r="I5" s="81">
        <v>2021</v>
      </c>
      <c r="J5" s="80"/>
      <c r="K5" s="81">
        <v>2022</v>
      </c>
      <c r="L5" s="80"/>
      <c r="M5" s="81">
        <v>2023</v>
      </c>
      <c r="N5" s="80"/>
      <c r="O5" s="81" t="s">
        <v>1271</v>
      </c>
      <c r="P5" s="80"/>
    </row>
    <row r="6" spans="1:17" ht="15" customHeight="1" x14ac:dyDescent="0.2">
      <c r="A6" t="s">
        <v>1088</v>
      </c>
      <c r="B6" t="b">
        <v>1</v>
      </c>
      <c r="E6" s="80"/>
      <c r="F6" s="80"/>
      <c r="G6" s="15" t="s">
        <v>1272</v>
      </c>
      <c r="H6" s="15" t="s">
        <v>1273</v>
      </c>
      <c r="I6" s="15" t="s">
        <v>1272</v>
      </c>
      <c r="J6" s="15" t="s">
        <v>1273</v>
      </c>
      <c r="K6" s="15" t="s">
        <v>1272</v>
      </c>
      <c r="L6" s="15" t="s">
        <v>1273</v>
      </c>
      <c r="M6" s="15" t="s">
        <v>1272</v>
      </c>
      <c r="N6" s="15" t="s">
        <v>1273</v>
      </c>
      <c r="O6" t="s">
        <v>1274</v>
      </c>
      <c r="P6" t="s">
        <v>1275</v>
      </c>
    </row>
    <row r="7" spans="1:17" ht="15.75" customHeight="1" x14ac:dyDescent="0.2">
      <c r="E7" s="80"/>
      <c r="F7" t="s">
        <v>1089</v>
      </c>
      <c r="G7" s="23">
        <v>3392</v>
      </c>
      <c r="H7" s="15">
        <v>887.8</v>
      </c>
      <c r="I7" s="23">
        <v>3020</v>
      </c>
      <c r="J7" s="15">
        <v>758.3</v>
      </c>
      <c r="K7" s="23">
        <v>3077</v>
      </c>
      <c r="L7" s="15">
        <v>766.9</v>
      </c>
      <c r="M7" s="23">
        <v>2860</v>
      </c>
      <c r="N7" s="15">
        <v>708.2</v>
      </c>
      <c r="O7" s="23">
        <v>12349</v>
      </c>
      <c r="P7">
        <v>780.3</v>
      </c>
    </row>
    <row r="8" spans="1:17" x14ac:dyDescent="0.2">
      <c r="E8" s="80"/>
      <c r="F8" s="81" t="s">
        <v>1276</v>
      </c>
      <c r="G8" s="80"/>
      <c r="H8" s="80"/>
      <c r="I8" s="80"/>
      <c r="J8" s="80"/>
      <c r="K8" s="80"/>
      <c r="L8" s="80"/>
      <c r="M8" s="80"/>
      <c r="N8" s="80"/>
      <c r="O8" s="80"/>
      <c r="P8" s="80"/>
    </row>
    <row r="9" spans="1:17" x14ac:dyDescent="0.2">
      <c r="A9" s="83" t="s">
        <v>1098</v>
      </c>
      <c r="B9" s="80"/>
      <c r="E9" s="80"/>
      <c r="F9" s="15" t="s">
        <v>1277</v>
      </c>
      <c r="G9" s="15">
        <v>16</v>
      </c>
      <c r="H9">
        <v>332.8</v>
      </c>
      <c r="I9">
        <v>18</v>
      </c>
      <c r="J9">
        <v>351.2</v>
      </c>
      <c r="K9">
        <v>15</v>
      </c>
      <c r="L9">
        <v>302.10000000000002</v>
      </c>
      <c r="M9">
        <v>17</v>
      </c>
      <c r="N9">
        <v>323.60000000000002</v>
      </c>
      <c r="O9">
        <v>66</v>
      </c>
      <c r="P9">
        <v>327.39999999999998</v>
      </c>
    </row>
    <row r="10" spans="1:17" x14ac:dyDescent="0.2">
      <c r="A10" t="s">
        <v>1100</v>
      </c>
      <c r="E10" s="80"/>
      <c r="F10" s="38" t="s">
        <v>1278</v>
      </c>
      <c r="G10" s="15">
        <v>9</v>
      </c>
      <c r="H10" s="15">
        <v>19.2</v>
      </c>
      <c r="I10" s="15">
        <v>8</v>
      </c>
      <c r="J10" s="17">
        <v>16.3</v>
      </c>
      <c r="K10" s="17">
        <v>7</v>
      </c>
      <c r="L10" s="17">
        <v>14.5</v>
      </c>
      <c r="M10" s="17">
        <v>13</v>
      </c>
      <c r="N10" s="17">
        <v>26.2</v>
      </c>
      <c r="O10">
        <v>37</v>
      </c>
      <c r="P10">
        <v>19.100000000000001</v>
      </c>
    </row>
    <row r="11" spans="1:17" x14ac:dyDescent="0.2">
      <c r="A11" t="s">
        <v>1102</v>
      </c>
      <c r="E11" s="80"/>
      <c r="F11" s="13" t="s">
        <v>1279</v>
      </c>
      <c r="G11" s="17">
        <v>13</v>
      </c>
      <c r="H11" s="17">
        <v>22.7</v>
      </c>
      <c r="I11" s="15">
        <v>8</v>
      </c>
      <c r="J11" s="15">
        <v>13.3</v>
      </c>
      <c r="K11" s="15">
        <v>9</v>
      </c>
      <c r="L11" s="15">
        <v>14.5</v>
      </c>
      <c r="M11">
        <v>6</v>
      </c>
      <c r="N11">
        <v>9.6999999999999993</v>
      </c>
      <c r="O11">
        <v>36</v>
      </c>
      <c r="P11">
        <v>15.1</v>
      </c>
    </row>
    <row r="12" spans="1:17" x14ac:dyDescent="0.2">
      <c r="A12" t="s">
        <v>1104</v>
      </c>
      <c r="E12" s="80"/>
      <c r="F12" s="15" t="s">
        <v>1280</v>
      </c>
      <c r="G12">
        <v>28</v>
      </c>
      <c r="H12">
        <v>98.2</v>
      </c>
      <c r="I12">
        <v>21</v>
      </c>
      <c r="J12">
        <v>72</v>
      </c>
      <c r="K12">
        <v>26</v>
      </c>
      <c r="L12">
        <v>87.7</v>
      </c>
      <c r="M12">
        <v>11</v>
      </c>
      <c r="N12">
        <v>38.4</v>
      </c>
      <c r="O12">
        <v>86</v>
      </c>
      <c r="P12">
        <v>74.099999999999994</v>
      </c>
    </row>
    <row r="13" spans="1:17" x14ac:dyDescent="0.2">
      <c r="A13" t="s">
        <v>1108</v>
      </c>
      <c r="E13" s="80"/>
      <c r="F13" s="15" t="s">
        <v>1281</v>
      </c>
      <c r="G13">
        <v>73</v>
      </c>
      <c r="H13">
        <v>162.6</v>
      </c>
      <c r="I13">
        <v>57</v>
      </c>
      <c r="J13">
        <v>122.3</v>
      </c>
      <c r="K13">
        <v>56</v>
      </c>
      <c r="L13">
        <v>118.2</v>
      </c>
      <c r="M13">
        <v>48</v>
      </c>
      <c r="N13">
        <v>100.2</v>
      </c>
      <c r="O13">
        <v>234</v>
      </c>
      <c r="P13">
        <v>125.8</v>
      </c>
    </row>
    <row r="14" spans="1:17" x14ac:dyDescent="0.2">
      <c r="A14" t="s">
        <v>1112</v>
      </c>
      <c r="E14" s="80"/>
      <c r="F14" s="15" t="s">
        <v>1282</v>
      </c>
      <c r="G14">
        <v>98</v>
      </c>
      <c r="H14">
        <v>216.7</v>
      </c>
      <c r="I14">
        <v>101</v>
      </c>
      <c r="J14">
        <v>211.6</v>
      </c>
      <c r="K14">
        <v>87</v>
      </c>
      <c r="L14">
        <v>178.6</v>
      </c>
      <c r="M14">
        <v>87</v>
      </c>
      <c r="N14">
        <v>174.9</v>
      </c>
      <c r="O14">
        <v>373</v>
      </c>
      <c r="P14">
        <v>195.5</v>
      </c>
    </row>
    <row r="15" spans="1:17" x14ac:dyDescent="0.2">
      <c r="A15" t="s">
        <v>1114</v>
      </c>
      <c r="E15" s="80"/>
      <c r="F15" s="15" t="s">
        <v>1283</v>
      </c>
      <c r="G15">
        <v>174</v>
      </c>
      <c r="H15">
        <v>332.3</v>
      </c>
      <c r="I15">
        <v>192</v>
      </c>
      <c r="J15">
        <v>359.8</v>
      </c>
      <c r="K15">
        <v>159</v>
      </c>
      <c r="L15">
        <v>303.7</v>
      </c>
      <c r="M15">
        <v>150</v>
      </c>
      <c r="N15">
        <v>291.2</v>
      </c>
      <c r="O15">
        <v>675</v>
      </c>
      <c r="P15">
        <v>321.7</v>
      </c>
    </row>
    <row r="16" spans="1:17" x14ac:dyDescent="0.2">
      <c r="A16" t="s">
        <v>1116</v>
      </c>
      <c r="E16" s="80"/>
      <c r="F16" s="15" t="s">
        <v>1284</v>
      </c>
      <c r="G16">
        <v>395</v>
      </c>
      <c r="H16">
        <v>811.1</v>
      </c>
      <c r="I16">
        <v>392</v>
      </c>
      <c r="J16">
        <v>762.7</v>
      </c>
      <c r="K16">
        <v>392</v>
      </c>
      <c r="L16">
        <v>765.9</v>
      </c>
      <c r="M16">
        <v>344</v>
      </c>
      <c r="N16">
        <v>667.8</v>
      </c>
      <c r="O16" s="14">
        <v>1523</v>
      </c>
      <c r="P16">
        <v>751.9</v>
      </c>
    </row>
    <row r="17" spans="1:16" x14ac:dyDescent="0.2">
      <c r="E17" s="80"/>
      <c r="F17" s="15" t="s">
        <v>1285</v>
      </c>
      <c r="G17">
        <v>663</v>
      </c>
      <c r="H17" s="36">
        <v>2102.6</v>
      </c>
      <c r="I17">
        <v>599</v>
      </c>
      <c r="J17" s="36">
        <v>1789.7</v>
      </c>
      <c r="K17">
        <v>620</v>
      </c>
      <c r="L17" s="36">
        <v>1831.6</v>
      </c>
      <c r="M17">
        <v>546</v>
      </c>
      <c r="N17" s="36">
        <v>1567.2</v>
      </c>
      <c r="O17" s="14">
        <v>2428</v>
      </c>
      <c r="P17" s="36">
        <v>1822.7</v>
      </c>
    </row>
    <row r="18" spans="1:16" x14ac:dyDescent="0.2">
      <c r="A18" s="83" t="s">
        <v>1119</v>
      </c>
      <c r="B18" s="80"/>
      <c r="E18" s="80"/>
      <c r="F18" s="15" t="s">
        <v>1286</v>
      </c>
      <c r="G18">
        <v>788</v>
      </c>
      <c r="H18" s="36">
        <v>5344.2</v>
      </c>
      <c r="I18">
        <v>728</v>
      </c>
      <c r="J18" s="36">
        <v>4770.6000000000004</v>
      </c>
      <c r="K18">
        <v>790</v>
      </c>
      <c r="L18" s="36">
        <v>4986.1000000000004</v>
      </c>
      <c r="M18">
        <v>752</v>
      </c>
      <c r="N18" s="36">
        <v>4586.2</v>
      </c>
      <c r="O18" s="14">
        <v>3058</v>
      </c>
      <c r="P18" s="36">
        <v>4921.8</v>
      </c>
    </row>
    <row r="19" spans="1:16" x14ac:dyDescent="0.2">
      <c r="A19" t="s">
        <v>1121</v>
      </c>
      <c r="B19" t="s">
        <v>1287</v>
      </c>
      <c r="E19" s="80"/>
      <c r="F19" s="15" t="s">
        <v>1288</v>
      </c>
      <c r="G19" s="23">
        <v>1135</v>
      </c>
      <c r="H19" s="30">
        <v>15876.3</v>
      </c>
      <c r="I19">
        <v>896</v>
      </c>
      <c r="J19" s="36">
        <v>13151.3</v>
      </c>
      <c r="K19">
        <v>916</v>
      </c>
      <c r="L19" s="36">
        <v>13048.4</v>
      </c>
      <c r="M19">
        <v>886</v>
      </c>
      <c r="N19" s="36">
        <v>13206.1</v>
      </c>
      <c r="O19" s="14">
        <v>3833</v>
      </c>
      <c r="P19" s="36">
        <v>13820.6</v>
      </c>
    </row>
    <row r="20" spans="1:16" x14ac:dyDescent="0.2">
      <c r="E20" s="80"/>
      <c r="F20" s="81" t="s">
        <v>1289</v>
      </c>
      <c r="G20" s="80"/>
      <c r="H20" s="80"/>
      <c r="I20" s="80"/>
      <c r="J20" s="80"/>
      <c r="K20" s="80"/>
      <c r="L20" s="80"/>
      <c r="M20" s="80"/>
      <c r="N20" s="80"/>
      <c r="O20" s="80"/>
      <c r="P20" s="80"/>
    </row>
    <row r="21" spans="1:16" x14ac:dyDescent="0.2">
      <c r="A21" s="81" t="s">
        <v>1125</v>
      </c>
      <c r="B21" s="80"/>
      <c r="E21" s="80"/>
      <c r="F21" s="15" t="s">
        <v>1290</v>
      </c>
      <c r="G21" s="23">
        <v>2626</v>
      </c>
      <c r="H21" s="30">
        <v>1088.8</v>
      </c>
      <c r="I21" s="14">
        <v>2347</v>
      </c>
      <c r="J21">
        <v>946.8</v>
      </c>
      <c r="K21" s="14">
        <v>2393</v>
      </c>
      <c r="L21">
        <v>986.2</v>
      </c>
      <c r="M21" s="14">
        <v>2255</v>
      </c>
      <c r="N21" s="36">
        <v>2249</v>
      </c>
      <c r="O21" s="14">
        <v>9621</v>
      </c>
      <c r="P21" s="36">
        <v>1317.7</v>
      </c>
    </row>
    <row r="22" spans="1:16" x14ac:dyDescent="0.2">
      <c r="A22" t="s">
        <v>1135</v>
      </c>
      <c r="B22" t="s">
        <v>1291</v>
      </c>
      <c r="E22" s="80"/>
      <c r="F22" s="15" t="s">
        <v>1292</v>
      </c>
      <c r="G22" s="15">
        <v>310</v>
      </c>
      <c r="H22" s="15">
        <v>806.2</v>
      </c>
      <c r="I22">
        <v>277</v>
      </c>
      <c r="J22">
        <v>697.2</v>
      </c>
      <c r="K22">
        <v>290</v>
      </c>
      <c r="L22">
        <v>691.4</v>
      </c>
      <c r="M22">
        <v>265</v>
      </c>
      <c r="N22">
        <v>259</v>
      </c>
      <c r="O22" s="14">
        <v>1142</v>
      </c>
      <c r="P22">
        <v>613.4</v>
      </c>
    </row>
    <row r="23" spans="1:16" x14ac:dyDescent="0.2">
      <c r="E23" s="80"/>
      <c r="F23" t="s">
        <v>1293</v>
      </c>
      <c r="G23">
        <v>376</v>
      </c>
      <c r="H23">
        <v>468.5</v>
      </c>
      <c r="I23">
        <v>310</v>
      </c>
      <c r="J23">
        <v>363.2</v>
      </c>
      <c r="K23">
        <v>305</v>
      </c>
      <c r="L23">
        <v>340.8</v>
      </c>
      <c r="M23">
        <v>267</v>
      </c>
      <c r="N23">
        <v>267</v>
      </c>
      <c r="O23" s="14">
        <v>1258</v>
      </c>
      <c r="P23">
        <v>359.9</v>
      </c>
    </row>
    <row r="24" spans="1:16" x14ac:dyDescent="0.2">
      <c r="E24" s="80"/>
      <c r="F24" s="15" t="s">
        <v>1015</v>
      </c>
      <c r="G24" s="15">
        <v>80</v>
      </c>
      <c r="H24" s="15">
        <v>360.6</v>
      </c>
      <c r="I24">
        <v>86</v>
      </c>
      <c r="J24">
        <v>339.7</v>
      </c>
      <c r="K24">
        <v>89</v>
      </c>
      <c r="L24">
        <v>327.7</v>
      </c>
      <c r="M24">
        <v>73</v>
      </c>
      <c r="N24">
        <v>85</v>
      </c>
      <c r="O24">
        <v>328</v>
      </c>
      <c r="P24">
        <v>278.3</v>
      </c>
    </row>
    <row r="25" spans="1:16" x14ac:dyDescent="0.2">
      <c r="E25" s="80"/>
      <c r="F25" s="81" t="s">
        <v>1294</v>
      </c>
      <c r="G25" s="80"/>
      <c r="H25" s="80"/>
      <c r="I25" s="80"/>
      <c r="J25" s="80"/>
      <c r="K25" s="80"/>
      <c r="L25" s="80"/>
      <c r="M25" s="80"/>
      <c r="N25" s="80"/>
      <c r="O25" s="80"/>
      <c r="P25" s="80"/>
    </row>
    <row r="26" spans="1:16" x14ac:dyDescent="0.2">
      <c r="E26" s="80"/>
      <c r="F26" s="15">
        <v>10940</v>
      </c>
      <c r="G26" s="15">
        <v>512</v>
      </c>
      <c r="H26" s="30">
        <v>1035.8</v>
      </c>
      <c r="I26">
        <v>496</v>
      </c>
      <c r="J26">
        <v>973.8</v>
      </c>
      <c r="K26">
        <v>480</v>
      </c>
      <c r="L26">
        <v>925.7</v>
      </c>
      <c r="M26">
        <v>430</v>
      </c>
      <c r="N26">
        <v>809.8</v>
      </c>
      <c r="O26" s="14">
        <v>1918</v>
      </c>
      <c r="P26">
        <v>936.3</v>
      </c>
    </row>
    <row r="27" spans="1:16" x14ac:dyDescent="0.2">
      <c r="A27" s="81"/>
      <c r="B27" s="80"/>
      <c r="E27" s="80"/>
      <c r="F27" s="15">
        <v>10950</v>
      </c>
      <c r="G27" s="15">
        <v>226</v>
      </c>
      <c r="H27" s="30">
        <v>1688.6</v>
      </c>
      <c r="I27">
        <v>167</v>
      </c>
      <c r="J27" s="36">
        <v>1158.5</v>
      </c>
      <c r="K27">
        <v>194</v>
      </c>
      <c r="L27" s="36">
        <v>1337.7</v>
      </c>
      <c r="M27">
        <v>163</v>
      </c>
      <c r="N27" s="36">
        <v>1104.3</v>
      </c>
      <c r="O27">
        <v>750</v>
      </c>
      <c r="P27" s="36">
        <v>1322.3</v>
      </c>
    </row>
    <row r="28" spans="1:16" x14ac:dyDescent="0.2">
      <c r="E28" s="80"/>
      <c r="F28" s="15">
        <v>12550</v>
      </c>
      <c r="G28" s="15">
        <v>561</v>
      </c>
      <c r="H28" s="30">
        <v>2103.9</v>
      </c>
      <c r="I28">
        <v>459</v>
      </c>
      <c r="J28" s="36">
        <v>1712.3</v>
      </c>
      <c r="K28">
        <v>468</v>
      </c>
      <c r="L28" s="36">
        <v>1707.5</v>
      </c>
      <c r="M28">
        <v>406</v>
      </c>
      <c r="N28" s="36">
        <v>1487.2</v>
      </c>
      <c r="O28" s="14">
        <v>1894</v>
      </c>
      <c r="P28" s="36">
        <v>1752.7</v>
      </c>
    </row>
    <row r="29" spans="1:16" x14ac:dyDescent="0.2">
      <c r="E29" s="80"/>
      <c r="F29" s="15">
        <v>12771</v>
      </c>
      <c r="G29" s="15">
        <v>139</v>
      </c>
      <c r="H29" s="15">
        <v>964.7</v>
      </c>
      <c r="I29">
        <v>169</v>
      </c>
      <c r="J29" s="36">
        <v>1138.8</v>
      </c>
      <c r="K29">
        <v>166</v>
      </c>
      <c r="L29" s="36">
        <v>1148.5</v>
      </c>
      <c r="M29">
        <v>157</v>
      </c>
      <c r="N29" s="36">
        <v>1094.5</v>
      </c>
      <c r="O29">
        <v>631</v>
      </c>
      <c r="P29" s="14">
        <v>1086</v>
      </c>
    </row>
    <row r="30" spans="1:16" x14ac:dyDescent="0.2">
      <c r="E30" s="80"/>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5:B5"/>
    <mergeCell ref="G5:H5"/>
    <mergeCell ref="F25:P25"/>
    <mergeCell ref="F20:P20"/>
    <mergeCell ref="K5:L5"/>
    <mergeCell ref="I5:J5"/>
    <mergeCell ref="M5:N5"/>
    <mergeCell ref="F5:F6"/>
    <mergeCell ref="A9:B9"/>
    <mergeCell ref="A27:B27"/>
    <mergeCell ref="A18:B18"/>
  </mergeCells>
  <dataValidations disablePrompts="1" count="4">
    <dataValidation type="list" allowBlank="1" showInputMessage="1" showErrorMessage="1" sqref="P4:Q4" xr:uid="{00000000-0002-0000-0A00-000000000000}">
      <formula1>"integer, number, percent1"</formula1>
    </dataValidation>
    <dataValidation type="list" allowBlank="1" showInputMessage="1" showErrorMessage="1" sqref="B10" xr:uid="{00000000-0002-0000-0A00-000001000000}">
      <formula1>"Line,Clustered Bar,Stacked Bar,Bar,Horizontal Stacked Bar"</formula1>
    </dataValidation>
    <dataValidation type="list" allowBlank="1" showInputMessage="1" showErrorMessage="1" sqref="B2" xr:uid="{00000000-0002-0000-0A00-000002000000}">
      <formula1>"Table,Figure,Both"</formula1>
    </dataValidation>
    <dataValidation type="list" allowBlank="1" showInputMessage="1" showErrorMessage="1" sqref="B6 B15:B16" xr:uid="{00000000-0002-0000-0A00-000003000000}">
      <formula1>"True,False"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8.83203125" bestFit="1" customWidth="1"/>
    <col min="8" max="8" width="19" bestFit="1" customWidth="1"/>
    <col min="9" max="9" width="18.1640625" bestFit="1" customWidth="1"/>
    <col min="10" max="10" width="33"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tbl-all-cause-mortal-aar-rande</v>
      </c>
    </row>
    <row r="4" spans="1:17" x14ac:dyDescent="0.2">
      <c r="A4" s="16" t="s">
        <v>7</v>
      </c>
      <c r="B4" t="str">
        <f>IF($B$1="","",_xlfn.XLOOKUP($B$1,Master!$F$2:$F$321,Master!$H$2:$H$321,""))</f>
        <v>fig-all-cause-mortal-aar-rande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781</v>
      </c>
      <c r="H6" s="15">
        <v>790.7</v>
      </c>
      <c r="I6" s="15">
        <v>820.7</v>
      </c>
      <c r="J6" s="15">
        <v>487.8</v>
      </c>
      <c r="K6" s="15">
        <v>654.70000000000005</v>
      </c>
      <c r="L6" s="15"/>
      <c r="M6" s="15"/>
      <c r="N6" s="15"/>
      <c r="O6" s="15"/>
    </row>
    <row r="7" spans="1:17" ht="15.75" customHeight="1" x14ac:dyDescent="0.2">
      <c r="E7" s="80"/>
      <c r="F7" t="s">
        <v>1298</v>
      </c>
      <c r="G7" s="15">
        <v>773</v>
      </c>
      <c r="H7" s="15">
        <v>772.2</v>
      </c>
      <c r="I7" s="15">
        <v>945</v>
      </c>
      <c r="J7" s="15">
        <v>413.7</v>
      </c>
      <c r="K7" s="15">
        <v>594.1</v>
      </c>
      <c r="L7" s="15"/>
      <c r="M7" s="15"/>
      <c r="N7" s="15"/>
      <c r="O7" s="15"/>
    </row>
    <row r="8" spans="1:17" x14ac:dyDescent="0.2">
      <c r="E8" s="80"/>
      <c r="F8" t="s">
        <v>1299</v>
      </c>
      <c r="G8" s="15">
        <v>735</v>
      </c>
      <c r="H8" s="15">
        <v>728.3</v>
      </c>
      <c r="I8" s="15">
        <v>871.2</v>
      </c>
      <c r="J8" s="15">
        <v>436.7</v>
      </c>
      <c r="K8" s="15">
        <v>649.29999999999995</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1301</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1302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c r="K31" t="s">
        <v>1227</v>
      </c>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0B00-000000000000}">
      <formula1>"integer, number, percent1"</formula1>
    </dataValidation>
    <dataValidation type="list" allowBlank="1" showInputMessage="1" showErrorMessage="1" sqref="B10" xr:uid="{00000000-0002-0000-0B00-000001000000}">
      <formula1>"Line,Clustered Bar,Stacked Bar,Bar,Horizontal Stacked Bar"</formula1>
    </dataValidation>
    <dataValidation type="list" allowBlank="1" showInputMessage="1" showErrorMessage="1" sqref="B2" xr:uid="{00000000-0002-0000-0B00-000002000000}">
      <formula1>"Table,Figure,Both"</formula1>
    </dataValidation>
    <dataValidation type="list" allowBlank="1" showInputMessage="1" showErrorMessage="1" sqref="B6 B15:B16" xr:uid="{00000000-0002-0000-0B00-000003000000}">
      <formula1>"True,False"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tbl-all-cause-mortal-rate-ZIP</v>
      </c>
    </row>
    <row r="4" spans="1:17" x14ac:dyDescent="0.2">
      <c r="A4" s="16" t="s">
        <v>7</v>
      </c>
      <c r="B4" t="str">
        <f>IF($B$1="","",_xlfn.XLOOKUP($B$1,Master!$F$2:$F$321,Master!$H$2:$H$321,""))</f>
        <v>fig-all-cause-mortal-rate-ZIP</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v>10940</v>
      </c>
      <c r="H5">
        <v>10950</v>
      </c>
      <c r="I5">
        <v>12550</v>
      </c>
      <c r="J5">
        <v>12771</v>
      </c>
    </row>
    <row r="6" spans="1:17" ht="15" customHeight="1" x14ac:dyDescent="0.2">
      <c r="A6" t="s">
        <v>1088</v>
      </c>
      <c r="B6" t="b">
        <v>0</v>
      </c>
      <c r="E6" s="80"/>
      <c r="F6">
        <v>2020</v>
      </c>
      <c r="G6" s="30">
        <v>1035.8</v>
      </c>
      <c r="H6" s="30">
        <v>1688.6</v>
      </c>
      <c r="I6" s="30">
        <v>2103.9</v>
      </c>
      <c r="J6" s="15">
        <v>964.7</v>
      </c>
      <c r="K6" s="15"/>
      <c r="L6" s="15"/>
      <c r="M6" s="15"/>
      <c r="N6" s="15"/>
      <c r="O6" s="15"/>
    </row>
    <row r="7" spans="1:17" ht="15.75" customHeight="1" x14ac:dyDescent="0.2">
      <c r="E7" s="80"/>
      <c r="F7">
        <v>2021</v>
      </c>
      <c r="G7" s="15">
        <v>973.8</v>
      </c>
      <c r="H7" s="30">
        <v>1158.5</v>
      </c>
      <c r="I7" s="30">
        <v>1712.3</v>
      </c>
      <c r="J7" s="30">
        <v>1138.8</v>
      </c>
      <c r="K7" s="15"/>
      <c r="L7" s="15"/>
      <c r="M7" s="15"/>
      <c r="N7" s="15"/>
      <c r="O7" s="15"/>
    </row>
    <row r="8" spans="1:17" x14ac:dyDescent="0.2">
      <c r="E8" s="80"/>
      <c r="F8">
        <v>2022</v>
      </c>
      <c r="G8" s="15">
        <v>925.7</v>
      </c>
      <c r="H8" s="30">
        <v>1337.7</v>
      </c>
      <c r="I8" s="30">
        <v>1707.5</v>
      </c>
      <c r="J8" s="30">
        <v>1148.5</v>
      </c>
      <c r="K8" s="15"/>
      <c r="L8" s="15"/>
      <c r="M8" s="15"/>
      <c r="N8" s="15"/>
      <c r="O8" s="15"/>
    </row>
    <row r="9" spans="1:17" x14ac:dyDescent="0.2">
      <c r="A9" s="83" t="s">
        <v>1098</v>
      </c>
      <c r="B9" s="80"/>
      <c r="E9" s="80"/>
      <c r="F9">
        <v>2023</v>
      </c>
      <c r="G9" s="15">
        <v>809.8</v>
      </c>
      <c r="H9" s="30">
        <v>1104.3</v>
      </c>
      <c r="I9" s="30">
        <v>1487.2</v>
      </c>
      <c r="J9" s="30">
        <v>1094.5</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1291</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0C00-000000000000}">
      <formula1>"integer, number, percent1"</formula1>
    </dataValidation>
    <dataValidation type="list" allowBlank="1" showInputMessage="1" showErrorMessage="1" sqref="B10" xr:uid="{00000000-0002-0000-0C00-000001000000}">
      <formula1>"Line,Clustered Bar,Stacked Bar,Bar,Horizontal Stacked Bar"</formula1>
    </dataValidation>
    <dataValidation type="list" allowBlank="1" showInputMessage="1" showErrorMessage="1" sqref="B2" xr:uid="{00000000-0002-0000-0C00-000002000000}">
      <formula1>"Table,Figure,Both"</formula1>
    </dataValidation>
    <dataValidation type="list" allowBlank="1" showInputMessage="1" showErrorMessage="1" sqref="B6 B15:B16" xr:uid="{00000000-0002-0000-0C00-000003000000}">
      <formula1>"True,False"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tbl-all-cause-mortal-aar-sex</v>
      </c>
    </row>
    <row r="4" spans="1:17" x14ac:dyDescent="0.2">
      <c r="A4" s="16" t="s">
        <v>7</v>
      </c>
      <c r="B4" t="str">
        <f>IF($B$1="","",_xlfn.XLOOKUP($B$1,Master!$F$2:$F$321,Master!$H$2:$H$321,""))</f>
        <v>fig-all-cause-mortal-aar-sex</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982.2</v>
      </c>
      <c r="H6" s="15">
        <v>842.9</v>
      </c>
      <c r="I6" s="15">
        <v>827.9</v>
      </c>
      <c r="J6" s="15">
        <v>767.5</v>
      </c>
      <c r="K6" s="15"/>
      <c r="L6" s="15"/>
      <c r="M6" s="15"/>
      <c r="N6" s="15"/>
      <c r="O6" s="15"/>
    </row>
    <row r="7" spans="1:17" ht="15.75" customHeight="1" x14ac:dyDescent="0.2">
      <c r="E7" s="80"/>
      <c r="F7" t="s">
        <v>1306</v>
      </c>
      <c r="G7" s="15">
        <v>680.7</v>
      </c>
      <c r="H7" s="15">
        <v>609.20000000000005</v>
      </c>
      <c r="I7" s="15">
        <v>616.29999999999995</v>
      </c>
      <c r="J7" s="15">
        <v>582.79999999999995</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1086</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1307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1291</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0D00-000000000000}">
      <formula1>"integer, number, percent1"</formula1>
    </dataValidation>
    <dataValidation type="list" allowBlank="1" showInputMessage="1" showErrorMessage="1" sqref="B10" xr:uid="{00000000-0002-0000-0D00-000001000000}">
      <formula1>"Line,Clustered Bar,Stacked Bar,Bar,Horizontal Stacked Bar"</formula1>
    </dataValidation>
    <dataValidation type="list" allowBlank="1" showInputMessage="1" showErrorMessage="1" sqref="B2" xr:uid="{00000000-0002-0000-0D00-000002000000}">
      <formula1>"Table,Figure,Both"</formula1>
    </dataValidation>
    <dataValidation type="list" allowBlank="1" showInputMessage="1" showErrorMessage="1" sqref="B6 B15:B16" xr:uid="{00000000-0002-0000-0D00-000003000000}">
      <formula1>"True,False"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10"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8.83203125" bestFit="1" customWidth="1"/>
    <col min="16" max="16" width="12.5" bestFit="1" customWidth="1"/>
  </cols>
  <sheetData>
    <row r="1" spans="1:17" x14ac:dyDescent="0.2">
      <c r="A1" s="16" t="s">
        <v>1077</v>
      </c>
      <c r="B1" s="79" t="s">
        <v>54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tbl-top-five-leading-death-count-aar</v>
      </c>
    </row>
    <row r="4" spans="1:17" x14ac:dyDescent="0.2">
      <c r="A4" s="16" t="s">
        <v>7</v>
      </c>
      <c r="B4" t="str">
        <f>IF($B$1="","",_xlfn.XLOOKUP($B$1,Master!$F$2:$F$321,Master!$H$2:$H$321,""))</f>
        <v>fig-top-five-leading-death-count-aar</v>
      </c>
      <c r="E4" s="8"/>
      <c r="F4" s="10" t="s">
        <v>968</v>
      </c>
      <c r="G4" s="10" t="s">
        <v>979</v>
      </c>
      <c r="H4" s="87" t="s">
        <v>979</v>
      </c>
      <c r="I4" s="80"/>
      <c r="J4" s="87" t="s">
        <v>979</v>
      </c>
      <c r="K4" s="80"/>
      <c r="L4" s="87" t="s">
        <v>979</v>
      </c>
      <c r="M4" s="80"/>
      <c r="N4" s="87" t="s">
        <v>979</v>
      </c>
      <c r="O4" s="80"/>
      <c r="P4" s="87" t="s">
        <v>979</v>
      </c>
      <c r="Q4" s="80"/>
    </row>
    <row r="5" spans="1:17" x14ac:dyDescent="0.2">
      <c r="A5" s="83" t="s">
        <v>1081</v>
      </c>
      <c r="B5" s="80"/>
      <c r="E5" s="82" t="s">
        <v>1082</v>
      </c>
      <c r="F5" s="81" t="s">
        <v>1308</v>
      </c>
      <c r="G5" s="80"/>
      <c r="H5" s="81" t="s">
        <v>1309</v>
      </c>
      <c r="I5" s="80"/>
      <c r="J5" s="81" t="s">
        <v>1310</v>
      </c>
      <c r="K5" s="80"/>
      <c r="L5" s="81" t="s">
        <v>1311</v>
      </c>
      <c r="M5" s="80"/>
      <c r="N5" s="81" t="s">
        <v>1312</v>
      </c>
      <c r="O5" s="80"/>
      <c r="P5" s="81" t="s">
        <v>1313</v>
      </c>
      <c r="Q5" s="80"/>
    </row>
    <row r="6" spans="1:17" ht="15" customHeight="1" x14ac:dyDescent="0.2">
      <c r="A6" t="s">
        <v>1088</v>
      </c>
      <c r="B6" t="b">
        <v>1</v>
      </c>
      <c r="E6" s="80"/>
      <c r="F6" s="81" t="s">
        <v>1096</v>
      </c>
      <c r="G6" s="80"/>
      <c r="H6" s="81" t="s">
        <v>1314</v>
      </c>
      <c r="I6" s="80"/>
      <c r="J6" s="81" t="s">
        <v>1315</v>
      </c>
      <c r="K6" s="80"/>
      <c r="L6" s="81" t="s">
        <v>1316</v>
      </c>
      <c r="M6" s="80"/>
      <c r="N6" s="81" t="s">
        <v>1317</v>
      </c>
      <c r="O6" s="80"/>
      <c r="P6" s="81" t="s">
        <v>1318</v>
      </c>
      <c r="Q6" s="80"/>
    </row>
    <row r="7" spans="1:17" ht="15.75" customHeight="1" x14ac:dyDescent="0.2">
      <c r="E7" s="80"/>
      <c r="F7" t="s">
        <v>1</v>
      </c>
      <c r="G7" s="23">
        <v>3222</v>
      </c>
      <c r="H7" s="81">
        <v>653</v>
      </c>
      <c r="I7" s="80"/>
      <c r="J7" s="81">
        <v>609</v>
      </c>
      <c r="K7" s="80"/>
      <c r="L7" s="81">
        <v>253</v>
      </c>
      <c r="M7" s="80"/>
      <c r="N7" s="81">
        <v>231</v>
      </c>
      <c r="O7" s="80"/>
      <c r="P7" s="81">
        <v>125</v>
      </c>
      <c r="Q7" s="80"/>
    </row>
    <row r="8" spans="1:17" x14ac:dyDescent="0.2">
      <c r="E8" s="80"/>
      <c r="F8" t="s">
        <v>1273</v>
      </c>
      <c r="G8" s="15">
        <v>745.2</v>
      </c>
      <c r="H8" s="81">
        <v>150.6</v>
      </c>
      <c r="I8" s="80"/>
      <c r="J8" s="81">
        <v>132.4</v>
      </c>
      <c r="K8" s="80"/>
      <c r="L8" s="81">
        <v>62.2</v>
      </c>
      <c r="M8" s="80"/>
      <c r="N8" s="81">
        <v>53.4</v>
      </c>
      <c r="O8" s="80"/>
      <c r="P8" s="81">
        <v>29.6</v>
      </c>
      <c r="Q8" s="80"/>
    </row>
    <row r="9" spans="1:17" x14ac:dyDescent="0.2">
      <c r="A9" s="83" t="s">
        <v>1098</v>
      </c>
      <c r="B9" s="80"/>
      <c r="E9" s="80"/>
      <c r="F9" s="81" t="s">
        <v>1319</v>
      </c>
      <c r="G9" s="80"/>
      <c r="H9" s="81" t="s">
        <v>1314</v>
      </c>
      <c r="I9" s="80"/>
      <c r="J9" s="81" t="s">
        <v>1315</v>
      </c>
      <c r="K9" s="80"/>
      <c r="L9" s="81" t="s">
        <v>1317</v>
      </c>
      <c r="M9" s="80"/>
      <c r="N9" s="81" t="s">
        <v>1316</v>
      </c>
      <c r="O9" s="80"/>
      <c r="P9" s="81" t="s">
        <v>1318</v>
      </c>
      <c r="Q9" s="80"/>
    </row>
    <row r="10" spans="1:17" x14ac:dyDescent="0.2">
      <c r="A10" t="s">
        <v>1100</v>
      </c>
      <c r="E10" s="80"/>
      <c r="F10" t="s">
        <v>1</v>
      </c>
      <c r="G10" s="23">
        <v>113465</v>
      </c>
      <c r="H10" s="88">
        <v>26215</v>
      </c>
      <c r="I10" s="80"/>
      <c r="J10" s="88">
        <v>21762</v>
      </c>
      <c r="K10" s="80"/>
      <c r="L10" s="88">
        <v>6666</v>
      </c>
      <c r="M10" s="80"/>
      <c r="N10" s="88">
        <v>6666</v>
      </c>
      <c r="O10" s="80"/>
      <c r="P10" s="88">
        <v>4602</v>
      </c>
      <c r="Q10" s="80"/>
    </row>
    <row r="11" spans="1:17" x14ac:dyDescent="0.2">
      <c r="A11" t="s">
        <v>1102</v>
      </c>
      <c r="E11" s="80"/>
      <c r="F11" t="s">
        <v>1273</v>
      </c>
      <c r="G11" s="15">
        <v>744</v>
      </c>
      <c r="H11" s="81">
        <v>166.4</v>
      </c>
      <c r="I11" s="80"/>
      <c r="J11" s="81">
        <v>137.30000000000001</v>
      </c>
      <c r="K11" s="80"/>
      <c r="L11" s="84">
        <v>54.8</v>
      </c>
      <c r="M11" s="80"/>
      <c r="N11" s="84">
        <v>42.3</v>
      </c>
      <c r="O11" s="80"/>
      <c r="P11" s="84">
        <v>28.8</v>
      </c>
      <c r="Q11" s="80"/>
    </row>
    <row r="12" spans="1:17" x14ac:dyDescent="0.2">
      <c r="A12" t="s">
        <v>1104</v>
      </c>
      <c r="E12" s="80"/>
      <c r="F12" s="81" t="s">
        <v>1299</v>
      </c>
      <c r="G12" s="80"/>
      <c r="H12" s="81" t="s">
        <v>1314</v>
      </c>
      <c r="I12" s="80"/>
      <c r="J12" s="81" t="s">
        <v>1315</v>
      </c>
      <c r="K12" s="80"/>
      <c r="L12" s="81" t="s">
        <v>1317</v>
      </c>
      <c r="M12" s="80"/>
      <c r="N12" s="81" t="s">
        <v>1316</v>
      </c>
      <c r="O12" s="80"/>
      <c r="P12" s="89" t="s">
        <v>1320</v>
      </c>
      <c r="Q12" s="80"/>
    </row>
    <row r="13" spans="1:17" x14ac:dyDescent="0.2">
      <c r="A13" t="s">
        <v>1108</v>
      </c>
      <c r="E13" s="80"/>
      <c r="F13" t="s">
        <v>1</v>
      </c>
      <c r="G13" s="14">
        <v>173986</v>
      </c>
      <c r="H13" s="88">
        <v>43166</v>
      </c>
      <c r="I13" s="80"/>
      <c r="J13" s="88">
        <v>32584</v>
      </c>
      <c r="K13" s="80"/>
      <c r="L13" s="88">
        <v>11174</v>
      </c>
      <c r="M13" s="80"/>
      <c r="N13" s="88">
        <v>10820</v>
      </c>
      <c r="O13" s="80"/>
      <c r="P13" s="88">
        <v>6574</v>
      </c>
      <c r="Q13" s="80"/>
    </row>
    <row r="14" spans="1:17" x14ac:dyDescent="0.2">
      <c r="A14" t="s">
        <v>1112</v>
      </c>
      <c r="E14" s="80"/>
      <c r="F14" t="s">
        <v>1273</v>
      </c>
      <c r="G14">
        <v>679.6</v>
      </c>
      <c r="H14" s="81">
        <v>163.69999999999999</v>
      </c>
      <c r="I14" s="80"/>
      <c r="J14" s="81">
        <v>123.7</v>
      </c>
      <c r="K14" s="80"/>
      <c r="L14" s="81">
        <v>42.7</v>
      </c>
      <c r="M14" s="80"/>
      <c r="N14" s="81">
        <v>50.6</v>
      </c>
      <c r="O14" s="80"/>
      <c r="P14" s="81">
        <v>25.1</v>
      </c>
      <c r="Q14" s="80"/>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B19" t="s">
        <v>1321</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1322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66">
    <mergeCell ref="B1:O1"/>
    <mergeCell ref="A21:B21"/>
    <mergeCell ref="J4:K4"/>
    <mergeCell ref="H11:I11"/>
    <mergeCell ref="L4:M4"/>
    <mergeCell ref="J11:K11"/>
    <mergeCell ref="H7:I7"/>
    <mergeCell ref="L10:M10"/>
    <mergeCell ref="J7:K7"/>
    <mergeCell ref="A5:B5"/>
    <mergeCell ref="N10:O10"/>
    <mergeCell ref="H13:I13"/>
    <mergeCell ref="N13:O13"/>
    <mergeCell ref="F9:G9"/>
    <mergeCell ref="L9:M9"/>
    <mergeCell ref="N9:O9"/>
    <mergeCell ref="A27:B27"/>
    <mergeCell ref="A18:B18"/>
    <mergeCell ref="L14:M14"/>
    <mergeCell ref="N8:O8"/>
    <mergeCell ref="N14:O14"/>
    <mergeCell ref="L8:M8"/>
    <mergeCell ref="H12:I12"/>
    <mergeCell ref="H8:I8"/>
    <mergeCell ref="J12:K12"/>
    <mergeCell ref="L11:M11"/>
    <mergeCell ref="H14:I14"/>
    <mergeCell ref="A9:B9"/>
    <mergeCell ref="E5:E57"/>
    <mergeCell ref="J8:K8"/>
    <mergeCell ref="F5:G5"/>
    <mergeCell ref="H5:I5"/>
    <mergeCell ref="H4:I4"/>
    <mergeCell ref="J13:K13"/>
    <mergeCell ref="H9:I9"/>
    <mergeCell ref="L13:M13"/>
    <mergeCell ref="J9:K9"/>
    <mergeCell ref="L12:M12"/>
    <mergeCell ref="H6:I6"/>
    <mergeCell ref="J6:K6"/>
    <mergeCell ref="H10:I10"/>
    <mergeCell ref="L5:M5"/>
    <mergeCell ref="L6:M6"/>
    <mergeCell ref="J14:K14"/>
    <mergeCell ref="J10:K10"/>
    <mergeCell ref="P10:Q10"/>
    <mergeCell ref="F6:G6"/>
    <mergeCell ref="P9:Q9"/>
    <mergeCell ref="F12:G12"/>
    <mergeCell ref="N12:O12"/>
    <mergeCell ref="P6:Q6"/>
    <mergeCell ref="P13:Q13"/>
    <mergeCell ref="P12:Q12"/>
    <mergeCell ref="P14:Q14"/>
    <mergeCell ref="P8:Q8"/>
    <mergeCell ref="P11:Q11"/>
    <mergeCell ref="P7:Q7"/>
    <mergeCell ref="N6:O6"/>
    <mergeCell ref="P4:Q4"/>
    <mergeCell ref="L7:M7"/>
    <mergeCell ref="N11:O11"/>
    <mergeCell ref="J5:K5"/>
    <mergeCell ref="N7:O7"/>
    <mergeCell ref="N4:O4"/>
    <mergeCell ref="N5:O5"/>
    <mergeCell ref="P5:Q5"/>
  </mergeCells>
  <dataValidations count="3">
    <dataValidation type="list" allowBlank="1" showInputMessage="1" showErrorMessage="1" sqref="B10" xr:uid="{00000000-0002-0000-0E00-000000000000}">
      <formula1>"Line,Clustered Bar,Stacked Bar,Bar,Horizontal Stacked Bar"</formula1>
    </dataValidation>
    <dataValidation type="list" allowBlank="1" showInputMessage="1" showErrorMessage="1" sqref="B2" xr:uid="{00000000-0002-0000-0E00-000001000000}">
      <formula1>"Table,Figure,Both"</formula1>
    </dataValidation>
    <dataValidation type="list" allowBlank="1" showInputMessage="1" showErrorMessage="1" sqref="B6 B15:B16" xr:uid="{00000000-0002-0000-0E00-000002000000}">
      <formula1>"True,False"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7"/>
  <sheetViews>
    <sheetView workbookViewId="0">
      <selection activeCell="I24" sqref="I2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tbl-number-deaths-leading-sex</v>
      </c>
    </row>
    <row r="4" spans="1:17" x14ac:dyDescent="0.2">
      <c r="A4" s="16" t="s">
        <v>7</v>
      </c>
      <c r="B4" t="str">
        <f>IF($B$1="","",_xlfn.XLOOKUP($B$1,Master!$F$2:$F$321,Master!$H$2:$H$321,""))</f>
        <v>fig-number-deaths-leading-sex</v>
      </c>
      <c r="E4" s="8"/>
      <c r="F4" s="10" t="s">
        <v>968</v>
      </c>
      <c r="G4" s="10" t="s">
        <v>973</v>
      </c>
      <c r="H4" s="10" t="s">
        <v>973</v>
      </c>
      <c r="I4" s="10" t="s">
        <v>973</v>
      </c>
      <c r="J4" s="10"/>
      <c r="K4" s="10"/>
      <c r="L4" s="10"/>
      <c r="M4" s="10"/>
      <c r="N4" s="10"/>
      <c r="O4" s="10"/>
      <c r="P4" s="10"/>
      <c r="Q4" s="10"/>
    </row>
    <row r="5" spans="1:17" x14ac:dyDescent="0.2">
      <c r="A5" s="83" t="s">
        <v>1081</v>
      </c>
      <c r="B5" s="80"/>
      <c r="E5" s="82" t="s">
        <v>1082</v>
      </c>
      <c r="F5" s="84" t="s">
        <v>1323</v>
      </c>
      <c r="G5" s="81" t="s">
        <v>1324</v>
      </c>
      <c r="H5" s="80"/>
      <c r="I5" s="80"/>
    </row>
    <row r="6" spans="1:17" ht="15" customHeight="1" x14ac:dyDescent="0.2">
      <c r="A6" t="s">
        <v>1088</v>
      </c>
      <c r="B6" t="b">
        <v>1</v>
      </c>
      <c r="E6" s="80"/>
      <c r="F6" s="80"/>
      <c r="G6" t="s">
        <v>1094</v>
      </c>
      <c r="H6" t="s">
        <v>1095</v>
      </c>
      <c r="I6" t="s">
        <v>1089</v>
      </c>
      <c r="J6" s="15"/>
      <c r="K6" s="15"/>
      <c r="L6" s="15"/>
      <c r="M6" s="15"/>
      <c r="N6" s="15"/>
      <c r="O6" s="15"/>
    </row>
    <row r="7" spans="1:17" ht="15.75" customHeight="1" x14ac:dyDescent="0.2">
      <c r="E7" s="80"/>
      <c r="F7" s="16" t="s">
        <v>1325</v>
      </c>
      <c r="G7" s="23">
        <v>6235</v>
      </c>
      <c r="H7" s="23">
        <v>6114</v>
      </c>
      <c r="I7" s="23">
        <v>12349</v>
      </c>
      <c r="J7" s="15"/>
      <c r="K7" s="15"/>
      <c r="L7" s="15"/>
      <c r="M7" s="15"/>
      <c r="N7" s="15"/>
      <c r="O7" s="15"/>
    </row>
    <row r="8" spans="1:17" x14ac:dyDescent="0.2">
      <c r="E8" s="80"/>
      <c r="F8" s="47" t="s">
        <v>1326</v>
      </c>
      <c r="G8" s="23">
        <v>1409</v>
      </c>
      <c r="H8" s="23">
        <v>1214</v>
      </c>
      <c r="I8" s="23">
        <v>2623</v>
      </c>
      <c r="J8" s="15"/>
      <c r="K8" s="15"/>
      <c r="L8" s="15"/>
      <c r="M8" s="15"/>
      <c r="N8" s="15"/>
      <c r="O8" s="15"/>
    </row>
    <row r="9" spans="1:17" x14ac:dyDescent="0.2">
      <c r="A9" s="83" t="s">
        <v>1098</v>
      </c>
      <c r="B9" s="80"/>
      <c r="E9" s="80"/>
      <c r="F9" s="47" t="s">
        <v>1327</v>
      </c>
      <c r="G9" s="23">
        <v>1165</v>
      </c>
      <c r="H9" s="23">
        <v>1217</v>
      </c>
      <c r="I9" s="23">
        <v>2382</v>
      </c>
      <c r="J9" s="15"/>
      <c r="K9" s="15"/>
      <c r="L9" s="15"/>
      <c r="M9" s="15"/>
      <c r="N9" s="15"/>
      <c r="O9" s="15"/>
    </row>
    <row r="10" spans="1:17" x14ac:dyDescent="0.2">
      <c r="A10" t="s">
        <v>1100</v>
      </c>
      <c r="E10" s="80"/>
      <c r="F10" s="47" t="s">
        <v>1316</v>
      </c>
      <c r="G10" s="15">
        <v>793</v>
      </c>
      <c r="H10" s="15">
        <v>366</v>
      </c>
      <c r="I10" s="23">
        <v>1159</v>
      </c>
    </row>
    <row r="11" spans="1:17" x14ac:dyDescent="0.2">
      <c r="A11" t="s">
        <v>1102</v>
      </c>
      <c r="E11" s="80"/>
      <c r="F11" s="48" t="s">
        <v>1328</v>
      </c>
      <c r="G11" s="17">
        <v>222</v>
      </c>
      <c r="H11" s="17">
        <v>271</v>
      </c>
      <c r="I11" s="15">
        <v>493</v>
      </c>
      <c r="J11" s="17"/>
      <c r="K11" s="17"/>
      <c r="L11" s="17"/>
      <c r="M11" s="17"/>
      <c r="N11" s="17"/>
    </row>
    <row r="12" spans="1:17" x14ac:dyDescent="0.2">
      <c r="A12" t="s">
        <v>1104</v>
      </c>
      <c r="E12" s="80"/>
      <c r="F12" s="47" t="s">
        <v>1329</v>
      </c>
      <c r="G12" s="15">
        <v>176</v>
      </c>
      <c r="H12" s="15">
        <v>236</v>
      </c>
      <c r="I12" s="15">
        <v>412</v>
      </c>
      <c r="J12" s="15"/>
      <c r="K12" s="15"/>
      <c r="L12" s="15"/>
    </row>
    <row r="13" spans="1:17" x14ac:dyDescent="0.2">
      <c r="A13" t="s">
        <v>1108</v>
      </c>
      <c r="E13" s="80"/>
      <c r="F13" s="47" t="s">
        <v>1330</v>
      </c>
      <c r="G13" s="15">
        <v>106</v>
      </c>
      <c r="H13" s="15">
        <v>292</v>
      </c>
      <c r="I13" s="15">
        <v>398</v>
      </c>
    </row>
    <row r="14" spans="1:17" x14ac:dyDescent="0.2">
      <c r="A14" t="s">
        <v>1112</v>
      </c>
      <c r="E14" s="80"/>
      <c r="F14" s="47" t="s">
        <v>1331</v>
      </c>
      <c r="G14" s="15">
        <v>155</v>
      </c>
      <c r="H14" s="15">
        <v>146</v>
      </c>
      <c r="I14" s="15">
        <v>301</v>
      </c>
    </row>
    <row r="15" spans="1:17" x14ac:dyDescent="0.2">
      <c r="A15" t="s">
        <v>1114</v>
      </c>
      <c r="E15" s="80"/>
      <c r="F15" s="47" t="s">
        <v>1332</v>
      </c>
      <c r="G15" s="15">
        <v>136</v>
      </c>
      <c r="H15" s="15">
        <v>109</v>
      </c>
      <c r="I15" s="15">
        <v>245</v>
      </c>
    </row>
    <row r="16" spans="1:17" x14ac:dyDescent="0.2">
      <c r="A16" t="s">
        <v>1116</v>
      </c>
      <c r="E16" s="80"/>
      <c r="F16" s="47" t="s">
        <v>1333</v>
      </c>
      <c r="G16" s="15">
        <v>128</v>
      </c>
      <c r="H16" s="15">
        <v>135</v>
      </c>
      <c r="I16" s="15">
        <v>263</v>
      </c>
    </row>
    <row r="17" spans="1:11" x14ac:dyDescent="0.2">
      <c r="E17" s="80"/>
      <c r="F17" s="47" t="s">
        <v>1334</v>
      </c>
      <c r="G17" s="15">
        <v>185</v>
      </c>
      <c r="H17" s="15">
        <v>42</v>
      </c>
      <c r="I17" s="15">
        <v>227</v>
      </c>
    </row>
    <row r="18" spans="1:11" x14ac:dyDescent="0.2">
      <c r="A18" s="83" t="s">
        <v>1119</v>
      </c>
      <c r="B18" s="80"/>
      <c r="E18" s="80"/>
      <c r="F18" s="47" t="s">
        <v>1335</v>
      </c>
      <c r="G18" s="15">
        <v>84</v>
      </c>
      <c r="H18" s="15">
        <v>39</v>
      </c>
      <c r="I18" s="15">
        <v>123</v>
      </c>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1291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9">
    <mergeCell ref="B1:O1"/>
    <mergeCell ref="A21:B21"/>
    <mergeCell ref="E5:E57"/>
    <mergeCell ref="G5:I5"/>
    <mergeCell ref="A9:B9"/>
    <mergeCell ref="A5:B5"/>
    <mergeCell ref="F5:F6"/>
    <mergeCell ref="A18:B18"/>
    <mergeCell ref="A27:B27"/>
  </mergeCells>
  <dataValidations count="4">
    <dataValidation type="list" allowBlank="1" showInputMessage="1" showErrorMessage="1" sqref="P4:Q4" xr:uid="{00000000-0002-0000-0F00-000000000000}">
      <formula1>"integer, number, percent1"</formula1>
    </dataValidation>
    <dataValidation type="list" allowBlank="1" showInputMessage="1" showErrorMessage="1" sqref="B10" xr:uid="{00000000-0002-0000-0F00-000001000000}">
      <formula1>"Line,Clustered Bar,Stacked Bar,Bar,Horizontal Stacked Bar"</formula1>
    </dataValidation>
    <dataValidation type="list" allowBlank="1" showInputMessage="1" showErrorMessage="1" sqref="B2" xr:uid="{00000000-0002-0000-0F00-000002000000}">
      <formula1>"Table,Figure,Both"</formula1>
    </dataValidation>
    <dataValidation type="list" allowBlank="1" showInputMessage="1" showErrorMessage="1" sqref="B6 B15:B16" xr:uid="{00000000-0002-0000-0F00-000003000000}">
      <formula1>"True,False"</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tbl-premature-deaths-rande</v>
      </c>
    </row>
    <row r="4" spans="1:17" x14ac:dyDescent="0.2">
      <c r="A4" s="16" t="s">
        <v>7</v>
      </c>
      <c r="B4" t="str">
        <f>IF($B$1="","",_xlfn.XLOOKUP($B$1,Master!$F$2:$F$321,Master!$H$2:$H$321,""))</f>
        <v>fig-premature-deaths-rande</v>
      </c>
      <c r="E4" s="8"/>
      <c r="F4" s="10" t="s">
        <v>968</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45.8</v>
      </c>
      <c r="H6" s="15">
        <v>41.3</v>
      </c>
      <c r="I6" s="15">
        <v>63.4</v>
      </c>
      <c r="J6" s="15">
        <v>61.3</v>
      </c>
      <c r="K6" s="15">
        <v>57.9</v>
      </c>
      <c r="L6" s="15"/>
      <c r="M6" s="15"/>
      <c r="N6" s="15"/>
      <c r="O6" s="15"/>
    </row>
    <row r="7" spans="1:17" ht="15.75" customHeight="1" x14ac:dyDescent="0.2">
      <c r="E7" s="80"/>
      <c r="F7" t="s">
        <v>1298</v>
      </c>
      <c r="G7" s="15">
        <v>40.799999999999997</v>
      </c>
      <c r="H7" s="15">
        <v>37.299999999999997</v>
      </c>
      <c r="I7" s="15">
        <v>61.6</v>
      </c>
      <c r="J7" s="15">
        <v>46.5</v>
      </c>
      <c r="K7" s="15">
        <v>60.8</v>
      </c>
      <c r="L7" s="15"/>
      <c r="M7" s="15"/>
      <c r="N7" s="15"/>
      <c r="O7" s="15"/>
    </row>
    <row r="8" spans="1:17" x14ac:dyDescent="0.2">
      <c r="E8" s="80"/>
      <c r="F8" t="s">
        <v>1299</v>
      </c>
      <c r="G8" s="15">
        <v>42.9</v>
      </c>
      <c r="H8" s="15">
        <v>36.6</v>
      </c>
      <c r="I8" s="15">
        <v>58.6</v>
      </c>
      <c r="J8" s="15">
        <v>42.9</v>
      </c>
      <c r="K8" s="15">
        <v>55</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1336</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1337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000-000000000000}">
      <formula1>"integer, number, percent1"</formula1>
    </dataValidation>
    <dataValidation type="list" allowBlank="1" showInputMessage="1" showErrorMessage="1" sqref="B10" xr:uid="{00000000-0002-0000-1000-000001000000}">
      <formula1>"Line,Clustered Bar,Stacked Bar,Bar,Horizontal Stacked Bar"</formula1>
    </dataValidation>
    <dataValidation type="list" allowBlank="1" showInputMessage="1" showErrorMessage="1" sqref="B2" xr:uid="{00000000-0002-0000-1000-000002000000}">
      <formula1>"Table,Figure,Both"</formula1>
    </dataValidation>
    <dataValidation type="list" allowBlank="1" showInputMessage="1" showErrorMessage="1" sqref="B6 B15:B16" xr:uid="{00000000-0002-0000-1000-000003000000}">
      <formula1>"True,False"</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6.5" bestFit="1" customWidth="1"/>
    <col min="8" max="8" width="25.1640625" bestFit="1" customWidth="1"/>
    <col min="9" max="9" width="38" bestFit="1" customWidth="1"/>
    <col min="10" max="10" width="9" bestFit="1" customWidth="1"/>
    <col min="11" max="11" width="16.83203125" customWidth="1"/>
    <col min="12" max="12" width="24.6640625" customWidth="1"/>
    <col min="13" max="13" width="12.1640625" bestFit="1" customWidth="1"/>
    <col min="14" max="14" width="12.33203125" bestFit="1" customWidth="1"/>
    <col min="15" max="16" width="12.5" bestFit="1" customWidth="1"/>
  </cols>
  <sheetData>
    <row r="1" spans="1:17" x14ac:dyDescent="0.2">
      <c r="A1" s="16" t="s">
        <v>1077</v>
      </c>
      <c r="B1" s="79" t="s">
        <v>66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tbl-income-poverty-gini</v>
      </c>
    </row>
    <row r="4" spans="1:17" x14ac:dyDescent="0.2">
      <c r="A4" s="16" t="s">
        <v>7</v>
      </c>
      <c r="B4" t="str">
        <f>IF($B$1="","",_xlfn.XLOOKUP($B$1,Master!$F$2:$F$321,Master!$H$2:$H$321,""))</f>
        <v>fig-income-poverty-gini</v>
      </c>
      <c r="E4" s="8"/>
      <c r="F4" s="10" t="s">
        <v>968</v>
      </c>
      <c r="G4" s="10" t="s">
        <v>973</v>
      </c>
      <c r="H4" s="10" t="s">
        <v>989</v>
      </c>
      <c r="I4" s="10" t="s">
        <v>973</v>
      </c>
      <c r="J4" s="10" t="s">
        <v>979</v>
      </c>
      <c r="K4" s="10" t="s">
        <v>973</v>
      </c>
      <c r="L4" s="10" t="s">
        <v>979</v>
      </c>
      <c r="M4" s="10" t="s">
        <v>973</v>
      </c>
      <c r="N4" s="10" t="s">
        <v>979</v>
      </c>
      <c r="O4" s="10" t="s">
        <v>984</v>
      </c>
      <c r="P4" s="10"/>
      <c r="Q4" s="10"/>
    </row>
    <row r="5" spans="1:17" x14ac:dyDescent="0.2">
      <c r="A5" s="83" t="s">
        <v>1081</v>
      </c>
      <c r="B5" s="80"/>
      <c r="E5" s="82" t="s">
        <v>1082</v>
      </c>
      <c r="F5" s="85" t="s">
        <v>1083</v>
      </c>
      <c r="G5" s="90" t="s">
        <v>1338</v>
      </c>
      <c r="H5" s="90" t="s">
        <v>1339</v>
      </c>
      <c r="I5" s="85" t="s">
        <v>1340</v>
      </c>
      <c r="J5" s="80"/>
      <c r="K5" s="85" t="s">
        <v>1341</v>
      </c>
      <c r="L5" s="80"/>
      <c r="M5" s="85" t="s">
        <v>1342</v>
      </c>
      <c r="N5" s="80"/>
      <c r="O5" s="85" t="s">
        <v>1343</v>
      </c>
    </row>
    <row r="6" spans="1:17" x14ac:dyDescent="0.2">
      <c r="A6" t="s">
        <v>1088</v>
      </c>
      <c r="B6" t="b">
        <v>1</v>
      </c>
      <c r="E6" s="80"/>
      <c r="F6" s="80"/>
      <c r="G6" s="80"/>
      <c r="H6" s="80"/>
      <c r="I6" s="60" t="s">
        <v>1272</v>
      </c>
      <c r="J6" s="60" t="s">
        <v>1344</v>
      </c>
      <c r="K6" s="60" t="s">
        <v>1272</v>
      </c>
      <c r="L6" s="60" t="s">
        <v>1344</v>
      </c>
      <c r="M6" s="60" t="s">
        <v>1272</v>
      </c>
      <c r="N6" s="60" t="s">
        <v>1344</v>
      </c>
      <c r="O6" s="80"/>
    </row>
    <row r="7" spans="1:17" ht="15.75" customHeight="1" x14ac:dyDescent="0.2">
      <c r="E7" s="80"/>
      <c r="F7" s="16" t="s">
        <v>1096</v>
      </c>
      <c r="G7" s="28">
        <v>137311</v>
      </c>
      <c r="H7" s="41">
        <v>96497</v>
      </c>
      <c r="I7" s="28">
        <v>21753</v>
      </c>
      <c r="J7" s="17">
        <v>15.8</v>
      </c>
      <c r="K7" s="28">
        <v>35627</v>
      </c>
      <c r="L7" s="17">
        <v>25.9</v>
      </c>
      <c r="M7" s="28">
        <v>39482</v>
      </c>
      <c r="N7" s="17">
        <v>28.8</v>
      </c>
      <c r="O7" s="17">
        <v>0.44</v>
      </c>
    </row>
    <row r="8" spans="1:17" x14ac:dyDescent="0.2">
      <c r="E8" s="80"/>
      <c r="F8" s="16" t="s">
        <v>1097</v>
      </c>
      <c r="G8" s="28">
        <v>6149</v>
      </c>
      <c r="H8" s="41">
        <v>100763</v>
      </c>
      <c r="I8" s="17">
        <v>805</v>
      </c>
      <c r="J8" s="17">
        <v>13.1</v>
      </c>
      <c r="K8" s="28">
        <v>1399</v>
      </c>
      <c r="L8" s="17">
        <v>22.8</v>
      </c>
      <c r="M8" s="28">
        <v>1825</v>
      </c>
      <c r="N8" s="17">
        <v>29.7</v>
      </c>
      <c r="O8" s="17">
        <v>0.41</v>
      </c>
    </row>
    <row r="9" spans="1:17" x14ac:dyDescent="0.2">
      <c r="A9" s="83" t="s">
        <v>1098</v>
      </c>
      <c r="B9" s="80"/>
      <c r="E9" s="80"/>
      <c r="F9" s="47" t="s">
        <v>1099</v>
      </c>
      <c r="G9" s="28">
        <v>1173</v>
      </c>
      <c r="H9" s="41">
        <v>68958</v>
      </c>
      <c r="I9" s="17">
        <v>158</v>
      </c>
      <c r="J9" s="17">
        <v>13.5</v>
      </c>
      <c r="K9" s="17">
        <v>374</v>
      </c>
      <c r="L9" s="17">
        <v>31.9</v>
      </c>
      <c r="M9" s="17">
        <v>142</v>
      </c>
      <c r="N9" s="17">
        <v>12.1</v>
      </c>
      <c r="O9" s="17">
        <v>0.39</v>
      </c>
    </row>
    <row r="10" spans="1:17" x14ac:dyDescent="0.2">
      <c r="A10" t="s">
        <v>1100</v>
      </c>
      <c r="E10" s="80"/>
      <c r="F10" s="47" t="s">
        <v>1101</v>
      </c>
      <c r="G10" s="28">
        <v>2106</v>
      </c>
      <c r="H10" s="41">
        <v>101080</v>
      </c>
      <c r="I10" s="17">
        <v>370</v>
      </c>
      <c r="J10" s="17">
        <v>17.600000000000001</v>
      </c>
      <c r="K10" s="17">
        <v>553</v>
      </c>
      <c r="L10" s="17">
        <v>26.3</v>
      </c>
      <c r="M10" s="17">
        <v>590</v>
      </c>
      <c r="N10" s="17">
        <v>28</v>
      </c>
      <c r="O10" s="17">
        <v>0.47</v>
      </c>
    </row>
    <row r="11" spans="1:17" x14ac:dyDescent="0.2">
      <c r="A11" t="s">
        <v>1102</v>
      </c>
      <c r="E11" s="80"/>
      <c r="F11" s="16" t="s">
        <v>1103</v>
      </c>
      <c r="G11" s="28">
        <v>4458</v>
      </c>
      <c r="H11" s="41">
        <v>146893</v>
      </c>
      <c r="I11" s="17">
        <v>357</v>
      </c>
      <c r="J11" s="17">
        <v>8</v>
      </c>
      <c r="K11" s="17">
        <v>692</v>
      </c>
      <c r="L11" s="17">
        <v>15.5</v>
      </c>
      <c r="M11" s="28">
        <v>2183</v>
      </c>
      <c r="N11" s="17">
        <v>48.9</v>
      </c>
      <c r="O11" s="17">
        <v>0.38</v>
      </c>
    </row>
    <row r="12" spans="1:17" x14ac:dyDescent="0.2">
      <c r="A12" t="s">
        <v>1104</v>
      </c>
      <c r="E12" s="80"/>
      <c r="F12" s="48" t="s">
        <v>1105</v>
      </c>
      <c r="G12" s="28">
        <v>1560</v>
      </c>
      <c r="H12" s="41">
        <v>97250</v>
      </c>
      <c r="I12" s="17">
        <v>260</v>
      </c>
      <c r="J12" s="17">
        <v>16.7</v>
      </c>
      <c r="K12" s="17">
        <v>377</v>
      </c>
      <c r="L12" s="17">
        <v>24.2</v>
      </c>
      <c r="M12" s="17">
        <v>563</v>
      </c>
      <c r="N12" s="17">
        <v>36.1</v>
      </c>
      <c r="O12" s="17">
        <v>0.38</v>
      </c>
    </row>
    <row r="13" spans="1:17" x14ac:dyDescent="0.2">
      <c r="A13" t="s">
        <v>1108</v>
      </c>
      <c r="E13" s="80"/>
      <c r="F13" s="16" t="s">
        <v>1109</v>
      </c>
      <c r="G13" s="28">
        <v>5023</v>
      </c>
      <c r="H13" s="41">
        <v>118639</v>
      </c>
      <c r="I13" s="17">
        <v>459</v>
      </c>
      <c r="J13" s="17">
        <v>9.1</v>
      </c>
      <c r="K13" s="17">
        <v>773</v>
      </c>
      <c r="L13" s="17">
        <v>15.4</v>
      </c>
      <c r="M13" s="28">
        <v>1879</v>
      </c>
      <c r="N13" s="17">
        <v>37.4</v>
      </c>
      <c r="O13" s="17">
        <v>0.38</v>
      </c>
    </row>
    <row r="14" spans="1:17" x14ac:dyDescent="0.2">
      <c r="A14" t="s">
        <v>1112</v>
      </c>
      <c r="E14" s="80"/>
      <c r="F14" s="47" t="s">
        <v>1113</v>
      </c>
      <c r="G14" s="28">
        <v>1230</v>
      </c>
      <c r="H14" s="41">
        <v>150288</v>
      </c>
      <c r="I14" s="17">
        <v>79</v>
      </c>
      <c r="J14" s="17">
        <v>6.4</v>
      </c>
      <c r="K14" s="17">
        <v>143</v>
      </c>
      <c r="L14" s="17">
        <v>11.6</v>
      </c>
      <c r="M14" s="17">
        <v>627</v>
      </c>
      <c r="N14" s="17">
        <v>51</v>
      </c>
      <c r="O14" s="17">
        <v>0.36</v>
      </c>
    </row>
    <row r="15" spans="1:17" x14ac:dyDescent="0.2">
      <c r="A15" t="s">
        <v>1114</v>
      </c>
      <c r="E15" s="80"/>
      <c r="F15" s="25" t="s">
        <v>1115</v>
      </c>
      <c r="G15" s="28">
        <v>3001</v>
      </c>
      <c r="H15" s="41">
        <v>130656</v>
      </c>
      <c r="I15" s="17">
        <v>277</v>
      </c>
      <c r="J15" s="17">
        <v>9.1999999999999993</v>
      </c>
      <c r="K15" s="17">
        <v>448</v>
      </c>
      <c r="L15" s="17">
        <v>14.9</v>
      </c>
      <c r="M15" s="28">
        <v>1246</v>
      </c>
      <c r="N15" s="17">
        <v>41.5</v>
      </c>
      <c r="O15" s="17">
        <v>0.43</v>
      </c>
    </row>
    <row r="16" spans="1:17" x14ac:dyDescent="0.2">
      <c r="A16" t="s">
        <v>1116</v>
      </c>
      <c r="E16" s="80"/>
      <c r="F16" s="25" t="s">
        <v>1117</v>
      </c>
      <c r="G16" s="28">
        <v>2993</v>
      </c>
      <c r="H16" s="41">
        <v>72164</v>
      </c>
      <c r="I16" s="17">
        <v>421</v>
      </c>
      <c r="J16" s="17">
        <v>14.1</v>
      </c>
      <c r="K16" s="17">
        <v>834</v>
      </c>
      <c r="L16" s="17">
        <v>27.9</v>
      </c>
      <c r="M16" s="17">
        <v>448</v>
      </c>
      <c r="N16" s="17">
        <v>14.9</v>
      </c>
      <c r="O16" s="17">
        <v>0.4</v>
      </c>
    </row>
    <row r="17" spans="1:15" x14ac:dyDescent="0.2">
      <c r="E17" s="80"/>
      <c r="F17" s="25" t="s">
        <v>1118</v>
      </c>
      <c r="G17" s="28">
        <v>4861</v>
      </c>
      <c r="H17" s="41">
        <v>117817</v>
      </c>
      <c r="I17" s="17">
        <v>626</v>
      </c>
      <c r="J17" s="17">
        <v>12.9</v>
      </c>
      <c r="K17" s="28">
        <v>1031</v>
      </c>
      <c r="L17" s="17">
        <v>21.2</v>
      </c>
      <c r="M17" s="28">
        <v>1895</v>
      </c>
      <c r="N17" s="17">
        <v>38.9</v>
      </c>
      <c r="O17" s="17">
        <v>0.47</v>
      </c>
    </row>
    <row r="18" spans="1:15" x14ac:dyDescent="0.2">
      <c r="A18" s="83" t="s">
        <v>1119</v>
      </c>
      <c r="B18" s="80"/>
      <c r="E18" s="80"/>
      <c r="F18" s="47" t="s">
        <v>1120</v>
      </c>
      <c r="G18" s="28">
        <v>2350</v>
      </c>
      <c r="H18" s="41">
        <v>99464</v>
      </c>
      <c r="I18" s="17">
        <v>436</v>
      </c>
      <c r="J18" s="17">
        <v>18.600000000000001</v>
      </c>
      <c r="K18" s="17">
        <v>653</v>
      </c>
      <c r="L18" s="17">
        <v>27.8</v>
      </c>
      <c r="M18" s="17">
        <v>730</v>
      </c>
      <c r="N18" s="17">
        <v>31.1</v>
      </c>
      <c r="O18" s="17">
        <v>0.49</v>
      </c>
    </row>
    <row r="19" spans="1:15" x14ac:dyDescent="0.2">
      <c r="A19" t="s">
        <v>1121</v>
      </c>
      <c r="B19" t="s">
        <v>1345</v>
      </c>
      <c r="E19" s="80"/>
      <c r="F19" s="16" t="s">
        <v>1123</v>
      </c>
      <c r="G19" s="28">
        <v>1645</v>
      </c>
      <c r="H19" s="41">
        <v>130938</v>
      </c>
      <c r="I19" s="17">
        <v>66</v>
      </c>
      <c r="J19" s="17">
        <v>4</v>
      </c>
      <c r="K19" s="17">
        <v>196</v>
      </c>
      <c r="L19" s="17">
        <v>11.9</v>
      </c>
      <c r="M19" s="17">
        <v>594</v>
      </c>
      <c r="N19" s="17">
        <v>36.1</v>
      </c>
      <c r="O19" s="17">
        <v>0.33</v>
      </c>
    </row>
    <row r="20" spans="1:15" x14ac:dyDescent="0.2">
      <c r="E20" s="80"/>
      <c r="F20" s="16" t="s">
        <v>1124</v>
      </c>
      <c r="G20" s="28">
        <v>1745</v>
      </c>
      <c r="H20" s="41">
        <v>113267</v>
      </c>
      <c r="I20" s="17">
        <v>171</v>
      </c>
      <c r="J20" s="17">
        <v>9.8000000000000007</v>
      </c>
      <c r="K20" s="17">
        <v>310</v>
      </c>
      <c r="L20" s="17">
        <v>17.8</v>
      </c>
      <c r="M20" s="17">
        <v>632</v>
      </c>
      <c r="N20" s="17">
        <v>36.200000000000003</v>
      </c>
      <c r="O20" s="17">
        <v>0.42</v>
      </c>
    </row>
    <row r="21" spans="1:15" x14ac:dyDescent="0.2">
      <c r="A21" s="81" t="s">
        <v>1125</v>
      </c>
      <c r="B21" s="80"/>
      <c r="E21" s="80"/>
      <c r="F21" s="16" t="s">
        <v>1126</v>
      </c>
      <c r="G21" s="28">
        <v>3938</v>
      </c>
      <c r="H21" s="41">
        <v>111786</v>
      </c>
      <c r="I21" s="17">
        <v>367</v>
      </c>
      <c r="J21" s="17">
        <v>9.3000000000000007</v>
      </c>
      <c r="K21" s="17">
        <v>833</v>
      </c>
      <c r="L21" s="17">
        <v>21.2</v>
      </c>
      <c r="M21" s="28">
        <v>1218</v>
      </c>
      <c r="N21" s="17">
        <v>30.9</v>
      </c>
      <c r="O21" s="17">
        <v>0.37</v>
      </c>
    </row>
    <row r="22" spans="1:15" x14ac:dyDescent="0.2">
      <c r="A22" t="s">
        <v>1135</v>
      </c>
      <c r="B22" t="s">
        <v>1346</v>
      </c>
      <c r="E22" s="80"/>
      <c r="F22" s="47" t="s">
        <v>1137</v>
      </c>
      <c r="G22" s="28">
        <v>1648</v>
      </c>
      <c r="H22" s="41">
        <v>107500</v>
      </c>
      <c r="I22" s="17">
        <v>221</v>
      </c>
      <c r="J22" s="17">
        <v>13.4</v>
      </c>
      <c r="K22" s="17">
        <v>500</v>
      </c>
      <c r="L22" s="17">
        <v>30.3</v>
      </c>
      <c r="M22" s="17">
        <v>393</v>
      </c>
      <c r="N22" s="17">
        <v>23.8</v>
      </c>
      <c r="O22" s="17">
        <v>0.39</v>
      </c>
    </row>
    <row r="23" spans="1:15" x14ac:dyDescent="0.2">
      <c r="E23" s="80"/>
      <c r="F23" s="16" t="s">
        <v>1146</v>
      </c>
      <c r="G23" s="28">
        <v>10182</v>
      </c>
      <c r="H23" s="41">
        <v>77174</v>
      </c>
      <c r="I23" s="28">
        <v>2209</v>
      </c>
      <c r="J23" s="17">
        <v>21.7</v>
      </c>
      <c r="K23" s="28">
        <v>3329</v>
      </c>
      <c r="L23" s="17">
        <v>32.700000000000003</v>
      </c>
      <c r="M23" s="28">
        <v>2002</v>
      </c>
      <c r="N23" s="17">
        <v>19.600000000000001</v>
      </c>
      <c r="O23" s="17">
        <v>0.44</v>
      </c>
    </row>
    <row r="24" spans="1:15" x14ac:dyDescent="0.2">
      <c r="E24" s="80"/>
      <c r="F24" s="16" t="s">
        <v>1150</v>
      </c>
      <c r="G24" s="28">
        <v>1526</v>
      </c>
      <c r="H24" s="41">
        <v>114048</v>
      </c>
      <c r="I24" s="17">
        <v>105</v>
      </c>
      <c r="J24" s="17">
        <v>6.9</v>
      </c>
      <c r="K24" s="17">
        <v>217</v>
      </c>
      <c r="L24" s="17">
        <v>14.2</v>
      </c>
      <c r="M24" s="17">
        <v>464</v>
      </c>
      <c r="N24" s="17">
        <v>30.4</v>
      </c>
      <c r="O24" s="17">
        <v>0.37</v>
      </c>
    </row>
    <row r="25" spans="1:15" x14ac:dyDescent="0.2">
      <c r="E25" s="80"/>
      <c r="F25" s="47" t="s">
        <v>1154</v>
      </c>
      <c r="G25" s="17">
        <v>222</v>
      </c>
      <c r="H25" s="41">
        <v>104615</v>
      </c>
      <c r="I25" s="17">
        <v>3</v>
      </c>
      <c r="J25" s="17">
        <v>1.4</v>
      </c>
      <c r="K25" s="17">
        <v>29</v>
      </c>
      <c r="L25" s="17">
        <v>13.1</v>
      </c>
      <c r="M25" s="17">
        <v>59</v>
      </c>
      <c r="N25" s="17">
        <v>26.6</v>
      </c>
      <c r="O25" s="17">
        <v>0.42</v>
      </c>
    </row>
    <row r="26" spans="1:15" x14ac:dyDescent="0.2">
      <c r="E26" s="80"/>
      <c r="F26" s="16" t="s">
        <v>1158</v>
      </c>
      <c r="G26" s="28">
        <v>6855</v>
      </c>
      <c r="H26" s="41">
        <v>116019</v>
      </c>
      <c r="I26" s="17">
        <v>625</v>
      </c>
      <c r="J26" s="17">
        <v>9.1</v>
      </c>
      <c r="K26" s="28">
        <v>1105</v>
      </c>
      <c r="L26" s="17">
        <v>16.100000000000001</v>
      </c>
      <c r="M26" s="28">
        <v>2522</v>
      </c>
      <c r="N26" s="17">
        <v>36.799999999999997</v>
      </c>
      <c r="O26" s="17">
        <v>0.39</v>
      </c>
    </row>
    <row r="27" spans="1:15" x14ac:dyDescent="0.2">
      <c r="A27" s="81"/>
      <c r="B27" s="80"/>
      <c r="E27" s="80"/>
      <c r="F27" s="47" t="s">
        <v>1162</v>
      </c>
      <c r="G27" s="17">
        <v>792</v>
      </c>
      <c r="H27" s="41">
        <v>95324</v>
      </c>
      <c r="I27" s="17">
        <v>93</v>
      </c>
      <c r="J27" s="17">
        <v>11.7</v>
      </c>
      <c r="K27" s="17">
        <v>209</v>
      </c>
      <c r="L27" s="17">
        <v>26.4</v>
      </c>
      <c r="M27" s="17">
        <v>186</v>
      </c>
      <c r="N27" s="17">
        <v>23.5</v>
      </c>
      <c r="O27" s="17">
        <v>0.38</v>
      </c>
    </row>
    <row r="28" spans="1:15" x14ac:dyDescent="0.2">
      <c r="E28" s="80"/>
      <c r="F28" s="47" t="s">
        <v>1164</v>
      </c>
      <c r="G28" s="28">
        <v>2886</v>
      </c>
      <c r="H28" s="41">
        <v>110806</v>
      </c>
      <c r="I28" s="17">
        <v>283</v>
      </c>
      <c r="J28" s="17">
        <v>9.8000000000000007</v>
      </c>
      <c r="K28" s="17">
        <v>487</v>
      </c>
      <c r="L28" s="17">
        <v>16.899999999999999</v>
      </c>
      <c r="M28" s="28">
        <v>1000</v>
      </c>
      <c r="N28" s="17">
        <v>34.700000000000003</v>
      </c>
      <c r="O28" s="17">
        <v>0.36</v>
      </c>
    </row>
    <row r="29" spans="1:15" x14ac:dyDescent="0.2">
      <c r="E29" s="80"/>
      <c r="F29" s="16" t="s">
        <v>1166</v>
      </c>
      <c r="G29" s="28">
        <v>8306</v>
      </c>
      <c r="H29" s="41">
        <v>98360</v>
      </c>
      <c r="I29" s="28">
        <v>1411</v>
      </c>
      <c r="J29" s="17">
        <v>17</v>
      </c>
      <c r="K29" s="28">
        <v>2113</v>
      </c>
      <c r="L29" s="17">
        <v>25.4</v>
      </c>
      <c r="M29" s="28">
        <v>2318</v>
      </c>
      <c r="N29" s="17">
        <v>27.9</v>
      </c>
      <c r="O29" s="17">
        <v>0.42</v>
      </c>
    </row>
    <row r="30" spans="1:15" x14ac:dyDescent="0.2">
      <c r="E30" s="80"/>
      <c r="F30" s="47" t="s">
        <v>1168</v>
      </c>
      <c r="G30" s="28">
        <v>1401</v>
      </c>
      <c r="H30" s="41">
        <v>89293</v>
      </c>
      <c r="I30" s="17">
        <v>279</v>
      </c>
      <c r="J30" s="17">
        <v>19.899999999999999</v>
      </c>
      <c r="K30" s="17">
        <v>417</v>
      </c>
      <c r="L30" s="17">
        <v>29.8</v>
      </c>
      <c r="M30" s="17">
        <v>225</v>
      </c>
      <c r="N30" s="17">
        <v>16.100000000000001</v>
      </c>
      <c r="O30" s="17">
        <v>0.39</v>
      </c>
    </row>
    <row r="31" spans="1:15" x14ac:dyDescent="0.2">
      <c r="E31" s="80"/>
      <c r="F31" s="47" t="s">
        <v>1170</v>
      </c>
      <c r="G31" s="28">
        <v>1535</v>
      </c>
      <c r="H31" s="41">
        <v>88348</v>
      </c>
      <c r="I31" s="17">
        <v>286</v>
      </c>
      <c r="J31" s="17">
        <v>18.600000000000001</v>
      </c>
      <c r="K31" s="17">
        <v>414</v>
      </c>
      <c r="L31" s="17">
        <v>27</v>
      </c>
      <c r="M31" s="17">
        <v>404</v>
      </c>
      <c r="N31" s="17">
        <v>26.3</v>
      </c>
      <c r="O31" s="17">
        <v>0.44</v>
      </c>
    </row>
    <row r="32" spans="1:15" x14ac:dyDescent="0.2">
      <c r="E32" s="80"/>
      <c r="F32" s="47" t="s">
        <v>1172</v>
      </c>
      <c r="G32" s="28">
        <v>2621</v>
      </c>
      <c r="H32" s="41">
        <v>89652</v>
      </c>
      <c r="I32" s="17">
        <v>650</v>
      </c>
      <c r="J32" s="17">
        <v>24.8</v>
      </c>
      <c r="K32" s="17">
        <v>860</v>
      </c>
      <c r="L32" s="17">
        <v>32.799999999999997</v>
      </c>
      <c r="M32" s="17">
        <v>578</v>
      </c>
      <c r="N32" s="17">
        <v>22.1</v>
      </c>
      <c r="O32" s="17">
        <v>0.44</v>
      </c>
    </row>
    <row r="33" spans="5:15" x14ac:dyDescent="0.2">
      <c r="E33" s="80"/>
      <c r="F33" s="16" t="s">
        <v>1174</v>
      </c>
      <c r="G33" s="28">
        <v>2094</v>
      </c>
      <c r="H33" s="41">
        <v>95833</v>
      </c>
      <c r="I33" s="17">
        <v>336</v>
      </c>
      <c r="J33" s="17">
        <v>16</v>
      </c>
      <c r="K33" s="17">
        <v>581</v>
      </c>
      <c r="L33" s="17">
        <v>27.7</v>
      </c>
      <c r="M33" s="17">
        <v>626</v>
      </c>
      <c r="N33" s="17">
        <v>29.9</v>
      </c>
      <c r="O33" s="17">
        <v>0.45</v>
      </c>
    </row>
    <row r="34" spans="5:15" x14ac:dyDescent="0.2">
      <c r="E34" s="80"/>
      <c r="F34" t="s">
        <v>1178</v>
      </c>
      <c r="G34" s="17">
        <v>439</v>
      </c>
      <c r="H34" s="41">
        <v>80625</v>
      </c>
      <c r="I34" s="17">
        <v>46</v>
      </c>
      <c r="J34" s="17">
        <v>10.5</v>
      </c>
      <c r="K34" s="17">
        <v>95</v>
      </c>
      <c r="L34" s="17">
        <v>21.6</v>
      </c>
      <c r="M34" s="17">
        <v>66</v>
      </c>
      <c r="N34" s="17">
        <v>15</v>
      </c>
      <c r="O34" s="17">
        <v>0.42</v>
      </c>
    </row>
    <row r="35" spans="5:15" x14ac:dyDescent="0.2">
      <c r="E35" s="80"/>
      <c r="F35" s="16" t="s">
        <v>1180</v>
      </c>
      <c r="G35" s="28">
        <v>10335</v>
      </c>
      <c r="H35" s="41">
        <v>51006</v>
      </c>
      <c r="I35" s="28">
        <v>3526</v>
      </c>
      <c r="J35" s="17">
        <v>34.1</v>
      </c>
      <c r="K35" s="28">
        <v>4991</v>
      </c>
      <c r="L35" s="17">
        <v>48.3</v>
      </c>
      <c r="M35" s="28">
        <v>1271</v>
      </c>
      <c r="N35" s="17">
        <v>12.3</v>
      </c>
      <c r="O35" s="17">
        <v>0.51</v>
      </c>
    </row>
    <row r="36" spans="5:15" x14ac:dyDescent="0.2">
      <c r="E36" s="80"/>
      <c r="F36" s="16" t="s">
        <v>1182</v>
      </c>
      <c r="G36" s="28">
        <v>11553</v>
      </c>
      <c r="H36" s="41">
        <v>105892</v>
      </c>
      <c r="I36" s="28">
        <v>1101</v>
      </c>
      <c r="J36" s="17">
        <v>9.5</v>
      </c>
      <c r="K36" s="28">
        <v>2172</v>
      </c>
      <c r="L36" s="17">
        <v>18.8</v>
      </c>
      <c r="M36" s="28">
        <v>3334</v>
      </c>
      <c r="N36" s="17">
        <v>28.9</v>
      </c>
      <c r="O36" s="17">
        <v>0.39</v>
      </c>
    </row>
    <row r="37" spans="5:15" x14ac:dyDescent="0.2">
      <c r="E37" s="80"/>
      <c r="F37" s="16" t="s">
        <v>1184</v>
      </c>
      <c r="G37" s="28">
        <v>10763</v>
      </c>
      <c r="H37" s="41">
        <v>95950</v>
      </c>
      <c r="I37" s="28">
        <v>1475</v>
      </c>
      <c r="J37" s="17">
        <v>13.7</v>
      </c>
      <c r="K37" s="28">
        <v>2920</v>
      </c>
      <c r="L37" s="17">
        <v>27.1</v>
      </c>
      <c r="M37" s="28">
        <v>3265</v>
      </c>
      <c r="N37" s="17">
        <v>30.3</v>
      </c>
      <c r="O37" s="17">
        <v>0.44</v>
      </c>
    </row>
    <row r="38" spans="5:15" x14ac:dyDescent="0.2">
      <c r="E38" s="80"/>
      <c r="F38" s="16" t="s">
        <v>1186</v>
      </c>
      <c r="G38" s="28">
        <v>6869</v>
      </c>
      <c r="H38" s="41">
        <v>43171</v>
      </c>
      <c r="I38" s="28">
        <v>2432</v>
      </c>
      <c r="J38" s="17">
        <v>35.4</v>
      </c>
      <c r="K38" s="28">
        <v>3831</v>
      </c>
      <c r="L38" s="17">
        <v>55.8</v>
      </c>
      <c r="M38" s="17">
        <v>691</v>
      </c>
      <c r="N38" s="17">
        <v>10.1</v>
      </c>
      <c r="O38" s="17">
        <v>0.49</v>
      </c>
    </row>
    <row r="39" spans="5:15" x14ac:dyDescent="0.2">
      <c r="E39" s="80"/>
      <c r="F39" s="47" t="s">
        <v>1188</v>
      </c>
      <c r="G39" s="28">
        <v>6869</v>
      </c>
      <c r="H39" s="41">
        <v>43171</v>
      </c>
      <c r="I39" s="28">
        <v>2432</v>
      </c>
      <c r="J39" s="17">
        <v>35.4</v>
      </c>
      <c r="K39" s="28">
        <v>3831</v>
      </c>
      <c r="L39" s="17">
        <v>55.8</v>
      </c>
      <c r="M39" s="17">
        <v>691</v>
      </c>
      <c r="N39" s="17">
        <v>10.1</v>
      </c>
      <c r="O39" s="17">
        <v>0.49</v>
      </c>
    </row>
    <row r="40" spans="5:15" x14ac:dyDescent="0.2">
      <c r="E40" s="80"/>
      <c r="F40" s="16" t="s">
        <v>1191</v>
      </c>
      <c r="G40" s="28">
        <v>3533</v>
      </c>
      <c r="H40" s="41">
        <v>50721</v>
      </c>
      <c r="I40" s="28">
        <v>1254</v>
      </c>
      <c r="J40" s="17">
        <v>35.5</v>
      </c>
      <c r="K40" s="28">
        <v>1729</v>
      </c>
      <c r="L40" s="17">
        <v>48.9</v>
      </c>
      <c r="M40" s="17">
        <v>267</v>
      </c>
      <c r="N40" s="17">
        <v>7.6</v>
      </c>
      <c r="O40" s="17">
        <v>0.45</v>
      </c>
    </row>
    <row r="41" spans="5:15" x14ac:dyDescent="0.2">
      <c r="E41" s="80"/>
      <c r="F41" s="16" t="s">
        <v>1195</v>
      </c>
      <c r="G41" s="28">
        <v>1539</v>
      </c>
      <c r="H41" s="41">
        <v>140938</v>
      </c>
      <c r="I41" s="17">
        <v>147</v>
      </c>
      <c r="J41" s="17">
        <v>9.6</v>
      </c>
      <c r="K41" s="17">
        <v>281</v>
      </c>
      <c r="L41" s="17">
        <v>18.3</v>
      </c>
      <c r="M41" s="17">
        <v>861</v>
      </c>
      <c r="N41" s="17">
        <v>55.9</v>
      </c>
      <c r="O41" s="17">
        <v>0.56999999999999995</v>
      </c>
    </row>
    <row r="42" spans="5:15" x14ac:dyDescent="0.2">
      <c r="E42" s="80"/>
      <c r="F42" s="47" t="s">
        <v>1199</v>
      </c>
      <c r="G42" s="28">
        <v>1151</v>
      </c>
      <c r="H42" s="41">
        <v>118317</v>
      </c>
      <c r="I42" s="17">
        <v>130</v>
      </c>
      <c r="J42" s="17">
        <v>11.3</v>
      </c>
      <c r="K42" s="17">
        <v>255</v>
      </c>
      <c r="L42" s="17">
        <v>22.2</v>
      </c>
      <c r="M42" s="17">
        <v>461</v>
      </c>
      <c r="N42" s="17">
        <v>40.1</v>
      </c>
      <c r="O42" s="17">
        <v>0.47</v>
      </c>
    </row>
    <row r="43" spans="5:15" x14ac:dyDescent="0.2">
      <c r="E43" s="80"/>
      <c r="F43" s="47" t="s">
        <v>1200</v>
      </c>
      <c r="G43" s="17">
        <v>388</v>
      </c>
      <c r="H43" s="17" t="s">
        <v>1347</v>
      </c>
      <c r="I43" s="17">
        <v>15</v>
      </c>
      <c r="J43" s="17">
        <v>3.9</v>
      </c>
      <c r="K43" s="17">
        <v>24</v>
      </c>
      <c r="L43" s="17">
        <v>6.2</v>
      </c>
      <c r="M43" s="17">
        <v>290</v>
      </c>
      <c r="N43" s="17">
        <v>74.7</v>
      </c>
      <c r="O43" s="17">
        <v>0.44</v>
      </c>
    </row>
    <row r="44" spans="5:15" x14ac:dyDescent="0.2">
      <c r="E44" s="80"/>
      <c r="F44" s="16" t="s">
        <v>1201</v>
      </c>
      <c r="G44" s="28">
        <v>11910</v>
      </c>
      <c r="H44" s="41">
        <v>94002</v>
      </c>
      <c r="I44" s="28">
        <v>1746</v>
      </c>
      <c r="J44" s="17">
        <v>14.7</v>
      </c>
      <c r="K44" s="28">
        <v>2669</v>
      </c>
      <c r="L44" s="17">
        <v>22.4</v>
      </c>
      <c r="M44" s="28">
        <v>2560</v>
      </c>
      <c r="N44" s="17">
        <v>21.5</v>
      </c>
      <c r="O44" s="17">
        <v>0.39</v>
      </c>
    </row>
    <row r="45" spans="5:15" x14ac:dyDescent="0.2">
      <c r="E45" s="80"/>
      <c r="F45" s="16" t="s">
        <v>1202</v>
      </c>
      <c r="G45" s="28">
        <v>11743</v>
      </c>
      <c r="H45" s="41">
        <v>117680</v>
      </c>
      <c r="I45" s="28">
        <v>1362</v>
      </c>
      <c r="J45" s="17">
        <v>11.6</v>
      </c>
      <c r="K45" s="28">
        <v>2244</v>
      </c>
      <c r="L45" s="17">
        <v>19.100000000000001</v>
      </c>
      <c r="M45" s="28">
        <v>4501</v>
      </c>
      <c r="N45" s="17">
        <v>38.299999999999997</v>
      </c>
      <c r="O45" s="17">
        <v>0.42</v>
      </c>
    </row>
    <row r="46" spans="5:15" x14ac:dyDescent="0.2">
      <c r="E46" s="80"/>
      <c r="F46" s="47" t="s">
        <v>1203</v>
      </c>
      <c r="G46" s="17">
        <v>936</v>
      </c>
      <c r="H46" s="41">
        <v>117083</v>
      </c>
      <c r="I46" s="17">
        <v>88</v>
      </c>
      <c r="J46" s="17">
        <v>9.4</v>
      </c>
      <c r="K46" s="17">
        <v>127</v>
      </c>
      <c r="L46" s="17">
        <v>13.6</v>
      </c>
      <c r="M46" s="17">
        <v>247</v>
      </c>
      <c r="N46" s="17">
        <v>26.4</v>
      </c>
      <c r="O46" s="17">
        <v>0.34</v>
      </c>
    </row>
    <row r="47" spans="5:15" x14ac:dyDescent="0.2">
      <c r="E47" s="80"/>
      <c r="F47" s="47" t="s">
        <v>1204</v>
      </c>
      <c r="G47" s="28">
        <v>1181</v>
      </c>
      <c r="H47" s="41">
        <v>80240</v>
      </c>
      <c r="I47" s="17">
        <v>169</v>
      </c>
      <c r="J47" s="17">
        <v>14.3</v>
      </c>
      <c r="K47" s="17">
        <v>275</v>
      </c>
      <c r="L47" s="17">
        <v>23.3</v>
      </c>
      <c r="M47" s="17">
        <v>223</v>
      </c>
      <c r="N47" s="17">
        <v>18.899999999999999</v>
      </c>
      <c r="O47" s="17">
        <v>0.4</v>
      </c>
    </row>
    <row r="48" spans="5:15" x14ac:dyDescent="0.2">
      <c r="E48" s="80"/>
      <c r="F48" s="47" t="s">
        <v>1205</v>
      </c>
      <c r="G48" s="28">
        <v>2998</v>
      </c>
      <c r="H48" s="41">
        <v>81250</v>
      </c>
      <c r="I48" s="17">
        <v>792</v>
      </c>
      <c r="J48" s="17">
        <v>26.4</v>
      </c>
      <c r="K48" s="28">
        <v>1170</v>
      </c>
      <c r="L48" s="17">
        <v>39</v>
      </c>
      <c r="M48" s="17">
        <v>800</v>
      </c>
      <c r="N48" s="17">
        <v>26.7</v>
      </c>
      <c r="O48" s="17">
        <v>0.48</v>
      </c>
    </row>
    <row r="49" spans="5:15" x14ac:dyDescent="0.2">
      <c r="E49" s="80"/>
      <c r="F49" s="16" t="s">
        <v>1206</v>
      </c>
      <c r="G49" s="28">
        <v>2468</v>
      </c>
      <c r="H49" s="41">
        <v>150000</v>
      </c>
      <c r="I49" s="17">
        <v>196</v>
      </c>
      <c r="J49" s="17">
        <v>7.9</v>
      </c>
      <c r="K49" s="17">
        <v>429</v>
      </c>
      <c r="L49" s="17">
        <v>17.399999999999999</v>
      </c>
      <c r="M49" s="28">
        <v>1234</v>
      </c>
      <c r="N49" s="17">
        <v>50</v>
      </c>
      <c r="O49" s="17">
        <v>0.38</v>
      </c>
    </row>
    <row r="50" spans="5:15" x14ac:dyDescent="0.2">
      <c r="E50" s="80"/>
      <c r="F50" s="16" t="s">
        <v>1207</v>
      </c>
      <c r="G50" s="28">
        <v>3822</v>
      </c>
      <c r="H50" s="41">
        <v>133953</v>
      </c>
      <c r="I50" s="17">
        <v>279</v>
      </c>
      <c r="J50" s="17">
        <v>7.3</v>
      </c>
      <c r="K50" s="17">
        <v>498</v>
      </c>
      <c r="L50" s="17">
        <v>13</v>
      </c>
      <c r="M50" s="28">
        <v>1746</v>
      </c>
      <c r="N50" s="17">
        <v>45.6</v>
      </c>
      <c r="O50" s="17">
        <v>0.38</v>
      </c>
    </row>
    <row r="51" spans="5:15" x14ac:dyDescent="0.2">
      <c r="E51" s="80"/>
      <c r="F51" s="47" t="s">
        <v>1162</v>
      </c>
      <c r="G51" s="17">
        <v>259</v>
      </c>
      <c r="H51" s="41">
        <v>95324</v>
      </c>
      <c r="I51" s="17">
        <v>39</v>
      </c>
      <c r="J51" s="17">
        <v>15.1</v>
      </c>
      <c r="K51" s="17">
        <v>43</v>
      </c>
      <c r="L51" s="17">
        <v>16.600000000000001</v>
      </c>
      <c r="M51" s="17">
        <v>40</v>
      </c>
      <c r="N51" s="17">
        <v>15.4</v>
      </c>
      <c r="O51" s="17">
        <v>0.38</v>
      </c>
    </row>
    <row r="52" spans="5:15" x14ac:dyDescent="0.2">
      <c r="E52" s="80"/>
      <c r="F52" s="47" t="s">
        <v>1208</v>
      </c>
      <c r="G52" s="28">
        <v>3563</v>
      </c>
      <c r="H52" s="41">
        <v>141607</v>
      </c>
      <c r="I52" s="17">
        <v>240</v>
      </c>
      <c r="J52" s="17">
        <v>6.7</v>
      </c>
      <c r="K52" s="17">
        <v>455</v>
      </c>
      <c r="L52" s="17">
        <v>12.8</v>
      </c>
      <c r="M52" s="28">
        <v>1706</v>
      </c>
      <c r="N52" s="17">
        <v>47.9</v>
      </c>
      <c r="O52" s="17">
        <v>0.37</v>
      </c>
    </row>
    <row r="53" spans="5:15" x14ac:dyDescent="0.2">
      <c r="E53" s="80"/>
    </row>
    <row r="54" spans="5:15" x14ac:dyDescent="0.2">
      <c r="E54" s="80"/>
    </row>
    <row r="55" spans="5:15" x14ac:dyDescent="0.2">
      <c r="E55" s="80"/>
    </row>
    <row r="56" spans="5:15" x14ac:dyDescent="0.2">
      <c r="E56" s="80"/>
    </row>
    <row r="57" spans="5:15" x14ac:dyDescent="0.2">
      <c r="E57" s="80"/>
    </row>
  </sheetData>
  <mergeCells count="14">
    <mergeCell ref="G5:G6"/>
    <mergeCell ref="O5:O6"/>
    <mergeCell ref="A21:B21"/>
    <mergeCell ref="H5:H6"/>
    <mergeCell ref="B1:O1"/>
    <mergeCell ref="E5:E57"/>
    <mergeCell ref="A9:B9"/>
    <mergeCell ref="A5:B5"/>
    <mergeCell ref="K5:L5"/>
    <mergeCell ref="I5:J5"/>
    <mergeCell ref="M5:N5"/>
    <mergeCell ref="F5:F6"/>
    <mergeCell ref="A18:B18"/>
    <mergeCell ref="A27:B27"/>
  </mergeCells>
  <dataValidations count="4">
    <dataValidation type="list" allowBlank="1" showInputMessage="1" showErrorMessage="1" sqref="P4:Q4" xr:uid="{00000000-0002-0000-1100-000000000000}">
      <formula1>"integer, number, percent1"</formula1>
    </dataValidation>
    <dataValidation type="list" allowBlank="1" showInputMessage="1" showErrorMessage="1" sqref="B10" xr:uid="{00000000-0002-0000-1100-000001000000}">
      <formula1>"Line,Clustered Bar,Stacked Bar,Bar,Horizontal Stacked Bar"</formula1>
    </dataValidation>
    <dataValidation type="list" allowBlank="1" showInputMessage="1" showErrorMessage="1" sqref="B2" xr:uid="{00000000-0002-0000-1100-000002000000}">
      <formula1>"Table,Figure,Both"</formula1>
    </dataValidation>
    <dataValidation type="list" allowBlank="1" showInputMessage="1" showErrorMessage="1" sqref="B6 B15:B16" xr:uid="{00000000-0002-0000-1100-000003000000}">
      <formula1>"True,False"</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57"/>
  <sheetViews>
    <sheetView workbookViewId="0">
      <selection activeCell="H32" sqref="H3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5" x14ac:dyDescent="0.2">
      <c r="A1" s="16" t="s">
        <v>1077</v>
      </c>
      <c r="B1" s="79" t="s">
        <v>69</v>
      </c>
      <c r="C1" s="80"/>
      <c r="D1" s="80"/>
      <c r="E1" s="80"/>
      <c r="F1" s="80"/>
      <c r="G1" s="80"/>
      <c r="H1" s="80"/>
      <c r="I1" s="80"/>
      <c r="J1" s="80"/>
      <c r="K1" s="80"/>
      <c r="L1" s="80"/>
      <c r="M1" s="80"/>
      <c r="N1" s="80"/>
      <c r="O1" s="80"/>
    </row>
    <row r="2" spans="1:15" x14ac:dyDescent="0.2">
      <c r="A2" s="16" t="s">
        <v>1078</v>
      </c>
      <c r="B2" t="s">
        <v>1079</v>
      </c>
    </row>
    <row r="3" spans="1:15" x14ac:dyDescent="0.2">
      <c r="A3" s="16" t="s">
        <v>1080</v>
      </c>
      <c r="B3" t="str">
        <f>IF($B$1="","",_xlfn.XLOOKUP($B$1,Master!$F$2:$F$321,Master!$G$2:$G$321,""))</f>
        <v>tbl-poverty-threshold</v>
      </c>
    </row>
    <row r="4" spans="1:15" x14ac:dyDescent="0.2">
      <c r="A4" s="16" t="s">
        <v>7</v>
      </c>
      <c r="B4" t="str">
        <f>IF($B$1="","",_xlfn.XLOOKUP($B$1,Master!$F$2:$F$321,Master!$H$2:$H$321,""))</f>
        <v>fig-poverty-threshold</v>
      </c>
      <c r="E4" s="8"/>
      <c r="F4" s="10" t="s">
        <v>968</v>
      </c>
      <c r="G4" s="10" t="s">
        <v>989</v>
      </c>
      <c r="H4" s="10" t="s">
        <v>989</v>
      </c>
      <c r="I4" s="10" t="s">
        <v>989</v>
      </c>
      <c r="J4" s="10" t="s">
        <v>989</v>
      </c>
      <c r="K4" s="10" t="s">
        <v>989</v>
      </c>
      <c r="L4" s="10" t="s">
        <v>989</v>
      </c>
      <c r="M4" s="10" t="s">
        <v>989</v>
      </c>
      <c r="N4" s="10" t="s">
        <v>989</v>
      </c>
      <c r="O4" s="10" t="s">
        <v>989</v>
      </c>
    </row>
    <row r="5" spans="1:15" x14ac:dyDescent="0.2">
      <c r="A5" s="83" t="s">
        <v>1081</v>
      </c>
      <c r="B5" s="80"/>
      <c r="E5" s="82" t="s">
        <v>1082</v>
      </c>
      <c r="F5" s="90" t="s">
        <v>1348</v>
      </c>
      <c r="G5" s="85" t="s">
        <v>1349</v>
      </c>
      <c r="H5" s="80"/>
      <c r="I5" s="80"/>
      <c r="J5" s="80"/>
      <c r="K5" s="80"/>
      <c r="L5" s="80"/>
      <c r="M5" s="80"/>
      <c r="N5" s="80"/>
      <c r="O5" s="80"/>
    </row>
    <row r="6" spans="1:15" ht="15" customHeight="1" x14ac:dyDescent="0.2">
      <c r="A6" t="s">
        <v>1088</v>
      </c>
      <c r="B6" t="b">
        <v>1</v>
      </c>
      <c r="E6" s="80"/>
      <c r="F6" s="80"/>
      <c r="G6" s="15" t="s">
        <v>1350</v>
      </c>
      <c r="H6" s="15" t="s">
        <v>1351</v>
      </c>
      <c r="I6" s="15" t="s">
        <v>1352</v>
      </c>
      <c r="J6" s="15" t="s">
        <v>1353</v>
      </c>
      <c r="K6" s="15" t="s">
        <v>1354</v>
      </c>
      <c r="L6" s="15" t="s">
        <v>1355</v>
      </c>
      <c r="M6" s="15" t="s">
        <v>1356</v>
      </c>
      <c r="N6" s="15" t="s">
        <v>1357</v>
      </c>
      <c r="O6" s="15" t="s">
        <v>1358</v>
      </c>
    </row>
    <row r="7" spans="1:15" ht="15.75" customHeight="1" x14ac:dyDescent="0.2">
      <c r="E7" s="80"/>
      <c r="F7" s="91" t="s">
        <v>1359</v>
      </c>
      <c r="G7" s="80"/>
      <c r="H7" s="80"/>
      <c r="I7" s="80"/>
      <c r="J7" s="80"/>
      <c r="K7" s="80"/>
      <c r="L7" s="80"/>
      <c r="M7" s="80"/>
      <c r="N7" s="80"/>
      <c r="O7" s="80"/>
    </row>
    <row r="8" spans="1:15" x14ac:dyDescent="0.2">
      <c r="E8" s="80"/>
      <c r="F8" t="s">
        <v>1360</v>
      </c>
      <c r="G8" s="39">
        <v>16320</v>
      </c>
      <c r="H8" s="15"/>
      <c r="I8" s="15"/>
      <c r="J8" s="15"/>
      <c r="K8" s="15"/>
      <c r="L8" s="15"/>
      <c r="M8" s="15"/>
      <c r="N8" s="15"/>
      <c r="O8" s="15"/>
    </row>
    <row r="9" spans="1:15" x14ac:dyDescent="0.2">
      <c r="A9" s="83" t="s">
        <v>1098</v>
      </c>
      <c r="B9" s="80"/>
      <c r="E9" s="80"/>
      <c r="F9" t="s">
        <v>1361</v>
      </c>
      <c r="G9" s="39">
        <v>15045</v>
      </c>
    </row>
    <row r="10" spans="1:15" x14ac:dyDescent="0.2">
      <c r="A10" t="s">
        <v>1100</v>
      </c>
      <c r="E10" s="80"/>
      <c r="F10" s="91" t="s">
        <v>1362</v>
      </c>
      <c r="G10" s="80"/>
      <c r="H10" s="80"/>
      <c r="I10" s="80"/>
      <c r="J10" s="80"/>
      <c r="K10" s="80"/>
      <c r="L10" s="80"/>
      <c r="M10" s="80"/>
      <c r="N10" s="80"/>
      <c r="O10" s="80"/>
    </row>
    <row r="11" spans="1:15" x14ac:dyDescent="0.2">
      <c r="A11" t="s">
        <v>1102</v>
      </c>
      <c r="E11" s="80"/>
      <c r="F11" s="48" t="s">
        <v>1363</v>
      </c>
      <c r="G11" s="41">
        <v>21006</v>
      </c>
      <c r="H11" s="41">
        <v>21621</v>
      </c>
      <c r="I11" s="15"/>
      <c r="J11" s="15"/>
      <c r="K11" s="15"/>
      <c r="L11" s="15"/>
    </row>
    <row r="12" spans="1:15" x14ac:dyDescent="0.2">
      <c r="A12" t="s">
        <v>1104</v>
      </c>
      <c r="E12" s="80"/>
      <c r="F12" s="47" t="s">
        <v>1364</v>
      </c>
      <c r="G12" s="40">
        <v>18961</v>
      </c>
      <c r="H12" s="40">
        <v>21540</v>
      </c>
    </row>
    <row r="13" spans="1:15" x14ac:dyDescent="0.2">
      <c r="A13" t="s">
        <v>1108</v>
      </c>
      <c r="E13" s="80"/>
      <c r="F13" s="16" t="s">
        <v>1365</v>
      </c>
      <c r="G13" s="40">
        <v>24537</v>
      </c>
      <c r="H13" s="40">
        <v>25249</v>
      </c>
      <c r="I13" s="40">
        <v>25273</v>
      </c>
    </row>
    <row r="14" spans="1:15" x14ac:dyDescent="0.2">
      <c r="A14" t="s">
        <v>1112</v>
      </c>
      <c r="E14" s="80"/>
      <c r="F14" s="16" t="s">
        <v>1366</v>
      </c>
      <c r="G14" s="40">
        <v>32355</v>
      </c>
      <c r="H14" s="40">
        <v>32884</v>
      </c>
      <c r="I14" s="40">
        <v>31812</v>
      </c>
      <c r="J14" s="40">
        <v>31922</v>
      </c>
    </row>
    <row r="15" spans="1:15" x14ac:dyDescent="0.2">
      <c r="A15" t="s">
        <v>1114</v>
      </c>
      <c r="E15" s="80"/>
      <c r="F15" s="16" t="s">
        <v>1367</v>
      </c>
      <c r="G15" s="40">
        <v>39019</v>
      </c>
      <c r="H15" s="40">
        <v>39586</v>
      </c>
      <c r="I15" s="40">
        <v>38374</v>
      </c>
      <c r="J15" s="40">
        <v>37436</v>
      </c>
      <c r="K15" s="40">
        <v>36863</v>
      </c>
    </row>
    <row r="16" spans="1:15" x14ac:dyDescent="0.2">
      <c r="A16" t="s">
        <v>1116</v>
      </c>
      <c r="E16" s="80"/>
      <c r="F16" s="16" t="s">
        <v>1368</v>
      </c>
      <c r="G16" s="40">
        <v>44879</v>
      </c>
      <c r="H16" s="40">
        <v>45057</v>
      </c>
      <c r="I16" s="40">
        <v>44128</v>
      </c>
      <c r="J16" s="40">
        <v>43238</v>
      </c>
      <c r="K16" s="40">
        <v>41915</v>
      </c>
      <c r="L16" s="40">
        <v>41131</v>
      </c>
    </row>
    <row r="17" spans="1:15" x14ac:dyDescent="0.2">
      <c r="E17" s="80"/>
      <c r="F17" s="16" t="s">
        <v>1369</v>
      </c>
      <c r="G17" s="40">
        <v>51638</v>
      </c>
      <c r="H17" s="40">
        <v>51961</v>
      </c>
      <c r="I17" s="40">
        <v>50849</v>
      </c>
      <c r="J17" s="40">
        <v>50075</v>
      </c>
      <c r="K17" s="40">
        <v>48631</v>
      </c>
      <c r="L17" s="40">
        <v>46948</v>
      </c>
      <c r="M17" s="40">
        <v>45100</v>
      </c>
    </row>
    <row r="18" spans="1:15" x14ac:dyDescent="0.2">
      <c r="A18" s="83" t="s">
        <v>1119</v>
      </c>
      <c r="B18" s="80"/>
      <c r="E18" s="80"/>
      <c r="F18" s="16" t="s">
        <v>1370</v>
      </c>
      <c r="G18" s="40">
        <v>57753</v>
      </c>
      <c r="H18" s="40">
        <v>58263</v>
      </c>
      <c r="I18" s="40">
        <v>57215</v>
      </c>
      <c r="J18" s="40">
        <v>56296</v>
      </c>
      <c r="K18" s="40">
        <v>54992</v>
      </c>
      <c r="L18" s="40">
        <v>53337</v>
      </c>
      <c r="M18" s="40">
        <v>51614</v>
      </c>
      <c r="N18" s="40">
        <v>51177</v>
      </c>
    </row>
    <row r="19" spans="1:15" x14ac:dyDescent="0.2">
      <c r="A19" t="s">
        <v>1121</v>
      </c>
      <c r="B19" t="s">
        <v>1371</v>
      </c>
      <c r="E19" s="80"/>
      <c r="F19" s="25" t="s">
        <v>1372</v>
      </c>
      <c r="G19" s="39">
        <v>69473</v>
      </c>
      <c r="H19" s="39">
        <v>69810</v>
      </c>
      <c r="I19" s="40">
        <v>68882</v>
      </c>
      <c r="J19" s="40">
        <v>68102</v>
      </c>
      <c r="K19" s="40">
        <v>66822</v>
      </c>
      <c r="L19" s="40">
        <v>65062</v>
      </c>
      <c r="M19" s="40">
        <v>63469</v>
      </c>
      <c r="N19" s="40">
        <v>63075</v>
      </c>
      <c r="O19" s="40">
        <v>60640</v>
      </c>
    </row>
    <row r="20" spans="1:15" x14ac:dyDescent="0.2">
      <c r="E20" s="80"/>
      <c r="F20" s="15"/>
      <c r="G20" s="15"/>
      <c r="H20" s="15"/>
    </row>
    <row r="21" spans="1:15" x14ac:dyDescent="0.2">
      <c r="A21" s="81" t="s">
        <v>1125</v>
      </c>
      <c r="B21" s="80"/>
      <c r="E21" s="80"/>
      <c r="F21" s="15"/>
      <c r="G21" s="15"/>
      <c r="H21" s="15"/>
    </row>
    <row r="22" spans="1:15" x14ac:dyDescent="0.2">
      <c r="A22" t="s">
        <v>1135</v>
      </c>
      <c r="B22" t="s">
        <v>1373</v>
      </c>
      <c r="E22" s="80"/>
      <c r="F22" s="15"/>
      <c r="G22" s="15"/>
      <c r="H22" s="15"/>
    </row>
    <row r="23" spans="1:15" x14ac:dyDescent="0.2">
      <c r="E23" s="80"/>
    </row>
    <row r="24" spans="1:15" x14ac:dyDescent="0.2">
      <c r="E24" s="80"/>
      <c r="F24" s="15"/>
      <c r="G24" s="15"/>
      <c r="H24" s="15"/>
      <c r="K24" t="s">
        <v>1226</v>
      </c>
    </row>
    <row r="25" spans="1:15" x14ac:dyDescent="0.2">
      <c r="E25" s="80"/>
      <c r="F25" s="15"/>
      <c r="G25" s="15"/>
      <c r="H25" s="15"/>
    </row>
    <row r="26" spans="1:15" x14ac:dyDescent="0.2">
      <c r="E26" s="80"/>
      <c r="F26" s="15"/>
      <c r="G26" s="15"/>
      <c r="H26" s="15"/>
    </row>
    <row r="27" spans="1:15" x14ac:dyDescent="0.2">
      <c r="A27" s="81"/>
      <c r="B27" s="80"/>
      <c r="E27" s="80"/>
      <c r="F27" s="15"/>
      <c r="G27" s="15"/>
      <c r="H27" s="15"/>
    </row>
    <row r="28" spans="1:15" x14ac:dyDescent="0.2">
      <c r="E28" s="80"/>
      <c r="F28" s="15"/>
      <c r="G28" s="15"/>
      <c r="H28" s="15"/>
    </row>
    <row r="29" spans="1:15" x14ac:dyDescent="0.2">
      <c r="E29" s="80"/>
      <c r="F29" s="15"/>
      <c r="G29" s="15"/>
      <c r="H29" s="15"/>
    </row>
    <row r="30" spans="1:15" x14ac:dyDescent="0.2">
      <c r="E30" s="80"/>
      <c r="F30" s="15"/>
      <c r="G30" s="15"/>
      <c r="H30" s="15"/>
      <c r="K30" t="s">
        <v>1227</v>
      </c>
    </row>
    <row r="31" spans="1:15" x14ac:dyDescent="0.2">
      <c r="E31" s="80"/>
    </row>
    <row r="32" spans="1:15" x14ac:dyDescent="0.2">
      <c r="E32" s="80"/>
      <c r="F32" s="15"/>
      <c r="G32" s="15"/>
      <c r="H32" s="15"/>
    </row>
    <row r="33" spans="5:15" x14ac:dyDescent="0.2">
      <c r="E33" s="80"/>
      <c r="F33" s="15"/>
      <c r="G33" s="15"/>
      <c r="H33" s="15"/>
      <c r="I33" s="17"/>
    </row>
    <row r="34" spans="5:15" x14ac:dyDescent="0.2">
      <c r="E34" s="80"/>
      <c r="F34" s="15"/>
      <c r="G34" s="15"/>
      <c r="H34" s="15"/>
      <c r="I34" s="17"/>
    </row>
    <row r="35" spans="5:15" x14ac:dyDescent="0.2">
      <c r="E35" s="80"/>
      <c r="F35" s="15"/>
      <c r="G35" s="15"/>
      <c r="H35" s="15"/>
      <c r="I35" s="17"/>
    </row>
    <row r="36" spans="5:15" x14ac:dyDescent="0.2">
      <c r="E36" s="80"/>
      <c r="F36" s="15"/>
      <c r="G36" s="15"/>
      <c r="H36" s="15"/>
      <c r="I36" s="17"/>
    </row>
    <row r="37" spans="5:15" x14ac:dyDescent="0.2">
      <c r="E37" s="80"/>
    </row>
    <row r="38" spans="5:15" x14ac:dyDescent="0.2">
      <c r="E38" s="80"/>
    </row>
    <row r="39" spans="5:15" x14ac:dyDescent="0.2">
      <c r="E39" s="80"/>
    </row>
    <row r="40" spans="5:15" x14ac:dyDescent="0.2">
      <c r="E40" s="80"/>
    </row>
    <row r="41" spans="5:15" x14ac:dyDescent="0.2">
      <c r="E41" s="80"/>
    </row>
    <row r="42" spans="5:15" x14ac:dyDescent="0.2">
      <c r="E42" s="80"/>
      <c r="O42" s="16"/>
    </row>
    <row r="43" spans="5:15" x14ac:dyDescent="0.2">
      <c r="E43" s="80"/>
    </row>
    <row r="44" spans="5:15" x14ac:dyDescent="0.2">
      <c r="E44" s="80"/>
    </row>
    <row r="45" spans="5:15" x14ac:dyDescent="0.2">
      <c r="E45" s="80"/>
    </row>
    <row r="46" spans="5:15" x14ac:dyDescent="0.2">
      <c r="E46" s="80"/>
    </row>
    <row r="47" spans="5:15" x14ac:dyDescent="0.2">
      <c r="E47" s="80"/>
    </row>
    <row r="48" spans="5:15"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1">
    <mergeCell ref="B1:O1"/>
    <mergeCell ref="A21:B21"/>
    <mergeCell ref="E5:E57"/>
    <mergeCell ref="G5:O5"/>
    <mergeCell ref="A9:B9"/>
    <mergeCell ref="A5:B5"/>
    <mergeCell ref="F7:O7"/>
    <mergeCell ref="F5:F6"/>
    <mergeCell ref="A18:B18"/>
    <mergeCell ref="A27:B27"/>
    <mergeCell ref="F10:O10"/>
  </mergeCells>
  <dataValidations count="3">
    <dataValidation type="list" allowBlank="1" showInputMessage="1" showErrorMessage="1" sqref="B10" xr:uid="{00000000-0002-0000-1200-000000000000}">
      <formula1>"Line,Clustered Bar,Stacked Bar,Bar,Horizontal Stacked Bar"</formula1>
    </dataValidation>
    <dataValidation type="list" allowBlank="1" showInputMessage="1" showErrorMessage="1" sqref="B2" xr:uid="{00000000-0002-0000-1200-000001000000}">
      <formula1>"Table,Figure,Both"</formula1>
    </dataValidation>
    <dataValidation type="list" allowBlank="1" showInputMessage="1" showErrorMessage="1" sqref="B6 B15:B16" xr:uid="{00000000-0002-0000-1200-000002000000}">
      <formula1>"True,False"</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57"/>
  <sheetViews>
    <sheetView workbookViewId="0">
      <selection activeCell="J36" sqref="J3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35.6640625" bestFit="1" customWidth="1"/>
    <col min="8" max="8" width="26.33203125" bestFit="1" customWidth="1"/>
    <col min="9" max="9" width="18.1640625" bestFit="1" customWidth="1"/>
    <col min="10" max="10" width="14.83203125" bestFit="1" customWidth="1"/>
    <col min="11" max="11" width="13.1640625" bestFit="1" customWidth="1"/>
    <col min="12" max="12" width="8.33203125" bestFit="1" customWidth="1"/>
    <col min="13" max="13" width="12.1640625" bestFit="1" customWidth="1"/>
    <col min="14" max="14" width="12.33203125" bestFit="1" customWidth="1"/>
    <col min="15" max="15" width="12.5" bestFit="1" customWidth="1"/>
    <col min="16" max="16" width="14.83203125" bestFit="1" customWidth="1"/>
  </cols>
  <sheetData>
    <row r="1" spans="1:17" x14ac:dyDescent="0.2">
      <c r="A1" s="16" t="s">
        <v>1077</v>
      </c>
      <c r="B1" s="79" t="s">
        <v>72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tbl-poverty-age-rande</v>
      </c>
    </row>
    <row r="4" spans="1:17" x14ac:dyDescent="0.2">
      <c r="A4" s="16" t="s">
        <v>7</v>
      </c>
      <c r="B4" t="str">
        <f>IF($B$1="","",_xlfn.XLOOKUP($B$1,Master!$F$2:$F$321,Master!$H$2:$H$321,""))</f>
        <v>fig-poverty-age-rande</v>
      </c>
      <c r="E4" s="8"/>
      <c r="F4" s="10" t="s">
        <v>968</v>
      </c>
      <c r="G4" s="10" t="s">
        <v>973</v>
      </c>
      <c r="H4" s="10" t="s">
        <v>973</v>
      </c>
      <c r="I4" s="10" t="s">
        <v>973</v>
      </c>
      <c r="J4" s="10" t="s">
        <v>973</v>
      </c>
      <c r="K4" s="10" t="s">
        <v>973</v>
      </c>
      <c r="L4" s="10" t="s">
        <v>973</v>
      </c>
      <c r="M4" s="10" t="s">
        <v>973</v>
      </c>
      <c r="N4" s="10" t="s">
        <v>973</v>
      </c>
      <c r="O4" s="10" t="s">
        <v>973</v>
      </c>
      <c r="P4" s="10" t="s">
        <v>973</v>
      </c>
      <c r="Q4" s="10"/>
    </row>
    <row r="5" spans="1:17" x14ac:dyDescent="0.2">
      <c r="A5" s="83" t="s">
        <v>1081</v>
      </c>
      <c r="B5" s="80"/>
      <c r="E5" s="82" t="s">
        <v>1082</v>
      </c>
      <c r="F5" s="90" t="s">
        <v>1083</v>
      </c>
      <c r="G5" s="90" t="s">
        <v>1374</v>
      </c>
      <c r="H5" s="90" t="s">
        <v>1375</v>
      </c>
      <c r="I5" s="90" t="s">
        <v>1376</v>
      </c>
      <c r="J5" s="80"/>
      <c r="K5" s="80"/>
      <c r="L5" s="90" t="s">
        <v>1377</v>
      </c>
      <c r="M5" s="80"/>
      <c r="N5" s="80"/>
      <c r="O5" s="80"/>
      <c r="P5" s="80"/>
    </row>
    <row r="6" spans="1:17" ht="15" customHeight="1" x14ac:dyDescent="0.2">
      <c r="A6" t="s">
        <v>1088</v>
      </c>
      <c r="B6" t="b">
        <v>1</v>
      </c>
      <c r="E6" s="80"/>
      <c r="F6" s="80"/>
      <c r="G6" s="80"/>
      <c r="H6" s="80"/>
      <c r="I6" s="66" t="s">
        <v>1378</v>
      </c>
      <c r="J6" s="66" t="s">
        <v>1379</v>
      </c>
      <c r="K6" s="66" t="s">
        <v>1380</v>
      </c>
      <c r="L6" s="66" t="s">
        <v>1381</v>
      </c>
      <c r="M6" s="66" t="s">
        <v>1382</v>
      </c>
      <c r="N6" s="66" t="s">
        <v>1383</v>
      </c>
      <c r="O6" s="66" t="s">
        <v>1384</v>
      </c>
      <c r="P6" s="66" t="s">
        <v>1385</v>
      </c>
    </row>
    <row r="7" spans="1:17" ht="15.75" customHeight="1" x14ac:dyDescent="0.2">
      <c r="E7" s="80"/>
      <c r="F7" s="16" t="s">
        <v>1096</v>
      </c>
      <c r="G7" s="23">
        <v>395402</v>
      </c>
      <c r="H7" s="23">
        <v>51238</v>
      </c>
      <c r="I7" s="23">
        <v>19619</v>
      </c>
      <c r="J7" s="23">
        <v>25992</v>
      </c>
      <c r="K7" s="23">
        <v>5697</v>
      </c>
      <c r="L7" s="23">
        <v>32525</v>
      </c>
      <c r="M7" s="23">
        <v>6471</v>
      </c>
      <c r="N7" s="23">
        <v>1134</v>
      </c>
      <c r="O7" s="23">
        <v>4573</v>
      </c>
      <c r="P7" s="23">
        <v>11485</v>
      </c>
    </row>
    <row r="8" spans="1:17" x14ac:dyDescent="0.2">
      <c r="E8" s="80"/>
      <c r="F8" s="16" t="s">
        <v>1097</v>
      </c>
      <c r="G8" s="23">
        <v>18639</v>
      </c>
      <c r="H8" s="23">
        <v>2428</v>
      </c>
      <c r="I8" s="23">
        <v>1155</v>
      </c>
      <c r="J8" s="23">
        <v>1025</v>
      </c>
      <c r="K8" s="15">
        <v>248</v>
      </c>
      <c r="L8" s="23">
        <v>1796</v>
      </c>
      <c r="M8" s="15">
        <v>106</v>
      </c>
      <c r="N8" s="15">
        <v>51</v>
      </c>
      <c r="O8" s="15">
        <v>107</v>
      </c>
      <c r="P8" s="15">
        <v>468</v>
      </c>
    </row>
    <row r="9" spans="1:17" x14ac:dyDescent="0.2">
      <c r="A9" s="83" t="s">
        <v>1098</v>
      </c>
      <c r="B9" s="80"/>
      <c r="E9" s="80"/>
      <c r="F9" s="47" t="s">
        <v>1099</v>
      </c>
      <c r="G9" s="23">
        <v>3880</v>
      </c>
      <c r="H9" s="23">
        <v>1524</v>
      </c>
      <c r="I9" s="15">
        <v>954</v>
      </c>
      <c r="J9" s="15">
        <v>564</v>
      </c>
      <c r="K9" s="15">
        <v>6</v>
      </c>
      <c r="L9" s="23">
        <v>1323</v>
      </c>
      <c r="M9" s="15">
        <v>33</v>
      </c>
      <c r="N9" s="15">
        <v>0</v>
      </c>
      <c r="O9" s="15">
        <v>7</v>
      </c>
      <c r="P9" s="15">
        <v>161</v>
      </c>
    </row>
    <row r="10" spans="1:17" x14ac:dyDescent="0.2">
      <c r="A10" t="s">
        <v>1100</v>
      </c>
      <c r="E10" s="80"/>
      <c r="F10" s="47" t="s">
        <v>1101</v>
      </c>
      <c r="G10" s="23">
        <v>5718</v>
      </c>
      <c r="H10" s="15">
        <v>422</v>
      </c>
      <c r="I10" s="15">
        <v>54</v>
      </c>
      <c r="J10" s="15">
        <v>189</v>
      </c>
      <c r="K10" s="15">
        <v>179</v>
      </c>
      <c r="L10" s="15">
        <v>233</v>
      </c>
      <c r="M10" s="15">
        <v>51</v>
      </c>
      <c r="N10" s="15">
        <v>30</v>
      </c>
      <c r="O10" s="15">
        <v>69</v>
      </c>
      <c r="P10" s="15">
        <v>129</v>
      </c>
    </row>
    <row r="11" spans="1:17" x14ac:dyDescent="0.2">
      <c r="A11" t="s">
        <v>1102</v>
      </c>
      <c r="E11" s="80"/>
      <c r="F11" s="16" t="s">
        <v>1103</v>
      </c>
      <c r="G11" s="23">
        <v>12333</v>
      </c>
      <c r="H11" s="15">
        <v>907</v>
      </c>
      <c r="I11" s="15">
        <v>53</v>
      </c>
      <c r="J11" s="17">
        <v>660</v>
      </c>
      <c r="K11" s="17">
        <v>194</v>
      </c>
      <c r="L11" s="17">
        <v>771</v>
      </c>
      <c r="M11" s="17">
        <v>4</v>
      </c>
      <c r="N11" s="17">
        <v>0</v>
      </c>
      <c r="O11" s="15">
        <v>132</v>
      </c>
      <c r="P11" s="15">
        <v>64</v>
      </c>
    </row>
    <row r="12" spans="1:17" x14ac:dyDescent="0.2">
      <c r="A12" t="s">
        <v>1104</v>
      </c>
      <c r="E12" s="80"/>
      <c r="F12" s="48" t="s">
        <v>1105</v>
      </c>
      <c r="G12" s="28">
        <v>4050</v>
      </c>
      <c r="H12" s="17">
        <v>262</v>
      </c>
      <c r="I12" s="15">
        <v>0</v>
      </c>
      <c r="J12" s="15">
        <v>203</v>
      </c>
      <c r="K12" s="15">
        <v>59</v>
      </c>
      <c r="L12" s="15">
        <v>130</v>
      </c>
      <c r="M12" s="15">
        <v>0</v>
      </c>
      <c r="N12" s="15">
        <v>0</v>
      </c>
      <c r="O12" s="15">
        <v>132</v>
      </c>
      <c r="P12" s="15">
        <v>64</v>
      </c>
    </row>
    <row r="13" spans="1:17" x14ac:dyDescent="0.2">
      <c r="A13" t="s">
        <v>1108</v>
      </c>
      <c r="E13" s="80"/>
      <c r="F13" s="16" t="s">
        <v>1109</v>
      </c>
      <c r="G13" s="23">
        <v>12758</v>
      </c>
      <c r="H13" s="15">
        <v>622</v>
      </c>
      <c r="I13" s="15">
        <v>108</v>
      </c>
      <c r="J13" s="15">
        <v>304</v>
      </c>
      <c r="K13" s="15">
        <v>210</v>
      </c>
      <c r="L13" s="15">
        <v>480</v>
      </c>
      <c r="M13" s="15">
        <v>14</v>
      </c>
      <c r="N13" s="15">
        <v>72</v>
      </c>
      <c r="O13" s="15">
        <v>47</v>
      </c>
      <c r="P13" s="15">
        <v>67</v>
      </c>
    </row>
    <row r="14" spans="1:17" x14ac:dyDescent="0.2">
      <c r="A14" t="s">
        <v>1112</v>
      </c>
      <c r="E14" s="80"/>
      <c r="F14" s="47" t="s">
        <v>1113</v>
      </c>
      <c r="G14" s="23">
        <v>3009</v>
      </c>
      <c r="H14" s="15">
        <v>72</v>
      </c>
      <c r="I14" s="15">
        <v>0</v>
      </c>
      <c r="J14" s="15">
        <v>26</v>
      </c>
      <c r="K14" s="15">
        <v>46</v>
      </c>
      <c r="L14" s="15">
        <v>72</v>
      </c>
      <c r="M14" s="15">
        <v>0</v>
      </c>
      <c r="N14" s="15">
        <v>0</v>
      </c>
      <c r="O14" s="15">
        <v>0</v>
      </c>
      <c r="P14" s="15">
        <v>0</v>
      </c>
    </row>
    <row r="15" spans="1:17" x14ac:dyDescent="0.2">
      <c r="A15" t="s">
        <v>1114</v>
      </c>
      <c r="E15" s="80"/>
      <c r="F15" s="25" t="s">
        <v>1115</v>
      </c>
      <c r="G15" s="23">
        <v>9077</v>
      </c>
      <c r="H15" s="15">
        <v>320</v>
      </c>
      <c r="I15" s="15">
        <v>50</v>
      </c>
      <c r="J15" s="15">
        <v>231</v>
      </c>
      <c r="K15" s="15">
        <v>39</v>
      </c>
      <c r="L15" s="15">
        <v>185</v>
      </c>
      <c r="M15" s="15">
        <v>86</v>
      </c>
      <c r="N15" s="15">
        <v>0</v>
      </c>
      <c r="O15" s="15">
        <v>38</v>
      </c>
      <c r="P15" s="15">
        <v>72</v>
      </c>
    </row>
    <row r="16" spans="1:17" x14ac:dyDescent="0.2">
      <c r="A16" t="s">
        <v>1116</v>
      </c>
      <c r="E16" s="80"/>
      <c r="F16" s="25" t="s">
        <v>1117</v>
      </c>
      <c r="G16" s="23">
        <v>7359</v>
      </c>
      <c r="H16" s="15">
        <v>627</v>
      </c>
      <c r="I16" s="15">
        <v>77</v>
      </c>
      <c r="J16" s="15">
        <v>426</v>
      </c>
      <c r="K16" s="15">
        <v>124</v>
      </c>
      <c r="L16" s="15">
        <v>495</v>
      </c>
      <c r="M16" s="15">
        <v>0</v>
      </c>
      <c r="N16" s="15">
        <v>0</v>
      </c>
      <c r="O16" s="15">
        <v>120</v>
      </c>
      <c r="P16" s="15">
        <v>92</v>
      </c>
    </row>
    <row r="17" spans="1:16" x14ac:dyDescent="0.2">
      <c r="E17" s="80"/>
      <c r="F17" s="25" t="s">
        <v>1118</v>
      </c>
      <c r="G17" s="23">
        <v>13210</v>
      </c>
      <c r="H17" s="15">
        <v>555</v>
      </c>
      <c r="I17" s="15">
        <v>135</v>
      </c>
      <c r="J17" s="15">
        <v>337</v>
      </c>
      <c r="K17" s="15">
        <v>83</v>
      </c>
      <c r="L17" s="15">
        <v>327</v>
      </c>
      <c r="M17" s="15">
        <v>4</v>
      </c>
      <c r="N17" s="15">
        <v>25</v>
      </c>
      <c r="O17" s="15">
        <v>192</v>
      </c>
      <c r="P17" s="15">
        <v>209</v>
      </c>
    </row>
    <row r="18" spans="1:16" x14ac:dyDescent="0.2">
      <c r="A18" s="83" t="s">
        <v>1119</v>
      </c>
      <c r="B18" s="80"/>
      <c r="E18" s="80"/>
      <c r="F18" s="47" t="s">
        <v>1120</v>
      </c>
      <c r="G18" s="23">
        <v>5598</v>
      </c>
      <c r="H18" s="15">
        <v>101</v>
      </c>
      <c r="I18" s="15">
        <v>9</v>
      </c>
      <c r="J18" s="15">
        <v>64</v>
      </c>
      <c r="K18" s="15">
        <v>28</v>
      </c>
      <c r="L18" s="15">
        <v>101</v>
      </c>
      <c r="M18" s="15">
        <v>0</v>
      </c>
      <c r="N18" s="15">
        <v>0</v>
      </c>
      <c r="O18" s="15">
        <v>0</v>
      </c>
      <c r="P18" s="15">
        <v>0</v>
      </c>
    </row>
    <row r="19" spans="1:16" x14ac:dyDescent="0.2">
      <c r="A19" t="s">
        <v>1121</v>
      </c>
      <c r="B19" t="s">
        <v>1386</v>
      </c>
      <c r="E19" s="80"/>
      <c r="F19" s="16" t="s">
        <v>1123</v>
      </c>
      <c r="G19" s="23">
        <v>4652</v>
      </c>
      <c r="H19" s="15">
        <v>162</v>
      </c>
      <c r="I19" s="15">
        <v>16</v>
      </c>
      <c r="J19" s="15">
        <v>108</v>
      </c>
      <c r="K19" s="15">
        <v>38</v>
      </c>
      <c r="L19" s="15">
        <v>145</v>
      </c>
      <c r="M19" s="15">
        <v>0</v>
      </c>
      <c r="N19" s="15">
        <v>0</v>
      </c>
      <c r="O19" s="15">
        <v>0</v>
      </c>
      <c r="P19" s="15">
        <v>17</v>
      </c>
    </row>
    <row r="20" spans="1:16" x14ac:dyDescent="0.2">
      <c r="E20" s="80"/>
      <c r="F20" s="16" t="s">
        <v>1124</v>
      </c>
      <c r="G20" s="23">
        <v>5407</v>
      </c>
      <c r="H20" s="15">
        <v>316</v>
      </c>
      <c r="I20" s="15">
        <v>96</v>
      </c>
      <c r="J20" s="15">
        <v>206</v>
      </c>
      <c r="K20" s="15">
        <v>14</v>
      </c>
      <c r="L20" s="15">
        <v>158</v>
      </c>
      <c r="M20" s="15">
        <v>0</v>
      </c>
      <c r="N20" s="15">
        <v>148</v>
      </c>
      <c r="O20" s="15">
        <v>10</v>
      </c>
      <c r="P20" s="15">
        <v>10</v>
      </c>
    </row>
    <row r="21" spans="1:16" x14ac:dyDescent="0.2">
      <c r="A21" s="81" t="s">
        <v>1125</v>
      </c>
      <c r="B21" s="80"/>
      <c r="E21" s="80"/>
      <c r="F21" s="16" t="s">
        <v>1126</v>
      </c>
      <c r="G21" s="23">
        <v>10450</v>
      </c>
      <c r="H21" s="15">
        <v>633</v>
      </c>
      <c r="I21" s="15">
        <v>165</v>
      </c>
      <c r="J21" s="15">
        <v>369</v>
      </c>
      <c r="K21" s="15">
        <v>99</v>
      </c>
      <c r="L21" s="15">
        <v>295</v>
      </c>
      <c r="M21" s="15">
        <v>61</v>
      </c>
      <c r="N21" s="15">
        <v>0</v>
      </c>
      <c r="O21" s="15">
        <v>42</v>
      </c>
      <c r="P21" s="15">
        <v>289</v>
      </c>
    </row>
    <row r="22" spans="1:16" x14ac:dyDescent="0.2">
      <c r="A22" t="s">
        <v>1135</v>
      </c>
      <c r="B22" t="s">
        <v>1232</v>
      </c>
      <c r="E22" s="80"/>
      <c r="F22" s="47" t="s">
        <v>1137</v>
      </c>
      <c r="G22" s="23">
        <v>3696</v>
      </c>
      <c r="H22" s="15">
        <v>384</v>
      </c>
      <c r="I22" s="15">
        <v>144</v>
      </c>
      <c r="J22" s="15">
        <v>215</v>
      </c>
      <c r="K22" s="15">
        <v>25</v>
      </c>
      <c r="L22" s="15">
        <v>104</v>
      </c>
      <c r="M22" s="15">
        <v>61</v>
      </c>
      <c r="N22" s="15">
        <v>0</v>
      </c>
      <c r="O22" s="15">
        <v>27</v>
      </c>
      <c r="P22" s="15">
        <v>219</v>
      </c>
    </row>
    <row r="23" spans="1:16" x14ac:dyDescent="0.2">
      <c r="E23" s="80"/>
      <c r="F23" s="16" t="s">
        <v>1146</v>
      </c>
      <c r="G23" s="23">
        <v>29921</v>
      </c>
      <c r="H23" s="23">
        <v>4641</v>
      </c>
      <c r="I23" s="23">
        <v>1480</v>
      </c>
      <c r="J23" s="23">
        <v>2631</v>
      </c>
      <c r="K23" s="15">
        <v>530</v>
      </c>
      <c r="L23" s="23">
        <v>1108</v>
      </c>
      <c r="M23" s="15">
        <v>679</v>
      </c>
      <c r="N23" s="15">
        <v>60</v>
      </c>
      <c r="O23" s="15">
        <v>712</v>
      </c>
      <c r="P23" s="23">
        <v>2983</v>
      </c>
    </row>
    <row r="24" spans="1:16" x14ac:dyDescent="0.2">
      <c r="E24" s="80"/>
      <c r="F24" s="16" t="s">
        <v>1150</v>
      </c>
      <c r="G24" s="23">
        <v>4645</v>
      </c>
      <c r="H24" s="15">
        <v>476</v>
      </c>
      <c r="I24" s="15">
        <v>241</v>
      </c>
      <c r="J24" s="15">
        <v>226</v>
      </c>
      <c r="K24" s="15">
        <v>9</v>
      </c>
      <c r="L24" s="15">
        <v>456</v>
      </c>
      <c r="M24" s="15">
        <v>0</v>
      </c>
      <c r="N24" s="15">
        <v>0</v>
      </c>
      <c r="O24" s="15">
        <v>20</v>
      </c>
      <c r="P24" s="15">
        <v>38</v>
      </c>
    </row>
    <row r="25" spans="1:16" x14ac:dyDescent="0.2">
      <c r="E25" s="80"/>
      <c r="F25" s="47" t="s">
        <v>1154</v>
      </c>
      <c r="G25" s="15">
        <v>684</v>
      </c>
      <c r="H25" s="15">
        <v>61</v>
      </c>
      <c r="I25" s="15">
        <v>35</v>
      </c>
      <c r="J25" s="15">
        <v>26</v>
      </c>
      <c r="K25" s="15">
        <v>0</v>
      </c>
      <c r="L25" s="15">
        <v>41</v>
      </c>
      <c r="M25" s="15">
        <v>0</v>
      </c>
      <c r="N25" s="15">
        <v>0</v>
      </c>
      <c r="O25" s="15">
        <v>20</v>
      </c>
      <c r="P25" s="15">
        <v>38</v>
      </c>
    </row>
    <row r="26" spans="1:16" x14ac:dyDescent="0.2">
      <c r="E26" s="80"/>
      <c r="F26" s="16" t="s">
        <v>1158</v>
      </c>
      <c r="G26" s="23">
        <v>21255</v>
      </c>
      <c r="H26" s="23">
        <v>1802</v>
      </c>
      <c r="I26" s="15">
        <v>772</v>
      </c>
      <c r="J26" s="15">
        <v>909</v>
      </c>
      <c r="K26" s="15">
        <v>121</v>
      </c>
      <c r="L26" s="23">
        <v>1191</v>
      </c>
      <c r="M26" s="15">
        <v>106</v>
      </c>
      <c r="N26" s="15">
        <v>11</v>
      </c>
      <c r="O26" s="15">
        <v>138</v>
      </c>
      <c r="P26" s="15">
        <v>418</v>
      </c>
    </row>
    <row r="27" spans="1:16" x14ac:dyDescent="0.2">
      <c r="A27" s="81"/>
      <c r="B27" s="80"/>
      <c r="E27" s="80"/>
      <c r="F27" s="47" t="s">
        <v>1162</v>
      </c>
      <c r="G27" s="23">
        <v>2081</v>
      </c>
      <c r="H27" s="15">
        <v>79</v>
      </c>
      <c r="I27" s="15">
        <v>16</v>
      </c>
      <c r="J27" s="15">
        <v>34</v>
      </c>
      <c r="K27" s="15">
        <v>2</v>
      </c>
      <c r="L27" s="15">
        <v>43</v>
      </c>
      <c r="M27" s="15">
        <v>0</v>
      </c>
      <c r="N27" s="15">
        <v>0</v>
      </c>
      <c r="O27" s="15">
        <v>21</v>
      </c>
      <c r="P27" s="15">
        <v>36</v>
      </c>
    </row>
    <row r="28" spans="1:16" x14ac:dyDescent="0.2">
      <c r="E28" s="80"/>
      <c r="F28" s="47" t="s">
        <v>1164</v>
      </c>
      <c r="G28" s="23">
        <v>9466</v>
      </c>
      <c r="H28" s="15">
        <v>883</v>
      </c>
      <c r="I28" s="15">
        <v>304</v>
      </c>
      <c r="J28" s="15">
        <v>520</v>
      </c>
      <c r="K28" s="15">
        <v>59</v>
      </c>
      <c r="L28" s="15">
        <v>343</v>
      </c>
      <c r="M28" s="15">
        <v>90</v>
      </c>
      <c r="N28" s="15">
        <v>11</v>
      </c>
      <c r="O28" s="15">
        <v>83</v>
      </c>
      <c r="P28" s="15">
        <v>382</v>
      </c>
    </row>
    <row r="29" spans="1:16" x14ac:dyDescent="0.2">
      <c r="E29" s="80"/>
      <c r="F29" s="16" t="s">
        <v>1166</v>
      </c>
      <c r="G29" s="23">
        <v>22899</v>
      </c>
      <c r="H29" s="23">
        <v>2399</v>
      </c>
      <c r="I29" s="15">
        <v>474</v>
      </c>
      <c r="J29" s="23">
        <v>1417</v>
      </c>
      <c r="K29" s="15">
        <v>508</v>
      </c>
      <c r="L29" s="23">
        <v>1669</v>
      </c>
      <c r="M29" s="15">
        <v>240</v>
      </c>
      <c r="N29" s="15">
        <v>0</v>
      </c>
      <c r="O29" s="15">
        <v>305</v>
      </c>
      <c r="P29" s="15">
        <v>479</v>
      </c>
    </row>
    <row r="30" spans="1:16" x14ac:dyDescent="0.2">
      <c r="E30" s="80"/>
      <c r="F30" s="47" t="s">
        <v>1168</v>
      </c>
      <c r="G30" s="23">
        <v>3147</v>
      </c>
      <c r="H30" s="15">
        <v>231</v>
      </c>
      <c r="I30" s="15">
        <v>0</v>
      </c>
      <c r="J30" s="15">
        <v>61</v>
      </c>
      <c r="K30" s="15">
        <v>170</v>
      </c>
      <c r="L30" s="15">
        <v>216</v>
      </c>
      <c r="M30" s="15">
        <v>5</v>
      </c>
      <c r="N30" s="15">
        <v>0</v>
      </c>
      <c r="O30" s="15">
        <v>0</v>
      </c>
      <c r="P30" s="15">
        <v>27</v>
      </c>
    </row>
    <row r="31" spans="1:16" x14ac:dyDescent="0.2">
      <c r="E31" s="80"/>
      <c r="F31" s="47" t="s">
        <v>1170</v>
      </c>
      <c r="G31" s="23">
        <v>3800</v>
      </c>
      <c r="H31" s="15">
        <v>506</v>
      </c>
      <c r="I31" s="15">
        <v>142</v>
      </c>
      <c r="J31" s="15">
        <v>243</v>
      </c>
      <c r="K31" s="15">
        <v>121</v>
      </c>
      <c r="L31" s="15">
        <v>208</v>
      </c>
      <c r="M31" s="15">
        <v>158</v>
      </c>
      <c r="N31" s="15">
        <v>0</v>
      </c>
      <c r="O31" s="15">
        <v>13</v>
      </c>
      <c r="P31" s="15">
        <v>328</v>
      </c>
    </row>
    <row r="32" spans="1:16" x14ac:dyDescent="0.2">
      <c r="E32" s="80"/>
      <c r="F32" s="47" t="s">
        <v>1172</v>
      </c>
      <c r="G32" s="23">
        <v>6871</v>
      </c>
      <c r="H32" s="15">
        <v>884</v>
      </c>
      <c r="I32" s="15">
        <v>193</v>
      </c>
      <c r="J32" s="15">
        <v>560</v>
      </c>
      <c r="K32" s="15">
        <v>131</v>
      </c>
      <c r="L32" s="15">
        <v>535</v>
      </c>
      <c r="M32" s="15">
        <v>77</v>
      </c>
      <c r="N32" s="15">
        <v>0</v>
      </c>
      <c r="O32" s="15">
        <v>224</v>
      </c>
      <c r="P32" s="15">
        <v>76</v>
      </c>
    </row>
    <row r="33" spans="5:16" x14ac:dyDescent="0.2">
      <c r="E33" s="80"/>
      <c r="F33" s="16" t="s">
        <v>1174</v>
      </c>
      <c r="G33" s="23">
        <v>5366</v>
      </c>
      <c r="H33" s="15">
        <v>300</v>
      </c>
      <c r="I33" s="15">
        <v>106</v>
      </c>
      <c r="J33" s="15">
        <v>121</v>
      </c>
      <c r="K33" s="15">
        <v>73</v>
      </c>
      <c r="L33" s="15">
        <v>160</v>
      </c>
      <c r="M33" s="15">
        <v>80</v>
      </c>
      <c r="N33" s="15">
        <v>48</v>
      </c>
      <c r="O33" s="15">
        <v>0</v>
      </c>
      <c r="P33" s="15">
        <v>38</v>
      </c>
    </row>
    <row r="34" spans="5:16" x14ac:dyDescent="0.2">
      <c r="E34" s="80"/>
      <c r="F34" t="s">
        <v>1178</v>
      </c>
      <c r="G34" s="23">
        <v>1210</v>
      </c>
      <c r="H34" s="15">
        <v>118</v>
      </c>
      <c r="I34" s="17">
        <v>64</v>
      </c>
      <c r="J34" s="15">
        <v>45</v>
      </c>
      <c r="K34" s="15">
        <v>9</v>
      </c>
      <c r="L34" s="15">
        <v>50</v>
      </c>
      <c r="M34" s="15">
        <v>44</v>
      </c>
      <c r="N34" s="15">
        <v>12</v>
      </c>
      <c r="O34" s="15">
        <v>0</v>
      </c>
      <c r="P34" s="15">
        <v>38</v>
      </c>
    </row>
    <row r="35" spans="5:16" x14ac:dyDescent="0.2">
      <c r="E35" s="80"/>
      <c r="F35" s="16" t="s">
        <v>1180</v>
      </c>
      <c r="G35" s="23">
        <v>27990</v>
      </c>
      <c r="H35" s="23">
        <v>7582</v>
      </c>
      <c r="I35" s="28">
        <v>2573</v>
      </c>
      <c r="J35" s="23">
        <v>3993</v>
      </c>
      <c r="K35" s="23">
        <v>1016</v>
      </c>
      <c r="L35" s="23">
        <v>2211</v>
      </c>
      <c r="M35" s="23">
        <v>2472</v>
      </c>
      <c r="N35" s="15">
        <v>0</v>
      </c>
      <c r="O35" s="15">
        <v>974</v>
      </c>
      <c r="P35" s="23">
        <v>3348</v>
      </c>
    </row>
    <row r="36" spans="5:16" x14ac:dyDescent="0.2">
      <c r="E36" s="80"/>
      <c r="F36" s="16" t="s">
        <v>1182</v>
      </c>
      <c r="G36" s="23">
        <v>31660</v>
      </c>
      <c r="H36" s="23">
        <v>2743</v>
      </c>
      <c r="I36" s="17">
        <v>981</v>
      </c>
      <c r="J36" s="23">
        <v>1374</v>
      </c>
      <c r="K36" s="15">
        <v>388</v>
      </c>
      <c r="L36" s="23">
        <v>1545</v>
      </c>
      <c r="M36" s="15">
        <v>280</v>
      </c>
      <c r="N36" s="15">
        <v>172</v>
      </c>
      <c r="O36" s="15">
        <v>577</v>
      </c>
      <c r="P36" s="15">
        <v>372</v>
      </c>
    </row>
    <row r="37" spans="5:16" x14ac:dyDescent="0.2">
      <c r="E37" s="80"/>
      <c r="F37" s="16" t="s">
        <v>1184</v>
      </c>
      <c r="G37" s="23">
        <v>27475</v>
      </c>
      <c r="H37" s="23">
        <v>1722</v>
      </c>
      <c r="I37" s="17">
        <v>282</v>
      </c>
      <c r="J37" s="15">
        <v>912</v>
      </c>
      <c r="K37" s="15">
        <v>528</v>
      </c>
      <c r="L37" s="23">
        <v>1000</v>
      </c>
      <c r="M37" s="15">
        <v>426</v>
      </c>
      <c r="N37" s="15">
        <v>36</v>
      </c>
      <c r="O37" s="15">
        <v>23</v>
      </c>
      <c r="P37" s="15">
        <v>350</v>
      </c>
    </row>
    <row r="38" spans="5:16" x14ac:dyDescent="0.2">
      <c r="E38" s="80"/>
      <c r="F38" s="16" t="s">
        <v>1186</v>
      </c>
      <c r="G38" s="23">
        <v>36129</v>
      </c>
      <c r="H38" s="23">
        <v>14539</v>
      </c>
      <c r="I38" s="23">
        <v>8781</v>
      </c>
      <c r="J38" s="23">
        <v>5629</v>
      </c>
      <c r="K38" s="15">
        <v>129</v>
      </c>
      <c r="L38" s="23">
        <v>14236</v>
      </c>
      <c r="M38" s="15">
        <v>45</v>
      </c>
      <c r="N38" s="15">
        <v>0</v>
      </c>
      <c r="O38" s="15">
        <v>258</v>
      </c>
      <c r="P38" s="15">
        <v>166</v>
      </c>
    </row>
    <row r="39" spans="5:16" x14ac:dyDescent="0.2">
      <c r="E39" s="80"/>
      <c r="F39" s="47" t="s">
        <v>1188</v>
      </c>
      <c r="G39" s="23">
        <v>36129</v>
      </c>
      <c r="H39" s="23">
        <v>14539</v>
      </c>
      <c r="I39" s="23">
        <v>8781</v>
      </c>
      <c r="J39" s="23">
        <v>5629</v>
      </c>
      <c r="K39" s="15">
        <v>129</v>
      </c>
      <c r="L39" s="23">
        <v>14236</v>
      </c>
      <c r="M39" s="15">
        <v>45</v>
      </c>
      <c r="N39" s="15">
        <v>0</v>
      </c>
      <c r="O39" s="15">
        <v>258</v>
      </c>
      <c r="P39" s="15">
        <v>166</v>
      </c>
    </row>
    <row r="40" spans="5:16" x14ac:dyDescent="0.2">
      <c r="E40" s="80"/>
      <c r="F40" s="16" t="s">
        <v>1191</v>
      </c>
      <c r="G40" s="23">
        <v>8623</v>
      </c>
      <c r="H40" s="23">
        <v>1789</v>
      </c>
      <c r="I40" s="15">
        <v>456</v>
      </c>
      <c r="J40" s="15">
        <v>913</v>
      </c>
      <c r="K40" s="15">
        <v>420</v>
      </c>
      <c r="L40" s="15">
        <v>973</v>
      </c>
      <c r="M40" s="15">
        <v>281</v>
      </c>
      <c r="N40" s="15">
        <v>276</v>
      </c>
      <c r="O40" s="15">
        <v>176</v>
      </c>
      <c r="P40" s="15">
        <v>409</v>
      </c>
    </row>
    <row r="41" spans="5:16" x14ac:dyDescent="0.2">
      <c r="E41" s="80"/>
      <c r="F41" s="16" t="s">
        <v>1195</v>
      </c>
      <c r="G41" s="23">
        <v>3750</v>
      </c>
      <c r="H41" s="15">
        <v>236</v>
      </c>
      <c r="I41" s="15">
        <v>1</v>
      </c>
      <c r="J41" s="15">
        <v>174</v>
      </c>
      <c r="K41" s="15">
        <v>61</v>
      </c>
      <c r="L41" s="15">
        <v>194</v>
      </c>
      <c r="M41" s="15">
        <v>29</v>
      </c>
      <c r="N41" s="15">
        <v>7</v>
      </c>
      <c r="O41" s="15">
        <v>0</v>
      </c>
      <c r="P41" s="15">
        <v>52</v>
      </c>
    </row>
    <row r="42" spans="5:16" x14ac:dyDescent="0.2">
      <c r="E42" s="80"/>
      <c r="F42" s="47" t="s">
        <v>1199</v>
      </c>
      <c r="G42" s="23">
        <v>3068</v>
      </c>
      <c r="H42" s="15">
        <v>227</v>
      </c>
      <c r="I42" s="15">
        <v>0</v>
      </c>
      <c r="J42" s="15">
        <v>171</v>
      </c>
      <c r="K42" s="15">
        <v>56</v>
      </c>
      <c r="L42" s="15">
        <v>187</v>
      </c>
      <c r="M42" s="15">
        <v>29</v>
      </c>
      <c r="N42" s="15">
        <v>5</v>
      </c>
      <c r="O42" s="15">
        <v>0</v>
      </c>
      <c r="P42" s="15">
        <v>52</v>
      </c>
    </row>
    <row r="43" spans="5:16" x14ac:dyDescent="0.2">
      <c r="E43" s="80"/>
      <c r="F43" s="47" t="s">
        <v>1200</v>
      </c>
      <c r="G43" s="15">
        <v>682</v>
      </c>
      <c r="H43" s="15">
        <v>9</v>
      </c>
      <c r="I43" s="15">
        <v>1</v>
      </c>
      <c r="J43" s="15">
        <v>3</v>
      </c>
      <c r="K43" s="15">
        <v>5</v>
      </c>
      <c r="L43" s="15">
        <v>7</v>
      </c>
      <c r="M43" s="15">
        <v>0</v>
      </c>
      <c r="N43" s="15">
        <v>2</v>
      </c>
      <c r="O43" s="15">
        <v>0</v>
      </c>
      <c r="P43" s="15">
        <v>0</v>
      </c>
    </row>
    <row r="44" spans="5:16" x14ac:dyDescent="0.2">
      <c r="E44" s="80"/>
      <c r="F44" s="16" t="s">
        <v>1201</v>
      </c>
      <c r="G44" s="23">
        <v>30410</v>
      </c>
      <c r="H44" s="23">
        <v>3225</v>
      </c>
      <c r="I44" s="15">
        <v>935</v>
      </c>
      <c r="J44" s="23">
        <v>1898</v>
      </c>
      <c r="K44" s="15">
        <v>392</v>
      </c>
      <c r="L44" s="15">
        <v>956</v>
      </c>
      <c r="M44" s="23">
        <v>1149</v>
      </c>
      <c r="N44" s="15">
        <v>178</v>
      </c>
      <c r="O44" s="15">
        <v>433</v>
      </c>
      <c r="P44" s="15">
        <v>689</v>
      </c>
    </row>
    <row r="45" spans="5:16" x14ac:dyDescent="0.2">
      <c r="E45" s="80"/>
      <c r="F45" s="16" t="s">
        <v>1202</v>
      </c>
      <c r="G45" s="23">
        <v>31721</v>
      </c>
      <c r="H45" s="23">
        <v>2125</v>
      </c>
      <c r="I45" s="15">
        <v>343</v>
      </c>
      <c r="J45" s="23">
        <v>1373</v>
      </c>
      <c r="K45" s="15">
        <v>409</v>
      </c>
      <c r="L45" s="23">
        <v>1495</v>
      </c>
      <c r="M45" s="15">
        <v>125</v>
      </c>
      <c r="N45" s="15">
        <v>50</v>
      </c>
      <c r="O45" s="15">
        <v>236</v>
      </c>
      <c r="P45" s="15">
        <v>502</v>
      </c>
    </row>
    <row r="46" spans="5:16" x14ac:dyDescent="0.2">
      <c r="E46" s="80"/>
      <c r="F46" s="47" t="s">
        <v>1203</v>
      </c>
      <c r="G46" s="23">
        <v>2909</v>
      </c>
      <c r="H46" s="15">
        <v>227</v>
      </c>
      <c r="I46" s="15">
        <v>47</v>
      </c>
      <c r="J46" s="15">
        <v>172</v>
      </c>
      <c r="K46" s="15">
        <v>8</v>
      </c>
      <c r="L46" s="15">
        <v>125</v>
      </c>
      <c r="M46" s="15">
        <v>93</v>
      </c>
      <c r="N46" s="15">
        <v>0</v>
      </c>
      <c r="O46" s="15">
        <v>0</v>
      </c>
      <c r="P46" s="15">
        <v>9</v>
      </c>
    </row>
    <row r="47" spans="5:16" x14ac:dyDescent="0.2">
      <c r="E47" s="80"/>
      <c r="F47" s="47" t="s">
        <v>1204</v>
      </c>
      <c r="G47" s="23">
        <v>3006</v>
      </c>
      <c r="H47" s="15">
        <v>260</v>
      </c>
      <c r="I47" s="15">
        <v>116</v>
      </c>
      <c r="J47" s="15">
        <v>135</v>
      </c>
      <c r="K47" s="15">
        <v>9</v>
      </c>
      <c r="L47" s="15">
        <v>47</v>
      </c>
      <c r="M47" s="15">
        <v>0</v>
      </c>
      <c r="N47" s="15">
        <v>0</v>
      </c>
      <c r="O47" s="15">
        <v>182</v>
      </c>
      <c r="P47" s="15">
        <v>213</v>
      </c>
    </row>
    <row r="48" spans="5:16" x14ac:dyDescent="0.2">
      <c r="E48" s="80"/>
      <c r="F48" s="47" t="s">
        <v>1205</v>
      </c>
      <c r="G48" s="23">
        <v>6536</v>
      </c>
      <c r="H48" s="15">
        <v>441</v>
      </c>
      <c r="I48" s="15">
        <v>42</v>
      </c>
      <c r="J48" s="15">
        <v>209</v>
      </c>
      <c r="K48" s="15">
        <v>190</v>
      </c>
      <c r="L48" s="15">
        <v>361</v>
      </c>
      <c r="M48" s="15">
        <v>0</v>
      </c>
      <c r="N48" s="15">
        <v>0</v>
      </c>
      <c r="O48" s="15">
        <v>23</v>
      </c>
      <c r="P48" s="15">
        <v>73</v>
      </c>
    </row>
    <row r="49" spans="5:16" x14ac:dyDescent="0.2">
      <c r="E49" s="80"/>
      <c r="F49" s="16" t="s">
        <v>1206</v>
      </c>
      <c r="G49" s="23">
        <v>7493</v>
      </c>
      <c r="H49" s="15">
        <v>413</v>
      </c>
      <c r="I49" s="15">
        <v>129</v>
      </c>
      <c r="J49" s="15">
        <v>249</v>
      </c>
      <c r="K49" s="15">
        <v>35</v>
      </c>
      <c r="L49" s="15">
        <v>262</v>
      </c>
      <c r="M49" s="15">
        <v>40</v>
      </c>
      <c r="N49" s="15">
        <v>0</v>
      </c>
      <c r="O49" s="15">
        <v>18</v>
      </c>
      <c r="P49" s="15">
        <v>130</v>
      </c>
    </row>
    <row r="50" spans="5:16" x14ac:dyDescent="0.2">
      <c r="E50" s="80"/>
      <c r="F50" s="16" t="s">
        <v>1207</v>
      </c>
      <c r="G50" s="23">
        <v>12180</v>
      </c>
      <c r="H50" s="15">
        <v>676</v>
      </c>
      <c r="I50" s="15">
        <v>210</v>
      </c>
      <c r="J50" s="15">
        <v>437</v>
      </c>
      <c r="K50" s="15">
        <v>29</v>
      </c>
      <c r="L50" s="15">
        <v>417</v>
      </c>
      <c r="M50" s="15">
        <v>244</v>
      </c>
      <c r="N50" s="15">
        <v>0</v>
      </c>
      <c r="O50" s="15">
        <v>15</v>
      </c>
      <c r="P50" s="15">
        <v>223</v>
      </c>
    </row>
    <row r="51" spans="5:16" x14ac:dyDescent="0.2">
      <c r="E51" s="80"/>
      <c r="F51" s="47" t="s">
        <v>1162</v>
      </c>
      <c r="G51" s="15">
        <v>754</v>
      </c>
      <c r="H51" s="15">
        <v>103</v>
      </c>
      <c r="I51" s="15">
        <v>46</v>
      </c>
      <c r="J51" s="15">
        <v>57</v>
      </c>
      <c r="K51" s="15">
        <v>0</v>
      </c>
      <c r="L51" s="15">
        <v>0</v>
      </c>
      <c r="M51" s="15">
        <v>103</v>
      </c>
      <c r="N51" s="15">
        <v>0</v>
      </c>
      <c r="O51" s="15">
        <v>0</v>
      </c>
      <c r="P51" s="15">
        <v>0</v>
      </c>
    </row>
    <row r="52" spans="5:16" x14ac:dyDescent="0.2">
      <c r="E52" s="80"/>
      <c r="F52" s="47" t="s">
        <v>1208</v>
      </c>
      <c r="G52" s="23">
        <v>11426</v>
      </c>
      <c r="H52" s="15">
        <v>573</v>
      </c>
      <c r="I52" s="15">
        <v>164</v>
      </c>
      <c r="J52" s="15">
        <v>380</v>
      </c>
      <c r="K52" s="15">
        <v>29</v>
      </c>
      <c r="L52" s="15">
        <v>417</v>
      </c>
      <c r="M52" s="15">
        <v>141</v>
      </c>
      <c r="N52" s="15">
        <v>0</v>
      </c>
      <c r="O52" s="15">
        <v>15</v>
      </c>
      <c r="P52" s="15">
        <v>223</v>
      </c>
    </row>
    <row r="53" spans="5:16" x14ac:dyDescent="0.2">
      <c r="E53" s="80"/>
    </row>
    <row r="54" spans="5:16" x14ac:dyDescent="0.2">
      <c r="E54" s="80"/>
    </row>
    <row r="55" spans="5:16" x14ac:dyDescent="0.2">
      <c r="E55" s="80"/>
    </row>
    <row r="56" spans="5:16" x14ac:dyDescent="0.2">
      <c r="E56" s="80"/>
    </row>
    <row r="57" spans="5:16" x14ac:dyDescent="0.2">
      <c r="E57" s="80"/>
    </row>
  </sheetData>
  <mergeCells count="12">
    <mergeCell ref="A27:B27"/>
    <mergeCell ref="A18:B18"/>
    <mergeCell ref="F5:F6"/>
    <mergeCell ref="A9:B9"/>
    <mergeCell ref="E5:E57"/>
    <mergeCell ref="G5:G6"/>
    <mergeCell ref="B1:O1"/>
    <mergeCell ref="A21:B21"/>
    <mergeCell ref="H5:H6"/>
    <mergeCell ref="L5:P5"/>
    <mergeCell ref="I5:K5"/>
    <mergeCell ref="A5:B5"/>
  </mergeCells>
  <dataValidations count="4">
    <dataValidation type="list" allowBlank="1" showInputMessage="1" showErrorMessage="1" sqref="P4:Q4" xr:uid="{00000000-0002-0000-1300-000000000000}">
      <formula1>"integer, number, percent1"</formula1>
    </dataValidation>
    <dataValidation type="list" allowBlank="1" showInputMessage="1" showErrorMessage="1" sqref="B10" xr:uid="{00000000-0002-0000-1300-000001000000}">
      <formula1>"Line,Clustered Bar,Stacked Bar,Bar,Horizontal Stacked Bar"</formula1>
    </dataValidation>
    <dataValidation type="list" allowBlank="1" showInputMessage="1" showErrorMessage="1" sqref="B2" xr:uid="{00000000-0002-0000-1300-000002000000}">
      <formula1>"Table,Figure,Both"</formula1>
    </dataValidation>
    <dataValidation type="list" allowBlank="1" showInputMessage="1" showErrorMessage="1" sqref="B6 B15:B16" xr:uid="{00000000-0002-0000-1300-000003000000}">
      <formula1>"True,False"</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75</v>
      </c>
      <c r="C1" s="80"/>
      <c r="D1" s="80"/>
      <c r="E1" s="80"/>
      <c r="F1" s="80"/>
      <c r="G1" s="80"/>
      <c r="H1" s="80"/>
      <c r="I1" s="80"/>
      <c r="J1" s="80"/>
      <c r="K1" s="80"/>
      <c r="L1" s="80"/>
      <c r="M1" s="80"/>
      <c r="N1" s="80"/>
      <c r="O1" s="80"/>
    </row>
    <row r="2" spans="1:17" x14ac:dyDescent="0.2">
      <c r="A2" s="16" t="s">
        <v>1078</v>
      </c>
      <c r="B2" t="s">
        <v>1079</v>
      </c>
    </row>
    <row r="3" spans="1:17" x14ac:dyDescent="0.2">
      <c r="A3" s="16" t="s">
        <v>1080</v>
      </c>
      <c r="B3" t="s">
        <v>76</v>
      </c>
    </row>
    <row r="4" spans="1:17" x14ac:dyDescent="0.2">
      <c r="A4" s="16" t="s">
        <v>7</v>
      </c>
      <c r="B4" t="s">
        <v>1387</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2019</v>
      </c>
      <c r="H5">
        <v>2020</v>
      </c>
      <c r="I5">
        <v>2021</v>
      </c>
      <c r="J5">
        <v>2022</v>
      </c>
    </row>
    <row r="6" spans="1:17" ht="15" customHeight="1" x14ac:dyDescent="0.2">
      <c r="A6" t="s">
        <v>1088</v>
      </c>
      <c r="B6" t="b">
        <v>0</v>
      </c>
      <c r="E6" s="80"/>
      <c r="F6" t="s">
        <v>1297</v>
      </c>
      <c r="G6" s="15">
        <v>12.3</v>
      </c>
      <c r="H6" s="15">
        <v>10.6</v>
      </c>
      <c r="I6" s="15">
        <v>12.2</v>
      </c>
      <c r="J6" s="15">
        <v>14.4</v>
      </c>
      <c r="K6" s="15"/>
      <c r="L6" s="15"/>
      <c r="M6" s="15"/>
      <c r="N6" s="15"/>
      <c r="O6" s="15"/>
    </row>
    <row r="7" spans="1:17" ht="15.75" customHeight="1" x14ac:dyDescent="0.2">
      <c r="E7" s="80"/>
      <c r="F7" t="s">
        <v>1299</v>
      </c>
      <c r="G7" s="15">
        <v>13.1</v>
      </c>
      <c r="H7" s="15">
        <v>12.7</v>
      </c>
      <c r="I7" s="15">
        <v>14</v>
      </c>
      <c r="J7" s="15">
        <v>14.2</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1388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1389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c r="K31" t="s">
        <v>1227</v>
      </c>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400-000000000000}">
      <formula1>"integer, number, percent1"</formula1>
    </dataValidation>
    <dataValidation type="list" allowBlank="1" showInputMessage="1" showErrorMessage="1" sqref="B10" xr:uid="{00000000-0002-0000-1400-000001000000}">
      <formula1>"Line,Clustered Bar,Stacked Bar,Bar,Horizontal Stacked Bar"</formula1>
    </dataValidation>
    <dataValidation type="list" allowBlank="1" showInputMessage="1" showErrorMessage="1" sqref="B2" xr:uid="{00000000-0002-0000-1400-000002000000}">
      <formula1>"Table,Figure,Both"</formula1>
    </dataValidation>
    <dataValidation type="list" allowBlank="1" showInputMessage="1" showErrorMessage="1" sqref="B6 B15:B16" xr:uid="{00000000-0002-0000-1400-000003000000}">
      <formula1>"True,False"</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57"/>
  <sheetViews>
    <sheetView workbookViewId="0">
      <selection activeCell="F13" sqref="F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78</v>
      </c>
      <c r="C1" s="80"/>
      <c r="D1" s="80"/>
      <c r="E1" s="80"/>
      <c r="F1" s="80"/>
      <c r="G1" s="80"/>
      <c r="H1" s="80"/>
      <c r="I1" s="80"/>
      <c r="J1" s="80"/>
      <c r="K1" s="80"/>
      <c r="L1" s="80"/>
      <c r="M1" s="80"/>
      <c r="N1" s="80"/>
      <c r="O1" s="80"/>
    </row>
    <row r="2" spans="1:17" x14ac:dyDescent="0.2">
      <c r="A2" s="16" t="s">
        <v>1078</v>
      </c>
      <c r="B2" t="s">
        <v>1079</v>
      </c>
    </row>
    <row r="3" spans="1:17" x14ac:dyDescent="0.2">
      <c r="A3" s="16" t="s">
        <v>1080</v>
      </c>
      <c r="B3" t="s">
        <v>79</v>
      </c>
    </row>
    <row r="4" spans="1:17" x14ac:dyDescent="0.2">
      <c r="A4" s="16" t="s">
        <v>7</v>
      </c>
      <c r="B4" t="s">
        <v>1390</v>
      </c>
      <c r="E4" s="8"/>
      <c r="F4" s="10" t="s">
        <v>968</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1391</v>
      </c>
      <c r="G5" t="s">
        <v>1089</v>
      </c>
      <c r="H5" t="s">
        <v>1234</v>
      </c>
      <c r="I5" t="s">
        <v>1392</v>
      </c>
      <c r="J5" t="s">
        <v>1393</v>
      </c>
      <c r="K5" t="s">
        <v>1237</v>
      </c>
      <c r="L5" t="s">
        <v>1394</v>
      </c>
      <c r="M5" t="s">
        <v>1239</v>
      </c>
      <c r="N5" t="s">
        <v>1240</v>
      </c>
      <c r="O5" t="s">
        <v>1395</v>
      </c>
      <c r="P5" t="s">
        <v>1396</v>
      </c>
    </row>
    <row r="6" spans="1:17" ht="15" customHeight="1" x14ac:dyDescent="0.2">
      <c r="A6" t="s">
        <v>1088</v>
      </c>
      <c r="B6" t="b">
        <v>0</v>
      </c>
      <c r="E6" s="80"/>
      <c r="F6" t="s">
        <v>1297</v>
      </c>
      <c r="G6" s="15">
        <v>13</v>
      </c>
      <c r="H6" s="15">
        <v>12.8</v>
      </c>
      <c r="I6" s="15">
        <v>14.6</v>
      </c>
      <c r="J6" s="15">
        <v>20.3</v>
      </c>
      <c r="K6" s="15">
        <v>10.199999999999999</v>
      </c>
      <c r="L6" s="15">
        <v>23.1</v>
      </c>
      <c r="M6" s="15">
        <v>14.9</v>
      </c>
      <c r="N6" s="15">
        <v>10.5</v>
      </c>
      <c r="O6" s="15">
        <v>12.4</v>
      </c>
      <c r="P6">
        <v>13.1</v>
      </c>
    </row>
    <row r="7" spans="1:17" ht="15.75" customHeight="1" x14ac:dyDescent="0.2">
      <c r="E7" s="80"/>
      <c r="F7" t="s">
        <v>1299</v>
      </c>
      <c r="G7" s="15">
        <v>13.7</v>
      </c>
      <c r="H7" s="15">
        <v>10</v>
      </c>
      <c r="I7" s="15">
        <v>20.6</v>
      </c>
      <c r="J7" s="15">
        <v>22.7</v>
      </c>
      <c r="K7" s="15">
        <v>13.9</v>
      </c>
      <c r="L7" s="15">
        <v>22.2</v>
      </c>
      <c r="M7" s="15">
        <v>21.9</v>
      </c>
      <c r="N7" s="15">
        <v>16</v>
      </c>
      <c r="O7" s="15">
        <v>20.100000000000001</v>
      </c>
      <c r="P7">
        <v>9.5</v>
      </c>
    </row>
    <row r="8" spans="1:17" x14ac:dyDescent="0.2">
      <c r="E8" s="80"/>
      <c r="F8" t="s">
        <v>1397</v>
      </c>
      <c r="G8" s="15">
        <v>12.4</v>
      </c>
      <c r="H8" s="15">
        <v>9.9</v>
      </c>
      <c r="I8" s="15">
        <v>21.3</v>
      </c>
      <c r="J8" s="15">
        <v>21.8</v>
      </c>
      <c r="K8" s="15">
        <v>9.9</v>
      </c>
      <c r="L8" s="15">
        <v>17.2</v>
      </c>
      <c r="M8" s="15">
        <v>18.2</v>
      </c>
      <c r="N8" s="15">
        <v>14.7</v>
      </c>
      <c r="O8" s="15">
        <v>16.899999999999999</v>
      </c>
      <c r="P8">
        <v>9.1999999999999993</v>
      </c>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1398</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1399</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1400</v>
      </c>
      <c r="E19" s="80"/>
    </row>
    <row r="20" spans="1:8" x14ac:dyDescent="0.2">
      <c r="E20" s="80"/>
      <c r="F20" s="15"/>
      <c r="G20" s="15"/>
      <c r="H20" s="15"/>
    </row>
    <row r="21" spans="1:8" x14ac:dyDescent="0.2">
      <c r="A21" s="81" t="s">
        <v>1125</v>
      </c>
      <c r="B21" s="80"/>
      <c r="E21" s="80"/>
      <c r="F21" s="15"/>
      <c r="G21" s="15"/>
      <c r="H21" s="15"/>
    </row>
    <row r="22" spans="1:8" x14ac:dyDescent="0.2">
      <c r="A22" t="s">
        <v>1135</v>
      </c>
      <c r="B22" t="s">
        <v>1401</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500-000000000000}">
      <formula1>"integer, number, percent1"</formula1>
    </dataValidation>
    <dataValidation type="list" allowBlank="1" showInputMessage="1" showErrorMessage="1" sqref="B10" xr:uid="{00000000-0002-0000-1500-000001000000}">
      <formula1>"Line,Clustered Bar,Stacked Bar,Bar,Horizontal Stacked Bar"</formula1>
    </dataValidation>
    <dataValidation type="list" allowBlank="1" showInputMessage="1" showErrorMessage="1" sqref="B2" xr:uid="{00000000-0002-0000-1500-000002000000}">
      <formula1>"Table,Figure,Both"</formula1>
    </dataValidation>
    <dataValidation type="list" allowBlank="1" showInputMessage="1" showErrorMessage="1" sqref="B6 B15:B16" xr:uid="{00000000-0002-0000-1500-000003000000}">
      <formula1>"True,False"</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81</v>
      </c>
      <c r="C1" s="80"/>
      <c r="D1" s="80"/>
      <c r="E1" s="80"/>
      <c r="F1" s="80"/>
      <c r="G1" s="80"/>
      <c r="H1" s="80"/>
      <c r="I1" s="80"/>
      <c r="J1" s="80"/>
      <c r="K1" s="80"/>
      <c r="L1" s="80"/>
      <c r="M1" s="80"/>
      <c r="N1" s="80"/>
      <c r="O1" s="80"/>
    </row>
    <row r="2" spans="1:17" x14ac:dyDescent="0.2">
      <c r="A2" s="16" t="s">
        <v>1078</v>
      </c>
      <c r="B2" t="s">
        <v>1079</v>
      </c>
    </row>
    <row r="3" spans="1:17" x14ac:dyDescent="0.2">
      <c r="A3" s="16" t="s">
        <v>1080</v>
      </c>
      <c r="B3" t="s">
        <v>82</v>
      </c>
    </row>
    <row r="4" spans="1:17" x14ac:dyDescent="0.2">
      <c r="A4" s="16" t="s">
        <v>7</v>
      </c>
      <c r="B4" t="s">
        <v>1402</v>
      </c>
      <c r="E4" s="8"/>
      <c r="F4" s="10" t="s">
        <v>968</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1391</v>
      </c>
      <c r="G5" t="s">
        <v>1089</v>
      </c>
      <c r="H5" t="s">
        <v>1234</v>
      </c>
      <c r="I5" t="s">
        <v>1392</v>
      </c>
      <c r="J5" t="s">
        <v>1393</v>
      </c>
      <c r="K5" t="s">
        <v>1237</v>
      </c>
      <c r="L5" t="s">
        <v>1394</v>
      </c>
      <c r="M5" t="s">
        <v>1239</v>
      </c>
      <c r="N5" t="s">
        <v>1240</v>
      </c>
      <c r="O5" t="s">
        <v>1395</v>
      </c>
      <c r="P5" t="s">
        <v>1396</v>
      </c>
    </row>
    <row r="6" spans="1:17" ht="15" customHeight="1" x14ac:dyDescent="0.2">
      <c r="A6" t="s">
        <v>1088</v>
      </c>
      <c r="B6" t="b">
        <v>0</v>
      </c>
      <c r="E6" s="80"/>
      <c r="F6" t="s">
        <v>1297</v>
      </c>
      <c r="G6" s="15">
        <v>9.1</v>
      </c>
      <c r="H6" s="15">
        <v>8.1</v>
      </c>
      <c r="I6" s="15">
        <v>12.3</v>
      </c>
      <c r="J6" s="15">
        <v>14.9</v>
      </c>
      <c r="K6" s="15">
        <v>10.3</v>
      </c>
      <c r="L6" s="15">
        <v>0</v>
      </c>
      <c r="M6" s="15">
        <v>10.7</v>
      </c>
      <c r="N6" s="15">
        <v>9.6</v>
      </c>
      <c r="O6" s="15">
        <v>10.199999999999999</v>
      </c>
      <c r="P6">
        <v>8</v>
      </c>
    </row>
    <row r="7" spans="1:17" ht="15.75" customHeight="1" x14ac:dyDescent="0.2">
      <c r="E7" s="80"/>
      <c r="F7" t="s">
        <v>1299</v>
      </c>
      <c r="G7" s="15">
        <v>9.8000000000000007</v>
      </c>
      <c r="H7" s="15">
        <v>6.2</v>
      </c>
      <c r="I7" s="15">
        <v>16.399999999999999</v>
      </c>
      <c r="J7" s="15">
        <v>19.2</v>
      </c>
      <c r="K7" s="15">
        <v>11.3</v>
      </c>
      <c r="L7" s="15">
        <v>11.4</v>
      </c>
      <c r="M7" s="15">
        <v>18.8</v>
      </c>
      <c r="N7" s="15">
        <v>12.8</v>
      </c>
      <c r="O7" s="15">
        <v>16.899999999999999</v>
      </c>
      <c r="P7">
        <v>5.7</v>
      </c>
    </row>
    <row r="8" spans="1:17" x14ac:dyDescent="0.2">
      <c r="E8" s="80"/>
      <c r="F8" t="s">
        <v>1397</v>
      </c>
      <c r="G8" s="15">
        <v>8.6999999999999993</v>
      </c>
      <c r="H8" s="15">
        <v>6.3</v>
      </c>
      <c r="I8" s="15">
        <v>17.399999999999999</v>
      </c>
      <c r="J8" s="15">
        <v>18.100000000000001</v>
      </c>
      <c r="K8" s="15">
        <v>7.1</v>
      </c>
      <c r="L8" s="15">
        <v>12.9</v>
      </c>
      <c r="M8" s="15">
        <v>15.9</v>
      </c>
      <c r="N8" s="15">
        <v>12.1</v>
      </c>
      <c r="O8" s="15">
        <v>14.4</v>
      </c>
      <c r="P8">
        <v>5.7</v>
      </c>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1398</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1403</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1404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600-000000000000}">
      <formula1>"integer, number, percent1"</formula1>
    </dataValidation>
    <dataValidation type="list" allowBlank="1" showInputMessage="1" showErrorMessage="1" sqref="B10" xr:uid="{00000000-0002-0000-1600-000001000000}">
      <formula1>"Line,Clustered Bar,Stacked Bar,Bar,Horizontal Stacked Bar"</formula1>
    </dataValidation>
    <dataValidation type="list" allowBlank="1" showInputMessage="1" showErrorMessage="1" sqref="B2" xr:uid="{00000000-0002-0000-1600-000002000000}">
      <formula1>"Table,Figure,Both"</formula1>
    </dataValidation>
    <dataValidation type="list" allowBlank="1" showInputMessage="1" showErrorMessage="1" sqref="B6 B15:B16" xr:uid="{00000000-0002-0000-1600-000003000000}">
      <formula1>"True,False"</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84</v>
      </c>
      <c r="C1" s="80"/>
      <c r="D1" s="80"/>
      <c r="E1" s="80"/>
      <c r="F1" s="80"/>
      <c r="G1" s="80"/>
      <c r="H1" s="80"/>
      <c r="I1" s="80"/>
      <c r="J1" s="80"/>
      <c r="K1" s="80"/>
      <c r="L1" s="80"/>
      <c r="M1" s="80"/>
      <c r="N1" s="80"/>
      <c r="O1" s="80"/>
    </row>
    <row r="2" spans="1:17" x14ac:dyDescent="0.2">
      <c r="A2" s="16" t="s">
        <v>1078</v>
      </c>
      <c r="B2" t="s">
        <v>1079</v>
      </c>
    </row>
    <row r="3" spans="1:17" x14ac:dyDescent="0.2">
      <c r="A3" s="16" t="s">
        <v>1080</v>
      </c>
      <c r="B3" t="s">
        <v>85</v>
      </c>
    </row>
    <row r="4" spans="1:17" x14ac:dyDescent="0.2">
      <c r="A4" s="16" t="s">
        <v>7</v>
      </c>
      <c r="B4" t="s">
        <v>1405</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2019</v>
      </c>
      <c r="H5">
        <v>2020</v>
      </c>
      <c r="I5">
        <v>2021</v>
      </c>
      <c r="J5">
        <v>2022</v>
      </c>
    </row>
    <row r="6" spans="1:17" ht="15" customHeight="1" x14ac:dyDescent="0.2">
      <c r="A6" t="s">
        <v>1088</v>
      </c>
      <c r="B6" t="b">
        <v>0</v>
      </c>
      <c r="E6" s="80"/>
      <c r="F6" t="s">
        <v>1297</v>
      </c>
      <c r="G6" s="15">
        <v>18</v>
      </c>
      <c r="H6" s="15">
        <v>15.7</v>
      </c>
      <c r="I6" s="15">
        <v>18</v>
      </c>
      <c r="J6" s="15">
        <v>21</v>
      </c>
      <c r="K6" s="15"/>
      <c r="L6" s="15"/>
      <c r="M6" s="15"/>
      <c r="N6" s="15"/>
      <c r="O6" s="15"/>
    </row>
    <row r="7" spans="1:17" ht="15.75" customHeight="1" x14ac:dyDescent="0.2">
      <c r="E7" s="80"/>
      <c r="F7" t="s">
        <v>1299</v>
      </c>
      <c r="G7" s="15">
        <v>18.2</v>
      </c>
      <c r="H7" s="15">
        <v>16.7</v>
      </c>
      <c r="I7" s="15">
        <v>18.8</v>
      </c>
      <c r="J7" s="15">
        <v>18.600000000000001</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1406</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1407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700-000000000000}">
      <formula1>"integer, number, percent1"</formula1>
    </dataValidation>
    <dataValidation type="list" allowBlank="1" showInputMessage="1" showErrorMessage="1" sqref="B10" xr:uid="{00000000-0002-0000-1700-000001000000}">
      <formula1>"Line,Clustered Bar,Stacked Bar,Bar,Horizontal Stacked Bar"</formula1>
    </dataValidation>
    <dataValidation type="list" allowBlank="1" showInputMessage="1" showErrorMessage="1" sqref="B2" xr:uid="{00000000-0002-0000-1700-000002000000}">
      <formula1>"Table,Figure,Both"</formula1>
    </dataValidation>
    <dataValidation type="list" allowBlank="1" showInputMessage="1" showErrorMessage="1" sqref="B6 B15:B16" xr:uid="{00000000-0002-0000-1700-000003000000}">
      <formula1>"True,False"</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3.33203125" bestFit="1" customWidth="1"/>
    <col min="8" max="8" width="31.5" bestFit="1" customWidth="1"/>
    <col min="9" max="9" width="9.83203125" bestFit="1" customWidth="1"/>
    <col min="10" max="10" width="12.5" bestFit="1" customWidth="1"/>
    <col min="11" max="11" width="13.33203125" bestFit="1" customWidth="1"/>
    <col min="12" max="12" width="35.33203125" bestFit="1" customWidth="1"/>
    <col min="13" max="13" width="12.1640625" bestFit="1" customWidth="1"/>
    <col min="14" max="14" width="12.33203125" bestFit="1" customWidth="1"/>
    <col min="15" max="16" width="12.5" bestFit="1" customWidth="1"/>
  </cols>
  <sheetData>
    <row r="1" spans="1:17" x14ac:dyDescent="0.2">
      <c r="A1" s="16" t="s">
        <v>1077</v>
      </c>
      <c r="B1" s="79" t="s">
        <v>87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tbl-employment</v>
      </c>
    </row>
    <row r="4" spans="1:17" x14ac:dyDescent="0.2">
      <c r="A4" s="16" t="s">
        <v>7</v>
      </c>
      <c r="B4" t="str">
        <f>IF($B$1="","",_xlfn.XLOOKUP($B$1,Master!$F$2:$F$321,Master!$H$2:$H$321,""))</f>
        <v>fig-employment</v>
      </c>
      <c r="E4" s="8"/>
      <c r="F4" s="10" t="s">
        <v>968</v>
      </c>
      <c r="G4" s="10" t="s">
        <v>973</v>
      </c>
      <c r="H4" s="10" t="s">
        <v>973</v>
      </c>
      <c r="I4" s="10" t="s">
        <v>973</v>
      </c>
      <c r="J4" s="10" t="s">
        <v>973</v>
      </c>
      <c r="K4" s="10" t="s">
        <v>973</v>
      </c>
      <c r="L4" s="10" t="s">
        <v>973</v>
      </c>
      <c r="M4" s="10"/>
      <c r="N4" s="10"/>
      <c r="O4" s="10"/>
      <c r="P4" s="10"/>
      <c r="Q4" s="10"/>
    </row>
    <row r="5" spans="1:17" x14ac:dyDescent="0.2">
      <c r="A5" s="83" t="s">
        <v>1081</v>
      </c>
      <c r="B5" s="80"/>
      <c r="E5" s="82" t="s">
        <v>1082</v>
      </c>
      <c r="F5" s="81" t="s">
        <v>1083</v>
      </c>
      <c r="G5" s="81" t="s">
        <v>1408</v>
      </c>
      <c r="H5" s="81" t="s">
        <v>1409</v>
      </c>
      <c r="I5" s="81" t="s">
        <v>1410</v>
      </c>
      <c r="J5" s="80"/>
      <c r="K5" s="81" t="s">
        <v>1411</v>
      </c>
      <c r="L5" s="81" t="s">
        <v>1412</v>
      </c>
    </row>
    <row r="6" spans="1:17" ht="15" customHeight="1" x14ac:dyDescent="0.2">
      <c r="A6" t="s">
        <v>1088</v>
      </c>
      <c r="B6" t="b">
        <v>1</v>
      </c>
      <c r="E6" s="80"/>
      <c r="F6" s="80"/>
      <c r="G6" s="80"/>
      <c r="H6" s="80"/>
      <c r="I6" t="s">
        <v>1413</v>
      </c>
      <c r="J6" t="s">
        <v>1414</v>
      </c>
      <c r="K6" s="80"/>
      <c r="L6" s="80"/>
      <c r="M6" s="15"/>
      <c r="N6" s="15"/>
      <c r="O6" s="15"/>
    </row>
    <row r="7" spans="1:17" ht="15.75" customHeight="1" x14ac:dyDescent="0.2">
      <c r="E7" s="80"/>
      <c r="F7" s="16" t="s">
        <v>1096</v>
      </c>
      <c r="G7" s="23">
        <v>312794</v>
      </c>
      <c r="H7" s="23">
        <v>198515</v>
      </c>
      <c r="I7" s="23">
        <v>184167</v>
      </c>
      <c r="J7" s="23">
        <v>10556</v>
      </c>
      <c r="K7" s="23">
        <v>3792</v>
      </c>
      <c r="L7" s="23">
        <v>114279</v>
      </c>
      <c r="M7" s="15"/>
      <c r="N7" s="15"/>
      <c r="O7" s="15"/>
    </row>
    <row r="8" spans="1:17" x14ac:dyDescent="0.2">
      <c r="E8" s="80"/>
      <c r="F8" s="16" t="s">
        <v>1097</v>
      </c>
      <c r="G8" s="23">
        <v>13963</v>
      </c>
      <c r="H8" s="23">
        <v>8841</v>
      </c>
      <c r="I8" s="23">
        <v>8167</v>
      </c>
      <c r="J8" s="15">
        <v>645</v>
      </c>
      <c r="K8" s="15">
        <v>29</v>
      </c>
      <c r="L8" s="23">
        <v>5122</v>
      </c>
      <c r="M8" s="15"/>
      <c r="N8" s="15"/>
      <c r="O8" s="15"/>
    </row>
    <row r="9" spans="1:17" x14ac:dyDescent="0.2">
      <c r="A9" s="83" t="s">
        <v>1098</v>
      </c>
      <c r="B9" s="80"/>
      <c r="E9" s="80"/>
      <c r="F9" s="47" t="s">
        <v>1099</v>
      </c>
      <c r="G9" s="23">
        <v>2303</v>
      </c>
      <c r="H9" s="23">
        <v>1442</v>
      </c>
      <c r="I9" s="23">
        <v>1268</v>
      </c>
      <c r="J9" s="15">
        <v>174</v>
      </c>
      <c r="K9" s="15">
        <v>0</v>
      </c>
      <c r="L9" s="15">
        <v>861</v>
      </c>
      <c r="M9" s="15"/>
      <c r="N9" s="15"/>
      <c r="O9" s="15"/>
    </row>
    <row r="10" spans="1:17" x14ac:dyDescent="0.2">
      <c r="A10" t="s">
        <v>1100</v>
      </c>
      <c r="E10" s="80"/>
      <c r="F10" s="47" t="s">
        <v>1101</v>
      </c>
      <c r="G10" s="23">
        <v>4687</v>
      </c>
      <c r="H10" s="23">
        <v>3056</v>
      </c>
      <c r="I10" s="23">
        <v>2827</v>
      </c>
      <c r="J10" s="15">
        <v>200</v>
      </c>
      <c r="K10" s="15">
        <v>29</v>
      </c>
      <c r="L10" s="23">
        <v>1631</v>
      </c>
    </row>
    <row r="11" spans="1:17" x14ac:dyDescent="0.2">
      <c r="A11" t="s">
        <v>1102</v>
      </c>
      <c r="E11" s="80"/>
      <c r="F11" s="16" t="s">
        <v>1103</v>
      </c>
      <c r="G11" s="23">
        <v>10311</v>
      </c>
      <c r="H11" s="23">
        <v>7161</v>
      </c>
      <c r="I11" s="23">
        <v>6888</v>
      </c>
      <c r="J11" s="17">
        <v>222</v>
      </c>
      <c r="K11" s="17">
        <v>51</v>
      </c>
      <c r="L11" s="28">
        <v>3150</v>
      </c>
      <c r="M11" s="17"/>
      <c r="N11" s="17"/>
    </row>
    <row r="12" spans="1:17" x14ac:dyDescent="0.2">
      <c r="A12" t="s">
        <v>1104</v>
      </c>
      <c r="E12" s="80"/>
      <c r="F12" s="48" t="s">
        <v>1105</v>
      </c>
      <c r="G12" s="28">
        <v>3497</v>
      </c>
      <c r="H12" s="28">
        <v>2552</v>
      </c>
      <c r="I12" s="23">
        <v>2488</v>
      </c>
      <c r="J12" s="15">
        <v>44</v>
      </c>
      <c r="K12" s="15">
        <v>20</v>
      </c>
      <c r="L12" s="15">
        <v>945</v>
      </c>
    </row>
    <row r="13" spans="1:17" x14ac:dyDescent="0.2">
      <c r="A13" t="s">
        <v>1108</v>
      </c>
      <c r="E13" s="80"/>
      <c r="F13" s="16" t="s">
        <v>1109</v>
      </c>
      <c r="G13" s="23">
        <v>10454</v>
      </c>
      <c r="H13" s="23">
        <v>6811</v>
      </c>
      <c r="I13" s="23">
        <v>6425</v>
      </c>
      <c r="J13" s="15">
        <v>262</v>
      </c>
      <c r="K13" s="15">
        <v>124</v>
      </c>
      <c r="L13" s="23">
        <v>3643</v>
      </c>
    </row>
    <row r="14" spans="1:17" x14ac:dyDescent="0.2">
      <c r="A14" t="s">
        <v>1112</v>
      </c>
      <c r="E14" s="80"/>
      <c r="F14" s="47" t="s">
        <v>1113</v>
      </c>
      <c r="G14" s="23">
        <v>2569</v>
      </c>
      <c r="H14" s="23">
        <v>1757</v>
      </c>
      <c r="I14" s="23">
        <v>1656</v>
      </c>
      <c r="J14" s="15">
        <v>7</v>
      </c>
      <c r="K14" s="15">
        <v>94</v>
      </c>
      <c r="L14" s="15">
        <v>812</v>
      </c>
    </row>
    <row r="15" spans="1:17" x14ac:dyDescent="0.2">
      <c r="A15" t="s">
        <v>1114</v>
      </c>
      <c r="E15" s="80"/>
      <c r="F15" s="25" t="s">
        <v>1115</v>
      </c>
      <c r="G15" s="23">
        <v>7403</v>
      </c>
      <c r="H15" s="23">
        <v>5259</v>
      </c>
      <c r="I15" s="23">
        <v>5000</v>
      </c>
      <c r="J15" s="15">
        <v>259</v>
      </c>
      <c r="K15" s="15">
        <v>0</v>
      </c>
      <c r="L15" s="23">
        <v>2144</v>
      </c>
    </row>
    <row r="16" spans="1:17" x14ac:dyDescent="0.2">
      <c r="A16" t="s">
        <v>1116</v>
      </c>
      <c r="E16" s="80"/>
      <c r="F16" s="25" t="s">
        <v>1117</v>
      </c>
      <c r="G16" s="23">
        <v>6229</v>
      </c>
      <c r="H16" s="23">
        <v>3512</v>
      </c>
      <c r="I16" s="23">
        <v>3207</v>
      </c>
      <c r="J16" s="15">
        <v>305</v>
      </c>
      <c r="K16" s="15">
        <v>0</v>
      </c>
      <c r="L16" s="23">
        <v>2717</v>
      </c>
    </row>
    <row r="17" spans="1:12" x14ac:dyDescent="0.2">
      <c r="E17" s="80"/>
      <c r="F17" s="25" t="s">
        <v>1118</v>
      </c>
      <c r="G17" s="23">
        <v>11905</v>
      </c>
      <c r="H17" s="23">
        <v>6893</v>
      </c>
      <c r="I17" s="23">
        <v>6373</v>
      </c>
      <c r="J17" s="15">
        <v>505</v>
      </c>
      <c r="K17" s="15">
        <v>15</v>
      </c>
      <c r="L17" s="23">
        <v>5012</v>
      </c>
    </row>
    <row r="18" spans="1:12" x14ac:dyDescent="0.2">
      <c r="A18" s="83" t="s">
        <v>1119</v>
      </c>
      <c r="B18" s="80"/>
      <c r="E18" s="80"/>
      <c r="F18" s="47" t="s">
        <v>1120</v>
      </c>
      <c r="G18" s="23">
        <v>4743</v>
      </c>
      <c r="H18" s="23">
        <v>2842</v>
      </c>
      <c r="I18" s="23">
        <v>2703</v>
      </c>
      <c r="J18" s="15">
        <v>139</v>
      </c>
      <c r="K18" s="15">
        <v>0</v>
      </c>
      <c r="L18" s="23">
        <v>1901</v>
      </c>
    </row>
    <row r="19" spans="1:12" x14ac:dyDescent="0.2">
      <c r="A19" t="s">
        <v>1121</v>
      </c>
      <c r="B19" t="s">
        <v>1415</v>
      </c>
      <c r="E19" s="80"/>
      <c r="F19" s="16" t="s">
        <v>1123</v>
      </c>
      <c r="G19" s="23">
        <v>3682</v>
      </c>
      <c r="H19" s="23">
        <v>2623</v>
      </c>
      <c r="I19" s="23">
        <v>2563</v>
      </c>
      <c r="J19" s="15">
        <v>60</v>
      </c>
      <c r="K19" s="15">
        <v>0</v>
      </c>
      <c r="L19" s="23">
        <v>1059</v>
      </c>
    </row>
    <row r="20" spans="1:12" x14ac:dyDescent="0.2">
      <c r="E20" s="80"/>
      <c r="F20" s="16" t="s">
        <v>1124</v>
      </c>
      <c r="G20" s="23">
        <v>4418</v>
      </c>
      <c r="H20" s="23">
        <v>2583</v>
      </c>
      <c r="I20" s="23">
        <v>2495</v>
      </c>
      <c r="J20" s="15">
        <v>88</v>
      </c>
      <c r="K20" s="15">
        <v>0</v>
      </c>
      <c r="L20" s="23">
        <v>1835</v>
      </c>
    </row>
    <row r="21" spans="1:12" x14ac:dyDescent="0.2">
      <c r="A21" s="81" t="s">
        <v>1125</v>
      </c>
      <c r="B21" s="80"/>
      <c r="E21" s="80"/>
      <c r="F21" s="16" t="s">
        <v>1126</v>
      </c>
      <c r="G21" s="23">
        <v>10077</v>
      </c>
      <c r="H21" s="23">
        <v>7452</v>
      </c>
      <c r="I21" s="23">
        <v>4373</v>
      </c>
      <c r="J21" s="15">
        <v>198</v>
      </c>
      <c r="K21" s="23">
        <v>2881</v>
      </c>
      <c r="L21" s="23">
        <v>2625</v>
      </c>
    </row>
    <row r="22" spans="1:12" x14ac:dyDescent="0.2">
      <c r="A22" t="s">
        <v>1135</v>
      </c>
      <c r="B22" t="s">
        <v>1416</v>
      </c>
      <c r="E22" s="80"/>
      <c r="F22" s="47" t="s">
        <v>1137</v>
      </c>
      <c r="G22" s="23">
        <v>3007</v>
      </c>
      <c r="H22" s="23">
        <v>2121</v>
      </c>
      <c r="I22" s="23">
        <v>1770</v>
      </c>
      <c r="J22" s="15">
        <v>137</v>
      </c>
      <c r="K22" s="15">
        <v>214</v>
      </c>
      <c r="L22" s="15">
        <v>886</v>
      </c>
    </row>
    <row r="23" spans="1:12" x14ac:dyDescent="0.2">
      <c r="E23" s="80"/>
      <c r="F23" s="16" t="s">
        <v>1146</v>
      </c>
      <c r="G23" s="23">
        <v>23291</v>
      </c>
      <c r="H23" s="23">
        <v>14570</v>
      </c>
      <c r="I23" s="23">
        <v>13664</v>
      </c>
      <c r="J23" s="15">
        <v>890</v>
      </c>
      <c r="K23" s="15">
        <v>16</v>
      </c>
      <c r="L23" s="23">
        <v>8721</v>
      </c>
    </row>
    <row r="24" spans="1:12" x14ac:dyDescent="0.2">
      <c r="E24" s="80"/>
      <c r="F24" s="16" t="s">
        <v>1150</v>
      </c>
      <c r="G24" s="23">
        <v>3499</v>
      </c>
      <c r="H24" s="23">
        <v>2509</v>
      </c>
      <c r="I24" s="23">
        <v>2456</v>
      </c>
      <c r="J24" s="15">
        <v>53</v>
      </c>
      <c r="K24" s="15">
        <v>0</v>
      </c>
      <c r="L24" s="15">
        <v>990</v>
      </c>
    </row>
    <row r="25" spans="1:12" x14ac:dyDescent="0.2">
      <c r="E25" s="80"/>
      <c r="F25" s="47" t="s">
        <v>1154</v>
      </c>
      <c r="G25" s="15">
        <v>493</v>
      </c>
      <c r="H25" s="15">
        <v>368</v>
      </c>
      <c r="I25" s="15">
        <v>368</v>
      </c>
      <c r="J25" s="15">
        <v>0</v>
      </c>
      <c r="K25" s="15">
        <v>0</v>
      </c>
      <c r="L25" s="15">
        <v>125</v>
      </c>
    </row>
    <row r="26" spans="1:12" x14ac:dyDescent="0.2">
      <c r="E26" s="80"/>
      <c r="F26" s="16" t="s">
        <v>1158</v>
      </c>
      <c r="G26" s="23">
        <v>16348</v>
      </c>
      <c r="H26" s="23">
        <v>11088</v>
      </c>
      <c r="I26" s="23">
        <v>10354</v>
      </c>
      <c r="J26" s="15">
        <v>734</v>
      </c>
      <c r="K26" s="15">
        <v>0</v>
      </c>
      <c r="L26" s="23">
        <v>5260</v>
      </c>
    </row>
    <row r="27" spans="1:12" x14ac:dyDescent="0.2">
      <c r="A27" s="81"/>
      <c r="B27" s="80"/>
      <c r="E27" s="80"/>
      <c r="F27" s="47" t="s">
        <v>1162</v>
      </c>
      <c r="G27" s="23">
        <v>1553</v>
      </c>
      <c r="H27" s="23">
        <v>1085</v>
      </c>
      <c r="I27" s="23">
        <v>1052</v>
      </c>
      <c r="J27" s="15">
        <v>33</v>
      </c>
      <c r="K27" s="15">
        <v>0</v>
      </c>
      <c r="L27" s="15">
        <v>468</v>
      </c>
    </row>
    <row r="28" spans="1:12" x14ac:dyDescent="0.2">
      <c r="E28" s="80"/>
      <c r="F28" s="47" t="s">
        <v>1164</v>
      </c>
      <c r="G28" s="23">
        <v>7194</v>
      </c>
      <c r="H28" s="23">
        <v>5047</v>
      </c>
      <c r="I28" s="23">
        <v>4852</v>
      </c>
      <c r="J28" s="15">
        <v>195</v>
      </c>
      <c r="K28" s="15">
        <v>0</v>
      </c>
      <c r="L28" s="23">
        <v>2147</v>
      </c>
    </row>
    <row r="29" spans="1:12" x14ac:dyDescent="0.2">
      <c r="E29" s="80"/>
      <c r="F29" s="16" t="s">
        <v>1166</v>
      </c>
      <c r="G29" s="23">
        <v>18507</v>
      </c>
      <c r="H29" s="23">
        <v>11935</v>
      </c>
      <c r="I29" s="23">
        <v>11292</v>
      </c>
      <c r="J29" s="15">
        <v>495</v>
      </c>
      <c r="K29" s="15">
        <v>148</v>
      </c>
      <c r="L29" s="23">
        <v>6572</v>
      </c>
    </row>
    <row r="30" spans="1:12" x14ac:dyDescent="0.2">
      <c r="E30" s="80"/>
      <c r="F30" s="47" t="s">
        <v>1168</v>
      </c>
      <c r="G30" s="23">
        <v>2698</v>
      </c>
      <c r="H30" s="23">
        <v>1836</v>
      </c>
      <c r="I30" s="23">
        <v>1807</v>
      </c>
      <c r="J30" s="15">
        <v>29</v>
      </c>
      <c r="K30" s="15">
        <v>0</v>
      </c>
      <c r="L30" s="15">
        <v>862</v>
      </c>
    </row>
    <row r="31" spans="1:12" x14ac:dyDescent="0.2">
      <c r="E31" s="80"/>
      <c r="F31" s="47" t="s">
        <v>1170</v>
      </c>
      <c r="G31" s="23">
        <v>3071</v>
      </c>
      <c r="H31" s="23">
        <v>1910</v>
      </c>
      <c r="I31" s="23">
        <v>1871</v>
      </c>
      <c r="J31" s="15">
        <v>19</v>
      </c>
      <c r="K31" s="15">
        <v>20</v>
      </c>
      <c r="L31" s="23">
        <v>1161</v>
      </c>
    </row>
    <row r="32" spans="1:12" x14ac:dyDescent="0.2">
      <c r="E32" s="80"/>
      <c r="F32" s="47" t="s">
        <v>1172</v>
      </c>
      <c r="G32" s="23">
        <v>5411</v>
      </c>
      <c r="H32" s="23">
        <v>3402</v>
      </c>
      <c r="I32" s="23">
        <v>3220</v>
      </c>
      <c r="J32" s="15">
        <v>182</v>
      </c>
      <c r="K32" s="15">
        <v>0</v>
      </c>
      <c r="L32" s="23">
        <v>2009</v>
      </c>
    </row>
    <row r="33" spans="5:12" x14ac:dyDescent="0.2">
      <c r="E33" s="80"/>
      <c r="F33" s="16" t="s">
        <v>1174</v>
      </c>
      <c r="G33" s="23">
        <v>5594</v>
      </c>
      <c r="H33" s="23">
        <v>2717</v>
      </c>
      <c r="I33" s="23">
        <v>2690</v>
      </c>
      <c r="J33" s="15">
        <v>27</v>
      </c>
      <c r="K33" s="15">
        <v>0</v>
      </c>
      <c r="L33" s="23">
        <v>2877</v>
      </c>
    </row>
    <row r="34" spans="5:12" x14ac:dyDescent="0.2">
      <c r="E34" s="80"/>
      <c r="F34" t="s">
        <v>1178</v>
      </c>
      <c r="G34" s="15">
        <v>923</v>
      </c>
      <c r="H34" s="15">
        <v>511</v>
      </c>
      <c r="I34" s="17">
        <v>500</v>
      </c>
      <c r="J34" s="15">
        <v>11</v>
      </c>
      <c r="K34" s="15">
        <v>0</v>
      </c>
      <c r="L34" s="15">
        <v>412</v>
      </c>
    </row>
    <row r="35" spans="5:12" x14ac:dyDescent="0.2">
      <c r="E35" s="80"/>
      <c r="F35" s="16" t="s">
        <v>1180</v>
      </c>
      <c r="G35" s="23">
        <v>22299</v>
      </c>
      <c r="H35" s="23">
        <v>13631</v>
      </c>
      <c r="I35" s="28">
        <v>12879</v>
      </c>
      <c r="J35" s="15">
        <v>752</v>
      </c>
      <c r="K35" s="15">
        <v>0</v>
      </c>
      <c r="L35" s="23">
        <v>8668</v>
      </c>
    </row>
    <row r="36" spans="5:12" x14ac:dyDescent="0.2">
      <c r="E36" s="80"/>
      <c r="F36" s="16" t="s">
        <v>1182</v>
      </c>
      <c r="G36" s="23">
        <v>26233</v>
      </c>
      <c r="H36" s="23">
        <v>16736</v>
      </c>
      <c r="I36" s="28">
        <v>15856</v>
      </c>
      <c r="J36" s="15">
        <v>718</v>
      </c>
      <c r="K36" s="15">
        <v>162</v>
      </c>
      <c r="L36" s="23">
        <v>9497</v>
      </c>
    </row>
    <row r="37" spans="5:12" x14ac:dyDescent="0.2">
      <c r="E37" s="80"/>
      <c r="F37" s="16" t="s">
        <v>1184</v>
      </c>
      <c r="G37" s="23">
        <v>23333</v>
      </c>
      <c r="H37" s="23">
        <v>15158</v>
      </c>
      <c r="I37" s="28">
        <v>13668</v>
      </c>
      <c r="J37" s="23">
        <v>1221</v>
      </c>
      <c r="K37" s="15">
        <v>269</v>
      </c>
      <c r="L37" s="23">
        <v>8175</v>
      </c>
    </row>
    <row r="38" spans="5:12" x14ac:dyDescent="0.2">
      <c r="E38" s="80"/>
      <c r="F38" s="16" t="s">
        <v>1186</v>
      </c>
      <c r="G38" s="23">
        <v>17392</v>
      </c>
      <c r="H38" s="23">
        <v>8728</v>
      </c>
      <c r="I38" s="23">
        <v>8525</v>
      </c>
      <c r="J38" s="15">
        <v>203</v>
      </c>
      <c r="K38" s="15">
        <v>0</v>
      </c>
      <c r="L38" s="23">
        <v>8664</v>
      </c>
    </row>
    <row r="39" spans="5:12" x14ac:dyDescent="0.2">
      <c r="E39" s="80"/>
      <c r="F39" s="47" t="s">
        <v>1188</v>
      </c>
      <c r="G39" s="23">
        <v>17392</v>
      </c>
      <c r="H39" s="23">
        <v>8728</v>
      </c>
      <c r="I39" s="23">
        <v>8525</v>
      </c>
      <c r="J39" s="15">
        <v>203</v>
      </c>
      <c r="K39" s="15">
        <v>0</v>
      </c>
      <c r="L39" s="23">
        <v>8664</v>
      </c>
    </row>
    <row r="40" spans="5:12" x14ac:dyDescent="0.2">
      <c r="E40" s="80"/>
      <c r="F40" s="16" t="s">
        <v>1191</v>
      </c>
      <c r="G40" s="23">
        <v>7196</v>
      </c>
      <c r="H40" s="23">
        <v>3968</v>
      </c>
      <c r="I40" s="23">
        <v>3697</v>
      </c>
      <c r="J40" s="15">
        <v>271</v>
      </c>
      <c r="K40" s="15">
        <v>0</v>
      </c>
      <c r="L40" s="23">
        <v>3228</v>
      </c>
    </row>
    <row r="41" spans="5:12" x14ac:dyDescent="0.2">
      <c r="E41" s="80"/>
      <c r="F41" s="16" t="s">
        <v>1195</v>
      </c>
      <c r="G41" s="23">
        <v>3132</v>
      </c>
      <c r="H41" s="23">
        <v>1932</v>
      </c>
      <c r="I41" s="23">
        <v>1883</v>
      </c>
      <c r="J41" s="15">
        <v>29</v>
      </c>
      <c r="K41" s="15">
        <v>20</v>
      </c>
      <c r="L41" s="23">
        <v>1200</v>
      </c>
    </row>
    <row r="42" spans="5:12" x14ac:dyDescent="0.2">
      <c r="E42" s="80"/>
      <c r="F42" s="47" t="s">
        <v>1199</v>
      </c>
      <c r="G42" s="23">
        <v>2529</v>
      </c>
      <c r="H42" s="23">
        <v>1539</v>
      </c>
      <c r="I42" s="23">
        <v>1494</v>
      </c>
      <c r="J42" s="15">
        <v>25</v>
      </c>
      <c r="K42" s="15">
        <v>20</v>
      </c>
      <c r="L42" s="15">
        <v>990</v>
      </c>
    </row>
    <row r="43" spans="5:12" x14ac:dyDescent="0.2">
      <c r="E43" s="80"/>
      <c r="F43" s="47" t="s">
        <v>1200</v>
      </c>
      <c r="G43" s="15">
        <v>603</v>
      </c>
      <c r="H43" s="15">
        <v>393</v>
      </c>
      <c r="I43" s="15">
        <v>389</v>
      </c>
      <c r="J43" s="15">
        <v>4</v>
      </c>
      <c r="K43" s="15">
        <v>0</v>
      </c>
      <c r="L43" s="15">
        <v>210</v>
      </c>
    </row>
    <row r="44" spans="5:12" x14ac:dyDescent="0.2">
      <c r="E44" s="80"/>
      <c r="F44" s="16" t="s">
        <v>1201</v>
      </c>
      <c r="G44" s="23">
        <v>25386</v>
      </c>
      <c r="H44" s="23">
        <v>17029</v>
      </c>
      <c r="I44" s="23">
        <v>15847</v>
      </c>
      <c r="J44" s="23">
        <v>1153</v>
      </c>
      <c r="K44" s="15">
        <v>29</v>
      </c>
      <c r="L44" s="23">
        <v>8357</v>
      </c>
    </row>
    <row r="45" spans="5:12" x14ac:dyDescent="0.2">
      <c r="E45" s="80"/>
      <c r="F45" s="16" t="s">
        <v>1202</v>
      </c>
      <c r="G45" s="23">
        <v>26730</v>
      </c>
      <c r="H45" s="23">
        <v>16925</v>
      </c>
      <c r="I45" s="23">
        <v>16321</v>
      </c>
      <c r="J45" s="15">
        <v>578</v>
      </c>
      <c r="K45" s="15">
        <v>26</v>
      </c>
      <c r="L45" s="23">
        <v>9805</v>
      </c>
    </row>
    <row r="46" spans="5:12" x14ac:dyDescent="0.2">
      <c r="E46" s="80"/>
      <c r="F46" s="47" t="s">
        <v>1203</v>
      </c>
      <c r="G46" s="23">
        <v>2419</v>
      </c>
      <c r="H46" s="23">
        <v>1609</v>
      </c>
      <c r="I46" s="23">
        <v>1510</v>
      </c>
      <c r="J46" s="15">
        <v>73</v>
      </c>
      <c r="K46" s="15">
        <v>26</v>
      </c>
      <c r="L46" s="15">
        <v>810</v>
      </c>
    </row>
    <row r="47" spans="5:12" x14ac:dyDescent="0.2">
      <c r="E47" s="80"/>
      <c r="F47" s="47" t="s">
        <v>1204</v>
      </c>
      <c r="G47" s="23">
        <v>2582</v>
      </c>
      <c r="H47" s="23">
        <v>1486</v>
      </c>
      <c r="I47" s="23">
        <v>1398</v>
      </c>
      <c r="J47" s="15">
        <v>88</v>
      </c>
      <c r="K47" s="15">
        <v>0</v>
      </c>
      <c r="L47" s="23">
        <v>1096</v>
      </c>
    </row>
    <row r="48" spans="5:12" x14ac:dyDescent="0.2">
      <c r="E48" s="80"/>
      <c r="F48" s="47" t="s">
        <v>1205</v>
      </c>
      <c r="G48" s="23">
        <v>5488</v>
      </c>
      <c r="H48" s="23">
        <v>3284</v>
      </c>
      <c r="I48" s="23">
        <v>3121</v>
      </c>
      <c r="J48" s="15">
        <v>163</v>
      </c>
      <c r="K48" s="15">
        <v>0</v>
      </c>
      <c r="L48" s="23">
        <v>2204</v>
      </c>
    </row>
    <row r="49" spans="5:12" x14ac:dyDescent="0.2">
      <c r="E49" s="80"/>
      <c r="F49" s="16" t="s">
        <v>1206</v>
      </c>
      <c r="G49" s="23">
        <v>5936</v>
      </c>
      <c r="H49" s="23">
        <v>4139</v>
      </c>
      <c r="I49" s="23">
        <v>3790</v>
      </c>
      <c r="J49" s="15">
        <v>349</v>
      </c>
      <c r="K49" s="15">
        <v>0</v>
      </c>
      <c r="L49" s="23">
        <v>1797</v>
      </c>
    </row>
    <row r="50" spans="5:12" x14ac:dyDescent="0.2">
      <c r="E50" s="80"/>
      <c r="F50" s="16" t="s">
        <v>1207</v>
      </c>
      <c r="G50" s="23">
        <v>9476</v>
      </c>
      <c r="H50" s="23">
        <v>6315</v>
      </c>
      <c r="I50" s="23">
        <v>5754</v>
      </c>
      <c r="J50" s="15">
        <v>539</v>
      </c>
      <c r="K50" s="15">
        <v>22</v>
      </c>
      <c r="L50" s="23">
        <v>3161</v>
      </c>
    </row>
    <row r="51" spans="5:12" x14ac:dyDescent="0.2">
      <c r="E51" s="80"/>
      <c r="F51" s="47" t="s">
        <v>1162</v>
      </c>
      <c r="G51" s="15">
        <v>605</v>
      </c>
      <c r="H51" s="15">
        <v>489</v>
      </c>
      <c r="I51" s="15">
        <v>466</v>
      </c>
      <c r="J51" s="15">
        <v>23</v>
      </c>
      <c r="K51" s="15">
        <v>0</v>
      </c>
      <c r="L51" s="15">
        <v>116</v>
      </c>
    </row>
    <row r="52" spans="5:12" x14ac:dyDescent="0.2">
      <c r="E52" s="80"/>
      <c r="F52" s="47" t="s">
        <v>1208</v>
      </c>
      <c r="G52" s="23">
        <v>8871</v>
      </c>
      <c r="H52" s="23">
        <v>5826</v>
      </c>
      <c r="I52" s="23">
        <v>5288</v>
      </c>
      <c r="J52" s="15">
        <v>516</v>
      </c>
      <c r="K52" s="15">
        <v>22</v>
      </c>
      <c r="L52" s="23">
        <v>3045</v>
      </c>
    </row>
    <row r="53" spans="5:12" x14ac:dyDescent="0.2">
      <c r="E53" s="80"/>
    </row>
    <row r="54" spans="5:12" x14ac:dyDescent="0.2">
      <c r="E54" s="80"/>
    </row>
    <row r="55" spans="5:12" x14ac:dyDescent="0.2">
      <c r="E55" s="80"/>
    </row>
    <row r="56" spans="5:12" x14ac:dyDescent="0.2">
      <c r="E56" s="80"/>
    </row>
    <row r="57" spans="5:12" x14ac:dyDescent="0.2">
      <c r="E57" s="80"/>
    </row>
  </sheetData>
  <mergeCells count="13">
    <mergeCell ref="G5:G6"/>
    <mergeCell ref="B1:O1"/>
    <mergeCell ref="A21:B21"/>
    <mergeCell ref="H5:H6"/>
    <mergeCell ref="E5:E57"/>
    <mergeCell ref="A9:B9"/>
    <mergeCell ref="A5:B5"/>
    <mergeCell ref="I5:J5"/>
    <mergeCell ref="F5:F6"/>
    <mergeCell ref="A18:B18"/>
    <mergeCell ref="A27:B27"/>
    <mergeCell ref="K5:K6"/>
    <mergeCell ref="L5:L6"/>
  </mergeCells>
  <dataValidations count="4">
    <dataValidation type="list" allowBlank="1" showInputMessage="1" showErrorMessage="1" sqref="P4:Q4" xr:uid="{00000000-0002-0000-1800-000000000000}">
      <formula1>"integer, number, percent1"</formula1>
    </dataValidation>
    <dataValidation type="list" allowBlank="1" showInputMessage="1" showErrorMessage="1" sqref="B10" xr:uid="{00000000-0002-0000-1800-000001000000}">
      <formula1>"Line,Clustered Bar,Stacked Bar,Bar,Horizontal Stacked Bar"</formula1>
    </dataValidation>
    <dataValidation type="list" allowBlank="1" showInputMessage="1" showErrorMessage="1" sqref="B2" xr:uid="{00000000-0002-0000-1800-000002000000}">
      <formula1>"Table,Figure,Both"</formula1>
    </dataValidation>
    <dataValidation type="list" allowBlank="1" showInputMessage="1" showErrorMessage="1" sqref="B6 B15:B16" xr:uid="{00000000-0002-0000-1800-000003000000}">
      <formula1>"True,False"</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tbl-labor-force-unemployed</v>
      </c>
    </row>
    <row r="4" spans="1:17" x14ac:dyDescent="0.2">
      <c r="A4" s="16" t="s">
        <v>7</v>
      </c>
      <c r="B4" t="str">
        <f>IF($B$1="","",_xlfn.XLOOKUP($B$1,Master!$F$2:$F$321,Master!$H$2:$H$321,""))</f>
        <v>fig-labor-force-unemployed</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8.4</v>
      </c>
      <c r="H6" s="15">
        <v>4.7</v>
      </c>
      <c r="I6" s="15">
        <v>3.2</v>
      </c>
      <c r="J6" s="15">
        <v>3.4</v>
      </c>
      <c r="K6" s="15"/>
      <c r="L6" s="15"/>
      <c r="M6" s="15"/>
      <c r="N6" s="15"/>
      <c r="O6" s="15"/>
    </row>
    <row r="7" spans="1:17" ht="15.75" customHeight="1" x14ac:dyDescent="0.2">
      <c r="E7" s="80"/>
      <c r="F7" t="s">
        <v>1298</v>
      </c>
      <c r="G7" s="15">
        <v>8.3000000000000007</v>
      </c>
      <c r="H7" s="15">
        <v>4.8</v>
      </c>
      <c r="I7" s="15">
        <v>3.2</v>
      </c>
      <c r="J7" s="15">
        <v>3.5</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1417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1418</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900-000000000000}">
      <formula1>"integer, number, percent1"</formula1>
    </dataValidation>
    <dataValidation type="list" allowBlank="1" showInputMessage="1" showErrorMessage="1" sqref="B10" xr:uid="{00000000-0002-0000-1900-000001000000}">
      <formula1>"Line,Clustered Bar,Stacked Bar,Bar,Horizontal Stacked Bar"</formula1>
    </dataValidation>
    <dataValidation type="list" allowBlank="1" showInputMessage="1" showErrorMessage="1" sqref="B2" xr:uid="{00000000-0002-0000-1900-000002000000}">
      <formula1>"Table,Figure,Both"</formula1>
    </dataValidation>
    <dataValidation type="list" allowBlank="1" showInputMessage="1" showErrorMessage="1" sqref="B6 B15:B16" xr:uid="{00000000-0002-0000-1900-000003000000}">
      <formula1>"True,False"</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7"/>
  <sheetViews>
    <sheetView topLeftCell="I1" workbookViewId="0">
      <selection activeCell="I35" sqref="I35"/>
    </sheetView>
  </sheetViews>
  <sheetFormatPr baseColWidth="10" defaultColWidth="8.6640625" defaultRowHeight="15" x14ac:dyDescent="0.2"/>
  <cols>
    <col min="1" max="1" width="20" bestFit="1" customWidth="1"/>
    <col min="2" max="2" width="22.1640625" bestFit="1" customWidth="1"/>
    <col min="5" max="5" width="6.6640625" customWidth="1"/>
    <col min="6" max="6" width="30.33203125" bestFit="1" customWidth="1"/>
    <col min="7" max="7" width="37.5" customWidth="1"/>
    <col min="8" max="8" width="51.5" bestFit="1" customWidth="1"/>
    <col min="9" max="9" width="45.33203125" bestFit="1" customWidth="1"/>
    <col min="10" max="10" width="45.83203125" bestFit="1" customWidth="1"/>
    <col min="11" max="11" width="25.33203125" bestFit="1" customWidth="1"/>
    <col min="12" max="12" width="8.33203125" bestFit="1" customWidth="1"/>
    <col min="13" max="13" width="12.1640625" bestFit="1" customWidth="1"/>
    <col min="14" max="14" width="24" bestFit="1" customWidth="1"/>
    <col min="15" max="16" width="12.5" bestFit="1" customWidth="1"/>
  </cols>
  <sheetData>
    <row r="1" spans="1:23" x14ac:dyDescent="0.2">
      <c r="A1" s="16" t="s">
        <v>1077</v>
      </c>
      <c r="B1" s="79" t="s">
        <v>93</v>
      </c>
      <c r="C1" s="80"/>
      <c r="D1" s="80"/>
      <c r="E1" s="80"/>
      <c r="F1" s="80"/>
      <c r="G1" s="80"/>
      <c r="H1" s="80"/>
      <c r="I1" s="80"/>
      <c r="J1" s="80"/>
      <c r="K1" s="80"/>
      <c r="L1" s="80"/>
      <c r="M1" s="80"/>
      <c r="N1" s="80"/>
      <c r="O1" s="80"/>
    </row>
    <row r="2" spans="1:23" x14ac:dyDescent="0.2">
      <c r="A2" s="16" t="s">
        <v>1078</v>
      </c>
      <c r="B2" t="s">
        <v>1079</v>
      </c>
    </row>
    <row r="3" spans="1:23" x14ac:dyDescent="0.2">
      <c r="A3" s="16" t="s">
        <v>1080</v>
      </c>
      <c r="B3" t="str">
        <f>IF($B$1="","",_xlfn.XLOOKUP($B$1,Master!$F$2:$F$321,Master!$G$2:$G$321,""))</f>
        <v>tbl-graudation-rate-demographic</v>
      </c>
    </row>
    <row r="4" spans="1:23" x14ac:dyDescent="0.2">
      <c r="A4" s="16" t="s">
        <v>7</v>
      </c>
      <c r="B4" t="str">
        <f>IF($B$1="","",_xlfn.XLOOKUP($B$1,Master!$F$2:$F$321,Master!$H$2:$H$321,""))</f>
        <v>fig-graudation-rate-demographic</v>
      </c>
      <c r="E4" s="8"/>
      <c r="F4" s="10" t="s">
        <v>968</v>
      </c>
      <c r="G4" s="10" t="s">
        <v>968</v>
      </c>
      <c r="H4" s="10" t="s">
        <v>973</v>
      </c>
      <c r="I4" s="10" t="s">
        <v>973</v>
      </c>
      <c r="J4" s="10" t="s">
        <v>973</v>
      </c>
      <c r="K4" s="10" t="s">
        <v>973</v>
      </c>
      <c r="L4" s="10" t="s">
        <v>973</v>
      </c>
      <c r="M4" s="10" t="s">
        <v>973</v>
      </c>
      <c r="N4" s="10" t="s">
        <v>973</v>
      </c>
      <c r="O4" s="10"/>
      <c r="P4" s="10"/>
      <c r="Q4" s="10"/>
    </row>
    <row r="5" spans="1:23" x14ac:dyDescent="0.2">
      <c r="A5" s="83" t="s">
        <v>1081</v>
      </c>
      <c r="B5" s="80"/>
      <c r="E5" s="82" t="s">
        <v>1082</v>
      </c>
      <c r="F5" s="81" t="s">
        <v>1419</v>
      </c>
      <c r="G5" s="81" t="s">
        <v>1420</v>
      </c>
      <c r="H5" s="80"/>
      <c r="I5" s="80"/>
      <c r="J5" s="80"/>
      <c r="K5" s="80"/>
      <c r="L5" s="80"/>
      <c r="M5" s="81" t="s">
        <v>1421</v>
      </c>
      <c r="N5" s="80"/>
    </row>
    <row r="6" spans="1:23" x14ac:dyDescent="0.2">
      <c r="A6" t="s">
        <v>1088</v>
      </c>
      <c r="B6" t="b">
        <v>1</v>
      </c>
      <c r="E6" s="80"/>
      <c r="F6" s="80"/>
      <c r="G6" s="15" t="s">
        <v>1422</v>
      </c>
      <c r="H6" s="15" t="s">
        <v>1423</v>
      </c>
      <c r="I6" s="15" t="s">
        <v>1424</v>
      </c>
      <c r="J6" s="15" t="s">
        <v>1425</v>
      </c>
      <c r="K6" s="15" t="s">
        <v>1426</v>
      </c>
      <c r="L6" s="15" t="s">
        <v>1427</v>
      </c>
      <c r="M6" s="15" t="s">
        <v>1428</v>
      </c>
      <c r="N6" s="15" t="s">
        <v>1429</v>
      </c>
      <c r="O6" s="20"/>
      <c r="P6" s="20"/>
      <c r="Q6" s="20"/>
      <c r="R6" s="20"/>
      <c r="S6" s="20"/>
      <c r="T6" s="20"/>
      <c r="U6" s="20"/>
      <c r="V6" s="20"/>
      <c r="W6" s="20"/>
    </row>
    <row r="7" spans="1:23" ht="15.75" customHeight="1" x14ac:dyDescent="0.2">
      <c r="E7" s="80"/>
      <c r="F7" t="s">
        <v>1430</v>
      </c>
      <c r="G7" s="15" t="s">
        <v>1431</v>
      </c>
      <c r="H7" s="15" t="s">
        <v>1432</v>
      </c>
      <c r="I7" s="15" t="s">
        <v>1433</v>
      </c>
      <c r="J7" s="15" t="s">
        <v>1434</v>
      </c>
      <c r="K7" s="15" t="s">
        <v>1435</v>
      </c>
      <c r="L7" s="15" t="s">
        <v>1436</v>
      </c>
      <c r="M7" s="15" t="s">
        <v>1437</v>
      </c>
      <c r="N7" s="15" t="s">
        <v>1438</v>
      </c>
      <c r="O7" s="15"/>
    </row>
    <row r="8" spans="1:23" x14ac:dyDescent="0.2">
      <c r="E8" s="80"/>
      <c r="F8" t="s">
        <v>1439</v>
      </c>
      <c r="G8" s="15" t="s">
        <v>1440</v>
      </c>
      <c r="H8" s="15" t="s">
        <v>1441</v>
      </c>
      <c r="I8" s="15" t="s">
        <v>1442</v>
      </c>
      <c r="J8" s="15" t="s">
        <v>1443</v>
      </c>
      <c r="K8" s="15" t="s">
        <v>1444</v>
      </c>
      <c r="L8" s="15" t="s">
        <v>1445</v>
      </c>
      <c r="M8" s="15" t="s">
        <v>1446</v>
      </c>
      <c r="N8" s="15" t="s">
        <v>1447</v>
      </c>
      <c r="O8" s="15"/>
    </row>
    <row r="9" spans="1:23" x14ac:dyDescent="0.2">
      <c r="A9" s="83" t="s">
        <v>1098</v>
      </c>
      <c r="B9" s="80"/>
      <c r="E9" s="80"/>
      <c r="F9" t="s">
        <v>1448</v>
      </c>
      <c r="G9" s="15" t="s">
        <v>1440</v>
      </c>
      <c r="H9" s="15" t="s">
        <v>1449</v>
      </c>
      <c r="I9" s="15" t="s">
        <v>1450</v>
      </c>
      <c r="J9" s="15" t="s">
        <v>1451</v>
      </c>
      <c r="K9" s="15" t="s">
        <v>1452</v>
      </c>
      <c r="L9" s="15" t="s">
        <v>1453</v>
      </c>
      <c r="M9" s="15" t="s">
        <v>1454</v>
      </c>
      <c r="N9" s="15" t="s">
        <v>1455</v>
      </c>
      <c r="O9" s="15"/>
    </row>
    <row r="10" spans="1:23" x14ac:dyDescent="0.2">
      <c r="A10" t="s">
        <v>1100</v>
      </c>
      <c r="E10" s="80"/>
      <c r="F10" t="s">
        <v>1456</v>
      </c>
      <c r="G10" s="15" t="s">
        <v>1440</v>
      </c>
      <c r="H10" s="15" t="s">
        <v>1457</v>
      </c>
      <c r="I10" s="15" t="s">
        <v>1458</v>
      </c>
      <c r="J10" s="15" t="s">
        <v>1459</v>
      </c>
      <c r="K10" s="15" t="s">
        <v>1460</v>
      </c>
      <c r="L10" s="15" t="s">
        <v>1461</v>
      </c>
      <c r="M10" s="15" t="s">
        <v>1462</v>
      </c>
      <c r="N10" s="15" t="s">
        <v>1463</v>
      </c>
    </row>
    <row r="11" spans="1:23" x14ac:dyDescent="0.2">
      <c r="A11" t="s">
        <v>1102</v>
      </c>
      <c r="E11" s="80"/>
      <c r="F11" t="s">
        <v>1464</v>
      </c>
      <c r="G11" s="15" t="s">
        <v>1465</v>
      </c>
      <c r="H11" s="15" t="s">
        <v>1466</v>
      </c>
      <c r="I11" s="15" t="s">
        <v>1467</v>
      </c>
      <c r="J11" s="17" t="s">
        <v>1468</v>
      </c>
      <c r="K11" s="17" t="s">
        <v>1469</v>
      </c>
      <c r="L11" s="17" t="s">
        <v>1470</v>
      </c>
      <c r="M11" s="17" t="s">
        <v>1210</v>
      </c>
      <c r="N11" s="17" t="s">
        <v>1210</v>
      </c>
    </row>
    <row r="12" spans="1:23" x14ac:dyDescent="0.2">
      <c r="A12" t="s">
        <v>1104</v>
      </c>
      <c r="E12" s="80"/>
      <c r="F12" s="21" t="s">
        <v>1471</v>
      </c>
      <c r="G12" s="17" t="s">
        <v>1440</v>
      </c>
      <c r="H12" s="17" t="s">
        <v>1472</v>
      </c>
      <c r="I12" s="15" t="s">
        <v>1473</v>
      </c>
      <c r="J12" s="15" t="s">
        <v>1474</v>
      </c>
      <c r="K12" s="15" t="s">
        <v>1475</v>
      </c>
      <c r="L12" s="15" t="s">
        <v>1476</v>
      </c>
      <c r="M12" s="15" t="s">
        <v>1477</v>
      </c>
      <c r="N12" s="15" t="s">
        <v>1478</v>
      </c>
    </row>
    <row r="13" spans="1:23" x14ac:dyDescent="0.2">
      <c r="A13" t="s">
        <v>1108</v>
      </c>
      <c r="E13" s="80"/>
      <c r="F13" t="s">
        <v>1479</v>
      </c>
      <c r="G13" s="15" t="s">
        <v>1210</v>
      </c>
      <c r="H13" s="15" t="s">
        <v>1210</v>
      </c>
      <c r="I13" s="15" t="s">
        <v>1210</v>
      </c>
      <c r="J13" s="15" t="s">
        <v>1210</v>
      </c>
      <c r="K13" s="15" t="s">
        <v>1480</v>
      </c>
      <c r="L13" s="15" t="s">
        <v>1210</v>
      </c>
      <c r="M13" s="15" t="s">
        <v>1210</v>
      </c>
      <c r="N13" s="15" t="s">
        <v>1210</v>
      </c>
    </row>
    <row r="14" spans="1:23" x14ac:dyDescent="0.2">
      <c r="A14" t="s">
        <v>1112</v>
      </c>
      <c r="E14" s="80"/>
      <c r="F14" t="s">
        <v>1481</v>
      </c>
      <c r="G14" s="15" t="s">
        <v>1482</v>
      </c>
      <c r="H14" s="15" t="s">
        <v>1483</v>
      </c>
      <c r="I14" s="15" t="s">
        <v>1484</v>
      </c>
      <c r="J14" s="15" t="s">
        <v>1485</v>
      </c>
      <c r="K14" s="15" t="s">
        <v>1486</v>
      </c>
      <c r="L14" s="15" t="s">
        <v>1487</v>
      </c>
      <c r="M14" s="15" t="s">
        <v>1488</v>
      </c>
      <c r="N14" s="15" t="s">
        <v>1489</v>
      </c>
    </row>
    <row r="15" spans="1:23" x14ac:dyDescent="0.2">
      <c r="A15" t="s">
        <v>1114</v>
      </c>
      <c r="E15" s="80"/>
      <c r="F15" t="s">
        <v>1490</v>
      </c>
      <c r="G15" s="15" t="s">
        <v>1491</v>
      </c>
      <c r="H15" s="15" t="s">
        <v>1492</v>
      </c>
      <c r="I15" s="15" t="s">
        <v>1493</v>
      </c>
      <c r="J15" s="15" t="s">
        <v>1494</v>
      </c>
      <c r="K15" s="15" t="s">
        <v>1495</v>
      </c>
      <c r="L15" s="15" t="s">
        <v>1496</v>
      </c>
      <c r="M15" s="15" t="s">
        <v>1497</v>
      </c>
      <c r="N15" s="15" t="s">
        <v>1498</v>
      </c>
    </row>
    <row r="16" spans="1:23" x14ac:dyDescent="0.2">
      <c r="A16" t="s">
        <v>1116</v>
      </c>
      <c r="E16" s="80"/>
      <c r="F16" t="s">
        <v>1499</v>
      </c>
      <c r="G16" s="15" t="s">
        <v>1500</v>
      </c>
      <c r="H16" s="15" t="s">
        <v>1501</v>
      </c>
      <c r="I16" s="15" t="s">
        <v>1502</v>
      </c>
      <c r="J16" s="15" t="s">
        <v>1503</v>
      </c>
      <c r="K16" s="15" t="s">
        <v>1504</v>
      </c>
      <c r="L16" s="15" t="s">
        <v>1505</v>
      </c>
      <c r="M16" s="15" t="s">
        <v>1506</v>
      </c>
      <c r="N16" s="15" t="s">
        <v>1507</v>
      </c>
    </row>
    <row r="17" spans="1:14" x14ac:dyDescent="0.2">
      <c r="E17" s="80"/>
      <c r="F17" t="s">
        <v>1508</v>
      </c>
      <c r="G17" s="15" t="s">
        <v>1509</v>
      </c>
      <c r="H17" s="15" t="s">
        <v>1510</v>
      </c>
      <c r="I17" s="15" t="s">
        <v>1511</v>
      </c>
      <c r="J17" s="15" t="s">
        <v>1512</v>
      </c>
      <c r="K17" s="15" t="s">
        <v>1513</v>
      </c>
      <c r="L17" s="15" t="s">
        <v>1514</v>
      </c>
      <c r="M17" s="15" t="s">
        <v>1515</v>
      </c>
      <c r="N17" s="15" t="s">
        <v>1516</v>
      </c>
    </row>
    <row r="18" spans="1:14" x14ac:dyDescent="0.2">
      <c r="A18" s="83" t="s">
        <v>1119</v>
      </c>
      <c r="B18" s="80"/>
      <c r="E18" s="80"/>
      <c r="F18" t="s">
        <v>1517</v>
      </c>
      <c r="G18" s="15" t="s">
        <v>1518</v>
      </c>
      <c r="H18" s="15" t="s">
        <v>1519</v>
      </c>
      <c r="I18" s="15" t="s">
        <v>1520</v>
      </c>
      <c r="J18" s="15" t="s">
        <v>1521</v>
      </c>
      <c r="K18" s="15" t="s">
        <v>1522</v>
      </c>
      <c r="L18" s="15" t="s">
        <v>1523</v>
      </c>
      <c r="M18" s="15" t="s">
        <v>1524</v>
      </c>
      <c r="N18" s="15" t="s">
        <v>1525</v>
      </c>
    </row>
    <row r="19" spans="1:14" x14ac:dyDescent="0.2">
      <c r="A19" t="s">
        <v>1121</v>
      </c>
      <c r="B19" t="s">
        <v>1526</v>
      </c>
      <c r="E19" s="80"/>
      <c r="F19" t="s">
        <v>1191</v>
      </c>
      <c r="G19" s="15" t="s">
        <v>1527</v>
      </c>
      <c r="H19" s="15" t="s">
        <v>1528</v>
      </c>
      <c r="I19" s="15" t="s">
        <v>1529</v>
      </c>
      <c r="J19" s="15" t="s">
        <v>1530</v>
      </c>
      <c r="K19" s="15" t="s">
        <v>1531</v>
      </c>
      <c r="L19" s="15" t="s">
        <v>1532</v>
      </c>
      <c r="M19" s="15" t="s">
        <v>1533</v>
      </c>
      <c r="N19" s="15" t="s">
        <v>1534</v>
      </c>
    </row>
    <row r="20" spans="1:14" x14ac:dyDescent="0.2">
      <c r="E20" s="80"/>
      <c r="F20" t="s">
        <v>1535</v>
      </c>
      <c r="G20" s="15" t="s">
        <v>1210</v>
      </c>
      <c r="H20" s="15" t="s">
        <v>1536</v>
      </c>
      <c r="I20" s="15" t="s">
        <v>1537</v>
      </c>
      <c r="J20" s="15" t="s">
        <v>1538</v>
      </c>
      <c r="K20" s="15" t="s">
        <v>1539</v>
      </c>
      <c r="L20" s="15" t="s">
        <v>1210</v>
      </c>
      <c r="M20" s="15" t="s">
        <v>1210</v>
      </c>
      <c r="N20" s="15" t="s">
        <v>1210</v>
      </c>
    </row>
    <row r="21" spans="1:14" x14ac:dyDescent="0.2">
      <c r="A21" s="81" t="s">
        <v>1125</v>
      </c>
      <c r="B21" s="80"/>
      <c r="E21" s="80"/>
      <c r="F21" t="s">
        <v>1540</v>
      </c>
      <c r="G21" s="15" t="s">
        <v>1541</v>
      </c>
      <c r="H21" s="15" t="s">
        <v>1542</v>
      </c>
      <c r="I21" s="15" t="s">
        <v>1543</v>
      </c>
      <c r="J21" s="15" t="s">
        <v>1544</v>
      </c>
      <c r="K21" s="15" t="s">
        <v>1545</v>
      </c>
      <c r="L21" s="15" t="s">
        <v>1546</v>
      </c>
      <c r="M21" s="15" t="s">
        <v>1547</v>
      </c>
      <c r="N21" s="15" t="s">
        <v>1548</v>
      </c>
    </row>
    <row r="22" spans="1:14" x14ac:dyDescent="0.2">
      <c r="A22" t="s">
        <v>1135</v>
      </c>
      <c r="B22" t="s">
        <v>1549</v>
      </c>
      <c r="E22" s="80"/>
      <c r="F22" t="s">
        <v>1550</v>
      </c>
      <c r="G22" s="15" t="s">
        <v>1551</v>
      </c>
      <c r="H22" s="15" t="s">
        <v>1552</v>
      </c>
      <c r="I22" s="15" t="s">
        <v>1553</v>
      </c>
      <c r="J22" s="15" t="s">
        <v>1554</v>
      </c>
      <c r="K22" s="15" t="s">
        <v>1555</v>
      </c>
      <c r="L22" s="15" t="s">
        <v>1523</v>
      </c>
      <c r="M22" s="15" t="s">
        <v>1556</v>
      </c>
      <c r="N22" s="15" t="s">
        <v>1557</v>
      </c>
    </row>
    <row r="23" spans="1:14" x14ac:dyDescent="0.2">
      <c r="E23" s="80"/>
      <c r="F23" t="s">
        <v>1558</v>
      </c>
      <c r="G23" s="15" t="s">
        <v>1559</v>
      </c>
      <c r="H23" s="15" t="s">
        <v>1560</v>
      </c>
      <c r="I23" s="15" t="s">
        <v>1561</v>
      </c>
      <c r="J23" s="15" t="s">
        <v>1562</v>
      </c>
      <c r="K23" s="15" t="s">
        <v>1563</v>
      </c>
      <c r="L23" s="15" t="s">
        <v>1564</v>
      </c>
      <c r="M23" s="15" t="s">
        <v>1565</v>
      </c>
      <c r="N23" s="15" t="s">
        <v>1566</v>
      </c>
    </row>
    <row r="24" spans="1:14" x14ac:dyDescent="0.2">
      <c r="E24" s="80"/>
      <c r="G24" s="15"/>
      <c r="H24" s="15"/>
      <c r="I24" s="15"/>
      <c r="J24" s="15"/>
      <c r="K24" s="15"/>
      <c r="L24" s="15"/>
      <c r="M24" s="15"/>
      <c r="N24" s="15"/>
    </row>
    <row r="25" spans="1:14" x14ac:dyDescent="0.2">
      <c r="E25" s="80"/>
      <c r="F25" s="15"/>
      <c r="G25" s="15"/>
      <c r="H25" s="15"/>
      <c r="I25" s="15"/>
      <c r="J25" s="15"/>
      <c r="K25" s="15" t="s">
        <v>1226</v>
      </c>
      <c r="L25" s="15"/>
      <c r="M25" s="15"/>
      <c r="N25" s="15"/>
    </row>
    <row r="26" spans="1:14" x14ac:dyDescent="0.2">
      <c r="E26" s="80"/>
      <c r="F26" s="15"/>
      <c r="G26" s="15"/>
      <c r="H26" s="15"/>
    </row>
    <row r="27" spans="1:14" x14ac:dyDescent="0.2">
      <c r="A27" s="81"/>
      <c r="B27" s="80"/>
      <c r="E27" s="80"/>
      <c r="F27" s="15"/>
      <c r="G27" s="15"/>
      <c r="H27" s="15"/>
    </row>
    <row r="28" spans="1:14" x14ac:dyDescent="0.2">
      <c r="E28" s="80"/>
      <c r="F28" s="15"/>
      <c r="G28" s="15"/>
      <c r="H28" s="15"/>
    </row>
    <row r="29" spans="1:14" x14ac:dyDescent="0.2">
      <c r="E29" s="80"/>
      <c r="F29" s="15"/>
      <c r="G29" s="15"/>
      <c r="H29" s="15"/>
    </row>
    <row r="30" spans="1:14" x14ac:dyDescent="0.2">
      <c r="E30" s="80"/>
      <c r="F30" s="15"/>
      <c r="G30" s="15"/>
      <c r="H30" s="15"/>
    </row>
    <row r="31" spans="1:14" x14ac:dyDescent="0.2">
      <c r="E31" s="80"/>
      <c r="F31" s="15"/>
      <c r="G31" s="15"/>
      <c r="H31" s="15"/>
      <c r="K31" t="s">
        <v>1227</v>
      </c>
    </row>
    <row r="32" spans="1:14"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0">
    <mergeCell ref="B1:O1"/>
    <mergeCell ref="A21:B21"/>
    <mergeCell ref="E5:E57"/>
    <mergeCell ref="G5:L5"/>
    <mergeCell ref="A9:B9"/>
    <mergeCell ref="A5:B5"/>
    <mergeCell ref="M5:N5"/>
    <mergeCell ref="F5:F6"/>
    <mergeCell ref="A18:B18"/>
    <mergeCell ref="A27:B27"/>
  </mergeCells>
  <dataValidations count="4">
    <dataValidation type="list" allowBlank="1" showInputMessage="1" showErrorMessage="1" sqref="P4:Q4" xr:uid="{00000000-0002-0000-1A00-000000000000}">
      <formula1>"integer, number, percent1"</formula1>
    </dataValidation>
    <dataValidation type="list" allowBlank="1" showInputMessage="1" showErrorMessage="1" sqref="B10" xr:uid="{00000000-0002-0000-1A00-000001000000}">
      <formula1>"Line,Clustered Bar,Stacked Bar,Bar,Horizontal Stacked Bar"</formula1>
    </dataValidation>
    <dataValidation type="list" allowBlank="1" showInputMessage="1" showErrorMessage="1" sqref="B2" xr:uid="{00000000-0002-0000-1A00-000002000000}">
      <formula1>"Table,Figure,Both"</formula1>
    </dataValidation>
    <dataValidation type="list" allowBlank="1" showInputMessage="1" showErrorMessage="1" sqref="B6 B15:B16" xr:uid="{00000000-0002-0000-1A00-000003000000}">
      <formula1>"True,False"</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57"/>
  <sheetViews>
    <sheetView topLeftCell="F1" workbookViewId="0">
      <selection activeCell="P35" sqref="P35"/>
    </sheetView>
  </sheetViews>
  <sheetFormatPr baseColWidth="10" defaultColWidth="8.6640625" defaultRowHeight="15" x14ac:dyDescent="0.2"/>
  <cols>
    <col min="1" max="1" width="20" bestFit="1" customWidth="1"/>
    <col min="2" max="2" width="22.1640625" bestFit="1" customWidth="1"/>
    <col min="5" max="5" width="6.6640625" customWidth="1"/>
    <col min="6" max="6" width="24.83203125" bestFit="1" customWidth="1"/>
    <col min="7" max="7" width="26.6640625" bestFit="1" customWidth="1"/>
    <col min="8" max="8" width="8.33203125" bestFit="1" customWidth="1"/>
    <col min="9" max="10" width="8.83203125" bestFit="1" customWidth="1"/>
    <col min="11" max="11" width="20.1640625" customWidth="1"/>
    <col min="12" max="12" width="8.33203125" bestFit="1" customWidth="1"/>
    <col min="13" max="13" width="12.1640625" bestFit="1" customWidth="1"/>
    <col min="14" max="14" width="12.33203125" bestFit="1" customWidth="1"/>
    <col min="15" max="16" width="12.5" bestFit="1" customWidth="1"/>
  </cols>
  <sheetData>
    <row r="1" spans="1:21" x14ac:dyDescent="0.2">
      <c r="A1" s="16" t="s">
        <v>1077</v>
      </c>
      <c r="B1" s="79" t="s">
        <v>96</v>
      </c>
      <c r="C1" s="80"/>
      <c r="D1" s="80"/>
      <c r="E1" s="80"/>
      <c r="F1" s="80"/>
      <c r="G1" s="80"/>
      <c r="H1" s="80"/>
      <c r="I1" s="80"/>
      <c r="J1" s="80"/>
      <c r="K1" s="80"/>
      <c r="L1" s="80"/>
      <c r="M1" s="80"/>
      <c r="N1" s="80"/>
      <c r="O1" s="80"/>
    </row>
    <row r="2" spans="1:21" x14ac:dyDescent="0.2">
      <c r="A2" s="16" t="s">
        <v>1078</v>
      </c>
      <c r="B2" t="s">
        <v>1079</v>
      </c>
    </row>
    <row r="3" spans="1:21" x14ac:dyDescent="0.2">
      <c r="A3" s="16" t="s">
        <v>1080</v>
      </c>
      <c r="B3" t="str">
        <f>IF($B$1="","",_xlfn.XLOOKUP($B$1,Master!$F$2:$F$321,Master!$G$2:$G$321,""))</f>
        <v>tbl-educational-attain</v>
      </c>
    </row>
    <row r="4" spans="1:21" x14ac:dyDescent="0.2">
      <c r="A4" s="16" t="s">
        <v>7</v>
      </c>
      <c r="B4" t="str">
        <f>IF($B$1="","",_xlfn.XLOOKUP($B$1,Master!$F$2:$F$321,Master!$H$2:$H$321,""))</f>
        <v>fig-educational-attain</v>
      </c>
      <c r="E4" s="8"/>
      <c r="F4" s="10" t="s">
        <v>968</v>
      </c>
      <c r="G4" s="10" t="s">
        <v>973</v>
      </c>
      <c r="H4" s="10" t="s">
        <v>973</v>
      </c>
      <c r="I4" s="10" t="s">
        <v>979</v>
      </c>
      <c r="J4" s="10" t="s">
        <v>973</v>
      </c>
      <c r="K4" s="10" t="s">
        <v>979</v>
      </c>
      <c r="L4" s="10" t="s">
        <v>973</v>
      </c>
      <c r="M4" s="10" t="s">
        <v>979</v>
      </c>
      <c r="N4" s="10" t="s">
        <v>973</v>
      </c>
      <c r="O4" s="10" t="s">
        <v>979</v>
      </c>
      <c r="P4" s="10" t="s">
        <v>973</v>
      </c>
      <c r="Q4" s="10" t="s">
        <v>979</v>
      </c>
      <c r="R4" s="10" t="s">
        <v>973</v>
      </c>
      <c r="S4" s="10" t="s">
        <v>979</v>
      </c>
      <c r="T4" s="10" t="s">
        <v>973</v>
      </c>
      <c r="U4" s="10" t="s">
        <v>979</v>
      </c>
    </row>
    <row r="5" spans="1:21" x14ac:dyDescent="0.2">
      <c r="A5" s="83" t="s">
        <v>1081</v>
      </c>
      <c r="B5" s="80"/>
      <c r="E5" s="82" t="s">
        <v>1082</v>
      </c>
      <c r="F5" s="84" t="s">
        <v>1083</v>
      </c>
      <c r="G5" s="84" t="s">
        <v>1567</v>
      </c>
      <c r="H5" s="81" t="s">
        <v>1568</v>
      </c>
      <c r="I5" s="81"/>
      <c r="J5" s="81"/>
      <c r="K5" s="81"/>
      <c r="L5" s="81"/>
      <c r="M5" s="81"/>
      <c r="N5" s="81"/>
      <c r="O5" s="81"/>
      <c r="P5" s="81"/>
      <c r="Q5" s="81"/>
      <c r="R5" s="81"/>
      <c r="S5" s="81"/>
      <c r="T5" s="81"/>
      <c r="U5" s="81"/>
    </row>
    <row r="6" spans="1:21" ht="15" customHeight="1" x14ac:dyDescent="0.2">
      <c r="A6" t="s">
        <v>1088</v>
      </c>
      <c r="B6" t="b">
        <v>1</v>
      </c>
      <c r="E6" s="80"/>
      <c r="F6" s="80"/>
      <c r="G6" s="80"/>
      <c r="H6" s="81" t="s">
        <v>1569</v>
      </c>
      <c r="I6" s="80"/>
      <c r="J6" s="81" t="s">
        <v>1570</v>
      </c>
      <c r="K6" s="80"/>
      <c r="L6" s="81" t="s">
        <v>1571</v>
      </c>
      <c r="M6" s="80"/>
      <c r="N6" s="81" t="s">
        <v>1572</v>
      </c>
      <c r="O6" s="80"/>
      <c r="P6" s="81" t="s">
        <v>1573</v>
      </c>
      <c r="Q6" s="80"/>
      <c r="R6" s="81" t="s">
        <v>1574</v>
      </c>
      <c r="S6" s="80"/>
      <c r="T6" s="81" t="s">
        <v>1575</v>
      </c>
      <c r="U6" s="80"/>
    </row>
    <row r="7" spans="1:21" ht="15.75" customHeight="1" x14ac:dyDescent="0.2">
      <c r="E7" s="80"/>
      <c r="F7" s="80"/>
      <c r="G7" s="80"/>
      <c r="H7" s="15" t="s">
        <v>1272</v>
      </c>
      <c r="I7" s="15" t="s">
        <v>1344</v>
      </c>
      <c r="J7" s="15" t="s">
        <v>1272</v>
      </c>
      <c r="K7" s="15" t="s">
        <v>1344</v>
      </c>
      <c r="L7" s="15" t="s">
        <v>1272</v>
      </c>
      <c r="M7" s="15" t="s">
        <v>1344</v>
      </c>
      <c r="N7" s="15" t="s">
        <v>1272</v>
      </c>
      <c r="O7" s="15" t="s">
        <v>1344</v>
      </c>
      <c r="P7" s="15" t="s">
        <v>1272</v>
      </c>
      <c r="Q7" s="15" t="s">
        <v>1344</v>
      </c>
      <c r="R7" s="15" t="s">
        <v>1272</v>
      </c>
      <c r="S7" s="15" t="s">
        <v>1344</v>
      </c>
      <c r="T7" s="15" t="s">
        <v>1272</v>
      </c>
      <c r="U7" s="15" t="s">
        <v>1344</v>
      </c>
    </row>
    <row r="8" spans="1:21" x14ac:dyDescent="0.2">
      <c r="E8" s="80"/>
      <c r="F8" s="16" t="s">
        <v>1096</v>
      </c>
      <c r="G8" s="23">
        <v>258632</v>
      </c>
      <c r="H8" s="23">
        <v>10091</v>
      </c>
      <c r="I8" s="15">
        <v>390</v>
      </c>
      <c r="J8" s="23">
        <v>16609</v>
      </c>
      <c r="K8" s="15">
        <v>640</v>
      </c>
      <c r="L8" s="23">
        <v>72466</v>
      </c>
      <c r="M8" s="15">
        <v>2800</v>
      </c>
      <c r="N8" s="23">
        <v>49355</v>
      </c>
      <c r="O8" s="15">
        <v>1910</v>
      </c>
      <c r="P8" s="14">
        <v>26722</v>
      </c>
      <c r="Q8">
        <v>1030</v>
      </c>
      <c r="R8" s="14">
        <v>46977</v>
      </c>
      <c r="S8">
        <v>1820</v>
      </c>
      <c r="T8" s="14">
        <v>36412</v>
      </c>
      <c r="U8">
        <v>14.1</v>
      </c>
    </row>
    <row r="9" spans="1:21" x14ac:dyDescent="0.2">
      <c r="A9" s="83" t="s">
        <v>1098</v>
      </c>
      <c r="B9" s="80"/>
      <c r="E9" s="80"/>
      <c r="F9" s="16" t="s">
        <v>1097</v>
      </c>
      <c r="G9" s="23">
        <v>11597</v>
      </c>
      <c r="H9" s="15">
        <v>260</v>
      </c>
      <c r="I9" s="15">
        <v>2.2000000000000002</v>
      </c>
      <c r="J9" s="15">
        <v>591</v>
      </c>
      <c r="K9" s="15">
        <v>5.0999999999999996</v>
      </c>
      <c r="L9" s="23">
        <v>3025</v>
      </c>
      <c r="M9" s="15">
        <v>26.1</v>
      </c>
      <c r="N9" s="23">
        <v>2303</v>
      </c>
      <c r="O9" s="15">
        <v>19.899999999999999</v>
      </c>
      <c r="P9" s="14">
        <v>1728</v>
      </c>
      <c r="Q9">
        <v>14.9</v>
      </c>
      <c r="R9" s="14">
        <v>2143</v>
      </c>
      <c r="S9">
        <v>18.5</v>
      </c>
      <c r="T9" s="14">
        <v>1547</v>
      </c>
      <c r="U9">
        <v>13.3</v>
      </c>
    </row>
    <row r="10" spans="1:21" x14ac:dyDescent="0.2">
      <c r="A10" t="s">
        <v>1100</v>
      </c>
      <c r="E10" s="80"/>
      <c r="F10" s="47" t="s">
        <v>1099</v>
      </c>
      <c r="G10" s="23">
        <v>1959</v>
      </c>
      <c r="H10">
        <v>7</v>
      </c>
      <c r="I10">
        <v>0.4</v>
      </c>
      <c r="J10">
        <v>141</v>
      </c>
      <c r="K10">
        <v>7.2</v>
      </c>
      <c r="L10">
        <v>516</v>
      </c>
      <c r="M10">
        <v>26.3</v>
      </c>
      <c r="N10">
        <v>629</v>
      </c>
      <c r="O10">
        <v>32.1</v>
      </c>
      <c r="P10">
        <v>91</v>
      </c>
      <c r="Q10">
        <v>4.5999999999999996</v>
      </c>
      <c r="R10">
        <v>303</v>
      </c>
      <c r="S10">
        <v>15.5</v>
      </c>
      <c r="T10">
        <v>272</v>
      </c>
      <c r="U10">
        <v>13.9</v>
      </c>
    </row>
    <row r="11" spans="1:21" x14ac:dyDescent="0.2">
      <c r="A11" t="s">
        <v>1102</v>
      </c>
      <c r="E11" s="80"/>
      <c r="F11" s="47" t="s">
        <v>1101</v>
      </c>
      <c r="G11" s="23">
        <v>4006</v>
      </c>
      <c r="H11" s="15">
        <v>82</v>
      </c>
      <c r="I11" s="15">
        <v>2</v>
      </c>
      <c r="J11" s="17">
        <v>253</v>
      </c>
      <c r="K11" s="17">
        <v>6.3</v>
      </c>
      <c r="L11" s="28">
        <v>1111</v>
      </c>
      <c r="M11" s="17">
        <v>27.7</v>
      </c>
      <c r="N11" s="17">
        <v>822</v>
      </c>
      <c r="O11">
        <v>20.5</v>
      </c>
      <c r="P11">
        <v>391</v>
      </c>
      <c r="Q11">
        <v>9.8000000000000007</v>
      </c>
      <c r="R11">
        <v>914</v>
      </c>
      <c r="S11">
        <v>22.8</v>
      </c>
      <c r="T11">
        <v>433</v>
      </c>
      <c r="U11">
        <v>10.8</v>
      </c>
    </row>
    <row r="12" spans="1:21" x14ac:dyDescent="0.2">
      <c r="A12" t="s">
        <v>1104</v>
      </c>
      <c r="E12" s="80"/>
      <c r="F12" s="16" t="s">
        <v>1103</v>
      </c>
      <c r="G12" s="28">
        <v>8721</v>
      </c>
      <c r="H12" s="17">
        <v>79</v>
      </c>
      <c r="I12" s="15">
        <v>0.9</v>
      </c>
      <c r="J12" s="15">
        <v>238</v>
      </c>
      <c r="K12" s="15">
        <v>2.7</v>
      </c>
      <c r="L12" s="23">
        <v>2147</v>
      </c>
      <c r="M12">
        <v>24.8</v>
      </c>
      <c r="N12" s="14">
        <v>1812</v>
      </c>
      <c r="O12">
        <v>20.8</v>
      </c>
      <c r="P12">
        <v>885</v>
      </c>
      <c r="Q12">
        <v>10.1</v>
      </c>
      <c r="R12" s="14">
        <v>2042</v>
      </c>
      <c r="S12">
        <v>23.4</v>
      </c>
      <c r="T12" s="14">
        <v>1518</v>
      </c>
      <c r="U12">
        <v>17.399999999999999</v>
      </c>
    </row>
    <row r="13" spans="1:21" x14ac:dyDescent="0.2">
      <c r="A13" t="s">
        <v>1108</v>
      </c>
      <c r="E13" s="80"/>
      <c r="F13" s="48" t="s">
        <v>1105</v>
      </c>
      <c r="G13" s="23">
        <v>3001</v>
      </c>
      <c r="H13">
        <v>59</v>
      </c>
      <c r="I13">
        <v>2</v>
      </c>
      <c r="J13">
        <v>125</v>
      </c>
      <c r="K13">
        <v>4.2</v>
      </c>
      <c r="L13">
        <v>803</v>
      </c>
      <c r="M13">
        <v>26.8</v>
      </c>
      <c r="N13">
        <v>811</v>
      </c>
      <c r="O13">
        <v>27</v>
      </c>
      <c r="P13">
        <v>233</v>
      </c>
      <c r="Q13">
        <v>7.8</v>
      </c>
      <c r="R13">
        <v>683</v>
      </c>
      <c r="S13">
        <v>22.8</v>
      </c>
      <c r="T13">
        <v>287</v>
      </c>
      <c r="U13">
        <v>9.6</v>
      </c>
    </row>
    <row r="14" spans="1:21" x14ac:dyDescent="0.2">
      <c r="A14" t="s">
        <v>1112</v>
      </c>
      <c r="E14" s="80"/>
      <c r="F14" s="16" t="s">
        <v>1109</v>
      </c>
      <c r="G14" s="23">
        <v>8939</v>
      </c>
      <c r="H14">
        <v>190</v>
      </c>
      <c r="I14">
        <v>2.1</v>
      </c>
      <c r="J14">
        <v>215</v>
      </c>
      <c r="K14">
        <v>2.4</v>
      </c>
      <c r="L14" s="14">
        <v>1426</v>
      </c>
      <c r="M14">
        <v>16</v>
      </c>
      <c r="N14" s="14">
        <v>1195</v>
      </c>
      <c r="O14">
        <v>13.4</v>
      </c>
      <c r="P14" s="14">
        <v>1132</v>
      </c>
      <c r="Q14">
        <v>12.7</v>
      </c>
      <c r="R14" s="14">
        <v>2275</v>
      </c>
      <c r="S14">
        <v>25.5</v>
      </c>
      <c r="T14" s="14">
        <v>2506</v>
      </c>
      <c r="U14">
        <v>28</v>
      </c>
    </row>
    <row r="15" spans="1:21" x14ac:dyDescent="0.2">
      <c r="A15" t="s">
        <v>1114</v>
      </c>
      <c r="E15" s="80"/>
      <c r="F15" s="47" t="s">
        <v>1113</v>
      </c>
      <c r="G15" s="23">
        <v>2132</v>
      </c>
      <c r="H15">
        <v>11</v>
      </c>
      <c r="I15">
        <v>0.5</v>
      </c>
      <c r="J15">
        <v>47</v>
      </c>
      <c r="K15">
        <v>2.2000000000000002</v>
      </c>
      <c r="L15">
        <v>217</v>
      </c>
      <c r="M15">
        <v>10.199999999999999</v>
      </c>
      <c r="N15">
        <v>225</v>
      </c>
      <c r="O15">
        <v>10.6</v>
      </c>
      <c r="P15">
        <v>408</v>
      </c>
      <c r="Q15">
        <v>19.100000000000001</v>
      </c>
      <c r="R15">
        <v>520</v>
      </c>
      <c r="S15">
        <v>24.4</v>
      </c>
      <c r="T15">
        <v>704</v>
      </c>
      <c r="U15">
        <v>33</v>
      </c>
    </row>
    <row r="16" spans="1:21" x14ac:dyDescent="0.2">
      <c r="A16" t="s">
        <v>1116</v>
      </c>
      <c r="E16" s="80"/>
      <c r="F16" s="25" t="s">
        <v>1115</v>
      </c>
      <c r="G16" s="23">
        <v>6197</v>
      </c>
      <c r="H16">
        <v>113</v>
      </c>
      <c r="I16">
        <v>1.8</v>
      </c>
      <c r="J16">
        <v>186</v>
      </c>
      <c r="K16">
        <v>3</v>
      </c>
      <c r="L16" s="14">
        <v>2009</v>
      </c>
      <c r="M16">
        <v>32.4</v>
      </c>
      <c r="N16" s="14">
        <v>1255</v>
      </c>
      <c r="O16">
        <v>20.3</v>
      </c>
      <c r="P16">
        <v>715</v>
      </c>
      <c r="Q16">
        <v>11.5</v>
      </c>
      <c r="R16" s="14">
        <v>1147</v>
      </c>
      <c r="S16">
        <v>18.5</v>
      </c>
      <c r="T16">
        <v>772</v>
      </c>
      <c r="U16">
        <v>12.5</v>
      </c>
    </row>
    <row r="17" spans="1:21" x14ac:dyDescent="0.2">
      <c r="E17" s="80"/>
      <c r="F17" s="25" t="s">
        <v>1117</v>
      </c>
      <c r="G17" s="23">
        <v>5451</v>
      </c>
      <c r="H17">
        <v>49</v>
      </c>
      <c r="I17">
        <v>0.9</v>
      </c>
      <c r="J17">
        <v>266</v>
      </c>
      <c r="K17">
        <v>4.9000000000000004</v>
      </c>
      <c r="L17" s="14">
        <v>2054</v>
      </c>
      <c r="M17">
        <v>37.700000000000003</v>
      </c>
      <c r="N17" s="14">
        <v>1183</v>
      </c>
      <c r="O17">
        <v>21.7</v>
      </c>
      <c r="P17">
        <v>723</v>
      </c>
      <c r="Q17">
        <v>13.3</v>
      </c>
      <c r="R17">
        <v>738</v>
      </c>
      <c r="S17">
        <v>13.5</v>
      </c>
      <c r="T17">
        <v>438</v>
      </c>
      <c r="U17">
        <v>8</v>
      </c>
    </row>
    <row r="18" spans="1:21" x14ac:dyDescent="0.2">
      <c r="A18" s="83" t="s">
        <v>1119</v>
      </c>
      <c r="B18" s="80"/>
      <c r="E18" s="80"/>
      <c r="F18" s="25" t="s">
        <v>1118</v>
      </c>
      <c r="G18" s="23">
        <v>10366</v>
      </c>
      <c r="H18">
        <v>313</v>
      </c>
      <c r="I18">
        <v>3</v>
      </c>
      <c r="J18">
        <v>876</v>
      </c>
      <c r="K18">
        <v>8.5</v>
      </c>
      <c r="L18" s="14">
        <v>2411</v>
      </c>
      <c r="M18">
        <v>23.3</v>
      </c>
      <c r="N18" s="14">
        <v>1600</v>
      </c>
      <c r="O18">
        <v>15.4</v>
      </c>
      <c r="P18" s="14">
        <v>1008</v>
      </c>
      <c r="Q18">
        <v>9.6999999999999993</v>
      </c>
      <c r="R18" s="14">
        <v>2216</v>
      </c>
      <c r="S18">
        <v>21.4</v>
      </c>
      <c r="T18" s="14">
        <v>1942</v>
      </c>
      <c r="U18">
        <v>18.7</v>
      </c>
    </row>
    <row r="19" spans="1:21" x14ac:dyDescent="0.2">
      <c r="A19" t="s">
        <v>1121</v>
      </c>
      <c r="B19" t="s">
        <v>1576</v>
      </c>
      <c r="E19" s="80"/>
      <c r="F19" s="47" t="s">
        <v>1120</v>
      </c>
      <c r="G19" s="23">
        <v>4276</v>
      </c>
      <c r="H19">
        <v>180</v>
      </c>
      <c r="I19">
        <v>4.2</v>
      </c>
      <c r="J19">
        <v>403</v>
      </c>
      <c r="K19">
        <v>9.4</v>
      </c>
      <c r="L19">
        <v>866</v>
      </c>
      <c r="M19">
        <v>20.3</v>
      </c>
      <c r="N19">
        <v>706</v>
      </c>
      <c r="O19">
        <v>16.5</v>
      </c>
      <c r="P19">
        <v>452</v>
      </c>
      <c r="Q19">
        <v>10.6</v>
      </c>
      <c r="R19">
        <v>947</v>
      </c>
      <c r="S19">
        <v>22.1</v>
      </c>
      <c r="T19">
        <v>722</v>
      </c>
      <c r="U19">
        <v>16.899999999999999</v>
      </c>
    </row>
    <row r="20" spans="1:21" x14ac:dyDescent="0.2">
      <c r="E20" s="80"/>
      <c r="F20" s="16" t="s">
        <v>1123</v>
      </c>
      <c r="G20" s="23">
        <v>3247</v>
      </c>
      <c r="H20" s="15">
        <v>11</v>
      </c>
      <c r="I20">
        <v>0.3</v>
      </c>
      <c r="J20">
        <v>81</v>
      </c>
      <c r="K20">
        <v>2.5</v>
      </c>
      <c r="L20" s="14">
        <v>1060</v>
      </c>
      <c r="M20">
        <v>32.6</v>
      </c>
      <c r="N20">
        <v>679</v>
      </c>
      <c r="O20">
        <v>20.9</v>
      </c>
      <c r="P20">
        <v>471</v>
      </c>
      <c r="Q20">
        <v>14.5</v>
      </c>
      <c r="R20">
        <v>463</v>
      </c>
      <c r="S20">
        <v>14.3</v>
      </c>
      <c r="T20">
        <v>482</v>
      </c>
      <c r="U20">
        <v>14.8</v>
      </c>
    </row>
    <row r="21" spans="1:21" x14ac:dyDescent="0.2">
      <c r="A21" s="81" t="s">
        <v>1125</v>
      </c>
      <c r="B21" s="80"/>
      <c r="E21" s="80"/>
      <c r="F21" s="16" t="s">
        <v>1124</v>
      </c>
      <c r="G21" s="23">
        <v>3728</v>
      </c>
      <c r="H21" s="15">
        <v>118</v>
      </c>
      <c r="I21">
        <v>3.2</v>
      </c>
      <c r="J21">
        <v>86</v>
      </c>
      <c r="K21">
        <v>2.2999999999999998</v>
      </c>
      <c r="L21">
        <v>850</v>
      </c>
      <c r="M21">
        <v>22.8</v>
      </c>
      <c r="N21">
        <v>744</v>
      </c>
      <c r="O21">
        <v>20</v>
      </c>
      <c r="P21">
        <v>332</v>
      </c>
      <c r="Q21">
        <v>8.9</v>
      </c>
      <c r="R21">
        <v>679</v>
      </c>
      <c r="S21">
        <v>18.2</v>
      </c>
      <c r="T21">
        <v>919</v>
      </c>
      <c r="U21">
        <v>24.7</v>
      </c>
    </row>
    <row r="22" spans="1:21" x14ac:dyDescent="0.2">
      <c r="A22" t="s">
        <v>1135</v>
      </c>
      <c r="B22" t="s">
        <v>1577</v>
      </c>
      <c r="E22" s="80"/>
      <c r="F22" s="16" t="s">
        <v>1126</v>
      </c>
      <c r="G22" s="23">
        <v>6664</v>
      </c>
      <c r="H22" s="15">
        <v>173</v>
      </c>
      <c r="I22">
        <v>2.6</v>
      </c>
      <c r="J22">
        <v>368</v>
      </c>
      <c r="K22">
        <v>5.5</v>
      </c>
      <c r="L22" s="14">
        <v>1494</v>
      </c>
      <c r="M22">
        <v>22.4</v>
      </c>
      <c r="N22" s="14">
        <v>1069</v>
      </c>
      <c r="O22">
        <v>16</v>
      </c>
      <c r="P22">
        <v>458</v>
      </c>
      <c r="Q22">
        <v>6.9</v>
      </c>
      <c r="R22" s="14">
        <v>1220</v>
      </c>
      <c r="S22">
        <v>18.3</v>
      </c>
      <c r="T22" s="14">
        <v>1882</v>
      </c>
      <c r="U22">
        <v>28.2</v>
      </c>
    </row>
    <row r="23" spans="1:21" x14ac:dyDescent="0.2">
      <c r="E23" s="80"/>
      <c r="F23" s="47" t="s">
        <v>1137</v>
      </c>
      <c r="G23" s="23">
        <v>2645</v>
      </c>
      <c r="H23" s="15">
        <v>94</v>
      </c>
      <c r="I23">
        <v>3.6</v>
      </c>
      <c r="J23">
        <v>190</v>
      </c>
      <c r="K23">
        <v>7.2</v>
      </c>
      <c r="L23">
        <v>752</v>
      </c>
      <c r="M23">
        <v>28.4</v>
      </c>
      <c r="N23">
        <v>430</v>
      </c>
      <c r="O23">
        <v>16.3</v>
      </c>
      <c r="P23">
        <v>200</v>
      </c>
      <c r="Q23">
        <v>7.6</v>
      </c>
      <c r="R23">
        <v>484</v>
      </c>
      <c r="S23">
        <v>18.3</v>
      </c>
      <c r="T23">
        <v>495</v>
      </c>
      <c r="U23">
        <v>18.7</v>
      </c>
    </row>
    <row r="24" spans="1:21" x14ac:dyDescent="0.2">
      <c r="E24" s="80"/>
      <c r="F24" s="16" t="s">
        <v>1146</v>
      </c>
      <c r="G24" s="23">
        <v>19878</v>
      </c>
      <c r="H24" s="14">
        <v>1747</v>
      </c>
      <c r="I24">
        <v>8.8000000000000007</v>
      </c>
      <c r="J24" s="14">
        <v>1801</v>
      </c>
      <c r="K24">
        <v>9.1</v>
      </c>
      <c r="L24" s="14">
        <v>6235</v>
      </c>
      <c r="M24">
        <v>31.4</v>
      </c>
      <c r="N24" s="14">
        <v>3799</v>
      </c>
      <c r="O24">
        <v>19.100000000000001</v>
      </c>
      <c r="P24" s="14">
        <v>2374</v>
      </c>
      <c r="Q24">
        <v>11.9</v>
      </c>
      <c r="R24" s="14">
        <v>2084</v>
      </c>
      <c r="S24">
        <v>10.5</v>
      </c>
      <c r="T24" s="14">
        <v>1844</v>
      </c>
      <c r="U24">
        <v>9.3000000000000007</v>
      </c>
    </row>
    <row r="25" spans="1:21" x14ac:dyDescent="0.2">
      <c r="E25" s="80"/>
      <c r="F25" s="16" t="s">
        <v>1150</v>
      </c>
      <c r="G25" s="23">
        <v>2895</v>
      </c>
      <c r="H25" s="15">
        <v>65</v>
      </c>
      <c r="I25">
        <v>2.2000000000000002</v>
      </c>
      <c r="J25">
        <v>168</v>
      </c>
      <c r="K25">
        <v>5.8</v>
      </c>
      <c r="L25">
        <v>764</v>
      </c>
      <c r="M25">
        <v>26.4</v>
      </c>
      <c r="N25">
        <v>515</v>
      </c>
      <c r="O25">
        <v>17.8</v>
      </c>
      <c r="P25">
        <v>247</v>
      </c>
      <c r="Q25">
        <v>8.5</v>
      </c>
      <c r="R25">
        <v>550</v>
      </c>
      <c r="S25">
        <v>19</v>
      </c>
      <c r="T25">
        <v>586</v>
      </c>
      <c r="U25">
        <v>20.2</v>
      </c>
    </row>
    <row r="26" spans="1:21" x14ac:dyDescent="0.2">
      <c r="E26" s="80"/>
      <c r="F26" s="47" t="s">
        <v>1154</v>
      </c>
      <c r="G26" s="15">
        <v>383</v>
      </c>
      <c r="H26" s="15">
        <v>16</v>
      </c>
      <c r="I26">
        <v>4.2</v>
      </c>
      <c r="J26">
        <v>2</v>
      </c>
      <c r="K26">
        <v>0.5</v>
      </c>
      <c r="L26">
        <v>92</v>
      </c>
      <c r="M26">
        <v>24</v>
      </c>
      <c r="N26">
        <v>49</v>
      </c>
      <c r="O26">
        <v>12.8</v>
      </c>
      <c r="P26">
        <v>54</v>
      </c>
      <c r="Q26">
        <v>14.1</v>
      </c>
      <c r="R26">
        <v>34</v>
      </c>
      <c r="S26">
        <v>8.9</v>
      </c>
      <c r="T26">
        <v>136</v>
      </c>
      <c r="U26">
        <v>35.5</v>
      </c>
    </row>
    <row r="27" spans="1:21" x14ac:dyDescent="0.2">
      <c r="A27" s="81"/>
      <c r="B27" s="80"/>
      <c r="E27" s="80"/>
      <c r="F27" s="16" t="s">
        <v>1158</v>
      </c>
      <c r="G27" s="23">
        <v>13477</v>
      </c>
      <c r="H27" s="15">
        <v>581</v>
      </c>
      <c r="I27">
        <v>4.3</v>
      </c>
      <c r="J27">
        <v>628</v>
      </c>
      <c r="K27">
        <v>4.7</v>
      </c>
      <c r="L27" s="14">
        <v>2942</v>
      </c>
      <c r="M27">
        <v>21.8</v>
      </c>
      <c r="N27" s="14">
        <v>2448</v>
      </c>
      <c r="O27">
        <v>18.2</v>
      </c>
      <c r="P27" s="14">
        <v>1041</v>
      </c>
      <c r="Q27">
        <v>7.7</v>
      </c>
      <c r="R27" s="14">
        <v>3659</v>
      </c>
      <c r="S27">
        <v>27.1</v>
      </c>
      <c r="T27" s="14">
        <v>2178</v>
      </c>
      <c r="U27">
        <v>16.2</v>
      </c>
    </row>
    <row r="28" spans="1:21" x14ac:dyDescent="0.2">
      <c r="E28" s="80"/>
      <c r="F28" s="47" t="s">
        <v>1244</v>
      </c>
      <c r="G28" s="23">
        <v>1396</v>
      </c>
      <c r="H28" s="15">
        <v>51</v>
      </c>
      <c r="I28">
        <v>3.6</v>
      </c>
      <c r="J28">
        <v>88</v>
      </c>
      <c r="K28">
        <v>6.3</v>
      </c>
      <c r="L28">
        <v>425</v>
      </c>
      <c r="M28">
        <v>30.4</v>
      </c>
      <c r="N28">
        <v>146</v>
      </c>
      <c r="O28">
        <v>10.5</v>
      </c>
      <c r="P28">
        <v>171</v>
      </c>
      <c r="Q28">
        <v>12.2</v>
      </c>
      <c r="R28">
        <v>292</v>
      </c>
      <c r="S28">
        <v>20.9</v>
      </c>
      <c r="T28">
        <v>223</v>
      </c>
      <c r="U28">
        <v>15.9</v>
      </c>
    </row>
    <row r="29" spans="1:21" x14ac:dyDescent="0.2">
      <c r="E29" s="80"/>
      <c r="F29" s="47" t="s">
        <v>1164</v>
      </c>
      <c r="G29" s="23">
        <v>5796</v>
      </c>
      <c r="H29" s="15">
        <v>441</v>
      </c>
      <c r="I29">
        <v>7.6</v>
      </c>
      <c r="J29">
        <v>212</v>
      </c>
      <c r="K29">
        <v>3.7</v>
      </c>
      <c r="L29" s="14">
        <v>1251</v>
      </c>
      <c r="M29">
        <v>21.6</v>
      </c>
      <c r="N29">
        <v>989</v>
      </c>
      <c r="O29">
        <v>17.100000000000001</v>
      </c>
      <c r="P29">
        <v>604</v>
      </c>
      <c r="Q29">
        <v>10.4</v>
      </c>
      <c r="R29" s="14">
        <v>1541</v>
      </c>
      <c r="S29">
        <v>26.6</v>
      </c>
      <c r="T29">
        <v>758</v>
      </c>
      <c r="U29">
        <v>13.1</v>
      </c>
    </row>
    <row r="30" spans="1:21" x14ac:dyDescent="0.2">
      <c r="E30" s="80"/>
      <c r="F30" s="16" t="s">
        <v>1166</v>
      </c>
      <c r="G30" s="23">
        <v>15586</v>
      </c>
      <c r="H30" s="15">
        <v>653</v>
      </c>
      <c r="I30">
        <v>4.2</v>
      </c>
      <c r="J30">
        <v>971</v>
      </c>
      <c r="K30">
        <v>6.2</v>
      </c>
      <c r="L30" s="14">
        <v>4339</v>
      </c>
      <c r="M30">
        <v>27.8</v>
      </c>
      <c r="N30" s="14">
        <v>3254</v>
      </c>
      <c r="O30">
        <v>20.9</v>
      </c>
      <c r="P30" s="14">
        <v>1979</v>
      </c>
      <c r="Q30">
        <v>12.7</v>
      </c>
      <c r="R30" s="14">
        <v>2712</v>
      </c>
      <c r="S30">
        <v>17.399999999999999</v>
      </c>
      <c r="T30" s="14">
        <v>1678</v>
      </c>
      <c r="U30">
        <v>10.8</v>
      </c>
    </row>
    <row r="31" spans="1:21" x14ac:dyDescent="0.2">
      <c r="E31" s="80"/>
      <c r="F31" s="47" t="s">
        <v>1168</v>
      </c>
      <c r="G31" s="23">
        <v>2432</v>
      </c>
      <c r="H31" s="15">
        <v>80</v>
      </c>
      <c r="I31">
        <v>3.3</v>
      </c>
      <c r="J31">
        <v>129</v>
      </c>
      <c r="K31">
        <v>5.3</v>
      </c>
      <c r="L31">
        <v>853</v>
      </c>
      <c r="M31">
        <v>35.1</v>
      </c>
      <c r="N31">
        <v>571</v>
      </c>
      <c r="O31">
        <v>23.5</v>
      </c>
      <c r="P31">
        <v>282</v>
      </c>
      <c r="Q31">
        <v>11.6</v>
      </c>
      <c r="R31">
        <v>394</v>
      </c>
      <c r="S31">
        <v>16.2</v>
      </c>
      <c r="T31">
        <v>123</v>
      </c>
      <c r="U31">
        <v>5.0999999999999996</v>
      </c>
    </row>
    <row r="32" spans="1:21" x14ac:dyDescent="0.2">
      <c r="E32" s="80"/>
      <c r="F32" s="47" t="s">
        <v>1170</v>
      </c>
      <c r="G32" s="23">
        <v>2513</v>
      </c>
      <c r="H32">
        <v>139</v>
      </c>
      <c r="I32">
        <v>5.5</v>
      </c>
      <c r="J32">
        <v>128</v>
      </c>
      <c r="K32">
        <v>5.0999999999999996</v>
      </c>
      <c r="L32">
        <v>548</v>
      </c>
      <c r="M32">
        <v>21.8</v>
      </c>
      <c r="N32">
        <v>609</v>
      </c>
      <c r="O32">
        <v>24.2</v>
      </c>
      <c r="P32">
        <v>290</v>
      </c>
      <c r="Q32">
        <v>11.5</v>
      </c>
      <c r="R32">
        <v>390</v>
      </c>
      <c r="S32">
        <v>15.5</v>
      </c>
      <c r="T32">
        <v>409</v>
      </c>
      <c r="U32">
        <v>16.3</v>
      </c>
    </row>
    <row r="33" spans="5:21" x14ac:dyDescent="0.2">
      <c r="E33" s="80"/>
      <c r="F33" s="47" t="s">
        <v>1172</v>
      </c>
      <c r="G33" s="23">
        <v>4548</v>
      </c>
      <c r="H33" s="15">
        <v>241</v>
      </c>
      <c r="I33">
        <v>5.3</v>
      </c>
      <c r="J33">
        <v>309</v>
      </c>
      <c r="K33">
        <v>6.8</v>
      </c>
      <c r="L33" s="14">
        <v>1383</v>
      </c>
      <c r="M33">
        <v>30.4</v>
      </c>
      <c r="N33" s="14">
        <v>1001</v>
      </c>
      <c r="O33">
        <v>22</v>
      </c>
      <c r="P33">
        <v>511</v>
      </c>
      <c r="Q33">
        <v>11.2</v>
      </c>
      <c r="R33">
        <v>619</v>
      </c>
      <c r="S33">
        <v>13.6</v>
      </c>
      <c r="T33">
        <v>484</v>
      </c>
      <c r="U33">
        <v>10.6</v>
      </c>
    </row>
    <row r="34" spans="5:21" x14ac:dyDescent="0.2">
      <c r="E34" s="80"/>
      <c r="F34" s="16" t="s">
        <v>1174</v>
      </c>
      <c r="G34" s="23">
        <v>4935</v>
      </c>
      <c r="H34" s="15">
        <v>280</v>
      </c>
      <c r="I34" s="17">
        <v>5.7</v>
      </c>
      <c r="J34">
        <v>713</v>
      </c>
      <c r="K34">
        <v>14.4</v>
      </c>
      <c r="L34" s="14">
        <v>1288</v>
      </c>
      <c r="M34">
        <v>26.1</v>
      </c>
      <c r="N34">
        <v>738</v>
      </c>
      <c r="O34">
        <v>15</v>
      </c>
      <c r="P34">
        <v>766</v>
      </c>
      <c r="Q34">
        <v>15.5</v>
      </c>
      <c r="R34">
        <v>584</v>
      </c>
      <c r="S34">
        <v>11.8</v>
      </c>
      <c r="T34">
        <v>566</v>
      </c>
      <c r="U34">
        <v>11.5</v>
      </c>
    </row>
    <row r="35" spans="5:21" x14ac:dyDescent="0.2">
      <c r="E35" s="80"/>
      <c r="F35" t="s">
        <v>1178</v>
      </c>
      <c r="G35" s="15">
        <v>801</v>
      </c>
      <c r="H35" s="15">
        <v>5</v>
      </c>
      <c r="I35" s="17">
        <v>0.6</v>
      </c>
      <c r="J35">
        <v>13</v>
      </c>
      <c r="K35">
        <v>1.6</v>
      </c>
      <c r="L35">
        <v>238</v>
      </c>
      <c r="M35">
        <v>29.7</v>
      </c>
      <c r="N35">
        <v>196</v>
      </c>
      <c r="O35">
        <v>24.5</v>
      </c>
      <c r="P35">
        <v>117</v>
      </c>
      <c r="Q35">
        <v>14.6</v>
      </c>
      <c r="R35">
        <v>109</v>
      </c>
      <c r="S35">
        <v>13.6</v>
      </c>
      <c r="T35">
        <v>123</v>
      </c>
      <c r="U35">
        <v>15.4</v>
      </c>
    </row>
    <row r="36" spans="5:21" x14ac:dyDescent="0.2">
      <c r="E36" s="80"/>
      <c r="F36" s="16" t="s">
        <v>1180</v>
      </c>
      <c r="G36" s="23">
        <v>17933</v>
      </c>
      <c r="H36" s="23">
        <v>1848</v>
      </c>
      <c r="I36" s="17">
        <v>10.3</v>
      </c>
      <c r="J36" s="14">
        <v>1699</v>
      </c>
      <c r="K36">
        <v>9.5</v>
      </c>
      <c r="L36" s="14">
        <v>6388</v>
      </c>
      <c r="M36">
        <v>35.6</v>
      </c>
      <c r="N36" s="14">
        <v>3475</v>
      </c>
      <c r="O36">
        <v>19.399999999999999</v>
      </c>
      <c r="P36" s="14">
        <v>1331</v>
      </c>
      <c r="Q36">
        <v>7.4</v>
      </c>
      <c r="R36" s="14">
        <v>2102</v>
      </c>
      <c r="S36">
        <v>11.7</v>
      </c>
      <c r="T36" s="14">
        <v>1090</v>
      </c>
      <c r="U36">
        <v>6.1</v>
      </c>
    </row>
    <row r="37" spans="5:21" x14ac:dyDescent="0.2">
      <c r="E37" s="80"/>
      <c r="F37" s="16" t="s">
        <v>1182</v>
      </c>
      <c r="G37" s="23">
        <v>22757</v>
      </c>
      <c r="H37" s="15">
        <v>692</v>
      </c>
      <c r="I37" s="17">
        <v>3</v>
      </c>
      <c r="J37" s="14">
        <v>1059</v>
      </c>
      <c r="K37">
        <v>4.7</v>
      </c>
      <c r="L37" s="14">
        <v>5766</v>
      </c>
      <c r="M37">
        <v>25.3</v>
      </c>
      <c r="N37" s="14">
        <v>4841</v>
      </c>
      <c r="O37">
        <v>21.3</v>
      </c>
      <c r="P37" s="14">
        <v>2803</v>
      </c>
      <c r="Q37">
        <v>12.3</v>
      </c>
      <c r="R37" s="14">
        <v>4167</v>
      </c>
      <c r="S37">
        <v>18.3</v>
      </c>
      <c r="T37" s="14">
        <v>3429</v>
      </c>
      <c r="U37">
        <v>15.1</v>
      </c>
    </row>
    <row r="38" spans="5:21" x14ac:dyDescent="0.2">
      <c r="E38" s="80"/>
      <c r="F38" s="16" t="s">
        <v>1184</v>
      </c>
      <c r="G38" s="23">
        <v>19642</v>
      </c>
      <c r="H38">
        <v>713</v>
      </c>
      <c r="I38">
        <v>3.6</v>
      </c>
      <c r="J38" s="14">
        <v>1489</v>
      </c>
      <c r="K38">
        <v>7.6</v>
      </c>
      <c r="L38" s="14">
        <v>5519</v>
      </c>
      <c r="M38">
        <v>28.1</v>
      </c>
      <c r="N38" s="14">
        <v>3692</v>
      </c>
      <c r="O38">
        <v>18.8</v>
      </c>
      <c r="P38" s="14">
        <v>1534</v>
      </c>
      <c r="Q38">
        <v>7.8</v>
      </c>
      <c r="R38" s="14">
        <v>3305</v>
      </c>
      <c r="S38">
        <v>16.8</v>
      </c>
      <c r="T38" s="14">
        <v>3390</v>
      </c>
      <c r="U38">
        <v>17.3</v>
      </c>
    </row>
    <row r="39" spans="5:21" x14ac:dyDescent="0.2">
      <c r="E39" s="80"/>
      <c r="F39" s="16" t="s">
        <v>1186</v>
      </c>
      <c r="G39" s="23">
        <v>10504</v>
      </c>
      <c r="H39">
        <v>346</v>
      </c>
      <c r="I39">
        <v>3.3</v>
      </c>
      <c r="J39" s="14">
        <v>2373</v>
      </c>
      <c r="K39">
        <v>22.6</v>
      </c>
      <c r="L39" s="14">
        <v>4268</v>
      </c>
      <c r="M39">
        <v>40.6</v>
      </c>
      <c r="N39" s="14">
        <v>2845</v>
      </c>
      <c r="O39">
        <v>27.1</v>
      </c>
      <c r="P39">
        <v>31</v>
      </c>
      <c r="Q39">
        <v>0.3</v>
      </c>
      <c r="R39">
        <v>317</v>
      </c>
      <c r="S39">
        <v>3</v>
      </c>
      <c r="T39">
        <v>324</v>
      </c>
      <c r="U39">
        <v>3.1</v>
      </c>
    </row>
    <row r="40" spans="5:21" x14ac:dyDescent="0.2">
      <c r="E40" s="80"/>
      <c r="F40" s="47" t="s">
        <v>1188</v>
      </c>
      <c r="G40" s="23">
        <v>10504</v>
      </c>
      <c r="H40">
        <v>346</v>
      </c>
      <c r="I40">
        <v>3.3</v>
      </c>
      <c r="J40" s="14">
        <v>2373</v>
      </c>
      <c r="K40">
        <v>22.6</v>
      </c>
      <c r="L40" s="14">
        <v>4268</v>
      </c>
      <c r="M40">
        <v>40.6</v>
      </c>
      <c r="N40" s="14">
        <v>2845</v>
      </c>
      <c r="O40">
        <v>27.1</v>
      </c>
      <c r="P40">
        <v>31</v>
      </c>
      <c r="Q40">
        <v>0.3</v>
      </c>
      <c r="R40">
        <v>317</v>
      </c>
      <c r="S40">
        <v>3</v>
      </c>
      <c r="T40">
        <v>324</v>
      </c>
      <c r="U40">
        <v>3.1</v>
      </c>
    </row>
    <row r="41" spans="5:21" x14ac:dyDescent="0.2">
      <c r="E41" s="80"/>
      <c r="F41" s="16" t="s">
        <v>1191</v>
      </c>
      <c r="G41" s="23">
        <v>5824</v>
      </c>
      <c r="H41">
        <v>336</v>
      </c>
      <c r="I41">
        <v>5.8</v>
      </c>
      <c r="J41">
        <v>450</v>
      </c>
      <c r="K41">
        <v>7.7</v>
      </c>
      <c r="L41" s="14">
        <v>2664</v>
      </c>
      <c r="M41">
        <v>45.7</v>
      </c>
      <c r="N41">
        <v>938</v>
      </c>
      <c r="O41">
        <v>16.100000000000001</v>
      </c>
      <c r="P41">
        <v>446</v>
      </c>
      <c r="Q41">
        <v>7.7</v>
      </c>
      <c r="R41">
        <v>494</v>
      </c>
      <c r="S41">
        <v>8.5</v>
      </c>
      <c r="T41">
        <v>496</v>
      </c>
      <c r="U41">
        <v>8.5</v>
      </c>
    </row>
    <row r="42" spans="5:21" x14ac:dyDescent="0.2">
      <c r="E42" s="80"/>
      <c r="F42" s="16" t="s">
        <v>1195</v>
      </c>
      <c r="G42" s="23">
        <v>2823</v>
      </c>
      <c r="H42">
        <v>55</v>
      </c>
      <c r="I42">
        <v>1.9</v>
      </c>
      <c r="J42">
        <v>96</v>
      </c>
      <c r="K42">
        <v>3.4</v>
      </c>
      <c r="L42">
        <v>489</v>
      </c>
      <c r="M42">
        <v>17.3</v>
      </c>
      <c r="N42">
        <v>389</v>
      </c>
      <c r="O42">
        <v>13.8</v>
      </c>
      <c r="P42">
        <v>335</v>
      </c>
      <c r="Q42">
        <v>11.9</v>
      </c>
      <c r="R42">
        <v>749</v>
      </c>
      <c r="S42">
        <v>26.5</v>
      </c>
      <c r="T42">
        <v>710</v>
      </c>
      <c r="U42">
        <v>25.2</v>
      </c>
    </row>
    <row r="43" spans="5:21" x14ac:dyDescent="0.2">
      <c r="E43" s="80"/>
      <c r="F43" s="47" t="s">
        <v>1200</v>
      </c>
      <c r="G43" s="23">
        <v>2235</v>
      </c>
      <c r="H43">
        <v>51</v>
      </c>
      <c r="I43">
        <v>2.2999999999999998</v>
      </c>
      <c r="J43">
        <v>85</v>
      </c>
      <c r="K43">
        <v>3.8</v>
      </c>
      <c r="L43">
        <v>465</v>
      </c>
      <c r="M43">
        <v>20.8</v>
      </c>
      <c r="N43">
        <v>355</v>
      </c>
      <c r="O43">
        <v>15.9</v>
      </c>
      <c r="P43">
        <v>324</v>
      </c>
      <c r="Q43">
        <v>14.5</v>
      </c>
      <c r="R43">
        <v>583</v>
      </c>
      <c r="S43">
        <v>26.1</v>
      </c>
      <c r="T43">
        <v>372</v>
      </c>
      <c r="U43">
        <v>16.600000000000001</v>
      </c>
    </row>
    <row r="44" spans="5:21" x14ac:dyDescent="0.2">
      <c r="E44" s="80"/>
      <c r="F44" s="47" t="s">
        <v>1201</v>
      </c>
      <c r="G44" s="15">
        <v>588</v>
      </c>
      <c r="H44">
        <v>4</v>
      </c>
      <c r="I44">
        <v>0.7</v>
      </c>
      <c r="J44">
        <v>11</v>
      </c>
      <c r="K44">
        <v>1.9</v>
      </c>
      <c r="L44">
        <v>24</v>
      </c>
      <c r="M44">
        <v>4.0999999999999996</v>
      </c>
      <c r="N44">
        <v>34</v>
      </c>
      <c r="O44">
        <v>5.8</v>
      </c>
      <c r="P44">
        <v>11</v>
      </c>
      <c r="Q44">
        <v>1.9</v>
      </c>
      <c r="R44">
        <v>166</v>
      </c>
      <c r="S44">
        <v>28.2</v>
      </c>
      <c r="T44">
        <v>338</v>
      </c>
      <c r="U44">
        <v>57.5</v>
      </c>
    </row>
    <row r="45" spans="5:21" x14ac:dyDescent="0.2">
      <c r="E45" s="80"/>
      <c r="F45" s="16" t="s">
        <v>1202</v>
      </c>
      <c r="G45" s="23">
        <v>21529</v>
      </c>
      <c r="H45">
        <v>845</v>
      </c>
      <c r="I45">
        <v>3.9</v>
      </c>
      <c r="J45" s="14">
        <v>1044</v>
      </c>
      <c r="K45">
        <v>4.8</v>
      </c>
      <c r="L45" s="14">
        <v>6704</v>
      </c>
      <c r="M45">
        <v>31.1</v>
      </c>
      <c r="N45" s="14">
        <v>4305</v>
      </c>
      <c r="O45">
        <v>20</v>
      </c>
      <c r="P45" s="14">
        <v>2506</v>
      </c>
      <c r="Q45">
        <v>11.6</v>
      </c>
      <c r="R45" s="14">
        <v>4122</v>
      </c>
      <c r="S45">
        <v>19.100000000000001</v>
      </c>
      <c r="T45" s="14">
        <v>2003</v>
      </c>
      <c r="U45">
        <v>9.3000000000000007</v>
      </c>
    </row>
    <row r="46" spans="5:21" x14ac:dyDescent="0.2">
      <c r="E46" s="80"/>
      <c r="F46" s="16" t="s">
        <v>1203</v>
      </c>
      <c r="G46" s="23">
        <v>23420</v>
      </c>
      <c r="H46">
        <v>455</v>
      </c>
      <c r="I46">
        <v>1.9</v>
      </c>
      <c r="J46">
        <v>879</v>
      </c>
      <c r="K46">
        <v>3.8</v>
      </c>
      <c r="L46" s="14">
        <v>5799</v>
      </c>
      <c r="M46">
        <v>24.8</v>
      </c>
      <c r="N46" s="14">
        <v>4113</v>
      </c>
      <c r="O46">
        <v>17.600000000000001</v>
      </c>
      <c r="P46" s="14">
        <v>2367</v>
      </c>
      <c r="Q46">
        <v>10.1</v>
      </c>
      <c r="R46" s="14">
        <v>6187</v>
      </c>
      <c r="S46">
        <v>26.4</v>
      </c>
      <c r="T46" s="14">
        <v>3620</v>
      </c>
      <c r="U46">
        <v>15.5</v>
      </c>
    </row>
    <row r="47" spans="5:21" x14ac:dyDescent="0.2">
      <c r="E47" s="80"/>
      <c r="F47" s="47" t="s">
        <v>1204</v>
      </c>
      <c r="G47" s="23">
        <v>2017</v>
      </c>
      <c r="H47">
        <v>87</v>
      </c>
      <c r="I47">
        <v>4.3</v>
      </c>
      <c r="J47">
        <v>47</v>
      </c>
      <c r="K47">
        <v>2.2999999999999998</v>
      </c>
      <c r="L47">
        <v>638</v>
      </c>
      <c r="M47">
        <v>31.6</v>
      </c>
      <c r="N47">
        <v>409</v>
      </c>
      <c r="O47">
        <v>20.3</v>
      </c>
      <c r="P47">
        <v>254</v>
      </c>
      <c r="Q47">
        <v>12.6</v>
      </c>
      <c r="R47">
        <v>398</v>
      </c>
      <c r="S47">
        <v>19.7</v>
      </c>
      <c r="T47">
        <v>184</v>
      </c>
      <c r="U47">
        <v>9.1</v>
      </c>
    </row>
    <row r="48" spans="5:21" x14ac:dyDescent="0.2">
      <c r="E48" s="80"/>
      <c r="F48" s="47" t="s">
        <v>1205</v>
      </c>
      <c r="G48" s="23">
        <v>2392</v>
      </c>
      <c r="H48">
        <v>28</v>
      </c>
      <c r="I48">
        <v>1.2</v>
      </c>
      <c r="J48">
        <v>208</v>
      </c>
      <c r="K48">
        <v>8.6999999999999993</v>
      </c>
      <c r="L48">
        <v>782</v>
      </c>
      <c r="M48">
        <v>32.700000000000003</v>
      </c>
      <c r="N48">
        <v>426</v>
      </c>
      <c r="O48">
        <v>17.8</v>
      </c>
      <c r="P48">
        <v>154</v>
      </c>
      <c r="Q48">
        <v>6.4</v>
      </c>
      <c r="R48">
        <v>477</v>
      </c>
      <c r="S48">
        <v>19.899999999999999</v>
      </c>
      <c r="T48">
        <v>317</v>
      </c>
      <c r="U48">
        <v>13.3</v>
      </c>
    </row>
    <row r="49" spans="5:21" x14ac:dyDescent="0.2">
      <c r="E49" s="80"/>
      <c r="F49" s="47" t="s">
        <v>1206</v>
      </c>
      <c r="G49" s="23">
        <v>4933</v>
      </c>
      <c r="H49">
        <v>79</v>
      </c>
      <c r="I49">
        <v>1.6</v>
      </c>
      <c r="J49">
        <v>155</v>
      </c>
      <c r="K49">
        <v>3.1</v>
      </c>
      <c r="L49">
        <v>991</v>
      </c>
      <c r="M49">
        <v>20.100000000000001</v>
      </c>
      <c r="N49">
        <v>920</v>
      </c>
      <c r="O49">
        <v>18.600000000000001</v>
      </c>
      <c r="P49">
        <v>287</v>
      </c>
      <c r="Q49">
        <v>5.8</v>
      </c>
      <c r="R49" s="14">
        <v>1442</v>
      </c>
      <c r="S49">
        <v>29.2</v>
      </c>
      <c r="T49" s="14">
        <v>1059</v>
      </c>
      <c r="U49">
        <v>21.5</v>
      </c>
    </row>
    <row r="50" spans="5:21" x14ac:dyDescent="0.2">
      <c r="E50" s="80"/>
      <c r="F50" s="16" t="s">
        <v>1207</v>
      </c>
      <c r="G50" s="23">
        <v>4885</v>
      </c>
      <c r="H50">
        <v>50</v>
      </c>
      <c r="I50">
        <v>1</v>
      </c>
      <c r="J50">
        <v>75</v>
      </c>
      <c r="K50">
        <v>1.5</v>
      </c>
      <c r="L50" s="14">
        <v>1348</v>
      </c>
      <c r="M50">
        <v>27.6</v>
      </c>
      <c r="N50">
        <v>675</v>
      </c>
      <c r="O50">
        <v>13.8</v>
      </c>
      <c r="P50">
        <v>635</v>
      </c>
      <c r="Q50">
        <v>13</v>
      </c>
      <c r="R50" s="14">
        <v>1269</v>
      </c>
      <c r="S50">
        <v>26</v>
      </c>
      <c r="T50">
        <v>833</v>
      </c>
      <c r="U50">
        <v>17.100000000000001</v>
      </c>
    </row>
    <row r="51" spans="5:21" x14ac:dyDescent="0.2">
      <c r="E51" s="80"/>
      <c r="F51" s="47" t="s">
        <v>1208</v>
      </c>
      <c r="G51" s="23">
        <v>7634</v>
      </c>
      <c r="H51">
        <v>125</v>
      </c>
      <c r="I51">
        <v>1.6</v>
      </c>
      <c r="J51">
        <v>257</v>
      </c>
      <c r="K51">
        <v>3.4</v>
      </c>
      <c r="L51" s="14">
        <v>1477</v>
      </c>
      <c r="M51">
        <v>19.3</v>
      </c>
      <c r="N51" s="14">
        <v>1488</v>
      </c>
      <c r="O51">
        <v>19.5</v>
      </c>
      <c r="P51">
        <v>875</v>
      </c>
      <c r="Q51">
        <v>11.5</v>
      </c>
      <c r="R51" s="14">
        <v>1753</v>
      </c>
      <c r="S51">
        <v>23</v>
      </c>
      <c r="T51" s="14">
        <v>1659</v>
      </c>
      <c r="U51">
        <v>21.7</v>
      </c>
    </row>
    <row r="52" spans="5:21" x14ac:dyDescent="0.2">
      <c r="E52" s="80"/>
      <c r="F52" s="47" t="s">
        <v>1270</v>
      </c>
      <c r="G52" s="15">
        <v>566</v>
      </c>
      <c r="H52">
        <v>57</v>
      </c>
      <c r="I52">
        <v>10.1</v>
      </c>
      <c r="J52">
        <v>7</v>
      </c>
      <c r="K52">
        <v>1.2</v>
      </c>
      <c r="L52">
        <v>228</v>
      </c>
      <c r="M52">
        <v>40.299999999999997</v>
      </c>
      <c r="N52">
        <v>71</v>
      </c>
      <c r="O52">
        <v>12.5</v>
      </c>
      <c r="P52">
        <v>53</v>
      </c>
      <c r="Q52">
        <v>9.4</v>
      </c>
      <c r="R52">
        <v>81</v>
      </c>
      <c r="S52">
        <v>14.3</v>
      </c>
      <c r="T52">
        <v>69</v>
      </c>
      <c r="U52">
        <v>12</v>
      </c>
    </row>
    <row r="53" spans="5:21" x14ac:dyDescent="0.2">
      <c r="E53" s="80"/>
      <c r="F53" s="47" t="s">
        <v>1208</v>
      </c>
      <c r="G53" s="15">
        <v>7068</v>
      </c>
      <c r="H53">
        <v>68</v>
      </c>
      <c r="I53">
        <v>1</v>
      </c>
      <c r="J53">
        <v>250</v>
      </c>
      <c r="K53">
        <v>3.5</v>
      </c>
      <c r="L53">
        <v>1249</v>
      </c>
      <c r="M53">
        <v>17.7</v>
      </c>
      <c r="N53">
        <v>1417</v>
      </c>
      <c r="O53">
        <v>20</v>
      </c>
      <c r="P53">
        <v>822</v>
      </c>
      <c r="Q53">
        <v>11.6</v>
      </c>
      <c r="R53">
        <v>1672</v>
      </c>
      <c r="S53">
        <v>23.7</v>
      </c>
      <c r="T53">
        <v>1590</v>
      </c>
      <c r="U53">
        <v>22.5</v>
      </c>
    </row>
    <row r="54" spans="5:21" x14ac:dyDescent="0.2">
      <c r="E54" s="80"/>
    </row>
    <row r="55" spans="5:21" x14ac:dyDescent="0.2">
      <c r="E55" s="80"/>
    </row>
    <row r="56" spans="5:21" x14ac:dyDescent="0.2">
      <c r="E56" s="80"/>
    </row>
    <row r="57" spans="5:21" x14ac:dyDescent="0.2">
      <c r="E57" s="80"/>
    </row>
  </sheetData>
  <mergeCells count="17">
    <mergeCell ref="P6:Q6"/>
    <mergeCell ref="N6:O6"/>
    <mergeCell ref="T6:U6"/>
    <mergeCell ref="R6:S6"/>
    <mergeCell ref="A27:B27"/>
    <mergeCell ref="G5:G7"/>
    <mergeCell ref="A18:B18"/>
    <mergeCell ref="A9:B9"/>
    <mergeCell ref="F5:F7"/>
    <mergeCell ref="H5:U5"/>
    <mergeCell ref="B1:O1"/>
    <mergeCell ref="A21:B21"/>
    <mergeCell ref="E5:E57"/>
    <mergeCell ref="H6:I6"/>
    <mergeCell ref="L6:M6"/>
    <mergeCell ref="J6:K6"/>
    <mergeCell ref="A5:B5"/>
  </mergeCells>
  <dataValidations count="4">
    <dataValidation type="list" allowBlank="1" showInputMessage="1" showErrorMessage="1" sqref="P4:U4" xr:uid="{00000000-0002-0000-1B00-000000000000}">
      <formula1>"integer, number, percent1"</formula1>
    </dataValidation>
    <dataValidation type="list" allowBlank="1" showInputMessage="1" showErrorMessage="1" sqref="B10" xr:uid="{00000000-0002-0000-1B00-000001000000}">
      <formula1>"Line,Clustered Bar,Stacked Bar,Bar,Horizontal Stacked Bar"</formula1>
    </dataValidation>
    <dataValidation type="list" allowBlank="1" showInputMessage="1" showErrorMessage="1" sqref="B2" xr:uid="{00000000-0002-0000-1B00-000002000000}">
      <formula1>"Table,Figure,Both"</formula1>
    </dataValidation>
    <dataValidation type="list" allowBlank="1" showInputMessage="1" showErrorMessage="1" sqref="B6 B15:B16" xr:uid="{00000000-0002-0000-1B00-000003000000}">
      <formula1>"True,False"</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tbl-hs-graduation-rande</v>
      </c>
    </row>
    <row r="4" spans="1:17" x14ac:dyDescent="0.2">
      <c r="A4" s="16" t="s">
        <v>7</v>
      </c>
      <c r="B4" t="str">
        <f>IF($B$1="","",_xlfn.XLOOKUP($B$1,Master!$F$2:$F$321,Master!$H$2:$H$321,""))</f>
        <v>fig-hs-graduation-rande</v>
      </c>
      <c r="E4" s="8"/>
      <c r="F4" s="10" t="s">
        <v>968</v>
      </c>
      <c r="G4" s="10" t="s">
        <v>979</v>
      </c>
      <c r="H4" s="10" t="s">
        <v>979</v>
      </c>
      <c r="I4" s="10" t="s">
        <v>979</v>
      </c>
      <c r="J4" s="10" t="s">
        <v>979</v>
      </c>
      <c r="K4" s="10" t="s">
        <v>979</v>
      </c>
      <c r="L4" s="10" t="s">
        <v>979</v>
      </c>
      <c r="M4" s="10" t="s">
        <v>979</v>
      </c>
      <c r="N4" s="10"/>
      <c r="O4" s="10"/>
      <c r="P4" s="10"/>
      <c r="Q4" s="10"/>
    </row>
    <row r="5" spans="1:17" x14ac:dyDescent="0.2">
      <c r="A5" s="83" t="s">
        <v>1081</v>
      </c>
      <c r="B5" s="80"/>
      <c r="E5" s="82" t="s">
        <v>1082</v>
      </c>
      <c r="F5" t="s">
        <v>1391</v>
      </c>
      <c r="G5" t="s">
        <v>1089</v>
      </c>
      <c r="H5" t="s">
        <v>1578</v>
      </c>
      <c r="I5" t="s">
        <v>1579</v>
      </c>
      <c r="J5" t="s">
        <v>1580</v>
      </c>
      <c r="K5" t="s">
        <v>1241</v>
      </c>
      <c r="L5" t="s">
        <v>1381</v>
      </c>
      <c r="M5" t="s">
        <v>1384</v>
      </c>
    </row>
    <row r="6" spans="1:17" ht="15" customHeight="1" x14ac:dyDescent="0.2">
      <c r="A6" t="s">
        <v>1088</v>
      </c>
      <c r="B6" t="b">
        <v>0</v>
      </c>
      <c r="E6" s="80"/>
      <c r="F6" t="s">
        <v>1297</v>
      </c>
      <c r="G6" s="15">
        <v>88</v>
      </c>
      <c r="H6" s="15">
        <v>83</v>
      </c>
      <c r="I6" s="15">
        <v>96</v>
      </c>
      <c r="J6" s="15">
        <v>85</v>
      </c>
      <c r="K6" s="15">
        <v>83</v>
      </c>
      <c r="L6" s="15">
        <v>93</v>
      </c>
      <c r="M6" s="15">
        <v>88</v>
      </c>
      <c r="N6" s="15"/>
      <c r="O6" s="15"/>
    </row>
    <row r="7" spans="1:17" ht="15.75" customHeight="1" x14ac:dyDescent="0.2">
      <c r="E7" s="80"/>
      <c r="F7" t="s">
        <v>1299</v>
      </c>
      <c r="G7" s="15">
        <v>86</v>
      </c>
      <c r="H7" s="15">
        <v>81</v>
      </c>
      <c r="I7" s="15">
        <v>93</v>
      </c>
      <c r="J7" s="15">
        <v>81</v>
      </c>
      <c r="K7" s="15">
        <v>81</v>
      </c>
      <c r="L7" s="15">
        <v>91</v>
      </c>
      <c r="M7" s="15">
        <v>84</v>
      </c>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0</v>
      </c>
      <c r="E16" s="80"/>
    </row>
    <row r="17" spans="1:11" x14ac:dyDescent="0.2">
      <c r="E17" s="80"/>
    </row>
    <row r="18" spans="1:11" x14ac:dyDescent="0.2">
      <c r="A18" s="83" t="s">
        <v>1119</v>
      </c>
      <c r="B18" s="80"/>
      <c r="E18" s="80"/>
    </row>
    <row r="19" spans="1:11" x14ac:dyDescent="0.2">
      <c r="A19" t="s">
        <v>1121</v>
      </c>
      <c r="B19" t="s">
        <v>1581</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1582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C00-000000000000}">
      <formula1>"integer, number, percent1"</formula1>
    </dataValidation>
    <dataValidation type="list" allowBlank="1" showInputMessage="1" showErrorMessage="1" sqref="B10" xr:uid="{00000000-0002-0000-1C00-000001000000}">
      <formula1>"Line,Clustered Bar,Stacked Bar,Bar,Horizontal Stacked Bar"</formula1>
    </dataValidation>
    <dataValidation type="list" allowBlank="1" showInputMessage="1" showErrorMessage="1" sqref="B2" xr:uid="{00000000-0002-0000-1C00-000002000000}">
      <formula1>"Table,Figure,Both"</formula1>
    </dataValidation>
    <dataValidation type="list" allowBlank="1" showInputMessage="1" showErrorMessage="1" sqref="B6 B15:B16" xr:uid="{00000000-0002-0000-1C00-000003000000}">
      <formula1>"True,False"</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9.1640625"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102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tbl-language-spoken-home</v>
      </c>
    </row>
    <row r="4" spans="1:17" x14ac:dyDescent="0.2">
      <c r="A4" s="16" t="s">
        <v>7</v>
      </c>
      <c r="B4" t="str">
        <f>IF($B$1="","",_xlfn.XLOOKUP($B$1,Master!$F$2:$F$321,Master!$H$2:$H$321,""))</f>
        <v>fig-language-spoken-home</v>
      </c>
      <c r="E4" s="8"/>
      <c r="F4" s="10" t="s">
        <v>968</v>
      </c>
      <c r="G4" s="10" t="s">
        <v>973</v>
      </c>
      <c r="H4" s="10" t="s">
        <v>973</v>
      </c>
      <c r="I4" s="10" t="s">
        <v>973</v>
      </c>
      <c r="J4" s="10" t="s">
        <v>973</v>
      </c>
      <c r="K4" s="10" t="s">
        <v>973</v>
      </c>
      <c r="L4" s="10" t="s">
        <v>973</v>
      </c>
      <c r="M4" s="10"/>
      <c r="N4" s="10"/>
      <c r="O4" s="10"/>
      <c r="P4" s="10"/>
      <c r="Q4" s="10"/>
    </row>
    <row r="5" spans="1:17" x14ac:dyDescent="0.2">
      <c r="A5" s="83" t="s">
        <v>1081</v>
      </c>
      <c r="B5" s="80"/>
      <c r="E5" s="82" t="s">
        <v>1082</v>
      </c>
      <c r="F5" s="81" t="s">
        <v>1083</v>
      </c>
      <c r="G5" s="81" t="s">
        <v>1583</v>
      </c>
      <c r="H5" s="81" t="s">
        <v>1584</v>
      </c>
      <c r="I5" s="80"/>
      <c r="J5" s="80"/>
      <c r="K5" s="80"/>
      <c r="L5" s="80"/>
    </row>
    <row r="6" spans="1:17" ht="15" customHeight="1" x14ac:dyDescent="0.2">
      <c r="A6" t="s">
        <v>1088</v>
      </c>
      <c r="B6" t="b">
        <v>1</v>
      </c>
      <c r="E6" s="80"/>
      <c r="F6" s="80"/>
      <c r="G6" s="80"/>
      <c r="H6" t="s">
        <v>1585</v>
      </c>
      <c r="I6" s="15" t="s">
        <v>1586</v>
      </c>
      <c r="J6" s="15" t="s">
        <v>1587</v>
      </c>
      <c r="K6" s="15" t="s">
        <v>1588</v>
      </c>
      <c r="L6" s="15" t="s">
        <v>1015</v>
      </c>
      <c r="M6" s="15"/>
      <c r="N6" s="15"/>
      <c r="O6" s="15"/>
    </row>
    <row r="7" spans="1:17" ht="15.75" customHeight="1" x14ac:dyDescent="0.2">
      <c r="E7" s="80"/>
      <c r="F7" s="16" t="s">
        <v>1096</v>
      </c>
      <c r="G7" s="23">
        <v>376697</v>
      </c>
      <c r="H7" s="23">
        <v>266545</v>
      </c>
      <c r="I7" s="23">
        <v>55418</v>
      </c>
      <c r="J7" s="23">
        <v>45346</v>
      </c>
      <c r="K7" s="23">
        <v>6298</v>
      </c>
      <c r="L7" s="23">
        <v>3090</v>
      </c>
      <c r="M7" s="15"/>
      <c r="N7" s="15"/>
      <c r="O7" s="15"/>
    </row>
    <row r="8" spans="1:17" x14ac:dyDescent="0.2">
      <c r="E8" s="80"/>
      <c r="F8" s="16" t="s">
        <v>1097</v>
      </c>
      <c r="G8" s="23">
        <v>17139</v>
      </c>
      <c r="H8" s="23">
        <v>11552</v>
      </c>
      <c r="I8" s="23">
        <v>2838</v>
      </c>
      <c r="J8" s="23">
        <v>2518</v>
      </c>
      <c r="K8" s="15">
        <v>150</v>
      </c>
      <c r="L8" s="15">
        <v>81</v>
      </c>
      <c r="M8" s="15"/>
      <c r="N8" s="15"/>
      <c r="O8" s="15"/>
    </row>
    <row r="9" spans="1:17" x14ac:dyDescent="0.2">
      <c r="A9" s="83" t="s">
        <v>1098</v>
      </c>
      <c r="B9" s="80"/>
      <c r="E9" s="80"/>
      <c r="F9" s="47" t="s">
        <v>1099</v>
      </c>
      <c r="G9" s="23">
        <v>3444</v>
      </c>
      <c r="H9" s="23">
        <v>1326</v>
      </c>
      <c r="I9" s="15">
        <v>268</v>
      </c>
      <c r="J9" s="23">
        <v>1786</v>
      </c>
      <c r="K9" s="15">
        <v>0</v>
      </c>
      <c r="L9" s="15">
        <v>64</v>
      </c>
      <c r="M9" s="15"/>
      <c r="N9" s="15"/>
      <c r="O9" s="15"/>
    </row>
    <row r="10" spans="1:17" x14ac:dyDescent="0.2">
      <c r="A10" t="s">
        <v>1100</v>
      </c>
      <c r="E10" s="80"/>
      <c r="F10" s="47" t="s">
        <v>1101</v>
      </c>
      <c r="G10" s="23">
        <v>5521</v>
      </c>
      <c r="H10" s="14">
        <v>4268</v>
      </c>
      <c r="I10">
        <v>957</v>
      </c>
      <c r="J10">
        <v>171</v>
      </c>
      <c r="K10">
        <v>117</v>
      </c>
      <c r="L10">
        <v>8</v>
      </c>
    </row>
    <row r="11" spans="1:17" x14ac:dyDescent="0.2">
      <c r="A11" t="s">
        <v>1102</v>
      </c>
      <c r="E11" s="80"/>
      <c r="F11" s="16" t="s">
        <v>1103</v>
      </c>
      <c r="G11" s="23">
        <v>11930</v>
      </c>
      <c r="H11" s="23">
        <v>9762</v>
      </c>
      <c r="I11" s="23">
        <v>1728</v>
      </c>
      <c r="J11" s="17">
        <v>246</v>
      </c>
      <c r="K11" s="17">
        <v>87</v>
      </c>
      <c r="L11" s="17">
        <v>107</v>
      </c>
      <c r="M11" s="17"/>
      <c r="N11" s="17"/>
    </row>
    <row r="12" spans="1:17" x14ac:dyDescent="0.2">
      <c r="A12" t="s">
        <v>1104</v>
      </c>
      <c r="E12" s="80"/>
      <c r="F12" s="48" t="s">
        <v>1105</v>
      </c>
      <c r="G12" s="28">
        <v>3965</v>
      </c>
      <c r="H12" s="28">
        <v>2873</v>
      </c>
      <c r="I12" s="15">
        <v>872</v>
      </c>
      <c r="J12" s="15">
        <v>146</v>
      </c>
      <c r="K12" s="15">
        <v>17</v>
      </c>
      <c r="L12" s="15">
        <v>57</v>
      </c>
    </row>
    <row r="13" spans="1:17" x14ac:dyDescent="0.2">
      <c r="A13" t="s">
        <v>1108</v>
      </c>
      <c r="E13" s="80"/>
      <c r="F13" s="16" t="s">
        <v>1109</v>
      </c>
      <c r="G13" s="14">
        <v>12136</v>
      </c>
      <c r="H13" s="14">
        <v>10815</v>
      </c>
      <c r="I13">
        <v>754</v>
      </c>
      <c r="J13">
        <v>299</v>
      </c>
      <c r="K13">
        <v>247</v>
      </c>
      <c r="L13">
        <v>21</v>
      </c>
    </row>
    <row r="14" spans="1:17" x14ac:dyDescent="0.2">
      <c r="A14" t="s">
        <v>1112</v>
      </c>
      <c r="E14" s="80"/>
      <c r="F14" s="47" t="s">
        <v>1113</v>
      </c>
      <c r="G14" s="14">
        <v>2928</v>
      </c>
      <c r="H14" s="14">
        <v>2545</v>
      </c>
      <c r="I14">
        <v>194</v>
      </c>
      <c r="J14">
        <v>133</v>
      </c>
      <c r="K14">
        <v>51</v>
      </c>
      <c r="L14">
        <v>5</v>
      </c>
    </row>
    <row r="15" spans="1:17" x14ac:dyDescent="0.2">
      <c r="A15" t="s">
        <v>1114</v>
      </c>
      <c r="E15" s="80"/>
      <c r="F15" s="25" t="s">
        <v>1115</v>
      </c>
      <c r="G15" s="14">
        <v>8705</v>
      </c>
      <c r="H15" s="14">
        <v>7399</v>
      </c>
      <c r="I15">
        <v>777</v>
      </c>
      <c r="J15">
        <v>407</v>
      </c>
      <c r="K15">
        <v>109</v>
      </c>
      <c r="L15">
        <v>13</v>
      </c>
    </row>
    <row r="16" spans="1:17" x14ac:dyDescent="0.2">
      <c r="A16" t="s">
        <v>1116</v>
      </c>
      <c r="E16" s="80"/>
      <c r="F16" s="25" t="s">
        <v>1117</v>
      </c>
      <c r="G16" s="14">
        <v>7216</v>
      </c>
      <c r="H16" s="14">
        <v>6587</v>
      </c>
      <c r="I16">
        <v>233</v>
      </c>
      <c r="J16">
        <v>171</v>
      </c>
      <c r="K16">
        <v>225</v>
      </c>
      <c r="L16">
        <v>0</v>
      </c>
    </row>
    <row r="17" spans="1:12" x14ac:dyDescent="0.2">
      <c r="E17" s="80"/>
      <c r="F17" s="25" t="s">
        <v>1118</v>
      </c>
      <c r="G17" s="14">
        <v>13829</v>
      </c>
      <c r="H17" s="14">
        <v>11216</v>
      </c>
      <c r="I17" s="14">
        <v>1780</v>
      </c>
      <c r="J17">
        <v>572</v>
      </c>
      <c r="K17">
        <v>192</v>
      </c>
      <c r="L17">
        <v>69</v>
      </c>
    </row>
    <row r="18" spans="1:12" x14ac:dyDescent="0.2">
      <c r="A18" s="83" t="s">
        <v>1119</v>
      </c>
      <c r="B18" s="80"/>
      <c r="E18" s="80"/>
      <c r="F18" s="47" t="s">
        <v>1120</v>
      </c>
      <c r="G18" s="14">
        <v>5504</v>
      </c>
      <c r="H18" s="14">
        <v>4437</v>
      </c>
      <c r="I18">
        <v>839</v>
      </c>
      <c r="J18">
        <v>151</v>
      </c>
      <c r="K18">
        <v>47</v>
      </c>
      <c r="L18">
        <v>30</v>
      </c>
    </row>
    <row r="19" spans="1:12" x14ac:dyDescent="0.2">
      <c r="A19" t="s">
        <v>1121</v>
      </c>
      <c r="B19" t="s">
        <v>1589</v>
      </c>
      <c r="E19" s="80"/>
      <c r="F19" s="16" t="s">
        <v>1123</v>
      </c>
      <c r="G19" s="14">
        <v>4447</v>
      </c>
      <c r="H19" s="14">
        <v>3862</v>
      </c>
      <c r="I19">
        <v>316</v>
      </c>
      <c r="J19">
        <v>79</v>
      </c>
      <c r="K19">
        <v>175</v>
      </c>
      <c r="L19">
        <v>15</v>
      </c>
    </row>
    <row r="20" spans="1:12" x14ac:dyDescent="0.2">
      <c r="E20" s="80"/>
      <c r="F20" s="16" t="s">
        <v>1124</v>
      </c>
      <c r="G20" s="23">
        <v>5366</v>
      </c>
      <c r="H20" s="23">
        <v>4439</v>
      </c>
      <c r="I20">
        <v>463</v>
      </c>
      <c r="J20">
        <v>145</v>
      </c>
      <c r="K20">
        <v>239</v>
      </c>
      <c r="L20">
        <v>80</v>
      </c>
    </row>
    <row r="21" spans="1:12" x14ac:dyDescent="0.2">
      <c r="A21" s="81" t="s">
        <v>1125</v>
      </c>
      <c r="B21" s="80"/>
      <c r="E21" s="80"/>
      <c r="F21" s="16" t="s">
        <v>1126</v>
      </c>
      <c r="G21" s="23">
        <v>12086</v>
      </c>
      <c r="H21" s="23">
        <v>9659</v>
      </c>
      <c r="I21" s="14">
        <v>1187</v>
      </c>
      <c r="J21">
        <v>765</v>
      </c>
      <c r="K21">
        <v>374</v>
      </c>
      <c r="L21">
        <v>101</v>
      </c>
    </row>
    <row r="22" spans="1:12" x14ac:dyDescent="0.2">
      <c r="A22" t="s">
        <v>1135</v>
      </c>
      <c r="B22" t="s">
        <v>1232</v>
      </c>
      <c r="E22" s="80"/>
      <c r="F22" s="47" t="s">
        <v>1137</v>
      </c>
      <c r="G22" s="23">
        <v>3514</v>
      </c>
      <c r="H22" s="23">
        <v>2478</v>
      </c>
      <c r="I22">
        <v>562</v>
      </c>
      <c r="J22">
        <v>408</v>
      </c>
      <c r="K22">
        <v>24</v>
      </c>
      <c r="L22">
        <v>42</v>
      </c>
    </row>
    <row r="23" spans="1:12" x14ac:dyDescent="0.2">
      <c r="E23" s="80"/>
      <c r="F23" s="16" t="s">
        <v>1146</v>
      </c>
      <c r="G23" s="23">
        <v>27829</v>
      </c>
      <c r="H23" s="23">
        <v>18076</v>
      </c>
      <c r="I23" s="14">
        <v>8278</v>
      </c>
      <c r="J23">
        <v>647</v>
      </c>
      <c r="K23">
        <v>712</v>
      </c>
      <c r="L23">
        <v>116</v>
      </c>
    </row>
    <row r="24" spans="1:12" x14ac:dyDescent="0.2">
      <c r="E24" s="80"/>
      <c r="F24" s="16" t="s">
        <v>1150</v>
      </c>
      <c r="G24" s="14">
        <v>4359</v>
      </c>
      <c r="H24" s="14">
        <v>4011</v>
      </c>
      <c r="I24">
        <v>241</v>
      </c>
      <c r="J24">
        <v>107</v>
      </c>
      <c r="K24">
        <v>0</v>
      </c>
      <c r="L24">
        <v>0</v>
      </c>
    </row>
    <row r="25" spans="1:12" x14ac:dyDescent="0.2">
      <c r="E25" s="80"/>
      <c r="F25" s="47" t="s">
        <v>1154</v>
      </c>
      <c r="G25" s="15">
        <v>643</v>
      </c>
      <c r="H25" s="15">
        <v>557</v>
      </c>
      <c r="I25">
        <v>47</v>
      </c>
      <c r="J25">
        <v>39</v>
      </c>
      <c r="K25">
        <v>0</v>
      </c>
      <c r="L25">
        <v>0</v>
      </c>
    </row>
    <row r="26" spans="1:12" x14ac:dyDescent="0.2">
      <c r="E26" s="80"/>
      <c r="F26" s="16" t="s">
        <v>1158</v>
      </c>
      <c r="G26" s="23">
        <v>19775</v>
      </c>
      <c r="H26" s="23">
        <v>13174</v>
      </c>
      <c r="I26" s="14">
        <v>2927</v>
      </c>
      <c r="J26" s="14">
        <v>2711</v>
      </c>
      <c r="K26">
        <v>387</v>
      </c>
      <c r="L26">
        <v>576</v>
      </c>
    </row>
    <row r="27" spans="1:12" x14ac:dyDescent="0.2">
      <c r="A27" s="81"/>
      <c r="B27" s="80"/>
      <c r="E27" s="80"/>
      <c r="F27" s="47" t="s">
        <v>1162</v>
      </c>
      <c r="G27" s="23">
        <v>1932</v>
      </c>
      <c r="H27" s="23">
        <v>1332</v>
      </c>
      <c r="I27">
        <v>362</v>
      </c>
      <c r="J27">
        <v>123</v>
      </c>
      <c r="K27">
        <v>13</v>
      </c>
      <c r="L27">
        <v>102</v>
      </c>
    </row>
    <row r="28" spans="1:12" x14ac:dyDescent="0.2">
      <c r="E28" s="80"/>
      <c r="F28" s="47" t="s">
        <v>1164</v>
      </c>
      <c r="G28" s="23">
        <v>8514</v>
      </c>
      <c r="H28" s="23">
        <v>5144</v>
      </c>
      <c r="I28" s="14">
        <v>1621</v>
      </c>
      <c r="J28" s="14">
        <v>1325</v>
      </c>
      <c r="K28">
        <v>124</v>
      </c>
      <c r="L28">
        <v>300</v>
      </c>
    </row>
    <row r="29" spans="1:12" x14ac:dyDescent="0.2">
      <c r="E29" s="80"/>
      <c r="F29" s="16" t="s">
        <v>1166</v>
      </c>
      <c r="G29" s="23">
        <v>21772</v>
      </c>
      <c r="H29" s="23">
        <v>18320</v>
      </c>
      <c r="I29" s="14">
        <v>2280</v>
      </c>
      <c r="J29">
        <v>945</v>
      </c>
      <c r="K29">
        <v>139</v>
      </c>
      <c r="L29">
        <v>88</v>
      </c>
    </row>
    <row r="30" spans="1:12" x14ac:dyDescent="0.2">
      <c r="E30" s="80"/>
      <c r="F30" s="47" t="s">
        <v>1168</v>
      </c>
      <c r="G30" s="23">
        <v>3017</v>
      </c>
      <c r="H30" s="23">
        <v>2364</v>
      </c>
      <c r="I30">
        <v>441</v>
      </c>
      <c r="J30">
        <v>207</v>
      </c>
      <c r="K30">
        <v>0</v>
      </c>
      <c r="L30">
        <v>0</v>
      </c>
    </row>
    <row r="31" spans="1:12" x14ac:dyDescent="0.2">
      <c r="E31" s="80"/>
      <c r="F31" s="47" t="s">
        <v>1170</v>
      </c>
      <c r="G31" s="23">
        <v>3470</v>
      </c>
      <c r="H31" s="23">
        <v>2777</v>
      </c>
      <c r="I31" s="14">
        <v>6111</v>
      </c>
      <c r="J31">
        <v>74</v>
      </c>
      <c r="K31">
        <v>8</v>
      </c>
      <c r="L31">
        <v>0</v>
      </c>
    </row>
    <row r="32" spans="1:12" x14ac:dyDescent="0.2">
      <c r="E32" s="80"/>
      <c r="F32" s="47" t="s">
        <v>1172</v>
      </c>
      <c r="G32" s="14">
        <v>6457</v>
      </c>
      <c r="H32" s="14">
        <v>5424</v>
      </c>
      <c r="I32">
        <v>625</v>
      </c>
      <c r="J32">
        <v>342</v>
      </c>
      <c r="K32">
        <v>41</v>
      </c>
      <c r="L32">
        <v>25</v>
      </c>
    </row>
    <row r="33" spans="5:12" x14ac:dyDescent="0.2">
      <c r="E33" s="80"/>
      <c r="F33" s="16" t="s">
        <v>1174</v>
      </c>
      <c r="G33" s="23">
        <v>6326</v>
      </c>
      <c r="H33" s="23">
        <v>5313</v>
      </c>
      <c r="I33">
        <v>755</v>
      </c>
      <c r="J33">
        <v>127</v>
      </c>
      <c r="K33">
        <v>126</v>
      </c>
      <c r="L33">
        <v>5</v>
      </c>
    </row>
    <row r="34" spans="5:12" x14ac:dyDescent="0.2">
      <c r="E34" s="80"/>
      <c r="F34" t="s">
        <v>1178</v>
      </c>
      <c r="G34" s="23">
        <v>1165</v>
      </c>
      <c r="H34" s="15">
        <v>921</v>
      </c>
      <c r="I34" s="17">
        <v>176</v>
      </c>
      <c r="J34">
        <v>18</v>
      </c>
      <c r="K34">
        <v>50</v>
      </c>
      <c r="L34">
        <v>0</v>
      </c>
    </row>
    <row r="35" spans="5:12" x14ac:dyDescent="0.2">
      <c r="E35" s="80"/>
      <c r="F35" s="16" t="s">
        <v>1180</v>
      </c>
      <c r="G35" s="23">
        <v>26981</v>
      </c>
      <c r="H35" s="23">
        <v>14347</v>
      </c>
      <c r="I35" s="28">
        <v>11608</v>
      </c>
      <c r="J35">
        <v>820</v>
      </c>
      <c r="K35">
        <v>46</v>
      </c>
      <c r="L35">
        <v>160</v>
      </c>
    </row>
    <row r="36" spans="5:12" x14ac:dyDescent="0.2">
      <c r="E36" s="80"/>
      <c r="F36" s="16" t="s">
        <v>1182</v>
      </c>
      <c r="G36" s="23">
        <v>30176</v>
      </c>
      <c r="H36" s="23">
        <v>23243</v>
      </c>
      <c r="I36" s="28">
        <v>4917</v>
      </c>
      <c r="J36" s="14">
        <v>1320</v>
      </c>
      <c r="K36">
        <v>431</v>
      </c>
      <c r="L36">
        <v>265</v>
      </c>
    </row>
    <row r="37" spans="5:12" x14ac:dyDescent="0.2">
      <c r="E37" s="80"/>
      <c r="F37" s="16" t="s">
        <v>1184</v>
      </c>
      <c r="G37" s="23">
        <v>26654</v>
      </c>
      <c r="H37" s="23">
        <v>19922</v>
      </c>
      <c r="I37" s="28">
        <v>4538</v>
      </c>
      <c r="J37" s="14">
        <v>1113</v>
      </c>
      <c r="K37">
        <v>821</v>
      </c>
      <c r="L37">
        <v>260</v>
      </c>
    </row>
    <row r="38" spans="5:12" x14ac:dyDescent="0.2">
      <c r="E38" s="80"/>
      <c r="F38" s="16" t="s">
        <v>1186</v>
      </c>
      <c r="G38" s="14">
        <v>29555</v>
      </c>
      <c r="H38" s="14">
        <v>2173</v>
      </c>
      <c r="I38">
        <v>771</v>
      </c>
      <c r="J38" s="14">
        <v>26241</v>
      </c>
      <c r="K38">
        <v>0</v>
      </c>
      <c r="L38">
        <v>370</v>
      </c>
    </row>
    <row r="39" spans="5:12" x14ac:dyDescent="0.2">
      <c r="E39" s="80"/>
      <c r="F39" s="47" t="s">
        <v>1188</v>
      </c>
      <c r="G39" s="14">
        <v>29555</v>
      </c>
      <c r="H39" s="14">
        <v>2173</v>
      </c>
      <c r="I39">
        <v>771</v>
      </c>
      <c r="J39" s="14">
        <v>26241</v>
      </c>
      <c r="K39">
        <v>0</v>
      </c>
      <c r="L39">
        <v>370</v>
      </c>
    </row>
    <row r="40" spans="5:12" x14ac:dyDescent="0.2">
      <c r="E40" s="80"/>
      <c r="F40" s="16" t="s">
        <v>1191</v>
      </c>
      <c r="G40" s="14">
        <v>8308</v>
      </c>
      <c r="H40" s="14">
        <v>6540</v>
      </c>
      <c r="I40" s="14">
        <v>1126</v>
      </c>
      <c r="J40">
        <v>357</v>
      </c>
      <c r="K40">
        <v>214</v>
      </c>
      <c r="L40">
        <v>71</v>
      </c>
    </row>
    <row r="41" spans="5:12" x14ac:dyDescent="0.2">
      <c r="E41" s="80"/>
      <c r="F41" s="16" t="s">
        <v>1195</v>
      </c>
      <c r="G41" s="14">
        <v>3597</v>
      </c>
      <c r="H41" s="14">
        <v>3040</v>
      </c>
      <c r="I41">
        <v>246</v>
      </c>
      <c r="J41">
        <v>244</v>
      </c>
      <c r="K41">
        <v>57</v>
      </c>
      <c r="L41">
        <v>10</v>
      </c>
    </row>
    <row r="42" spans="5:12" x14ac:dyDescent="0.2">
      <c r="E42" s="80"/>
      <c r="F42" s="47" t="s">
        <v>1199</v>
      </c>
      <c r="G42" s="14">
        <v>2950</v>
      </c>
      <c r="H42" s="14">
        <v>2456</v>
      </c>
      <c r="I42">
        <v>235</v>
      </c>
      <c r="J42">
        <v>198</v>
      </c>
      <c r="K42">
        <v>51</v>
      </c>
      <c r="L42">
        <v>10</v>
      </c>
    </row>
    <row r="43" spans="5:12" x14ac:dyDescent="0.2">
      <c r="E43" s="80"/>
      <c r="F43" s="47" t="s">
        <v>1200</v>
      </c>
      <c r="G43">
        <v>647</v>
      </c>
      <c r="H43">
        <v>584</v>
      </c>
      <c r="I43">
        <v>11</v>
      </c>
      <c r="J43">
        <v>46</v>
      </c>
      <c r="K43">
        <v>6</v>
      </c>
      <c r="L43">
        <v>0</v>
      </c>
    </row>
    <row r="44" spans="5:12" x14ac:dyDescent="0.2">
      <c r="E44" s="80"/>
      <c r="F44" s="16" t="s">
        <v>1201</v>
      </c>
      <c r="G44" s="14">
        <v>29367</v>
      </c>
      <c r="H44" s="14">
        <v>22252</v>
      </c>
      <c r="I44" s="14">
        <v>3672</v>
      </c>
      <c r="J44" s="14">
        <v>2185</v>
      </c>
      <c r="K44">
        <v>691</v>
      </c>
      <c r="L44">
        <v>567</v>
      </c>
    </row>
    <row r="45" spans="5:12" x14ac:dyDescent="0.2">
      <c r="E45" s="80"/>
      <c r="F45" s="16" t="s">
        <v>1202</v>
      </c>
      <c r="G45" s="14">
        <v>30299</v>
      </c>
      <c r="H45" s="14">
        <v>25616</v>
      </c>
      <c r="I45" s="14">
        <v>2263</v>
      </c>
      <c r="J45" s="14">
        <v>1748</v>
      </c>
      <c r="K45">
        <v>605</v>
      </c>
      <c r="L45">
        <v>67</v>
      </c>
    </row>
    <row r="46" spans="5:12" x14ac:dyDescent="0.2">
      <c r="E46" s="80"/>
      <c r="F46" s="47" t="s">
        <v>1203</v>
      </c>
      <c r="G46" s="14">
        <v>2717</v>
      </c>
      <c r="H46" s="14">
        <v>1903</v>
      </c>
      <c r="I46">
        <v>454</v>
      </c>
      <c r="J46">
        <v>203</v>
      </c>
      <c r="K46">
        <v>151</v>
      </c>
      <c r="L46">
        <v>6</v>
      </c>
    </row>
    <row r="47" spans="5:12" x14ac:dyDescent="0.2">
      <c r="E47" s="80"/>
      <c r="F47" s="47" t="s">
        <v>1204</v>
      </c>
      <c r="G47" s="14">
        <v>2877</v>
      </c>
      <c r="H47" s="14">
        <v>2190</v>
      </c>
      <c r="I47">
        <v>335</v>
      </c>
      <c r="J47">
        <v>177</v>
      </c>
      <c r="K47">
        <v>175</v>
      </c>
      <c r="L47">
        <v>0</v>
      </c>
    </row>
    <row r="48" spans="5:12" x14ac:dyDescent="0.2">
      <c r="E48" s="80"/>
      <c r="F48" s="47" t="s">
        <v>1205</v>
      </c>
      <c r="G48" s="14">
        <v>6318</v>
      </c>
      <c r="H48" s="14">
        <v>5278</v>
      </c>
      <c r="I48">
        <v>254</v>
      </c>
      <c r="J48">
        <v>617</v>
      </c>
      <c r="K48">
        <v>136</v>
      </c>
      <c r="L48">
        <v>33</v>
      </c>
    </row>
    <row r="49" spans="5:12" x14ac:dyDescent="0.2">
      <c r="E49" s="80"/>
      <c r="F49" s="16" t="s">
        <v>1206</v>
      </c>
      <c r="G49" s="14">
        <v>7205</v>
      </c>
      <c r="H49" s="14">
        <v>6447</v>
      </c>
      <c r="I49">
        <v>496</v>
      </c>
      <c r="J49">
        <v>209</v>
      </c>
      <c r="K49">
        <v>53</v>
      </c>
      <c r="L49">
        <v>0</v>
      </c>
    </row>
    <row r="50" spans="5:12" x14ac:dyDescent="0.2">
      <c r="E50" s="80"/>
      <c r="F50" s="16" t="s">
        <v>1207</v>
      </c>
      <c r="G50" s="14">
        <v>11640</v>
      </c>
      <c r="H50" s="14">
        <v>8780</v>
      </c>
      <c r="I50" s="14">
        <v>1224</v>
      </c>
      <c r="J50" s="14">
        <v>1370</v>
      </c>
      <c r="K50">
        <v>218</v>
      </c>
      <c r="L50">
        <v>48</v>
      </c>
    </row>
    <row r="51" spans="5:12" x14ac:dyDescent="0.2">
      <c r="E51" s="80"/>
      <c r="F51" s="47" t="s">
        <v>1162</v>
      </c>
      <c r="G51">
        <v>710</v>
      </c>
      <c r="H51">
        <v>303</v>
      </c>
      <c r="I51">
        <v>41</v>
      </c>
      <c r="J51">
        <v>287</v>
      </c>
      <c r="K51">
        <v>79</v>
      </c>
      <c r="L51">
        <v>0</v>
      </c>
    </row>
    <row r="52" spans="5:12" x14ac:dyDescent="0.2">
      <c r="E52" s="80"/>
      <c r="F52" s="47" t="s">
        <v>1208</v>
      </c>
      <c r="G52" s="14">
        <v>10930</v>
      </c>
      <c r="H52" s="14">
        <v>8477</v>
      </c>
      <c r="I52" s="14">
        <v>1183</v>
      </c>
      <c r="J52" s="14">
        <v>1083</v>
      </c>
      <c r="K52">
        <v>139</v>
      </c>
      <c r="L52">
        <v>48</v>
      </c>
    </row>
    <row r="53" spans="5:12" x14ac:dyDescent="0.2">
      <c r="E53" s="80"/>
    </row>
    <row r="54" spans="5:12" x14ac:dyDescent="0.2">
      <c r="E54" s="80"/>
    </row>
    <row r="55" spans="5:12" x14ac:dyDescent="0.2">
      <c r="E55" s="80"/>
    </row>
    <row r="56" spans="5:12" x14ac:dyDescent="0.2">
      <c r="E56" s="80"/>
    </row>
    <row r="57" spans="5:12" x14ac:dyDescent="0.2">
      <c r="E57" s="80"/>
    </row>
  </sheetData>
  <mergeCells count="10">
    <mergeCell ref="G5:G6"/>
    <mergeCell ref="B1:O1"/>
    <mergeCell ref="A21:B21"/>
    <mergeCell ref="E5:E57"/>
    <mergeCell ref="F5:F6"/>
    <mergeCell ref="A9:B9"/>
    <mergeCell ref="A5:B5"/>
    <mergeCell ref="H5:L5"/>
    <mergeCell ref="A18:B18"/>
    <mergeCell ref="A27:B27"/>
  </mergeCells>
  <dataValidations count="4">
    <dataValidation type="list" allowBlank="1" showInputMessage="1" showErrorMessage="1" sqref="P4:Q4" xr:uid="{00000000-0002-0000-1D00-000000000000}">
      <formula1>"integer, number, percent1"</formula1>
    </dataValidation>
    <dataValidation type="list" allowBlank="1" showInputMessage="1" showErrorMessage="1" sqref="B10" xr:uid="{00000000-0002-0000-1D00-000001000000}">
      <formula1>"Line,Clustered Bar,Stacked Bar,Bar,Horizontal Stacked Bar"</formula1>
    </dataValidation>
    <dataValidation type="list" allowBlank="1" showInputMessage="1" showErrorMessage="1" sqref="B2" xr:uid="{00000000-0002-0000-1D00-000002000000}">
      <formula1>"Table,Figure,Both"</formula1>
    </dataValidation>
    <dataValidation type="list" allowBlank="1" showInputMessage="1" showErrorMessage="1" sqref="B6 B15:B16" xr:uid="{00000000-0002-0000-1D00-000003000000}">
      <formula1>"True,False"</formula1>
    </dataValidation>
  </dataValidation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57"/>
  <sheetViews>
    <sheetView topLeftCell="C1" workbookViewId="0">
      <selection activeCell="K12" sqref="K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5.33203125" bestFit="1" customWidth="1"/>
    <col min="8" max="8" width="29.5" bestFit="1" customWidth="1"/>
    <col min="9" max="9" width="31.5" bestFit="1" customWidth="1"/>
    <col min="10" max="10" width="27" bestFit="1" customWidth="1"/>
    <col min="11" max="12" width="24.5" bestFit="1" customWidth="1"/>
    <col min="13" max="13" width="12.1640625" bestFit="1" customWidth="1"/>
    <col min="14" max="14" width="12.33203125" bestFit="1" customWidth="1"/>
    <col min="15" max="16" width="12.5" bestFit="1" customWidth="1"/>
  </cols>
  <sheetData>
    <row r="1" spans="1:17" x14ac:dyDescent="0.2">
      <c r="A1" s="16" t="s">
        <v>1077</v>
      </c>
      <c r="B1" s="79" t="s">
        <v>105</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tbl-english-language-eco-disad-disability</v>
      </c>
    </row>
    <row r="4" spans="1:17" x14ac:dyDescent="0.2">
      <c r="A4" s="16" t="s">
        <v>7</v>
      </c>
      <c r="B4" t="str">
        <f>IF($B$1="","",_xlfn.XLOOKUP($B$1,Master!$F$2:$F$321,Master!$H$2:$H$321,""))</f>
        <v>fig-english-language-eco-disad-disability</v>
      </c>
      <c r="E4" s="8"/>
      <c r="F4" s="10" t="s">
        <v>968</v>
      </c>
      <c r="G4" s="10" t="s">
        <v>973</v>
      </c>
      <c r="H4" s="10" t="s">
        <v>973</v>
      </c>
      <c r="I4" s="10" t="s">
        <v>979</v>
      </c>
      <c r="J4" s="10" t="s">
        <v>973</v>
      </c>
      <c r="K4" s="10" t="s">
        <v>979</v>
      </c>
      <c r="L4" s="10" t="s">
        <v>973</v>
      </c>
      <c r="M4" s="10" t="s">
        <v>979</v>
      </c>
      <c r="N4" s="10"/>
      <c r="O4" s="10"/>
      <c r="P4" s="10"/>
      <c r="Q4" s="10"/>
    </row>
    <row r="5" spans="1:17" x14ac:dyDescent="0.2">
      <c r="A5" s="83" t="s">
        <v>1081</v>
      </c>
      <c r="B5" s="80"/>
      <c r="E5" s="82" t="s">
        <v>1082</v>
      </c>
      <c r="F5" s="84" t="s">
        <v>1419</v>
      </c>
      <c r="G5" t="s">
        <v>2346</v>
      </c>
      <c r="H5" s="84" t="s">
        <v>2347</v>
      </c>
      <c r="I5" s="84"/>
      <c r="J5" s="84" t="s">
        <v>2348</v>
      </c>
      <c r="K5" s="84"/>
      <c r="L5" s="81" t="s">
        <v>2349</v>
      </c>
      <c r="M5" s="81"/>
    </row>
    <row r="6" spans="1:17" ht="15" customHeight="1" x14ac:dyDescent="0.2">
      <c r="A6" t="s">
        <v>1088</v>
      </c>
      <c r="B6" t="b">
        <v>0</v>
      </c>
      <c r="E6" s="80"/>
      <c r="F6" s="84"/>
      <c r="G6" s="15" t="s">
        <v>1272</v>
      </c>
      <c r="H6" s="17" t="s">
        <v>1272</v>
      </c>
      <c r="I6" s="17" t="s">
        <v>1344</v>
      </c>
      <c r="J6" s="17" t="s">
        <v>1272</v>
      </c>
      <c r="K6" s="17" t="s">
        <v>1344</v>
      </c>
      <c r="L6" s="15" t="s">
        <v>1272</v>
      </c>
      <c r="M6" s="15" t="s">
        <v>1344</v>
      </c>
      <c r="N6" s="15"/>
      <c r="O6" s="15"/>
    </row>
    <row r="7" spans="1:17" ht="15.75" customHeight="1" x14ac:dyDescent="0.2">
      <c r="E7" s="80"/>
      <c r="F7" t="s">
        <v>1430</v>
      </c>
      <c r="G7" s="15">
        <v>905</v>
      </c>
      <c r="H7" s="23">
        <v>44</v>
      </c>
      <c r="I7" s="77">
        <v>5</v>
      </c>
      <c r="J7" s="23">
        <v>425</v>
      </c>
      <c r="K7" s="77">
        <v>47</v>
      </c>
      <c r="L7" s="23">
        <v>158</v>
      </c>
      <c r="M7" s="77">
        <v>17</v>
      </c>
      <c r="N7" s="15"/>
      <c r="O7" s="15"/>
    </row>
    <row r="8" spans="1:17" x14ac:dyDescent="0.2">
      <c r="E8" s="80"/>
      <c r="F8" t="s">
        <v>1439</v>
      </c>
      <c r="G8" s="23">
        <v>2989</v>
      </c>
      <c r="H8" s="23">
        <v>73</v>
      </c>
      <c r="I8" s="77">
        <v>2</v>
      </c>
      <c r="J8" s="23">
        <v>724</v>
      </c>
      <c r="K8" s="77">
        <v>24</v>
      </c>
      <c r="L8" s="23">
        <v>404</v>
      </c>
      <c r="M8" s="77">
        <v>14</v>
      </c>
      <c r="N8" s="15"/>
      <c r="O8" s="15"/>
    </row>
    <row r="9" spans="1:17" x14ac:dyDescent="0.2">
      <c r="A9" s="83" t="s">
        <v>1098</v>
      </c>
      <c r="B9" s="80"/>
      <c r="E9" s="80"/>
      <c r="F9" t="s">
        <v>1448</v>
      </c>
      <c r="G9" s="15">
        <v>701</v>
      </c>
      <c r="H9" s="23">
        <v>35</v>
      </c>
      <c r="I9" s="77">
        <v>5</v>
      </c>
      <c r="J9" s="23">
        <v>266</v>
      </c>
      <c r="K9" s="77">
        <v>38</v>
      </c>
      <c r="L9" s="23">
        <v>112</v>
      </c>
      <c r="M9" s="77">
        <v>16</v>
      </c>
      <c r="N9" s="15"/>
      <c r="O9" s="15"/>
    </row>
    <row r="10" spans="1:17" x14ac:dyDescent="0.2">
      <c r="A10" t="s">
        <v>1100</v>
      </c>
      <c r="E10" s="80"/>
      <c r="F10" t="s">
        <v>1456</v>
      </c>
      <c r="G10" s="23">
        <v>2763</v>
      </c>
      <c r="H10" s="23">
        <v>98</v>
      </c>
      <c r="I10" s="77">
        <v>4</v>
      </c>
      <c r="J10" s="23">
        <v>871</v>
      </c>
      <c r="K10" s="77">
        <v>32</v>
      </c>
      <c r="L10" s="23">
        <v>405</v>
      </c>
      <c r="M10" s="77">
        <v>15</v>
      </c>
    </row>
    <row r="11" spans="1:17" x14ac:dyDescent="0.2">
      <c r="A11" t="s">
        <v>1102</v>
      </c>
      <c r="E11" s="80"/>
      <c r="F11" t="s">
        <v>1464</v>
      </c>
      <c r="G11" s="15">
        <v>426</v>
      </c>
      <c r="H11" s="23">
        <v>7</v>
      </c>
      <c r="I11" s="77">
        <v>2</v>
      </c>
      <c r="J11" s="23">
        <v>147</v>
      </c>
      <c r="K11" s="77">
        <v>35</v>
      </c>
      <c r="L11" s="23">
        <v>72</v>
      </c>
      <c r="M11" s="78">
        <v>17</v>
      </c>
      <c r="N11" s="17"/>
    </row>
    <row r="12" spans="1:17" x14ac:dyDescent="0.2">
      <c r="A12" t="s">
        <v>1104</v>
      </c>
      <c r="E12" s="80"/>
      <c r="F12" t="s">
        <v>1471</v>
      </c>
      <c r="G12" s="15">
        <v>914</v>
      </c>
      <c r="H12" s="23">
        <v>68</v>
      </c>
      <c r="I12" s="77">
        <v>7</v>
      </c>
      <c r="J12" s="23">
        <v>447</v>
      </c>
      <c r="K12" s="77">
        <v>49</v>
      </c>
      <c r="L12" s="28">
        <v>189</v>
      </c>
      <c r="M12" s="77">
        <v>21</v>
      </c>
    </row>
    <row r="13" spans="1:17" x14ac:dyDescent="0.2">
      <c r="A13" t="s">
        <v>1108</v>
      </c>
      <c r="E13" s="80"/>
      <c r="F13" s="21" t="s">
        <v>1479</v>
      </c>
      <c r="G13" s="17">
        <v>176</v>
      </c>
      <c r="H13" s="28">
        <v>149</v>
      </c>
      <c r="I13" s="77">
        <v>85</v>
      </c>
      <c r="J13" s="23">
        <v>153</v>
      </c>
      <c r="K13" s="77">
        <v>87</v>
      </c>
      <c r="L13" s="23">
        <v>175</v>
      </c>
      <c r="M13" s="77">
        <v>99</v>
      </c>
    </row>
    <row r="14" spans="1:17" x14ac:dyDescent="0.2">
      <c r="A14" t="s">
        <v>1112</v>
      </c>
      <c r="E14" s="80"/>
      <c r="F14" t="s">
        <v>1481</v>
      </c>
      <c r="G14" s="23">
        <v>7216</v>
      </c>
      <c r="H14" s="23">
        <v>1065</v>
      </c>
      <c r="I14" s="77">
        <v>15</v>
      </c>
      <c r="J14" s="23">
        <v>5370</v>
      </c>
      <c r="K14" s="77">
        <v>74</v>
      </c>
      <c r="L14" s="23">
        <v>1220</v>
      </c>
      <c r="M14" s="77">
        <v>17</v>
      </c>
    </row>
    <row r="15" spans="1:17" x14ac:dyDescent="0.2">
      <c r="A15" t="s">
        <v>1114</v>
      </c>
      <c r="E15" s="80"/>
      <c r="F15" t="s">
        <v>1490</v>
      </c>
      <c r="G15" s="23">
        <v>3451</v>
      </c>
      <c r="H15" s="23">
        <v>85</v>
      </c>
      <c r="I15" s="77">
        <v>2</v>
      </c>
      <c r="J15" s="23">
        <v>1162</v>
      </c>
      <c r="K15" s="77">
        <v>34</v>
      </c>
      <c r="L15" s="23">
        <v>582</v>
      </c>
      <c r="M15" s="77">
        <v>17</v>
      </c>
    </row>
    <row r="16" spans="1:17" x14ac:dyDescent="0.2">
      <c r="A16" t="s">
        <v>1116</v>
      </c>
      <c r="E16" s="80"/>
      <c r="F16" t="s">
        <v>1499</v>
      </c>
      <c r="G16" s="23">
        <v>6320</v>
      </c>
      <c r="H16" s="23">
        <v>668</v>
      </c>
      <c r="I16" s="77">
        <v>11</v>
      </c>
      <c r="J16" s="23">
        <v>3051</v>
      </c>
      <c r="K16" s="77">
        <v>48</v>
      </c>
      <c r="L16" s="23">
        <v>1122</v>
      </c>
      <c r="M16" s="77">
        <v>18</v>
      </c>
    </row>
    <row r="17" spans="1:13" x14ac:dyDescent="0.2">
      <c r="E17" s="80"/>
      <c r="F17" t="s">
        <v>1508</v>
      </c>
      <c r="G17" s="23">
        <v>10516</v>
      </c>
      <c r="H17" s="23">
        <v>1910</v>
      </c>
      <c r="I17" s="77">
        <v>18</v>
      </c>
      <c r="J17" s="23">
        <v>6408</v>
      </c>
      <c r="K17" s="77">
        <v>61</v>
      </c>
      <c r="L17" s="23">
        <v>1765</v>
      </c>
      <c r="M17" s="77">
        <v>17</v>
      </c>
    </row>
    <row r="18" spans="1:13" x14ac:dyDescent="0.2">
      <c r="A18" s="83" t="s">
        <v>1119</v>
      </c>
      <c r="B18" s="80"/>
      <c r="E18" s="80"/>
      <c r="F18" t="s">
        <v>1517</v>
      </c>
      <c r="G18" s="23">
        <v>4551</v>
      </c>
      <c r="H18" s="23">
        <v>119</v>
      </c>
      <c r="I18" s="77">
        <v>3</v>
      </c>
      <c r="J18" s="23">
        <v>2575</v>
      </c>
      <c r="K18" s="77">
        <v>57</v>
      </c>
      <c r="L18" s="23">
        <v>775</v>
      </c>
      <c r="M18" s="77">
        <v>17</v>
      </c>
    </row>
    <row r="19" spans="1:13" x14ac:dyDescent="0.2">
      <c r="A19" t="s">
        <v>1121</v>
      </c>
      <c r="B19" t="s">
        <v>1590</v>
      </c>
      <c r="E19" s="80"/>
      <c r="F19" t="s">
        <v>1191</v>
      </c>
      <c r="G19" s="23">
        <v>2300</v>
      </c>
      <c r="H19" s="23">
        <v>53</v>
      </c>
      <c r="I19" s="77">
        <v>2</v>
      </c>
      <c r="J19" s="23">
        <v>1403</v>
      </c>
      <c r="K19" s="77">
        <v>61</v>
      </c>
      <c r="L19" s="23">
        <v>489</v>
      </c>
      <c r="M19" s="77">
        <v>21</v>
      </c>
    </row>
    <row r="20" spans="1:13" x14ac:dyDescent="0.2">
      <c r="E20" s="80"/>
      <c r="F20" t="s">
        <v>1535</v>
      </c>
      <c r="G20" s="15">
        <v>192</v>
      </c>
      <c r="H20" s="23">
        <v>15</v>
      </c>
      <c r="I20" s="77">
        <v>8</v>
      </c>
      <c r="J20" s="23">
        <v>80</v>
      </c>
      <c r="K20" s="77">
        <v>42</v>
      </c>
      <c r="L20" s="23">
        <v>34</v>
      </c>
      <c r="M20" s="77">
        <v>18</v>
      </c>
    </row>
    <row r="21" spans="1:13" x14ac:dyDescent="0.2">
      <c r="A21" s="81" t="s">
        <v>1125</v>
      </c>
      <c r="B21" s="80"/>
      <c r="E21" s="80"/>
      <c r="F21" s="37" t="s">
        <v>1540</v>
      </c>
      <c r="G21" s="23">
        <v>4124</v>
      </c>
      <c r="H21" s="23">
        <v>70</v>
      </c>
      <c r="I21" s="77">
        <v>2</v>
      </c>
      <c r="J21" s="23">
        <v>1797</v>
      </c>
      <c r="K21" s="77">
        <v>44</v>
      </c>
      <c r="L21" s="23">
        <v>799</v>
      </c>
      <c r="M21" s="77">
        <v>19</v>
      </c>
    </row>
    <row r="22" spans="1:13" x14ac:dyDescent="0.2">
      <c r="A22" t="s">
        <v>1135</v>
      </c>
      <c r="B22" t="s">
        <v>1591</v>
      </c>
      <c r="E22" s="80"/>
      <c r="F22" s="37" t="s">
        <v>1550</v>
      </c>
      <c r="G22" s="23">
        <v>3689</v>
      </c>
      <c r="H22" s="23">
        <v>43</v>
      </c>
      <c r="I22" s="77">
        <v>1</v>
      </c>
      <c r="J22" s="23">
        <v>798</v>
      </c>
      <c r="K22" s="77">
        <v>22</v>
      </c>
      <c r="L22" s="23">
        <v>574</v>
      </c>
      <c r="M22" s="77">
        <v>16</v>
      </c>
    </row>
    <row r="23" spans="1:13" x14ac:dyDescent="0.2">
      <c r="E23" s="80"/>
      <c r="F23" s="37" t="s">
        <v>1558</v>
      </c>
      <c r="G23" s="23">
        <v>3806</v>
      </c>
      <c r="H23" s="23">
        <v>174</v>
      </c>
      <c r="I23" s="77">
        <v>5</v>
      </c>
      <c r="J23" s="23">
        <v>1567</v>
      </c>
      <c r="K23" s="77">
        <v>41</v>
      </c>
      <c r="L23" s="23">
        <v>581</v>
      </c>
      <c r="M23" s="77">
        <v>15</v>
      </c>
    </row>
    <row r="24" spans="1:13" x14ac:dyDescent="0.2">
      <c r="E24" s="80"/>
    </row>
    <row r="25" spans="1:13" x14ac:dyDescent="0.2">
      <c r="E25" s="80"/>
      <c r="F25" s="15"/>
      <c r="G25" s="15"/>
      <c r="H25" s="15"/>
      <c r="K25" t="s">
        <v>1226</v>
      </c>
    </row>
    <row r="26" spans="1:13" x14ac:dyDescent="0.2">
      <c r="E26" s="80"/>
      <c r="F26" s="15"/>
      <c r="G26" s="15"/>
      <c r="H26" s="15"/>
    </row>
    <row r="27" spans="1:13" x14ac:dyDescent="0.2">
      <c r="A27" s="81"/>
      <c r="B27" s="80"/>
      <c r="E27" s="80"/>
      <c r="F27" s="15"/>
      <c r="G27" s="15"/>
      <c r="H27" s="15"/>
    </row>
    <row r="28" spans="1:13" x14ac:dyDescent="0.2">
      <c r="E28" s="80"/>
      <c r="F28" s="15"/>
      <c r="G28" s="15"/>
      <c r="H28" s="15"/>
    </row>
    <row r="29" spans="1:13" x14ac:dyDescent="0.2">
      <c r="E29" s="80"/>
      <c r="F29" s="15"/>
      <c r="G29" s="15"/>
      <c r="H29" s="15"/>
    </row>
    <row r="30" spans="1:13" x14ac:dyDescent="0.2">
      <c r="E30" s="80"/>
      <c r="F30" s="15"/>
      <c r="G30" s="15"/>
      <c r="H30" s="15"/>
    </row>
    <row r="31" spans="1:13" x14ac:dyDescent="0.2">
      <c r="E31" s="80"/>
      <c r="F31" s="15"/>
      <c r="G31" s="15"/>
      <c r="H31" s="15"/>
      <c r="K31" t="s">
        <v>1227</v>
      </c>
    </row>
    <row r="32" spans="1:13"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1">
    <mergeCell ref="B1:O1"/>
    <mergeCell ref="A21:B21"/>
    <mergeCell ref="E5:E57"/>
    <mergeCell ref="A9:B9"/>
    <mergeCell ref="A5:B5"/>
    <mergeCell ref="A18:B18"/>
    <mergeCell ref="A27:B27"/>
    <mergeCell ref="H5:I5"/>
    <mergeCell ref="F5:F6"/>
    <mergeCell ref="J5:K5"/>
    <mergeCell ref="L5:M5"/>
  </mergeCells>
  <dataValidations count="4">
    <dataValidation type="list" allowBlank="1" showInputMessage="1" showErrorMessage="1" sqref="P4:Q4" xr:uid="{00000000-0002-0000-1E00-000000000000}">
      <formula1>"integer, number, percent1"</formula1>
    </dataValidation>
    <dataValidation type="list" allowBlank="1" showInputMessage="1" showErrorMessage="1" sqref="B10" xr:uid="{00000000-0002-0000-1E00-000001000000}">
      <formula1>"Line,Clustered Bar,Stacked Bar,Bar,Horizontal Stacked Bar"</formula1>
    </dataValidation>
    <dataValidation type="list" allowBlank="1" showInputMessage="1" showErrorMessage="1" sqref="B2" xr:uid="{00000000-0002-0000-1E00-000002000000}">
      <formula1>"Table,Figure,Both"</formula1>
    </dataValidation>
    <dataValidation type="list" allowBlank="1" showInputMessage="1" showErrorMessage="1" sqref="B6 B15:B16" xr:uid="{00000000-0002-0000-1E00-000003000000}">
      <formula1>"True,False"</formula1>
    </dataValidation>
  </dataValidation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12.5" bestFit="1" customWidth="1"/>
    <col min="16" max="16" width="28.6640625" bestFit="1" customWidth="1"/>
  </cols>
  <sheetData>
    <row r="1" spans="1:17" ht="15" customHeight="1" x14ac:dyDescent="0.2">
      <c r="A1" s="16" t="s">
        <v>1077</v>
      </c>
      <c r="B1" s="79" t="s">
        <v>2350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tbl-uninsured-rande</v>
      </c>
    </row>
    <row r="4" spans="1:17" x14ac:dyDescent="0.2">
      <c r="A4" s="16" t="s">
        <v>7</v>
      </c>
      <c r="B4" t="str">
        <f>IF($B$1="","",_xlfn.XLOOKUP($B$1,Master!$F$2:$F$321,Master!$H$2:$H$321,""))</f>
        <v>fig-uninsured-rande</v>
      </c>
      <c r="E4" s="8"/>
      <c r="F4" s="10" t="s">
        <v>968</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1391</v>
      </c>
      <c r="G5" t="s">
        <v>1089</v>
      </c>
      <c r="H5" t="s">
        <v>1234</v>
      </c>
      <c r="I5" t="s">
        <v>1392</v>
      </c>
      <c r="J5" t="s">
        <v>1393</v>
      </c>
      <c r="K5" t="s">
        <v>1237</v>
      </c>
      <c r="L5" t="s">
        <v>1394</v>
      </c>
      <c r="M5" t="s">
        <v>1239</v>
      </c>
      <c r="N5" t="s">
        <v>1240</v>
      </c>
      <c r="O5" t="s">
        <v>1395</v>
      </c>
      <c r="P5" t="s">
        <v>1396</v>
      </c>
    </row>
    <row r="6" spans="1:17" ht="15" customHeight="1" x14ac:dyDescent="0.2">
      <c r="A6" t="s">
        <v>1088</v>
      </c>
      <c r="B6" t="b">
        <v>0</v>
      </c>
      <c r="E6" s="80"/>
      <c r="F6" t="s">
        <v>1297</v>
      </c>
      <c r="G6" s="15">
        <v>4.8</v>
      </c>
      <c r="H6" s="15">
        <v>3.4</v>
      </c>
      <c r="I6" s="15">
        <v>5.2</v>
      </c>
      <c r="J6" s="15">
        <v>18.8</v>
      </c>
      <c r="K6" s="15">
        <v>10.6</v>
      </c>
      <c r="L6" s="15">
        <v>78.099999999999994</v>
      </c>
      <c r="M6" s="15">
        <v>10.4</v>
      </c>
      <c r="N6" s="15">
        <v>4.7</v>
      </c>
      <c r="O6" s="15">
        <v>8.4</v>
      </c>
      <c r="P6">
        <v>3</v>
      </c>
    </row>
    <row r="7" spans="1:17" ht="15.75" customHeight="1" x14ac:dyDescent="0.2">
      <c r="E7" s="80"/>
      <c r="F7" t="s">
        <v>1299</v>
      </c>
      <c r="G7" s="15">
        <v>5.0999999999999996</v>
      </c>
      <c r="H7" s="15">
        <v>3.3</v>
      </c>
      <c r="I7" s="15">
        <v>5.6</v>
      </c>
      <c r="J7" s="15">
        <v>13.6</v>
      </c>
      <c r="K7" s="15">
        <v>6</v>
      </c>
      <c r="L7" s="15">
        <v>12.8</v>
      </c>
      <c r="M7" s="15">
        <v>11.7</v>
      </c>
      <c r="N7" s="15">
        <v>6.8</v>
      </c>
      <c r="O7" s="15">
        <v>9.6999999999999993</v>
      </c>
      <c r="P7">
        <v>3.1</v>
      </c>
    </row>
    <row r="8" spans="1:17" x14ac:dyDescent="0.2">
      <c r="E8" s="80"/>
      <c r="F8" t="s">
        <v>1397</v>
      </c>
      <c r="G8" s="15">
        <v>8.6</v>
      </c>
      <c r="H8" s="15">
        <v>6.6</v>
      </c>
      <c r="I8" s="15">
        <v>9.5</v>
      </c>
      <c r="J8" s="15">
        <v>19.2</v>
      </c>
      <c r="K8" s="15">
        <v>5.9</v>
      </c>
      <c r="L8" s="15">
        <v>11.6</v>
      </c>
      <c r="M8" s="15">
        <v>19.7</v>
      </c>
      <c r="N8" s="15">
        <v>13</v>
      </c>
      <c r="O8" s="15">
        <v>17.5</v>
      </c>
      <c r="P8">
        <v>5.7</v>
      </c>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1592</v>
      </c>
      <c r="E19" s="80"/>
    </row>
    <row r="20" spans="1:8" x14ac:dyDescent="0.2">
      <c r="E20" s="80"/>
      <c r="F20" s="15"/>
      <c r="G20" s="15"/>
      <c r="H20" s="15"/>
    </row>
    <row r="21" spans="1:8" x14ac:dyDescent="0.2">
      <c r="A21" s="81" t="s">
        <v>1125</v>
      </c>
      <c r="B21" s="80"/>
      <c r="E21" s="80"/>
      <c r="F21" s="15"/>
      <c r="G21" s="15"/>
      <c r="H21" s="15"/>
    </row>
    <row r="22" spans="1:8" x14ac:dyDescent="0.2">
      <c r="A22" t="s">
        <v>1135</v>
      </c>
      <c r="B22" t="s">
        <v>1593</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1F00-000000000000}">
      <formula1>"integer, number, percent1"</formula1>
    </dataValidation>
    <dataValidation type="list" allowBlank="1" showInputMessage="1" showErrorMessage="1" sqref="B10" xr:uid="{00000000-0002-0000-1F00-000001000000}">
      <formula1>"Line,Clustered Bar,Stacked Bar,Bar,Horizontal Stacked Bar"</formula1>
    </dataValidation>
    <dataValidation type="list" allowBlank="1" showInputMessage="1" showErrorMessage="1" sqref="B2" xr:uid="{00000000-0002-0000-1F00-000002000000}">
      <formula1>"Table,Figure,Both"</formula1>
    </dataValidation>
    <dataValidation type="list" allowBlank="1" showInputMessage="1" showErrorMessage="1" sqref="B6 B15:B16" xr:uid="{00000000-0002-0000-1F00-000003000000}">
      <formula1>"True,False"</formula1>
    </dataValidation>
  </dataValidation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57"/>
  <sheetViews>
    <sheetView workbookViewId="0">
      <selection activeCell="C12" sqref="C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6.5" bestFit="1" customWidth="1"/>
    <col min="8" max="8" width="30.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2351</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tbl-cars-household</v>
      </c>
    </row>
    <row r="4" spans="1:17" x14ac:dyDescent="0.2">
      <c r="A4" s="16" t="s">
        <v>7</v>
      </c>
      <c r="B4" t="str">
        <f>IF($B$1="","",_xlfn.XLOOKUP($B$1,Master!$F$2:$F$321,Master!$H$2:$H$321,""))</f>
        <v>fig-cars-household</v>
      </c>
      <c r="E4" s="8"/>
      <c r="F4" s="10" t="s">
        <v>968</v>
      </c>
      <c r="G4" s="10" t="s">
        <v>973</v>
      </c>
      <c r="H4" s="10" t="s">
        <v>973</v>
      </c>
      <c r="I4" s="10" t="s">
        <v>973</v>
      </c>
      <c r="J4" s="10" t="s">
        <v>973</v>
      </c>
      <c r="K4" s="10" t="s">
        <v>973</v>
      </c>
      <c r="L4" s="10" t="s">
        <v>973</v>
      </c>
      <c r="M4" s="10"/>
      <c r="N4" s="10"/>
      <c r="O4" s="10"/>
      <c r="P4" s="10"/>
      <c r="Q4" s="10"/>
    </row>
    <row r="5" spans="1:17" x14ac:dyDescent="0.2">
      <c r="A5" s="83" t="s">
        <v>1081</v>
      </c>
      <c r="B5" s="80"/>
      <c r="E5" s="82" t="s">
        <v>1082</v>
      </c>
      <c r="F5" s="81" t="s">
        <v>1083</v>
      </c>
      <c r="G5" s="81" t="s">
        <v>1338</v>
      </c>
      <c r="H5" s="81" t="s">
        <v>1594</v>
      </c>
      <c r="I5" s="80"/>
      <c r="J5" s="80"/>
      <c r="K5" s="80"/>
      <c r="L5" s="80"/>
    </row>
    <row r="6" spans="1:17" ht="15" customHeight="1" x14ac:dyDescent="0.2">
      <c r="A6" t="s">
        <v>1088</v>
      </c>
      <c r="B6" t="b">
        <v>1</v>
      </c>
      <c r="E6" s="80"/>
      <c r="F6" s="80"/>
      <c r="G6" s="80"/>
      <c r="H6" s="15">
        <v>0</v>
      </c>
      <c r="I6" s="15">
        <v>1</v>
      </c>
      <c r="J6" s="15">
        <v>2</v>
      </c>
      <c r="K6" s="15">
        <v>3</v>
      </c>
      <c r="L6" s="15" t="s">
        <v>1595</v>
      </c>
      <c r="M6" s="15"/>
      <c r="N6" s="15"/>
      <c r="O6" s="15"/>
    </row>
    <row r="7" spans="1:17" ht="15.75" customHeight="1" x14ac:dyDescent="0.2">
      <c r="E7" s="80"/>
      <c r="F7" s="16" t="s">
        <v>1096</v>
      </c>
      <c r="G7" s="23">
        <v>137311</v>
      </c>
      <c r="H7" s="23">
        <v>11823</v>
      </c>
      <c r="I7" s="23">
        <v>44006</v>
      </c>
      <c r="J7" s="23">
        <v>50961</v>
      </c>
      <c r="K7" s="23">
        <v>19803</v>
      </c>
      <c r="L7" s="23">
        <v>10718</v>
      </c>
      <c r="M7" s="15"/>
      <c r="N7" s="15"/>
      <c r="O7" s="15"/>
    </row>
    <row r="8" spans="1:17" x14ac:dyDescent="0.2">
      <c r="E8" s="80"/>
      <c r="F8" s="16" t="s">
        <v>1097</v>
      </c>
      <c r="G8" s="23">
        <v>6149</v>
      </c>
      <c r="H8" s="15">
        <v>259</v>
      </c>
      <c r="I8" s="23">
        <v>2189</v>
      </c>
      <c r="J8" s="23">
        <v>2236</v>
      </c>
      <c r="K8" s="15">
        <v>958</v>
      </c>
      <c r="L8" s="15">
        <v>507</v>
      </c>
      <c r="M8" s="15"/>
      <c r="N8" s="15"/>
      <c r="O8" s="15"/>
    </row>
    <row r="9" spans="1:17" x14ac:dyDescent="0.2">
      <c r="A9" s="83" t="s">
        <v>1098</v>
      </c>
      <c r="B9" s="80"/>
      <c r="E9" s="80"/>
      <c r="F9" s="47" t="s">
        <v>1099</v>
      </c>
      <c r="G9" s="23">
        <v>1173</v>
      </c>
      <c r="H9" s="15">
        <v>64</v>
      </c>
      <c r="I9" s="15">
        <v>598</v>
      </c>
      <c r="J9" s="15">
        <v>392</v>
      </c>
      <c r="K9" s="15">
        <v>30</v>
      </c>
      <c r="L9" s="15">
        <v>89</v>
      </c>
      <c r="M9" s="15"/>
      <c r="N9" s="15"/>
      <c r="O9" s="15"/>
    </row>
    <row r="10" spans="1:17" x14ac:dyDescent="0.2">
      <c r="A10" t="s">
        <v>1100</v>
      </c>
      <c r="E10" s="80"/>
      <c r="F10" s="47" t="s">
        <v>1101</v>
      </c>
      <c r="G10" s="23">
        <v>2106</v>
      </c>
      <c r="H10">
        <v>78</v>
      </c>
      <c r="I10">
        <v>647</v>
      </c>
      <c r="J10">
        <v>950</v>
      </c>
      <c r="K10">
        <v>236</v>
      </c>
      <c r="L10">
        <v>195</v>
      </c>
    </row>
    <row r="11" spans="1:17" x14ac:dyDescent="0.2">
      <c r="A11" t="s">
        <v>1102</v>
      </c>
      <c r="E11" s="80"/>
      <c r="F11" s="16" t="s">
        <v>1103</v>
      </c>
      <c r="G11" s="23">
        <v>4458</v>
      </c>
      <c r="H11" s="15">
        <v>139</v>
      </c>
      <c r="I11" s="15">
        <v>943</v>
      </c>
      <c r="J11" s="28">
        <v>2154</v>
      </c>
      <c r="K11" s="17">
        <v>806</v>
      </c>
      <c r="L11" s="17">
        <v>416</v>
      </c>
      <c r="M11" s="17"/>
      <c r="N11" s="17"/>
    </row>
    <row r="12" spans="1:17" x14ac:dyDescent="0.2">
      <c r="A12" t="s">
        <v>1104</v>
      </c>
      <c r="E12" s="80"/>
      <c r="F12" s="48" t="s">
        <v>1105</v>
      </c>
      <c r="G12" s="28">
        <v>1560</v>
      </c>
      <c r="H12" s="17">
        <v>124</v>
      </c>
      <c r="I12" s="15">
        <v>406</v>
      </c>
      <c r="J12" s="15">
        <v>685</v>
      </c>
      <c r="K12" s="15">
        <v>305</v>
      </c>
      <c r="L12" s="15">
        <v>40</v>
      </c>
    </row>
    <row r="13" spans="1:17" x14ac:dyDescent="0.2">
      <c r="A13" t="s">
        <v>1108</v>
      </c>
      <c r="E13" s="80"/>
      <c r="F13" s="16" t="s">
        <v>1109</v>
      </c>
      <c r="G13" s="14">
        <v>5023</v>
      </c>
      <c r="H13">
        <v>102</v>
      </c>
      <c r="I13" s="14">
        <v>1605</v>
      </c>
      <c r="J13" s="14">
        <v>2274</v>
      </c>
      <c r="K13">
        <v>690</v>
      </c>
      <c r="L13">
        <v>352</v>
      </c>
    </row>
    <row r="14" spans="1:17" x14ac:dyDescent="0.2">
      <c r="A14" t="s">
        <v>1112</v>
      </c>
      <c r="E14" s="80"/>
      <c r="F14" s="47" t="s">
        <v>1113</v>
      </c>
      <c r="G14" s="14">
        <v>1230</v>
      </c>
      <c r="H14">
        <v>29</v>
      </c>
      <c r="I14">
        <v>283</v>
      </c>
      <c r="J14">
        <v>713</v>
      </c>
      <c r="K14">
        <v>124</v>
      </c>
      <c r="L14">
        <v>81</v>
      </c>
    </row>
    <row r="15" spans="1:17" x14ac:dyDescent="0.2">
      <c r="A15" t="s">
        <v>1114</v>
      </c>
      <c r="E15" s="80"/>
      <c r="F15" s="25" t="s">
        <v>1115</v>
      </c>
      <c r="G15" s="14">
        <v>3001</v>
      </c>
      <c r="H15">
        <v>23</v>
      </c>
      <c r="I15">
        <v>627</v>
      </c>
      <c r="J15" s="14">
        <v>1059</v>
      </c>
      <c r="K15">
        <v>747</v>
      </c>
      <c r="L15">
        <v>545</v>
      </c>
    </row>
    <row r="16" spans="1:17" x14ac:dyDescent="0.2">
      <c r="A16" t="s">
        <v>1116</v>
      </c>
      <c r="E16" s="80"/>
      <c r="F16" s="25" t="s">
        <v>1117</v>
      </c>
      <c r="G16" s="14">
        <v>2993</v>
      </c>
      <c r="H16">
        <v>92</v>
      </c>
      <c r="I16" s="14">
        <v>1031</v>
      </c>
      <c r="J16" s="14">
        <v>1443</v>
      </c>
      <c r="K16">
        <v>297</v>
      </c>
      <c r="L16">
        <v>130</v>
      </c>
    </row>
    <row r="17" spans="1:12" x14ac:dyDescent="0.2">
      <c r="E17" s="80"/>
      <c r="F17" s="25" t="s">
        <v>1118</v>
      </c>
      <c r="G17" s="14">
        <v>4861</v>
      </c>
      <c r="H17">
        <v>357</v>
      </c>
      <c r="I17" s="14">
        <v>1400</v>
      </c>
      <c r="J17" s="14">
        <v>1879</v>
      </c>
      <c r="K17">
        <v>923</v>
      </c>
      <c r="L17">
        <v>302</v>
      </c>
    </row>
    <row r="18" spans="1:12" x14ac:dyDescent="0.2">
      <c r="A18" s="83" t="s">
        <v>1119</v>
      </c>
      <c r="B18" s="80"/>
      <c r="E18" s="80"/>
      <c r="F18" s="47" t="s">
        <v>1120</v>
      </c>
      <c r="G18" s="14">
        <v>2350</v>
      </c>
      <c r="H18">
        <v>227</v>
      </c>
      <c r="I18">
        <v>936</v>
      </c>
      <c r="J18">
        <v>774</v>
      </c>
      <c r="K18">
        <v>357</v>
      </c>
      <c r="L18">
        <v>56</v>
      </c>
    </row>
    <row r="19" spans="1:12" x14ac:dyDescent="0.2">
      <c r="A19" t="s">
        <v>1121</v>
      </c>
      <c r="B19" t="s">
        <v>1596</v>
      </c>
      <c r="E19" s="80"/>
      <c r="F19" s="16" t="s">
        <v>1123</v>
      </c>
      <c r="G19" s="14">
        <v>1645</v>
      </c>
      <c r="H19">
        <v>87</v>
      </c>
      <c r="I19">
        <v>271</v>
      </c>
      <c r="J19">
        <v>703</v>
      </c>
      <c r="K19">
        <v>328</v>
      </c>
      <c r="L19">
        <v>256</v>
      </c>
    </row>
    <row r="20" spans="1:12" x14ac:dyDescent="0.2">
      <c r="E20" s="80"/>
      <c r="F20" s="16" t="s">
        <v>1124</v>
      </c>
      <c r="G20" s="23">
        <v>1745</v>
      </c>
      <c r="H20" s="15">
        <v>0</v>
      </c>
      <c r="I20">
        <v>416</v>
      </c>
      <c r="J20">
        <v>648</v>
      </c>
      <c r="K20">
        <v>394</v>
      </c>
      <c r="L20">
        <v>287</v>
      </c>
    </row>
    <row r="21" spans="1:12" x14ac:dyDescent="0.2">
      <c r="A21" s="81" t="s">
        <v>1125</v>
      </c>
      <c r="B21" s="80"/>
      <c r="E21" s="80"/>
      <c r="F21" s="16" t="s">
        <v>1126</v>
      </c>
      <c r="G21" s="23">
        <v>3938</v>
      </c>
      <c r="H21" s="15">
        <v>105</v>
      </c>
      <c r="I21" s="14">
        <v>1410</v>
      </c>
      <c r="J21" s="14">
        <v>1806</v>
      </c>
      <c r="K21">
        <v>400</v>
      </c>
      <c r="L21">
        <v>217</v>
      </c>
    </row>
    <row r="22" spans="1:12" x14ac:dyDescent="0.2">
      <c r="A22" t="s">
        <v>1135</v>
      </c>
      <c r="B22" t="s">
        <v>1232</v>
      </c>
      <c r="E22" s="80"/>
      <c r="F22" s="47" t="s">
        <v>1137</v>
      </c>
      <c r="G22" s="23">
        <v>1648</v>
      </c>
      <c r="H22" s="15">
        <v>56</v>
      </c>
      <c r="I22">
        <v>770</v>
      </c>
      <c r="J22">
        <v>588</v>
      </c>
      <c r="K22">
        <v>188</v>
      </c>
      <c r="L22">
        <v>46</v>
      </c>
    </row>
    <row r="23" spans="1:12" x14ac:dyDescent="0.2">
      <c r="E23" s="80"/>
      <c r="F23" s="16" t="s">
        <v>1146</v>
      </c>
      <c r="G23" s="23">
        <v>10182</v>
      </c>
      <c r="H23" s="23">
        <v>1391</v>
      </c>
      <c r="I23" s="14">
        <v>3867</v>
      </c>
      <c r="J23" s="14">
        <v>3270</v>
      </c>
      <c r="K23" s="14">
        <v>1017</v>
      </c>
      <c r="L23">
        <v>637</v>
      </c>
    </row>
    <row r="24" spans="1:12" x14ac:dyDescent="0.2">
      <c r="E24" s="80"/>
      <c r="F24" s="16" t="s">
        <v>1150</v>
      </c>
      <c r="G24" s="14">
        <v>1526</v>
      </c>
      <c r="H24">
        <v>43</v>
      </c>
      <c r="I24">
        <v>309</v>
      </c>
      <c r="J24">
        <v>652</v>
      </c>
      <c r="K24">
        <v>207</v>
      </c>
      <c r="L24">
        <v>315</v>
      </c>
    </row>
    <row r="25" spans="1:12" x14ac:dyDescent="0.2">
      <c r="E25" s="80"/>
      <c r="F25" s="47" t="s">
        <v>1154</v>
      </c>
      <c r="G25" s="15">
        <v>222</v>
      </c>
      <c r="H25" s="15">
        <v>0</v>
      </c>
      <c r="I25">
        <v>44</v>
      </c>
      <c r="J25">
        <v>141</v>
      </c>
      <c r="K25">
        <v>23</v>
      </c>
      <c r="L25">
        <v>14</v>
      </c>
    </row>
    <row r="26" spans="1:12" x14ac:dyDescent="0.2">
      <c r="E26" s="80"/>
      <c r="F26" s="16" t="s">
        <v>1158</v>
      </c>
      <c r="G26" s="23">
        <v>6855</v>
      </c>
      <c r="H26" s="15">
        <v>301</v>
      </c>
      <c r="I26" s="14">
        <v>2096</v>
      </c>
      <c r="J26" s="14">
        <v>2539</v>
      </c>
      <c r="K26" s="14">
        <v>1532</v>
      </c>
      <c r="L26">
        <v>387</v>
      </c>
    </row>
    <row r="27" spans="1:12" x14ac:dyDescent="0.2">
      <c r="A27" s="81"/>
      <c r="B27" s="80"/>
      <c r="E27" s="80"/>
      <c r="F27" s="47" t="s">
        <v>1162</v>
      </c>
      <c r="G27" s="15">
        <v>792</v>
      </c>
      <c r="H27" s="15">
        <v>57</v>
      </c>
      <c r="I27">
        <v>346</v>
      </c>
      <c r="J27">
        <v>264</v>
      </c>
      <c r="K27">
        <v>97</v>
      </c>
      <c r="L27">
        <v>28</v>
      </c>
    </row>
    <row r="28" spans="1:12" x14ac:dyDescent="0.2">
      <c r="E28" s="80"/>
      <c r="F28" s="47" t="s">
        <v>1164</v>
      </c>
      <c r="G28" s="23">
        <v>2886</v>
      </c>
      <c r="H28" s="15">
        <v>137</v>
      </c>
      <c r="I28" s="14">
        <v>1025</v>
      </c>
      <c r="J28">
        <v>966</v>
      </c>
      <c r="K28">
        <v>536</v>
      </c>
      <c r="L28">
        <v>222</v>
      </c>
    </row>
    <row r="29" spans="1:12" x14ac:dyDescent="0.2">
      <c r="E29" s="80"/>
      <c r="F29" s="16" t="s">
        <v>1166</v>
      </c>
      <c r="G29" s="23">
        <v>8306</v>
      </c>
      <c r="H29" s="15">
        <v>421</v>
      </c>
      <c r="I29" s="14">
        <v>2443</v>
      </c>
      <c r="J29" s="14">
        <v>3356</v>
      </c>
      <c r="K29" s="14">
        <v>1258</v>
      </c>
      <c r="L29">
        <v>828</v>
      </c>
    </row>
    <row r="30" spans="1:12" x14ac:dyDescent="0.2">
      <c r="E30" s="80"/>
      <c r="F30" s="47" t="s">
        <v>1168</v>
      </c>
      <c r="G30" s="23">
        <v>1401</v>
      </c>
      <c r="H30" s="15">
        <v>96</v>
      </c>
      <c r="I30">
        <v>706</v>
      </c>
      <c r="J30">
        <v>424</v>
      </c>
      <c r="K30">
        <v>122</v>
      </c>
      <c r="L30">
        <v>53</v>
      </c>
    </row>
    <row r="31" spans="1:12" x14ac:dyDescent="0.2">
      <c r="E31" s="80"/>
      <c r="F31" s="47" t="s">
        <v>1170</v>
      </c>
      <c r="G31" s="23">
        <v>1535</v>
      </c>
      <c r="H31" s="15">
        <v>119</v>
      </c>
      <c r="I31">
        <v>510</v>
      </c>
      <c r="J31">
        <v>711</v>
      </c>
      <c r="K31">
        <v>174</v>
      </c>
      <c r="L31">
        <v>21</v>
      </c>
    </row>
    <row r="32" spans="1:12" x14ac:dyDescent="0.2">
      <c r="E32" s="80"/>
      <c r="F32" s="47" t="s">
        <v>1172</v>
      </c>
      <c r="G32" s="14">
        <v>2621</v>
      </c>
      <c r="H32">
        <v>167</v>
      </c>
      <c r="I32">
        <v>638</v>
      </c>
      <c r="J32" s="14">
        <v>1124</v>
      </c>
      <c r="K32">
        <v>451</v>
      </c>
      <c r="L32">
        <v>241</v>
      </c>
    </row>
    <row r="33" spans="5:12" x14ac:dyDescent="0.2">
      <c r="E33" s="80"/>
      <c r="F33" s="16" t="s">
        <v>1174</v>
      </c>
      <c r="G33" s="23">
        <v>2094</v>
      </c>
      <c r="H33" s="15">
        <v>76</v>
      </c>
      <c r="I33">
        <v>723</v>
      </c>
      <c r="J33">
        <v>846</v>
      </c>
      <c r="K33">
        <v>252</v>
      </c>
      <c r="L33">
        <v>197</v>
      </c>
    </row>
    <row r="34" spans="5:12" x14ac:dyDescent="0.2">
      <c r="E34" s="80"/>
      <c r="F34" t="s">
        <v>1178</v>
      </c>
      <c r="G34" s="15">
        <v>439</v>
      </c>
      <c r="H34" s="15">
        <v>31</v>
      </c>
      <c r="I34" s="17">
        <v>143</v>
      </c>
      <c r="J34">
        <v>202</v>
      </c>
      <c r="K34">
        <v>30</v>
      </c>
      <c r="L34">
        <v>33</v>
      </c>
    </row>
    <row r="35" spans="5:12" x14ac:dyDescent="0.2">
      <c r="E35" s="80"/>
      <c r="F35" s="16" t="s">
        <v>1180</v>
      </c>
      <c r="G35" s="23">
        <v>10335</v>
      </c>
      <c r="H35" s="23">
        <v>2442</v>
      </c>
      <c r="I35" s="28">
        <v>4554</v>
      </c>
      <c r="J35" s="14">
        <v>2503</v>
      </c>
      <c r="K35">
        <v>542</v>
      </c>
      <c r="L35">
        <v>294</v>
      </c>
    </row>
    <row r="36" spans="5:12" x14ac:dyDescent="0.2">
      <c r="E36" s="80"/>
      <c r="F36" s="16" t="s">
        <v>1182</v>
      </c>
      <c r="G36" s="23">
        <v>11553</v>
      </c>
      <c r="H36" s="15">
        <v>399</v>
      </c>
      <c r="I36" s="28">
        <v>2737</v>
      </c>
      <c r="J36" s="14">
        <v>5100</v>
      </c>
      <c r="K36" s="14">
        <v>2304</v>
      </c>
      <c r="L36" s="14">
        <v>1013</v>
      </c>
    </row>
    <row r="37" spans="5:12" x14ac:dyDescent="0.2">
      <c r="E37" s="80"/>
      <c r="F37" s="16" t="s">
        <v>1184</v>
      </c>
      <c r="G37" s="23">
        <v>10763</v>
      </c>
      <c r="H37" s="15">
        <v>436</v>
      </c>
      <c r="I37" s="28">
        <v>3551</v>
      </c>
      <c r="J37" s="14">
        <v>4394</v>
      </c>
      <c r="K37" s="14">
        <v>1541</v>
      </c>
      <c r="L37">
        <v>841</v>
      </c>
    </row>
    <row r="38" spans="5:12" x14ac:dyDescent="0.2">
      <c r="E38" s="80"/>
      <c r="F38" s="16" t="s">
        <v>1186</v>
      </c>
      <c r="G38" s="14">
        <v>6869</v>
      </c>
      <c r="H38" s="14">
        <v>2413</v>
      </c>
      <c r="I38" s="14">
        <v>3964</v>
      </c>
      <c r="J38">
        <v>475</v>
      </c>
      <c r="K38">
        <v>0</v>
      </c>
      <c r="L38">
        <v>17</v>
      </c>
    </row>
    <row r="39" spans="5:12" x14ac:dyDescent="0.2">
      <c r="E39" s="80"/>
      <c r="F39" s="47" t="s">
        <v>1188</v>
      </c>
      <c r="G39" s="14">
        <v>6869</v>
      </c>
      <c r="H39" s="14">
        <v>2413</v>
      </c>
      <c r="I39" s="14">
        <v>3964</v>
      </c>
      <c r="J39">
        <v>475</v>
      </c>
      <c r="K39">
        <v>0</v>
      </c>
      <c r="L39">
        <v>17</v>
      </c>
    </row>
    <row r="40" spans="5:12" x14ac:dyDescent="0.2">
      <c r="E40" s="80"/>
      <c r="F40" s="16" t="s">
        <v>1191</v>
      </c>
      <c r="G40" s="14">
        <v>3533</v>
      </c>
      <c r="H40">
        <v>686</v>
      </c>
      <c r="I40" s="14">
        <v>1337</v>
      </c>
      <c r="J40" s="14">
        <v>1006</v>
      </c>
      <c r="K40">
        <v>306</v>
      </c>
      <c r="L40">
        <v>198</v>
      </c>
    </row>
    <row r="41" spans="5:12" x14ac:dyDescent="0.2">
      <c r="E41" s="80"/>
      <c r="F41" s="16" t="s">
        <v>1195</v>
      </c>
      <c r="G41" s="14">
        <v>1539</v>
      </c>
      <c r="H41">
        <v>36</v>
      </c>
      <c r="I41">
        <v>501</v>
      </c>
      <c r="J41">
        <v>492</v>
      </c>
      <c r="K41">
        <v>251</v>
      </c>
      <c r="L41">
        <v>259</v>
      </c>
    </row>
    <row r="42" spans="5:12" x14ac:dyDescent="0.2">
      <c r="E42" s="80"/>
      <c r="F42" s="47" t="s">
        <v>1199</v>
      </c>
      <c r="G42" s="14">
        <v>1151</v>
      </c>
      <c r="H42">
        <v>35</v>
      </c>
      <c r="I42">
        <v>384</v>
      </c>
      <c r="J42">
        <v>397</v>
      </c>
      <c r="K42">
        <v>217</v>
      </c>
      <c r="L42">
        <v>118</v>
      </c>
    </row>
    <row r="43" spans="5:12" x14ac:dyDescent="0.2">
      <c r="E43" s="80"/>
      <c r="F43" s="47" t="s">
        <v>1200</v>
      </c>
      <c r="G43">
        <v>388</v>
      </c>
      <c r="H43">
        <v>1</v>
      </c>
      <c r="I43">
        <v>117</v>
      </c>
      <c r="J43">
        <v>95</v>
      </c>
      <c r="K43">
        <v>34</v>
      </c>
      <c r="L43">
        <v>141</v>
      </c>
    </row>
    <row r="44" spans="5:12" x14ac:dyDescent="0.2">
      <c r="E44" s="80"/>
      <c r="F44" s="16" t="s">
        <v>1201</v>
      </c>
      <c r="G44" s="14">
        <v>11910</v>
      </c>
      <c r="H44">
        <v>986</v>
      </c>
      <c r="I44" s="14">
        <v>3575</v>
      </c>
      <c r="J44" s="14">
        <v>4894</v>
      </c>
      <c r="K44" s="14">
        <v>1738</v>
      </c>
      <c r="L44">
        <v>717</v>
      </c>
    </row>
    <row r="45" spans="5:12" x14ac:dyDescent="0.2">
      <c r="E45" s="80"/>
      <c r="F45" s="16" t="s">
        <v>1202</v>
      </c>
      <c r="G45" s="14">
        <v>11743</v>
      </c>
      <c r="H45">
        <v>662</v>
      </c>
      <c r="I45" s="14">
        <v>3157</v>
      </c>
      <c r="J45" s="14">
        <v>4459</v>
      </c>
      <c r="K45" s="14">
        <v>2314</v>
      </c>
      <c r="L45" s="14">
        <v>1151</v>
      </c>
    </row>
    <row r="46" spans="5:12" x14ac:dyDescent="0.2">
      <c r="E46" s="80"/>
      <c r="F46" s="47" t="s">
        <v>1203</v>
      </c>
      <c r="G46">
        <v>936</v>
      </c>
      <c r="H46">
        <v>57</v>
      </c>
      <c r="I46">
        <v>212</v>
      </c>
      <c r="J46">
        <v>390</v>
      </c>
      <c r="K46">
        <v>198</v>
      </c>
      <c r="L46">
        <v>79</v>
      </c>
    </row>
    <row r="47" spans="5:12" x14ac:dyDescent="0.2">
      <c r="E47" s="80"/>
      <c r="F47" s="47" t="s">
        <v>1204</v>
      </c>
      <c r="G47" s="14">
        <v>1181</v>
      </c>
      <c r="H47">
        <v>59</v>
      </c>
      <c r="I47">
        <v>244</v>
      </c>
      <c r="J47">
        <v>642</v>
      </c>
      <c r="K47">
        <v>201</v>
      </c>
      <c r="L47">
        <v>35</v>
      </c>
    </row>
    <row r="48" spans="5:12" x14ac:dyDescent="0.2">
      <c r="E48" s="80"/>
      <c r="F48" s="47" t="s">
        <v>1205</v>
      </c>
      <c r="G48" s="14">
        <v>2998</v>
      </c>
      <c r="H48">
        <v>362</v>
      </c>
      <c r="I48" s="14">
        <v>1384</v>
      </c>
      <c r="J48">
        <v>804</v>
      </c>
      <c r="K48">
        <v>329</v>
      </c>
      <c r="L48">
        <v>119</v>
      </c>
    </row>
    <row r="49" spans="5:12" x14ac:dyDescent="0.2">
      <c r="E49" s="80"/>
      <c r="F49" s="16" t="s">
        <v>1206</v>
      </c>
      <c r="G49" s="14">
        <v>2468</v>
      </c>
      <c r="H49">
        <v>105</v>
      </c>
      <c r="I49">
        <v>472</v>
      </c>
      <c r="J49" s="14">
        <v>1045</v>
      </c>
      <c r="K49">
        <v>441</v>
      </c>
      <c r="L49">
        <v>405</v>
      </c>
    </row>
    <row r="50" spans="5:12" x14ac:dyDescent="0.2">
      <c r="E50" s="80"/>
      <c r="F50" s="16" t="s">
        <v>1207</v>
      </c>
      <c r="G50" s="14">
        <v>3822</v>
      </c>
      <c r="H50">
        <v>262</v>
      </c>
      <c r="I50">
        <v>828</v>
      </c>
      <c r="J50" s="14">
        <v>1728</v>
      </c>
      <c r="K50">
        <v>557</v>
      </c>
      <c r="L50">
        <v>447</v>
      </c>
    </row>
    <row r="51" spans="5:12" x14ac:dyDescent="0.2">
      <c r="E51" s="80"/>
      <c r="F51" s="47" t="s">
        <v>1162</v>
      </c>
      <c r="G51">
        <v>259</v>
      </c>
      <c r="H51">
        <v>56</v>
      </c>
      <c r="I51">
        <v>142</v>
      </c>
      <c r="J51">
        <v>41</v>
      </c>
      <c r="K51">
        <v>6</v>
      </c>
      <c r="L51">
        <v>14</v>
      </c>
    </row>
    <row r="52" spans="5:12" x14ac:dyDescent="0.2">
      <c r="E52" s="80"/>
      <c r="F52" s="47" t="s">
        <v>1208</v>
      </c>
      <c r="G52" s="14">
        <v>3563</v>
      </c>
      <c r="H52">
        <v>206</v>
      </c>
      <c r="I52">
        <v>686</v>
      </c>
      <c r="J52" s="14">
        <v>1687</v>
      </c>
      <c r="K52">
        <v>551</v>
      </c>
      <c r="L52">
        <v>433</v>
      </c>
    </row>
    <row r="53" spans="5:12" x14ac:dyDescent="0.2">
      <c r="E53" s="80"/>
    </row>
    <row r="54" spans="5:12" x14ac:dyDescent="0.2">
      <c r="E54" s="80"/>
    </row>
    <row r="55" spans="5:12" x14ac:dyDescent="0.2">
      <c r="E55" s="80"/>
    </row>
    <row r="56" spans="5:12" x14ac:dyDescent="0.2">
      <c r="E56" s="80"/>
    </row>
    <row r="57" spans="5:12" x14ac:dyDescent="0.2">
      <c r="E57" s="80"/>
    </row>
  </sheetData>
  <mergeCells count="10">
    <mergeCell ref="H5:L5"/>
    <mergeCell ref="G5:G6"/>
    <mergeCell ref="B1:O1"/>
    <mergeCell ref="A21:B21"/>
    <mergeCell ref="E5:E57"/>
    <mergeCell ref="A9:B9"/>
    <mergeCell ref="A5:B5"/>
    <mergeCell ref="F5:F6"/>
    <mergeCell ref="A18:B18"/>
    <mergeCell ref="A27:B27"/>
  </mergeCells>
  <dataValidations disablePrompts="1" count="4">
    <dataValidation type="list" allowBlank="1" showInputMessage="1" showErrorMessage="1" sqref="P4:Q4" xr:uid="{00000000-0002-0000-2000-000000000000}">
      <formula1>"integer, number, percent1"</formula1>
    </dataValidation>
    <dataValidation type="list" allowBlank="1" showInputMessage="1" showErrorMessage="1" sqref="B10" xr:uid="{00000000-0002-0000-2000-000001000000}">
      <formula1>"Line,Clustered Bar,Stacked Bar,Bar,Horizontal Stacked Bar"</formula1>
    </dataValidation>
    <dataValidation type="list" allowBlank="1" showInputMessage="1" showErrorMessage="1" sqref="B2" xr:uid="{00000000-0002-0000-2000-000002000000}">
      <formula1>"Table,Figure,Both"</formula1>
    </dataValidation>
    <dataValidation type="list" allowBlank="1" showInputMessage="1" showErrorMessage="1" sqref="B6 B15:B16" xr:uid="{00000000-0002-0000-2000-000003000000}">
      <formula1>"True,False"</formula1>
    </dataValidation>
  </dataValidation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0.83203125" bestFit="1" customWidth="1"/>
    <col min="8" max="8" width="27.5" bestFit="1" customWidth="1"/>
    <col min="9" max="10" width="25.5" bestFit="1" customWidth="1"/>
    <col min="11" max="11" width="8.83203125" bestFit="1" customWidth="1"/>
    <col min="12" max="12" width="12.5" bestFit="1" customWidth="1"/>
    <col min="13" max="13" width="19" bestFit="1" customWidth="1"/>
    <col min="14" max="14" width="27.1640625" bestFit="1" customWidth="1"/>
    <col min="15" max="16" width="12.5" bestFit="1" customWidth="1"/>
  </cols>
  <sheetData>
    <row r="1" spans="1:17" x14ac:dyDescent="0.2">
      <c r="A1" s="16" t="s">
        <v>1077</v>
      </c>
      <c r="B1" s="79" t="s">
        <v>115</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tbl-commute-work</v>
      </c>
    </row>
    <row r="4" spans="1:17" x14ac:dyDescent="0.2">
      <c r="A4" s="16" t="s">
        <v>7</v>
      </c>
      <c r="B4" t="str">
        <f>IF($B$1="","",_xlfn.XLOOKUP($B$1,Master!$F$2:$F$321,Master!$H$2:$H$321,""))</f>
        <v>fig-commute-work</v>
      </c>
      <c r="E4" s="8"/>
      <c r="F4" s="10" t="s">
        <v>968</v>
      </c>
      <c r="G4" s="10" t="s">
        <v>973</v>
      </c>
      <c r="H4" s="10" t="s">
        <v>973</v>
      </c>
      <c r="I4" s="10" t="s">
        <v>973</v>
      </c>
      <c r="J4" s="10" t="s">
        <v>973</v>
      </c>
      <c r="K4" s="10" t="s">
        <v>973</v>
      </c>
      <c r="L4" s="10" t="s">
        <v>973</v>
      </c>
      <c r="M4" s="10" t="s">
        <v>973</v>
      </c>
      <c r="N4" s="10" t="s">
        <v>979</v>
      </c>
      <c r="O4" s="10"/>
      <c r="P4" s="10"/>
      <c r="Q4" s="10"/>
    </row>
    <row r="5" spans="1:17" x14ac:dyDescent="0.2">
      <c r="A5" s="83" t="s">
        <v>1081</v>
      </c>
      <c r="B5" s="80"/>
      <c r="E5" s="82" t="s">
        <v>1082</v>
      </c>
      <c r="F5" s="81" t="s">
        <v>1083</v>
      </c>
      <c r="G5" s="81" t="s">
        <v>1597</v>
      </c>
      <c r="H5" s="81" t="s">
        <v>1598</v>
      </c>
      <c r="I5" s="80"/>
      <c r="J5" s="80"/>
      <c r="K5" s="80"/>
      <c r="L5" s="80"/>
      <c r="M5" s="80"/>
      <c r="N5" s="81" t="s">
        <v>1599</v>
      </c>
    </row>
    <row r="6" spans="1:17" ht="15" customHeight="1" x14ac:dyDescent="0.2">
      <c r="A6" t="s">
        <v>1088</v>
      </c>
      <c r="B6" t="b">
        <v>1</v>
      </c>
      <c r="E6" s="80"/>
      <c r="F6" s="80"/>
      <c r="G6" s="80"/>
      <c r="H6" s="15" t="s">
        <v>1600</v>
      </c>
      <c r="I6" s="15" t="s">
        <v>1601</v>
      </c>
      <c r="J6" s="15" t="s">
        <v>1602</v>
      </c>
      <c r="K6" s="15" t="s">
        <v>1603</v>
      </c>
      <c r="L6" s="15" t="s">
        <v>1604</v>
      </c>
      <c r="M6" s="15" t="s">
        <v>1605</v>
      </c>
      <c r="N6" s="80"/>
      <c r="O6" s="15"/>
    </row>
    <row r="7" spans="1:17" ht="15.75" customHeight="1" x14ac:dyDescent="0.2">
      <c r="E7" s="80"/>
      <c r="F7" s="16" t="s">
        <v>1096</v>
      </c>
      <c r="G7" s="23">
        <v>183509</v>
      </c>
      <c r="H7" s="23">
        <v>126559</v>
      </c>
      <c r="I7" s="23">
        <v>17469</v>
      </c>
      <c r="J7" s="23">
        <v>8069</v>
      </c>
      <c r="K7" s="23">
        <v>6707</v>
      </c>
      <c r="L7" s="23">
        <v>3611</v>
      </c>
      <c r="M7" s="23">
        <v>21094</v>
      </c>
      <c r="N7" s="15">
        <v>34.200000000000003</v>
      </c>
      <c r="O7" s="15"/>
    </row>
    <row r="8" spans="1:17" x14ac:dyDescent="0.2">
      <c r="E8" s="80"/>
      <c r="F8" s="16" t="s">
        <v>1097</v>
      </c>
      <c r="G8" s="23">
        <v>7934</v>
      </c>
      <c r="H8" s="23">
        <v>5434</v>
      </c>
      <c r="I8" s="15">
        <v>707</v>
      </c>
      <c r="J8" s="15">
        <v>778</v>
      </c>
      <c r="K8" s="15">
        <v>50</v>
      </c>
      <c r="L8" s="15">
        <v>14</v>
      </c>
      <c r="M8" s="15">
        <v>951</v>
      </c>
      <c r="N8" s="15">
        <v>43.8</v>
      </c>
      <c r="O8" s="15"/>
    </row>
    <row r="9" spans="1:17" x14ac:dyDescent="0.2">
      <c r="A9" s="83" t="s">
        <v>1098</v>
      </c>
      <c r="B9" s="80"/>
      <c r="E9" s="80"/>
      <c r="F9" s="47" t="s">
        <v>1099</v>
      </c>
      <c r="G9" s="23">
        <v>1268</v>
      </c>
      <c r="H9" s="15">
        <v>845</v>
      </c>
      <c r="I9" s="15">
        <v>111</v>
      </c>
      <c r="J9" s="15">
        <v>59</v>
      </c>
      <c r="K9" s="15">
        <v>2</v>
      </c>
      <c r="L9" s="15">
        <v>8</v>
      </c>
      <c r="M9" s="15">
        <v>243</v>
      </c>
      <c r="N9" s="15">
        <v>43.3</v>
      </c>
      <c r="O9" s="15"/>
    </row>
    <row r="10" spans="1:17" x14ac:dyDescent="0.2">
      <c r="A10" t="s">
        <v>1100</v>
      </c>
      <c r="E10" s="80"/>
      <c r="F10" s="47" t="s">
        <v>1101</v>
      </c>
      <c r="G10" s="23">
        <v>2748</v>
      </c>
      <c r="H10" s="23">
        <v>2067</v>
      </c>
      <c r="I10" s="15">
        <v>170</v>
      </c>
      <c r="J10" s="15">
        <v>145</v>
      </c>
      <c r="K10" s="15">
        <v>9</v>
      </c>
      <c r="L10" s="15">
        <v>6</v>
      </c>
      <c r="M10" s="15">
        <v>351</v>
      </c>
      <c r="N10" s="15">
        <v>36.299999999999997</v>
      </c>
    </row>
    <row r="11" spans="1:17" x14ac:dyDescent="0.2">
      <c r="A11" t="s">
        <v>1102</v>
      </c>
      <c r="E11" s="80"/>
      <c r="F11" s="16" t="s">
        <v>1103</v>
      </c>
      <c r="G11" s="23">
        <v>6816</v>
      </c>
      <c r="H11" s="23">
        <v>5003</v>
      </c>
      <c r="I11" s="15">
        <v>357</v>
      </c>
      <c r="J11" s="17">
        <v>440</v>
      </c>
      <c r="K11" s="17">
        <v>70</v>
      </c>
      <c r="L11" s="17">
        <v>12</v>
      </c>
      <c r="M11" s="17">
        <v>934</v>
      </c>
      <c r="N11" s="17">
        <v>41</v>
      </c>
    </row>
    <row r="12" spans="1:17" x14ac:dyDescent="0.2">
      <c r="A12" t="s">
        <v>1104</v>
      </c>
      <c r="E12" s="80"/>
      <c r="F12" s="48" t="s">
        <v>1105</v>
      </c>
      <c r="G12" s="28">
        <v>2406</v>
      </c>
      <c r="H12" s="28">
        <v>1866</v>
      </c>
      <c r="I12" s="15">
        <v>93</v>
      </c>
      <c r="J12" s="15">
        <v>336</v>
      </c>
      <c r="K12" s="15">
        <v>20</v>
      </c>
      <c r="L12" s="15">
        <v>0</v>
      </c>
      <c r="M12" s="15">
        <v>91</v>
      </c>
      <c r="N12" s="15">
        <v>37.4</v>
      </c>
    </row>
    <row r="13" spans="1:17" x14ac:dyDescent="0.2">
      <c r="A13" t="s">
        <v>1108</v>
      </c>
      <c r="E13" s="80"/>
      <c r="F13" s="16" t="s">
        <v>1109</v>
      </c>
      <c r="G13" s="23">
        <v>6448</v>
      </c>
      <c r="H13" s="23">
        <v>4762</v>
      </c>
      <c r="I13" s="15">
        <v>443</v>
      </c>
      <c r="J13" s="15">
        <v>227</v>
      </c>
      <c r="K13" s="15">
        <v>73</v>
      </c>
      <c r="L13" s="15">
        <v>98</v>
      </c>
      <c r="M13" s="15">
        <v>845</v>
      </c>
      <c r="N13" s="15">
        <v>32.200000000000003</v>
      </c>
    </row>
    <row r="14" spans="1:17" x14ac:dyDescent="0.2">
      <c r="A14" t="s">
        <v>1112</v>
      </c>
      <c r="E14" s="80"/>
      <c r="F14" s="47" t="s">
        <v>1113</v>
      </c>
      <c r="G14" s="23">
        <v>1741</v>
      </c>
      <c r="H14" s="23">
        <v>1330</v>
      </c>
      <c r="I14" s="15">
        <v>54</v>
      </c>
      <c r="J14" s="15">
        <v>72</v>
      </c>
      <c r="K14" s="15">
        <v>18</v>
      </c>
      <c r="L14" s="15">
        <v>9</v>
      </c>
      <c r="M14" s="15">
        <v>258</v>
      </c>
      <c r="N14" s="15">
        <v>38.700000000000003</v>
      </c>
    </row>
    <row r="15" spans="1:17" x14ac:dyDescent="0.2">
      <c r="A15" t="s">
        <v>1114</v>
      </c>
      <c r="E15" s="80"/>
      <c r="F15" s="25" t="s">
        <v>1115</v>
      </c>
      <c r="G15" s="23">
        <v>4997</v>
      </c>
      <c r="H15" s="23">
        <v>3987</v>
      </c>
      <c r="I15" s="15">
        <v>267</v>
      </c>
      <c r="J15" s="15">
        <v>0</v>
      </c>
      <c r="K15" s="15">
        <v>91</v>
      </c>
      <c r="L15" s="15">
        <v>3</v>
      </c>
      <c r="M15" s="15">
        <v>649</v>
      </c>
      <c r="N15" s="15">
        <v>34.1</v>
      </c>
    </row>
    <row r="16" spans="1:17" x14ac:dyDescent="0.2">
      <c r="A16" t="s">
        <v>1116</v>
      </c>
      <c r="E16" s="80"/>
      <c r="F16" s="25" t="s">
        <v>1117</v>
      </c>
      <c r="G16" s="23">
        <v>3119</v>
      </c>
      <c r="H16" s="23">
        <v>2356</v>
      </c>
      <c r="I16" s="15">
        <v>559</v>
      </c>
      <c r="J16" s="15">
        <v>73</v>
      </c>
      <c r="K16" s="15">
        <v>6</v>
      </c>
      <c r="L16" s="15">
        <v>37</v>
      </c>
      <c r="M16" s="15">
        <v>88</v>
      </c>
      <c r="N16" s="15">
        <v>32.299999999999997</v>
      </c>
    </row>
    <row r="17" spans="1:14" x14ac:dyDescent="0.2">
      <c r="E17" s="80"/>
      <c r="F17" s="25" t="s">
        <v>1118</v>
      </c>
      <c r="G17" s="23">
        <v>6256</v>
      </c>
      <c r="H17" s="23">
        <v>4260</v>
      </c>
      <c r="I17" s="15">
        <v>433</v>
      </c>
      <c r="J17" s="15">
        <v>334</v>
      </c>
      <c r="K17" s="15">
        <v>138</v>
      </c>
      <c r="L17" s="15">
        <v>94</v>
      </c>
      <c r="M17" s="15">
        <v>997</v>
      </c>
      <c r="N17" s="15">
        <v>39.299999999999997</v>
      </c>
    </row>
    <row r="18" spans="1:14" x14ac:dyDescent="0.2">
      <c r="A18" s="83" t="s">
        <v>1119</v>
      </c>
      <c r="B18" s="80"/>
      <c r="E18" s="80"/>
      <c r="F18" s="47" t="s">
        <v>1120</v>
      </c>
      <c r="G18" s="23">
        <v>2663</v>
      </c>
      <c r="H18" s="23">
        <v>1777</v>
      </c>
      <c r="I18" s="15">
        <v>259</v>
      </c>
      <c r="J18" s="15">
        <v>167</v>
      </c>
      <c r="K18" s="15">
        <v>42</v>
      </c>
      <c r="L18" s="15">
        <v>58</v>
      </c>
      <c r="M18" s="15">
        <v>360</v>
      </c>
      <c r="N18" s="15">
        <v>27.6</v>
      </c>
    </row>
    <row r="19" spans="1:14" x14ac:dyDescent="0.2">
      <c r="A19" t="s">
        <v>1121</v>
      </c>
      <c r="B19" t="s">
        <v>1606</v>
      </c>
      <c r="E19" s="80"/>
      <c r="F19" s="16" t="s">
        <v>1123</v>
      </c>
      <c r="G19" s="23">
        <v>2459</v>
      </c>
      <c r="H19" s="23">
        <v>2100</v>
      </c>
      <c r="I19" s="15">
        <v>186</v>
      </c>
      <c r="J19" s="15">
        <v>24</v>
      </c>
      <c r="K19" s="15">
        <v>0</v>
      </c>
      <c r="L19" s="15">
        <v>4</v>
      </c>
      <c r="M19" s="15">
        <v>145</v>
      </c>
      <c r="N19" s="15">
        <v>41.2</v>
      </c>
    </row>
    <row r="20" spans="1:14" x14ac:dyDescent="0.2">
      <c r="E20" s="80"/>
      <c r="F20" s="16" t="s">
        <v>1124</v>
      </c>
      <c r="G20" s="23">
        <v>2428</v>
      </c>
      <c r="H20" s="23">
        <v>1864</v>
      </c>
      <c r="I20" s="15">
        <v>93</v>
      </c>
      <c r="J20" s="15">
        <v>106</v>
      </c>
      <c r="K20" s="15">
        <v>0</v>
      </c>
      <c r="L20" s="15">
        <v>0</v>
      </c>
      <c r="M20" s="15">
        <v>365</v>
      </c>
      <c r="N20" s="15">
        <v>41.2</v>
      </c>
    </row>
    <row r="21" spans="1:14" x14ac:dyDescent="0.2">
      <c r="A21" s="81" t="s">
        <v>1125</v>
      </c>
      <c r="B21" s="80"/>
      <c r="E21" s="80"/>
      <c r="F21" s="16" t="s">
        <v>1126</v>
      </c>
      <c r="G21" s="23">
        <v>6699</v>
      </c>
      <c r="H21" s="23">
        <v>4078</v>
      </c>
      <c r="I21" s="15">
        <v>342</v>
      </c>
      <c r="J21" s="15">
        <v>17</v>
      </c>
      <c r="K21" s="23">
        <v>1241</v>
      </c>
      <c r="L21" s="15">
        <v>144</v>
      </c>
      <c r="M21" s="23">
        <v>1177</v>
      </c>
      <c r="N21" s="15">
        <v>19</v>
      </c>
    </row>
    <row r="22" spans="1:14" x14ac:dyDescent="0.2">
      <c r="A22" t="s">
        <v>1135</v>
      </c>
      <c r="B22" t="s">
        <v>1232</v>
      </c>
      <c r="E22" s="80"/>
      <c r="F22" s="47" t="s">
        <v>1137</v>
      </c>
      <c r="G22" s="23">
        <v>1915</v>
      </c>
      <c r="H22" s="23">
        <v>1457</v>
      </c>
      <c r="I22" s="15">
        <v>187</v>
      </c>
      <c r="J22" s="15">
        <v>0</v>
      </c>
      <c r="K22" s="15">
        <v>75</v>
      </c>
      <c r="L22" s="15">
        <v>31</v>
      </c>
      <c r="M22" s="15">
        <v>165</v>
      </c>
      <c r="N22" s="15">
        <v>24.2</v>
      </c>
    </row>
    <row r="23" spans="1:14" x14ac:dyDescent="0.2">
      <c r="E23" s="80"/>
      <c r="F23" s="16" t="s">
        <v>1146</v>
      </c>
      <c r="G23" s="23">
        <v>13184</v>
      </c>
      <c r="H23" s="23">
        <v>8506</v>
      </c>
      <c r="I23" s="23">
        <v>2446</v>
      </c>
      <c r="J23" s="15">
        <v>593</v>
      </c>
      <c r="K23" s="15">
        <v>355</v>
      </c>
      <c r="L23" s="15">
        <v>522</v>
      </c>
      <c r="M23" s="15">
        <v>762</v>
      </c>
      <c r="N23" s="15">
        <v>35.4</v>
      </c>
    </row>
    <row r="24" spans="1:14" x14ac:dyDescent="0.2">
      <c r="E24" s="80"/>
      <c r="F24" s="16" t="s">
        <v>1150</v>
      </c>
      <c r="G24" s="23">
        <v>2438</v>
      </c>
      <c r="H24" s="23">
        <v>1837</v>
      </c>
      <c r="I24" s="15">
        <v>213</v>
      </c>
      <c r="J24" s="15">
        <v>15</v>
      </c>
      <c r="K24" s="15">
        <v>14</v>
      </c>
      <c r="L24" s="15">
        <v>76</v>
      </c>
      <c r="M24" s="15">
        <v>283</v>
      </c>
      <c r="N24" s="15">
        <v>39.6</v>
      </c>
    </row>
    <row r="25" spans="1:14" x14ac:dyDescent="0.2">
      <c r="E25" s="80"/>
      <c r="F25" s="47" t="s">
        <v>1154</v>
      </c>
      <c r="G25" s="15">
        <v>368</v>
      </c>
      <c r="H25" s="15">
        <v>269</v>
      </c>
      <c r="I25" s="15">
        <v>49</v>
      </c>
      <c r="J25" s="15">
        <v>0</v>
      </c>
      <c r="K25" s="15">
        <v>14</v>
      </c>
      <c r="L25" s="15">
        <v>0</v>
      </c>
      <c r="M25" s="15">
        <v>36</v>
      </c>
      <c r="N25" s="15">
        <v>33.200000000000003</v>
      </c>
    </row>
    <row r="26" spans="1:14" x14ac:dyDescent="0.2">
      <c r="E26" s="80"/>
      <c r="F26" s="16" t="s">
        <v>1158</v>
      </c>
      <c r="G26" s="23">
        <v>10178</v>
      </c>
      <c r="H26" s="23">
        <v>6377</v>
      </c>
      <c r="I26" s="23">
        <v>1229</v>
      </c>
      <c r="J26" s="15">
        <v>729</v>
      </c>
      <c r="K26" s="15">
        <v>86</v>
      </c>
      <c r="L26" s="15">
        <v>370</v>
      </c>
      <c r="M26" s="23">
        <v>1387</v>
      </c>
      <c r="N26" s="15">
        <v>37.299999999999997</v>
      </c>
    </row>
    <row r="27" spans="1:14" x14ac:dyDescent="0.2">
      <c r="A27" s="81"/>
      <c r="B27" s="80"/>
      <c r="E27" s="80"/>
      <c r="F27" s="47" t="s">
        <v>1162</v>
      </c>
      <c r="G27" s="23">
        <v>1033</v>
      </c>
      <c r="H27" s="15">
        <v>630</v>
      </c>
      <c r="I27" s="15">
        <v>131</v>
      </c>
      <c r="J27" s="15">
        <v>52</v>
      </c>
      <c r="K27" s="15">
        <v>21</v>
      </c>
      <c r="L27" s="15">
        <v>49</v>
      </c>
      <c r="M27" s="15">
        <v>150</v>
      </c>
      <c r="N27" s="15">
        <v>36.799999999999997</v>
      </c>
    </row>
    <row r="28" spans="1:14" x14ac:dyDescent="0.2">
      <c r="E28" s="80"/>
      <c r="F28" s="47" t="s">
        <v>1164</v>
      </c>
      <c r="G28" s="23">
        <v>4780</v>
      </c>
      <c r="H28" s="23">
        <v>3427</v>
      </c>
      <c r="I28" s="15">
        <v>584</v>
      </c>
      <c r="J28" s="15">
        <v>183</v>
      </c>
      <c r="K28" s="15">
        <v>30</v>
      </c>
      <c r="L28" s="15">
        <v>178</v>
      </c>
      <c r="M28" s="15">
        <v>378</v>
      </c>
      <c r="N28" s="15">
        <v>33.200000000000003</v>
      </c>
    </row>
    <row r="29" spans="1:14" x14ac:dyDescent="0.2">
      <c r="E29" s="80"/>
      <c r="F29" s="16" t="s">
        <v>1166</v>
      </c>
      <c r="G29" s="23">
        <v>11313</v>
      </c>
      <c r="H29" s="23">
        <v>9030</v>
      </c>
      <c r="I29" s="15">
        <v>794</v>
      </c>
      <c r="J29" s="15">
        <v>243</v>
      </c>
      <c r="K29" s="15">
        <v>97</v>
      </c>
      <c r="L29" s="15">
        <v>205</v>
      </c>
      <c r="M29" s="15">
        <v>944</v>
      </c>
      <c r="N29" s="15">
        <v>32.1</v>
      </c>
    </row>
    <row r="30" spans="1:14" x14ac:dyDescent="0.2">
      <c r="E30" s="80"/>
      <c r="F30" s="47" t="s">
        <v>1168</v>
      </c>
      <c r="G30" s="23">
        <v>1785</v>
      </c>
      <c r="H30" s="23">
        <v>1315</v>
      </c>
      <c r="I30" s="15">
        <v>191</v>
      </c>
      <c r="J30" s="15">
        <v>15</v>
      </c>
      <c r="K30" s="15">
        <v>0</v>
      </c>
      <c r="L30" s="15">
        <v>106</v>
      </c>
      <c r="M30" s="15">
        <v>158</v>
      </c>
      <c r="N30" s="15">
        <v>33.9</v>
      </c>
    </row>
    <row r="31" spans="1:14" x14ac:dyDescent="0.2">
      <c r="E31" s="80"/>
      <c r="F31" s="47" t="s">
        <v>1170</v>
      </c>
      <c r="G31" s="23">
        <v>1867</v>
      </c>
      <c r="H31" s="23">
        <v>1475</v>
      </c>
      <c r="I31" s="15">
        <v>202</v>
      </c>
      <c r="J31" s="15">
        <v>45</v>
      </c>
      <c r="K31" s="15">
        <v>8</v>
      </c>
      <c r="L31" s="15">
        <v>8</v>
      </c>
      <c r="M31" s="15">
        <v>129</v>
      </c>
      <c r="N31" s="15">
        <v>32.4</v>
      </c>
    </row>
    <row r="32" spans="1:14" x14ac:dyDescent="0.2">
      <c r="E32" s="80"/>
      <c r="F32" s="47" t="s">
        <v>1172</v>
      </c>
      <c r="G32" s="23">
        <v>3173</v>
      </c>
      <c r="H32" s="23">
        <v>2620</v>
      </c>
      <c r="I32" s="15">
        <v>118</v>
      </c>
      <c r="J32" s="15">
        <v>12</v>
      </c>
      <c r="K32" s="15">
        <v>46</v>
      </c>
      <c r="L32" s="15">
        <v>0</v>
      </c>
      <c r="M32" s="15">
        <v>377</v>
      </c>
      <c r="N32" s="15">
        <v>30.6</v>
      </c>
    </row>
    <row r="33" spans="5:14" x14ac:dyDescent="0.2">
      <c r="E33" s="80"/>
      <c r="F33" s="16" t="s">
        <v>1174</v>
      </c>
      <c r="G33" s="23">
        <v>2624</v>
      </c>
      <c r="H33" s="23">
        <v>2138</v>
      </c>
      <c r="I33" s="15">
        <v>144</v>
      </c>
      <c r="J33" s="15">
        <v>30</v>
      </c>
      <c r="K33" s="15">
        <v>9</v>
      </c>
      <c r="L33" s="15">
        <v>5</v>
      </c>
      <c r="M33" s="15">
        <v>298</v>
      </c>
      <c r="N33" s="15">
        <v>37</v>
      </c>
    </row>
    <row r="34" spans="5:14" x14ac:dyDescent="0.2">
      <c r="E34" s="80"/>
      <c r="F34" t="s">
        <v>1178</v>
      </c>
      <c r="G34" s="15">
        <v>495</v>
      </c>
      <c r="H34" s="15">
        <v>416</v>
      </c>
      <c r="I34" s="17">
        <v>17</v>
      </c>
      <c r="J34" s="15">
        <v>0</v>
      </c>
      <c r="K34" s="15">
        <v>9</v>
      </c>
      <c r="L34" s="15">
        <v>5</v>
      </c>
      <c r="M34" s="15">
        <v>48</v>
      </c>
      <c r="N34" s="15">
        <v>34.9</v>
      </c>
    </row>
    <row r="35" spans="5:14" x14ac:dyDescent="0.2">
      <c r="E35" s="80"/>
      <c r="F35" s="16" t="s">
        <v>1180</v>
      </c>
      <c r="G35" s="23">
        <v>12624</v>
      </c>
      <c r="H35" s="23">
        <v>7056</v>
      </c>
      <c r="I35" s="28">
        <v>1823</v>
      </c>
      <c r="J35" s="15">
        <v>584</v>
      </c>
      <c r="K35" s="23">
        <v>1171</v>
      </c>
      <c r="L35" s="15">
        <v>847</v>
      </c>
      <c r="M35" s="23">
        <v>1143</v>
      </c>
      <c r="N35" s="15">
        <v>25.5</v>
      </c>
    </row>
    <row r="36" spans="5:14" x14ac:dyDescent="0.2">
      <c r="E36" s="80"/>
      <c r="F36" s="16" t="s">
        <v>1182</v>
      </c>
      <c r="G36" s="23">
        <v>15743</v>
      </c>
      <c r="H36" s="23">
        <v>11843</v>
      </c>
      <c r="I36" s="28">
        <v>1049</v>
      </c>
      <c r="J36" s="15">
        <v>636</v>
      </c>
      <c r="K36" s="15">
        <v>137</v>
      </c>
      <c r="L36" s="15">
        <v>205</v>
      </c>
      <c r="M36" s="23">
        <v>1873</v>
      </c>
      <c r="N36" s="15">
        <v>35.299999999999997</v>
      </c>
    </row>
    <row r="37" spans="5:14" x14ac:dyDescent="0.2">
      <c r="E37" s="80"/>
      <c r="F37" s="16" t="s">
        <v>1184</v>
      </c>
      <c r="G37" s="23">
        <v>13600</v>
      </c>
      <c r="H37" s="23">
        <v>9530</v>
      </c>
      <c r="I37" s="28">
        <v>1404</v>
      </c>
      <c r="J37" s="15">
        <v>582</v>
      </c>
      <c r="K37" s="15">
        <v>311</v>
      </c>
      <c r="L37" s="15">
        <v>89</v>
      </c>
      <c r="M37" s="23">
        <v>1684</v>
      </c>
      <c r="N37" s="15">
        <v>36.299999999999997</v>
      </c>
    </row>
    <row r="38" spans="5:14" x14ac:dyDescent="0.2">
      <c r="E38" s="80"/>
      <c r="F38" s="16" t="s">
        <v>1186</v>
      </c>
      <c r="G38" s="23">
        <v>8229</v>
      </c>
      <c r="H38" s="23">
        <v>3294</v>
      </c>
      <c r="I38" s="23">
        <v>1065</v>
      </c>
      <c r="J38" s="15">
        <v>832</v>
      </c>
      <c r="K38" s="23">
        <v>1661</v>
      </c>
      <c r="L38" s="15">
        <v>239</v>
      </c>
      <c r="M38" s="23">
        <v>1138</v>
      </c>
      <c r="N38" s="15">
        <v>21.5</v>
      </c>
    </row>
    <row r="39" spans="5:14" x14ac:dyDescent="0.2">
      <c r="E39" s="80"/>
      <c r="F39" s="47" t="s">
        <v>1188</v>
      </c>
      <c r="G39" s="23">
        <v>8229</v>
      </c>
      <c r="H39" s="23">
        <v>3294</v>
      </c>
      <c r="I39" s="23">
        <v>1065</v>
      </c>
      <c r="J39" s="15">
        <v>832</v>
      </c>
      <c r="K39" s="23">
        <v>1661</v>
      </c>
      <c r="L39" s="15">
        <v>239</v>
      </c>
      <c r="M39" s="23">
        <v>1138</v>
      </c>
      <c r="N39" s="15">
        <v>21.5</v>
      </c>
    </row>
    <row r="40" spans="5:14" x14ac:dyDescent="0.2">
      <c r="E40" s="80"/>
      <c r="F40" s="16" t="s">
        <v>1191</v>
      </c>
      <c r="G40" s="23">
        <v>3644</v>
      </c>
      <c r="H40" s="23">
        <v>2439</v>
      </c>
      <c r="I40" s="15">
        <v>477</v>
      </c>
      <c r="J40" s="15">
        <v>76</v>
      </c>
      <c r="K40" s="15">
        <v>424</v>
      </c>
      <c r="L40" s="15">
        <v>79</v>
      </c>
      <c r="M40" s="15">
        <v>149</v>
      </c>
      <c r="N40" s="15">
        <v>23</v>
      </c>
    </row>
    <row r="41" spans="5:14" x14ac:dyDescent="0.2">
      <c r="E41" s="80"/>
      <c r="F41" s="16" t="s">
        <v>1195</v>
      </c>
      <c r="G41" s="23">
        <v>1892</v>
      </c>
      <c r="H41" s="23">
        <v>1138</v>
      </c>
      <c r="I41" s="15">
        <v>61</v>
      </c>
      <c r="J41" s="15">
        <v>251</v>
      </c>
      <c r="K41" s="15">
        <v>9</v>
      </c>
      <c r="L41" s="15">
        <v>0</v>
      </c>
      <c r="M41" s="15">
        <v>433</v>
      </c>
      <c r="N41" s="15">
        <v>42.5</v>
      </c>
    </row>
    <row r="42" spans="5:14" x14ac:dyDescent="0.2">
      <c r="E42" s="80"/>
      <c r="F42" s="47" t="s">
        <v>1199</v>
      </c>
      <c r="G42" s="23">
        <v>1505</v>
      </c>
      <c r="H42" s="23">
        <v>1022</v>
      </c>
      <c r="I42" s="15">
        <v>47</v>
      </c>
      <c r="J42" s="15">
        <v>198</v>
      </c>
      <c r="K42" s="15">
        <v>0</v>
      </c>
      <c r="L42" s="15">
        <v>0</v>
      </c>
      <c r="M42" s="15">
        <v>238</v>
      </c>
      <c r="N42" s="15">
        <v>42.2</v>
      </c>
    </row>
    <row r="43" spans="5:14" x14ac:dyDescent="0.2">
      <c r="E43" s="80"/>
      <c r="F43" s="47" t="s">
        <v>1200</v>
      </c>
      <c r="G43" s="15">
        <v>387</v>
      </c>
      <c r="H43" s="15">
        <v>116</v>
      </c>
      <c r="I43" s="15">
        <v>14</v>
      </c>
      <c r="J43" s="15">
        <v>53</v>
      </c>
      <c r="K43" s="15">
        <v>9</v>
      </c>
      <c r="L43" s="15">
        <v>0</v>
      </c>
      <c r="M43" s="15">
        <v>195</v>
      </c>
      <c r="N43" s="15">
        <v>44.7</v>
      </c>
    </row>
    <row r="44" spans="5:14" x14ac:dyDescent="0.2">
      <c r="E44" s="80"/>
      <c r="F44" s="16" t="s">
        <v>1201</v>
      </c>
      <c r="G44" s="23">
        <v>15530</v>
      </c>
      <c r="H44" s="23">
        <v>11246</v>
      </c>
      <c r="I44" s="23">
        <v>1926</v>
      </c>
      <c r="J44" s="15">
        <v>508</v>
      </c>
      <c r="K44" s="15">
        <v>180</v>
      </c>
      <c r="L44" s="15">
        <v>323</v>
      </c>
      <c r="M44" s="23">
        <v>1347</v>
      </c>
      <c r="N44" s="15">
        <v>31.3</v>
      </c>
    </row>
    <row r="45" spans="5:14" x14ac:dyDescent="0.2">
      <c r="E45" s="80"/>
      <c r="F45" s="16" t="s">
        <v>1202</v>
      </c>
      <c r="G45" s="23">
        <v>15944</v>
      </c>
      <c r="H45" s="23">
        <v>11333</v>
      </c>
      <c r="I45" s="15">
        <v>759</v>
      </c>
      <c r="J45" s="15">
        <v>578</v>
      </c>
      <c r="K45" s="15">
        <v>430</v>
      </c>
      <c r="L45" s="15">
        <v>117</v>
      </c>
      <c r="M45" s="23">
        <v>2727</v>
      </c>
      <c r="N45" s="15">
        <v>39.700000000000003</v>
      </c>
    </row>
    <row r="46" spans="5:14" x14ac:dyDescent="0.2">
      <c r="E46" s="80"/>
      <c r="F46" s="47" t="s">
        <v>1203</v>
      </c>
      <c r="G46" s="15">
        <v>154</v>
      </c>
      <c r="H46" s="23">
        <v>1088</v>
      </c>
      <c r="I46" s="15">
        <v>110</v>
      </c>
      <c r="J46" s="15">
        <v>86</v>
      </c>
      <c r="K46" s="15">
        <v>109</v>
      </c>
      <c r="L46" s="15">
        <v>28</v>
      </c>
      <c r="M46" s="15">
        <v>83</v>
      </c>
      <c r="N46" s="15">
        <v>33.200000000000003</v>
      </c>
    </row>
    <row r="47" spans="5:14" x14ac:dyDescent="0.2">
      <c r="E47" s="80"/>
      <c r="F47" s="47" t="s">
        <v>1204</v>
      </c>
      <c r="G47" s="23">
        <v>1382</v>
      </c>
      <c r="H47" s="15">
        <v>788</v>
      </c>
      <c r="I47" s="15">
        <v>117</v>
      </c>
      <c r="J47" s="15">
        <v>38</v>
      </c>
      <c r="K47" s="15">
        <v>63</v>
      </c>
      <c r="L47" s="15">
        <v>12</v>
      </c>
      <c r="M47" s="15">
        <v>364</v>
      </c>
      <c r="N47" s="15">
        <v>37.200000000000003</v>
      </c>
    </row>
    <row r="48" spans="5:14" x14ac:dyDescent="0.2">
      <c r="E48" s="80"/>
      <c r="F48" s="47" t="s">
        <v>1205</v>
      </c>
      <c r="G48" s="23">
        <v>2908</v>
      </c>
      <c r="H48" s="23">
        <v>2206</v>
      </c>
      <c r="I48" s="15">
        <v>154</v>
      </c>
      <c r="J48" s="15">
        <v>113</v>
      </c>
      <c r="K48" s="15">
        <v>97</v>
      </c>
      <c r="L48" s="15">
        <v>0</v>
      </c>
      <c r="M48" s="15">
        <v>338</v>
      </c>
      <c r="N48" s="15">
        <v>40.1</v>
      </c>
    </row>
    <row r="49" spans="5:14" x14ac:dyDescent="0.2">
      <c r="E49" s="80"/>
      <c r="F49" s="16" t="s">
        <v>1206</v>
      </c>
      <c r="G49" s="23">
        <v>3493</v>
      </c>
      <c r="H49" s="23">
        <v>2925</v>
      </c>
      <c r="I49" s="15">
        <v>151</v>
      </c>
      <c r="J49" s="15">
        <v>63</v>
      </c>
      <c r="K49" s="15">
        <v>23</v>
      </c>
      <c r="L49" s="15">
        <v>28</v>
      </c>
      <c r="M49" s="15">
        <v>303</v>
      </c>
      <c r="N49" s="15">
        <v>32.5</v>
      </c>
    </row>
    <row r="50" spans="5:14" x14ac:dyDescent="0.2">
      <c r="E50" s="80"/>
      <c r="F50" s="16" t="s">
        <v>1207</v>
      </c>
      <c r="G50" s="23">
        <v>5617</v>
      </c>
      <c r="H50" s="23">
        <v>4023</v>
      </c>
      <c r="I50" s="15">
        <v>541</v>
      </c>
      <c r="J50" s="15">
        <v>350</v>
      </c>
      <c r="K50" s="15">
        <v>131</v>
      </c>
      <c r="L50" s="15">
        <v>100</v>
      </c>
      <c r="M50" s="15">
        <v>472</v>
      </c>
      <c r="N50" s="15">
        <v>44.1</v>
      </c>
    </row>
    <row r="51" spans="5:14" x14ac:dyDescent="0.2">
      <c r="E51" s="80"/>
      <c r="F51" s="47" t="s">
        <v>1162</v>
      </c>
      <c r="G51" s="15">
        <v>466</v>
      </c>
      <c r="H51" s="15">
        <v>124</v>
      </c>
      <c r="I51" s="15">
        <v>55</v>
      </c>
      <c r="J51" s="15">
        <v>66</v>
      </c>
      <c r="K51" s="15">
        <v>131</v>
      </c>
      <c r="L51" s="15">
        <v>41</v>
      </c>
      <c r="M51" s="15">
        <v>49</v>
      </c>
      <c r="N51" s="15">
        <v>26.4</v>
      </c>
    </row>
    <row r="52" spans="5:14" x14ac:dyDescent="0.2">
      <c r="E52" s="80"/>
      <c r="F52" s="47" t="s">
        <v>1208</v>
      </c>
      <c r="G52" s="23">
        <v>5151</v>
      </c>
      <c r="H52" s="23">
        <v>3899</v>
      </c>
      <c r="I52" s="15">
        <v>486</v>
      </c>
      <c r="J52" s="15">
        <v>284</v>
      </c>
      <c r="K52" s="15">
        <v>0</v>
      </c>
      <c r="L52" s="15">
        <v>59</v>
      </c>
      <c r="M52" s="15">
        <v>423</v>
      </c>
      <c r="N52" s="15">
        <v>45.7</v>
      </c>
    </row>
    <row r="53" spans="5:14" x14ac:dyDescent="0.2">
      <c r="E53" s="80"/>
    </row>
    <row r="54" spans="5:14" x14ac:dyDescent="0.2">
      <c r="E54" s="80"/>
    </row>
    <row r="55" spans="5:14" x14ac:dyDescent="0.2">
      <c r="E55" s="80"/>
    </row>
    <row r="56" spans="5:14" x14ac:dyDescent="0.2">
      <c r="E56" s="80"/>
    </row>
    <row r="57" spans="5:14" x14ac:dyDescent="0.2">
      <c r="E57" s="80"/>
    </row>
  </sheetData>
  <mergeCells count="11">
    <mergeCell ref="G5:G6"/>
    <mergeCell ref="B1:O1"/>
    <mergeCell ref="A21:B21"/>
    <mergeCell ref="N5:N6"/>
    <mergeCell ref="E5:E57"/>
    <mergeCell ref="H5:M5"/>
    <mergeCell ref="A9:B9"/>
    <mergeCell ref="A5:B5"/>
    <mergeCell ref="F5:F6"/>
    <mergeCell ref="A18:B18"/>
    <mergeCell ref="A27:B27"/>
  </mergeCells>
  <dataValidations count="4">
    <dataValidation type="list" allowBlank="1" showInputMessage="1" showErrorMessage="1" sqref="P4:Q4" xr:uid="{00000000-0002-0000-2100-000000000000}">
      <formula1>"integer, number, percent1"</formula1>
    </dataValidation>
    <dataValidation type="list" allowBlank="1" showInputMessage="1" showErrorMessage="1" sqref="B10" xr:uid="{00000000-0002-0000-2100-000001000000}">
      <formula1>"Line,Clustered Bar,Stacked Bar,Bar,Horizontal Stacked Bar"</formula1>
    </dataValidation>
    <dataValidation type="list" allowBlank="1" showInputMessage="1" showErrorMessage="1" sqref="B2" xr:uid="{00000000-0002-0000-2100-000002000000}">
      <formula1>"Table,Figure,Both"</formula1>
    </dataValidation>
    <dataValidation type="list" allowBlank="1" showInputMessage="1" showErrorMessage="1" sqref="B6 B15:B16" xr:uid="{00000000-0002-0000-2100-000003000000}">
      <formula1>"True,False"</formula1>
    </dataValidation>
  </dataValidation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R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8.33203125" bestFit="1" customWidth="1"/>
    <col min="8" max="8" width="22.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8" x14ac:dyDescent="0.2">
      <c r="A1" s="16" t="s">
        <v>1077</v>
      </c>
      <c r="B1" s="79" t="s">
        <v>118</v>
      </c>
      <c r="C1" s="80"/>
      <c r="D1" s="80"/>
      <c r="E1" s="80"/>
      <c r="F1" s="80"/>
      <c r="G1" s="80"/>
      <c r="H1" s="80"/>
      <c r="I1" s="80"/>
      <c r="J1" s="80"/>
      <c r="K1" s="80"/>
      <c r="L1" s="80"/>
      <c r="M1" s="80"/>
      <c r="N1" s="80"/>
      <c r="O1" s="80"/>
    </row>
    <row r="2" spans="1:18" x14ac:dyDescent="0.2">
      <c r="A2" s="16" t="s">
        <v>1078</v>
      </c>
      <c r="B2" t="s">
        <v>1079</v>
      </c>
    </row>
    <row r="3" spans="1:18" x14ac:dyDescent="0.2">
      <c r="A3" s="16" t="s">
        <v>1080</v>
      </c>
      <c r="B3" t="str">
        <f>IF($B$1="","",_xlfn.XLOOKUP($B$1,Master!$F$2:$F$321,Master!$G$2:$G$321,""))</f>
        <v>tbl-house-tenure-vacancy</v>
      </c>
    </row>
    <row r="4" spans="1:18" x14ac:dyDescent="0.2">
      <c r="A4" s="16" t="s">
        <v>7</v>
      </c>
      <c r="B4" t="str">
        <f>IF($B$1="","",_xlfn.XLOOKUP($B$1,Master!$F$2:$F$321,Master!$H$2:$H$321,""))</f>
        <v>fig-house-tenure-vacancy</v>
      </c>
      <c r="E4" s="8"/>
      <c r="F4" s="10" t="s">
        <v>968</v>
      </c>
      <c r="G4" s="10" t="s">
        <v>973</v>
      </c>
      <c r="H4" s="10" t="s">
        <v>973</v>
      </c>
      <c r="I4" s="10" t="s">
        <v>973</v>
      </c>
      <c r="J4" s="10" t="s">
        <v>973</v>
      </c>
      <c r="K4" s="10" t="s">
        <v>973</v>
      </c>
      <c r="L4" s="10" t="s">
        <v>973</v>
      </c>
      <c r="M4" s="10" t="s">
        <v>973</v>
      </c>
      <c r="N4" s="10" t="s">
        <v>973</v>
      </c>
      <c r="O4" s="10" t="s">
        <v>973</v>
      </c>
      <c r="P4" s="10" t="s">
        <v>973</v>
      </c>
      <c r="Q4" s="10" t="s">
        <v>973</v>
      </c>
      <c r="R4" s="10" t="s">
        <v>973</v>
      </c>
    </row>
    <row r="5" spans="1:18" x14ac:dyDescent="0.2">
      <c r="A5" s="83" t="s">
        <v>1081</v>
      </c>
      <c r="B5" s="80"/>
      <c r="E5" s="82" t="s">
        <v>1082</v>
      </c>
      <c r="F5" s="81" t="s">
        <v>1083</v>
      </c>
      <c r="G5" s="81" t="s">
        <v>1607</v>
      </c>
      <c r="H5" s="81" t="s">
        <v>1608</v>
      </c>
      <c r="I5" s="80"/>
      <c r="J5" s="80"/>
      <c r="K5" s="80"/>
      <c r="L5" s="80"/>
      <c r="M5" s="80"/>
      <c r="N5" s="81" t="s">
        <v>1609</v>
      </c>
      <c r="O5" s="80"/>
      <c r="P5" s="80"/>
      <c r="Q5" s="80"/>
      <c r="R5" s="80"/>
    </row>
    <row r="6" spans="1:18" ht="15" customHeight="1" x14ac:dyDescent="0.2">
      <c r="A6" t="s">
        <v>1088</v>
      </c>
      <c r="B6" t="b">
        <v>1</v>
      </c>
      <c r="E6" s="80"/>
      <c r="F6" s="80"/>
      <c r="G6" s="80"/>
      <c r="H6" t="s">
        <v>1610</v>
      </c>
      <c r="I6" t="s">
        <v>1611</v>
      </c>
      <c r="J6" t="s">
        <v>1612</v>
      </c>
      <c r="K6" t="s">
        <v>1610</v>
      </c>
      <c r="L6" t="s">
        <v>1613</v>
      </c>
      <c r="M6" t="s">
        <v>1614</v>
      </c>
      <c r="N6" t="s">
        <v>1615</v>
      </c>
      <c r="O6" t="s">
        <v>1616</v>
      </c>
      <c r="P6" t="s">
        <v>1617</v>
      </c>
      <c r="Q6" t="s">
        <v>1618</v>
      </c>
      <c r="R6" t="s">
        <v>1015</v>
      </c>
    </row>
    <row r="7" spans="1:18" ht="15.75" customHeight="1" x14ac:dyDescent="0.2">
      <c r="E7" s="80"/>
      <c r="F7" s="16" t="s">
        <v>1096</v>
      </c>
      <c r="G7" s="23">
        <v>148460</v>
      </c>
      <c r="H7" s="23">
        <v>137311</v>
      </c>
      <c r="I7" s="23">
        <v>93959</v>
      </c>
      <c r="J7" s="23">
        <v>43352</v>
      </c>
      <c r="K7" s="23">
        <v>11149</v>
      </c>
      <c r="L7" s="23">
        <v>1622</v>
      </c>
      <c r="M7" s="15">
        <v>255</v>
      </c>
      <c r="N7" s="23">
        <v>1005</v>
      </c>
      <c r="O7" s="15">
        <v>692</v>
      </c>
      <c r="P7" s="23">
        <v>2154</v>
      </c>
      <c r="Q7" s="15">
        <v>47</v>
      </c>
      <c r="R7" s="23">
        <v>5374</v>
      </c>
    </row>
    <row r="8" spans="1:18" x14ac:dyDescent="0.2">
      <c r="E8" s="80"/>
      <c r="F8" s="16" t="s">
        <v>1097</v>
      </c>
      <c r="G8" s="23">
        <v>6884</v>
      </c>
      <c r="H8" s="23">
        <v>6149</v>
      </c>
      <c r="I8" s="23">
        <v>5016</v>
      </c>
      <c r="J8" s="23">
        <v>1133</v>
      </c>
      <c r="K8" s="15">
        <v>695</v>
      </c>
      <c r="L8" s="15">
        <v>93</v>
      </c>
      <c r="M8" s="15">
        <v>0</v>
      </c>
      <c r="N8" s="15">
        <v>65</v>
      </c>
      <c r="O8" s="15">
        <v>68</v>
      </c>
      <c r="P8" s="15">
        <v>186</v>
      </c>
      <c r="Q8" s="15">
        <v>0</v>
      </c>
      <c r="R8" s="15">
        <v>283</v>
      </c>
    </row>
    <row r="9" spans="1:18" x14ac:dyDescent="0.2">
      <c r="A9" s="83" t="s">
        <v>1098</v>
      </c>
      <c r="B9" s="80"/>
      <c r="E9" s="80"/>
      <c r="F9" s="47" t="s">
        <v>1099</v>
      </c>
      <c r="G9" s="23">
        <v>1390</v>
      </c>
      <c r="H9" s="23">
        <v>1173</v>
      </c>
      <c r="I9" s="15">
        <v>714</v>
      </c>
      <c r="J9" s="15">
        <v>459</v>
      </c>
      <c r="K9" s="15">
        <v>217</v>
      </c>
      <c r="L9" s="15">
        <v>14</v>
      </c>
      <c r="M9" s="15">
        <v>0</v>
      </c>
      <c r="N9" s="15">
        <v>0</v>
      </c>
      <c r="O9" s="15">
        <v>39</v>
      </c>
      <c r="P9" s="15">
        <v>71</v>
      </c>
      <c r="Q9" s="15">
        <v>0</v>
      </c>
      <c r="R9" s="15">
        <v>93</v>
      </c>
    </row>
    <row r="10" spans="1:18" x14ac:dyDescent="0.2">
      <c r="A10" t="s">
        <v>1100</v>
      </c>
      <c r="E10" s="80"/>
      <c r="F10" s="47" t="s">
        <v>1101</v>
      </c>
      <c r="G10" s="23">
        <v>2186</v>
      </c>
      <c r="H10" s="23">
        <v>2106</v>
      </c>
      <c r="I10" s="23">
        <v>1670</v>
      </c>
      <c r="J10" s="15">
        <v>436</v>
      </c>
      <c r="K10" s="15">
        <v>80</v>
      </c>
      <c r="L10" s="15">
        <v>44</v>
      </c>
      <c r="M10" s="15">
        <v>0</v>
      </c>
      <c r="N10" s="15">
        <v>0</v>
      </c>
      <c r="O10" s="15">
        <v>0</v>
      </c>
      <c r="P10" s="15">
        <v>36</v>
      </c>
      <c r="Q10" s="15">
        <v>0</v>
      </c>
      <c r="R10" s="15">
        <v>0</v>
      </c>
    </row>
    <row r="11" spans="1:18" x14ac:dyDescent="0.2">
      <c r="A11" t="s">
        <v>1102</v>
      </c>
      <c r="E11" s="80"/>
      <c r="F11" s="16" t="s">
        <v>1103</v>
      </c>
      <c r="G11" s="23">
        <v>4763</v>
      </c>
      <c r="H11" s="23">
        <v>4458</v>
      </c>
      <c r="I11" s="23">
        <v>3538</v>
      </c>
      <c r="J11" s="17">
        <v>920</v>
      </c>
      <c r="K11" s="17">
        <v>305</v>
      </c>
      <c r="L11" s="17">
        <v>0</v>
      </c>
      <c r="M11" s="17">
        <v>0</v>
      </c>
      <c r="N11" s="17">
        <v>45</v>
      </c>
      <c r="O11" s="15">
        <v>0</v>
      </c>
      <c r="P11" s="15">
        <v>56</v>
      </c>
      <c r="Q11" s="15">
        <v>0</v>
      </c>
      <c r="R11" s="15">
        <v>204</v>
      </c>
    </row>
    <row r="12" spans="1:18" x14ac:dyDescent="0.2">
      <c r="A12" t="s">
        <v>1104</v>
      </c>
      <c r="E12" s="80"/>
      <c r="F12" s="48" t="s">
        <v>1105</v>
      </c>
      <c r="G12" s="28">
        <v>1687</v>
      </c>
      <c r="H12" s="28">
        <v>1560</v>
      </c>
      <c r="I12" s="15">
        <v>828</v>
      </c>
      <c r="J12" s="15">
        <v>732</v>
      </c>
      <c r="K12" s="15">
        <v>127</v>
      </c>
      <c r="L12" s="15">
        <v>0</v>
      </c>
      <c r="M12" s="15">
        <v>0</v>
      </c>
      <c r="N12" s="15">
        <v>0</v>
      </c>
      <c r="O12" s="15">
        <v>0</v>
      </c>
      <c r="P12" s="15">
        <v>56</v>
      </c>
      <c r="Q12" s="15">
        <v>0</v>
      </c>
      <c r="R12" s="15">
        <v>71</v>
      </c>
    </row>
    <row r="13" spans="1:18" x14ac:dyDescent="0.2">
      <c r="A13" t="s">
        <v>1108</v>
      </c>
      <c r="E13" s="80"/>
      <c r="F13" s="16" t="s">
        <v>1109</v>
      </c>
      <c r="G13" s="23">
        <v>5366</v>
      </c>
      <c r="H13" s="23">
        <v>5023</v>
      </c>
      <c r="I13" s="23">
        <v>3815</v>
      </c>
      <c r="J13" s="23">
        <v>1208</v>
      </c>
      <c r="K13" s="15">
        <v>343</v>
      </c>
      <c r="L13" s="15">
        <v>28</v>
      </c>
      <c r="M13" s="15">
        <v>18</v>
      </c>
      <c r="N13" s="15">
        <v>93</v>
      </c>
      <c r="O13" s="15">
        <v>0</v>
      </c>
      <c r="P13" s="15">
        <v>73</v>
      </c>
      <c r="Q13" s="15">
        <v>0</v>
      </c>
      <c r="R13" s="15">
        <v>131</v>
      </c>
    </row>
    <row r="14" spans="1:18" x14ac:dyDescent="0.2">
      <c r="A14" t="s">
        <v>1112</v>
      </c>
      <c r="E14" s="80"/>
      <c r="F14" s="47" t="s">
        <v>1113</v>
      </c>
      <c r="G14" s="23">
        <v>1337</v>
      </c>
      <c r="H14" s="23">
        <v>1230</v>
      </c>
      <c r="I14" s="15">
        <v>920</v>
      </c>
      <c r="J14" s="15">
        <v>310</v>
      </c>
      <c r="K14" s="15">
        <v>107</v>
      </c>
      <c r="L14" s="15">
        <v>0</v>
      </c>
      <c r="M14" s="15">
        <v>9</v>
      </c>
      <c r="N14" s="15">
        <v>27</v>
      </c>
      <c r="O14" s="15">
        <v>0</v>
      </c>
      <c r="P14" s="15">
        <v>28</v>
      </c>
      <c r="Q14" s="15">
        <v>0</v>
      </c>
      <c r="R14" s="15">
        <v>43</v>
      </c>
    </row>
    <row r="15" spans="1:18" x14ac:dyDescent="0.2">
      <c r="A15" t="s">
        <v>1114</v>
      </c>
      <c r="E15" s="80"/>
      <c r="F15" s="25" t="s">
        <v>1115</v>
      </c>
      <c r="G15" s="23">
        <v>3093</v>
      </c>
      <c r="H15" s="23">
        <v>3001</v>
      </c>
      <c r="I15" s="23">
        <v>2299</v>
      </c>
      <c r="J15" s="15">
        <v>702</v>
      </c>
      <c r="K15" s="15">
        <v>92</v>
      </c>
      <c r="L15" s="15">
        <v>0</v>
      </c>
      <c r="M15" s="15">
        <v>0</v>
      </c>
      <c r="N15" s="15">
        <v>0</v>
      </c>
      <c r="O15" s="15">
        <v>0</v>
      </c>
      <c r="P15" s="15">
        <v>60</v>
      </c>
      <c r="Q15" s="15">
        <v>0</v>
      </c>
      <c r="R15" s="15">
        <v>32</v>
      </c>
    </row>
    <row r="16" spans="1:18" x14ac:dyDescent="0.2">
      <c r="A16" t="s">
        <v>1116</v>
      </c>
      <c r="E16" s="80"/>
      <c r="F16" s="25" t="s">
        <v>1117</v>
      </c>
      <c r="G16" s="23">
        <v>3347</v>
      </c>
      <c r="H16" s="23">
        <v>2993</v>
      </c>
      <c r="I16" s="23">
        <v>2254</v>
      </c>
      <c r="J16" s="15">
        <v>739</v>
      </c>
      <c r="K16" s="15">
        <v>354</v>
      </c>
      <c r="L16" s="15">
        <v>21</v>
      </c>
      <c r="M16" s="15">
        <v>0</v>
      </c>
      <c r="N16" s="15">
        <v>19</v>
      </c>
      <c r="O16" s="15">
        <v>25</v>
      </c>
      <c r="P16" s="15">
        <v>83</v>
      </c>
      <c r="Q16" s="15">
        <v>0</v>
      </c>
      <c r="R16" s="15">
        <v>206</v>
      </c>
    </row>
    <row r="17" spans="1:18" x14ac:dyDescent="0.2">
      <c r="E17" s="80"/>
      <c r="F17" s="25" t="s">
        <v>1118</v>
      </c>
      <c r="G17" s="23">
        <v>5371</v>
      </c>
      <c r="H17" s="23">
        <v>4861</v>
      </c>
      <c r="I17" s="23">
        <v>3868</v>
      </c>
      <c r="J17" s="15">
        <v>993</v>
      </c>
      <c r="K17" s="15">
        <v>510</v>
      </c>
      <c r="L17" s="15">
        <v>76</v>
      </c>
      <c r="M17" s="15">
        <v>11</v>
      </c>
      <c r="N17" s="15">
        <v>50</v>
      </c>
      <c r="O17" s="15">
        <v>26</v>
      </c>
      <c r="P17" s="15">
        <v>126</v>
      </c>
      <c r="Q17" s="15">
        <v>0</v>
      </c>
      <c r="R17" s="15">
        <v>221</v>
      </c>
    </row>
    <row r="18" spans="1:18" x14ac:dyDescent="0.2">
      <c r="A18" s="83" t="s">
        <v>1119</v>
      </c>
      <c r="B18" s="80"/>
      <c r="E18" s="80"/>
      <c r="F18" s="47" t="s">
        <v>1120</v>
      </c>
      <c r="G18" s="23">
        <v>2583</v>
      </c>
      <c r="H18" s="23">
        <v>2350</v>
      </c>
      <c r="I18" s="23">
        <v>1560</v>
      </c>
      <c r="J18" s="15">
        <v>790</v>
      </c>
      <c r="K18" s="15">
        <v>233</v>
      </c>
      <c r="L18" s="15">
        <v>76</v>
      </c>
      <c r="M18" s="15">
        <v>11</v>
      </c>
      <c r="N18" s="15">
        <v>0</v>
      </c>
      <c r="O18" s="15">
        <v>0</v>
      </c>
      <c r="P18" s="15">
        <v>74</v>
      </c>
      <c r="Q18" s="15">
        <v>0</v>
      </c>
      <c r="R18" s="15">
        <v>72</v>
      </c>
    </row>
    <row r="19" spans="1:18" x14ac:dyDescent="0.2">
      <c r="A19" t="s">
        <v>1121</v>
      </c>
      <c r="B19" t="s">
        <v>1619</v>
      </c>
      <c r="E19" s="80"/>
      <c r="F19" s="16" t="s">
        <v>1123</v>
      </c>
      <c r="G19" s="23">
        <v>1775</v>
      </c>
      <c r="H19" s="23">
        <v>1645</v>
      </c>
      <c r="I19" s="23">
        <v>1379</v>
      </c>
      <c r="J19" s="15">
        <v>266</v>
      </c>
      <c r="K19" s="15">
        <v>130</v>
      </c>
      <c r="L19" s="15">
        <v>26</v>
      </c>
      <c r="M19" s="15">
        <v>0</v>
      </c>
      <c r="N19" s="15">
        <v>0</v>
      </c>
      <c r="O19" s="15">
        <v>0</v>
      </c>
      <c r="P19" s="15">
        <v>13</v>
      </c>
      <c r="Q19" s="15">
        <v>0</v>
      </c>
      <c r="R19" s="15">
        <v>91</v>
      </c>
    </row>
    <row r="20" spans="1:18" x14ac:dyDescent="0.2">
      <c r="E20" s="80"/>
      <c r="F20" s="16" t="s">
        <v>1124</v>
      </c>
      <c r="G20" s="23">
        <v>1842</v>
      </c>
      <c r="H20" s="23">
        <v>1745</v>
      </c>
      <c r="I20" s="23">
        <v>1625</v>
      </c>
      <c r="J20" s="15">
        <v>120</v>
      </c>
      <c r="K20" s="15">
        <v>97</v>
      </c>
      <c r="L20" s="15">
        <v>0</v>
      </c>
      <c r="M20" s="15">
        <v>0</v>
      </c>
      <c r="N20" s="15">
        <v>9</v>
      </c>
      <c r="O20" s="15">
        <v>11</v>
      </c>
      <c r="P20" s="15">
        <v>0</v>
      </c>
      <c r="Q20" s="15">
        <v>0</v>
      </c>
      <c r="R20" s="15">
        <v>77</v>
      </c>
    </row>
    <row r="21" spans="1:18" x14ac:dyDescent="0.2">
      <c r="A21" s="81" t="s">
        <v>1125</v>
      </c>
      <c r="B21" s="80"/>
      <c r="E21" s="80"/>
      <c r="F21" s="16" t="s">
        <v>1126</v>
      </c>
      <c r="G21" s="23">
        <v>4240</v>
      </c>
      <c r="H21" s="23">
        <v>3938</v>
      </c>
      <c r="I21" s="23">
        <v>1639</v>
      </c>
      <c r="J21" s="23">
        <v>2299</v>
      </c>
      <c r="K21" s="15">
        <v>302</v>
      </c>
      <c r="L21" s="15">
        <v>127</v>
      </c>
      <c r="M21" s="15">
        <v>0</v>
      </c>
      <c r="N21" s="15">
        <v>0</v>
      </c>
      <c r="O21" s="15">
        <v>0</v>
      </c>
      <c r="P21" s="15">
        <v>36</v>
      </c>
      <c r="Q21" s="15">
        <v>0</v>
      </c>
      <c r="R21" s="15">
        <v>139</v>
      </c>
    </row>
    <row r="22" spans="1:18" x14ac:dyDescent="0.2">
      <c r="A22" t="s">
        <v>1135</v>
      </c>
      <c r="B22" t="s">
        <v>1136</v>
      </c>
      <c r="E22" s="80"/>
      <c r="F22" s="47" t="s">
        <v>1137</v>
      </c>
      <c r="G22" s="23">
        <v>1798</v>
      </c>
      <c r="H22" s="23">
        <v>1648</v>
      </c>
      <c r="I22" s="15">
        <v>898</v>
      </c>
      <c r="J22" s="15">
        <v>750</v>
      </c>
      <c r="K22" s="15">
        <v>150</v>
      </c>
      <c r="L22" s="15">
        <v>21</v>
      </c>
      <c r="M22" s="15">
        <v>0</v>
      </c>
      <c r="N22" s="15">
        <v>0</v>
      </c>
      <c r="O22" s="15">
        <v>0</v>
      </c>
      <c r="P22" s="15">
        <v>22</v>
      </c>
      <c r="Q22" s="15">
        <v>0</v>
      </c>
      <c r="R22" s="15">
        <v>107</v>
      </c>
    </row>
    <row r="23" spans="1:18" x14ac:dyDescent="0.2">
      <c r="E23" s="80"/>
      <c r="F23" s="16" t="s">
        <v>1146</v>
      </c>
      <c r="G23" s="23">
        <v>11018</v>
      </c>
      <c r="H23" s="23">
        <v>10182</v>
      </c>
      <c r="I23" s="23">
        <v>5341</v>
      </c>
      <c r="J23" s="23">
        <v>4841</v>
      </c>
      <c r="K23" s="15">
        <v>836</v>
      </c>
      <c r="L23" s="15">
        <v>201</v>
      </c>
      <c r="M23" s="15">
        <v>0</v>
      </c>
      <c r="N23" s="15">
        <v>38</v>
      </c>
      <c r="O23" s="15">
        <v>0</v>
      </c>
      <c r="P23" s="15">
        <v>20</v>
      </c>
      <c r="Q23" s="15">
        <v>0</v>
      </c>
      <c r="R23" s="15">
        <v>577</v>
      </c>
    </row>
    <row r="24" spans="1:18" x14ac:dyDescent="0.2">
      <c r="E24" s="80"/>
      <c r="F24" s="16" t="s">
        <v>1150</v>
      </c>
      <c r="G24" s="23">
        <v>1628</v>
      </c>
      <c r="H24" s="23">
        <v>1526</v>
      </c>
      <c r="I24" s="23">
        <v>1244</v>
      </c>
      <c r="J24" s="15">
        <v>282</v>
      </c>
      <c r="K24" s="15">
        <v>102</v>
      </c>
      <c r="L24" s="15">
        <v>51</v>
      </c>
      <c r="M24" s="15">
        <v>0</v>
      </c>
      <c r="N24" s="15">
        <v>6</v>
      </c>
      <c r="O24" s="15">
        <v>0</v>
      </c>
      <c r="P24" s="15">
        <v>7</v>
      </c>
      <c r="Q24" s="15">
        <v>0</v>
      </c>
      <c r="R24" s="15">
        <v>38</v>
      </c>
    </row>
    <row r="25" spans="1:18" x14ac:dyDescent="0.2">
      <c r="E25" s="80"/>
      <c r="F25" s="47" t="s">
        <v>1154</v>
      </c>
      <c r="G25" s="15">
        <v>235</v>
      </c>
      <c r="H25" s="15">
        <v>222</v>
      </c>
      <c r="I25" s="15">
        <v>134</v>
      </c>
      <c r="J25" s="15">
        <v>88</v>
      </c>
      <c r="K25" s="15">
        <v>13</v>
      </c>
      <c r="L25" s="15">
        <v>0</v>
      </c>
      <c r="M25" s="15">
        <v>0</v>
      </c>
      <c r="N25" s="15">
        <v>6</v>
      </c>
      <c r="O25" s="15">
        <v>0</v>
      </c>
      <c r="P25" s="15">
        <v>7</v>
      </c>
      <c r="Q25" s="15">
        <v>0</v>
      </c>
      <c r="R25" s="15">
        <v>0</v>
      </c>
    </row>
    <row r="26" spans="1:18" x14ac:dyDescent="0.2">
      <c r="E26" s="80"/>
      <c r="F26" s="16" t="s">
        <v>1158</v>
      </c>
      <c r="G26" s="23">
        <v>7395</v>
      </c>
      <c r="H26" s="23">
        <v>6855</v>
      </c>
      <c r="I26" s="23">
        <v>5552</v>
      </c>
      <c r="J26" s="23">
        <v>1303</v>
      </c>
      <c r="K26" s="15">
        <v>540</v>
      </c>
      <c r="L26" s="15">
        <v>65</v>
      </c>
      <c r="M26" s="15">
        <v>0</v>
      </c>
      <c r="N26" s="15">
        <v>145</v>
      </c>
      <c r="O26" s="15">
        <v>17</v>
      </c>
      <c r="P26" s="15">
        <v>135</v>
      </c>
      <c r="Q26" s="15">
        <v>0</v>
      </c>
      <c r="R26" s="15">
        <v>178</v>
      </c>
    </row>
    <row r="27" spans="1:18" x14ac:dyDescent="0.2">
      <c r="A27" s="81"/>
      <c r="B27" s="80"/>
      <c r="E27" s="80"/>
      <c r="F27" s="47" t="s">
        <v>1162</v>
      </c>
      <c r="G27" s="15">
        <v>878</v>
      </c>
      <c r="H27" s="15">
        <v>792</v>
      </c>
      <c r="I27" s="15">
        <v>447</v>
      </c>
      <c r="J27" s="15">
        <v>345</v>
      </c>
      <c r="K27" s="15">
        <v>86</v>
      </c>
      <c r="L27" s="15">
        <v>38</v>
      </c>
      <c r="M27" s="15">
        <v>0</v>
      </c>
      <c r="N27" s="15">
        <v>0</v>
      </c>
      <c r="O27" s="15">
        <v>0</v>
      </c>
      <c r="P27" s="15">
        <v>0</v>
      </c>
      <c r="Q27" s="15">
        <v>0</v>
      </c>
      <c r="R27" s="15">
        <v>48</v>
      </c>
    </row>
    <row r="28" spans="1:18" x14ac:dyDescent="0.2">
      <c r="E28" s="80"/>
      <c r="F28" s="47" t="s">
        <v>1164</v>
      </c>
      <c r="G28" s="23">
        <v>2969</v>
      </c>
      <c r="H28" s="23">
        <v>2886</v>
      </c>
      <c r="I28" s="23">
        <v>2372</v>
      </c>
      <c r="J28" s="15">
        <v>514</v>
      </c>
      <c r="K28" s="15">
        <v>83</v>
      </c>
      <c r="L28" s="15">
        <v>27</v>
      </c>
      <c r="M28" s="15">
        <v>0</v>
      </c>
      <c r="N28" s="15">
        <v>0</v>
      </c>
      <c r="O28" s="15">
        <v>0</v>
      </c>
      <c r="P28" s="15">
        <v>33</v>
      </c>
      <c r="Q28" s="15">
        <v>0</v>
      </c>
      <c r="R28" s="15">
        <v>23</v>
      </c>
    </row>
    <row r="29" spans="1:18" x14ac:dyDescent="0.2">
      <c r="E29" s="80"/>
      <c r="F29" s="16" t="s">
        <v>1166</v>
      </c>
      <c r="G29" s="23">
        <v>8972</v>
      </c>
      <c r="H29" s="23">
        <v>8306</v>
      </c>
      <c r="I29" s="23">
        <v>5721</v>
      </c>
      <c r="J29" s="23">
        <v>2585</v>
      </c>
      <c r="K29" s="15">
        <v>666</v>
      </c>
      <c r="L29" s="15">
        <v>78</v>
      </c>
      <c r="M29" s="15">
        <v>41</v>
      </c>
      <c r="N29" s="15">
        <v>42</v>
      </c>
      <c r="O29" s="15">
        <v>0</v>
      </c>
      <c r="P29" s="15">
        <v>59</v>
      </c>
      <c r="Q29" s="15">
        <v>0</v>
      </c>
      <c r="R29" s="15">
        <v>446</v>
      </c>
    </row>
    <row r="30" spans="1:18" x14ac:dyDescent="0.2">
      <c r="E30" s="80"/>
      <c r="F30" s="47" t="s">
        <v>1168</v>
      </c>
      <c r="G30" s="23">
        <v>1519</v>
      </c>
      <c r="H30" s="23">
        <v>1401</v>
      </c>
      <c r="I30" s="15">
        <v>758</v>
      </c>
      <c r="J30" s="15">
        <v>643</v>
      </c>
      <c r="K30" s="15">
        <v>118</v>
      </c>
      <c r="L30" s="15">
        <v>19</v>
      </c>
      <c r="M30" s="15">
        <v>0</v>
      </c>
      <c r="N30" s="15">
        <v>0</v>
      </c>
      <c r="O30" s="15">
        <v>0</v>
      </c>
      <c r="P30" s="15">
        <v>0</v>
      </c>
      <c r="Q30" s="15">
        <v>0</v>
      </c>
      <c r="R30" s="15">
        <v>99</v>
      </c>
    </row>
    <row r="31" spans="1:18" x14ac:dyDescent="0.2">
      <c r="E31" s="80"/>
      <c r="F31" s="47" t="s">
        <v>1170</v>
      </c>
      <c r="G31" s="23">
        <v>1600</v>
      </c>
      <c r="H31" s="23">
        <v>1535</v>
      </c>
      <c r="I31" s="23">
        <v>1047</v>
      </c>
      <c r="J31" s="15">
        <v>488</v>
      </c>
      <c r="K31" s="15">
        <v>65</v>
      </c>
      <c r="L31" s="15">
        <v>24</v>
      </c>
      <c r="M31" s="15">
        <v>41</v>
      </c>
      <c r="N31" s="15">
        <v>0</v>
      </c>
      <c r="O31" s="15">
        <v>0</v>
      </c>
      <c r="P31" s="15">
        <v>0</v>
      </c>
      <c r="Q31" s="15">
        <v>0</v>
      </c>
      <c r="R31" s="15">
        <v>0</v>
      </c>
    </row>
    <row r="32" spans="1:18" x14ac:dyDescent="0.2">
      <c r="E32" s="80"/>
      <c r="F32" s="47" t="s">
        <v>1172</v>
      </c>
      <c r="G32" s="23">
        <v>2882</v>
      </c>
      <c r="H32" s="23">
        <v>2621</v>
      </c>
      <c r="I32" s="23">
        <v>1648</v>
      </c>
      <c r="J32" s="15">
        <v>973</v>
      </c>
      <c r="K32" s="15">
        <v>261</v>
      </c>
      <c r="L32" s="15">
        <v>35</v>
      </c>
      <c r="M32" s="15">
        <v>0</v>
      </c>
      <c r="N32" s="15">
        <v>0</v>
      </c>
      <c r="O32" s="15">
        <v>0</v>
      </c>
      <c r="P32" s="15">
        <v>39</v>
      </c>
      <c r="Q32" s="15">
        <v>0</v>
      </c>
      <c r="R32" s="15">
        <v>187</v>
      </c>
    </row>
    <row r="33" spans="5:18" x14ac:dyDescent="0.2">
      <c r="E33" s="80"/>
      <c r="F33" s="16" t="s">
        <v>1174</v>
      </c>
      <c r="G33" s="23">
        <v>2289</v>
      </c>
      <c r="H33" s="23">
        <v>2094</v>
      </c>
      <c r="I33" s="23">
        <v>1686</v>
      </c>
      <c r="J33" s="15">
        <v>408</v>
      </c>
      <c r="K33" s="15">
        <v>195</v>
      </c>
      <c r="L33" s="15">
        <v>5</v>
      </c>
      <c r="M33" s="15">
        <v>0</v>
      </c>
      <c r="N33" s="15">
        <v>29</v>
      </c>
      <c r="O33" s="15">
        <v>6</v>
      </c>
      <c r="P33" s="15">
        <v>70</v>
      </c>
      <c r="Q33" s="15">
        <v>0</v>
      </c>
      <c r="R33" s="15">
        <v>85</v>
      </c>
    </row>
    <row r="34" spans="5:18" x14ac:dyDescent="0.2">
      <c r="E34" s="80"/>
      <c r="F34" t="s">
        <v>1178</v>
      </c>
      <c r="G34" s="15">
        <v>468</v>
      </c>
      <c r="H34" s="15">
        <v>439</v>
      </c>
      <c r="I34" s="17">
        <v>273</v>
      </c>
      <c r="J34" s="15">
        <v>166</v>
      </c>
      <c r="K34" s="15">
        <v>29</v>
      </c>
      <c r="L34" s="15">
        <v>0</v>
      </c>
      <c r="M34" s="15">
        <v>0</v>
      </c>
      <c r="N34" s="15">
        <v>0</v>
      </c>
      <c r="O34" s="15">
        <v>6</v>
      </c>
      <c r="P34" s="15">
        <v>6</v>
      </c>
      <c r="Q34" s="15">
        <v>0</v>
      </c>
      <c r="R34" s="15">
        <v>17</v>
      </c>
    </row>
    <row r="35" spans="5:18" x14ac:dyDescent="0.2">
      <c r="E35" s="80"/>
      <c r="F35" s="16" t="s">
        <v>1180</v>
      </c>
      <c r="G35" s="23">
        <v>11624</v>
      </c>
      <c r="H35" s="23">
        <v>10335</v>
      </c>
      <c r="I35" s="28">
        <v>3646</v>
      </c>
      <c r="J35" s="23">
        <v>6689</v>
      </c>
      <c r="K35" s="23">
        <v>1289</v>
      </c>
      <c r="L35" s="15">
        <v>267</v>
      </c>
      <c r="M35" s="15">
        <v>29</v>
      </c>
      <c r="N35" s="15">
        <v>39</v>
      </c>
      <c r="O35" s="15">
        <v>117</v>
      </c>
      <c r="P35" s="15">
        <v>39</v>
      </c>
      <c r="Q35" s="15">
        <v>0</v>
      </c>
      <c r="R35" s="15">
        <v>798</v>
      </c>
    </row>
    <row r="36" spans="5:18" x14ac:dyDescent="0.2">
      <c r="E36" s="80"/>
      <c r="F36" s="16" t="s">
        <v>1182</v>
      </c>
      <c r="G36" s="23">
        <v>12352</v>
      </c>
      <c r="H36" s="23">
        <v>11553</v>
      </c>
      <c r="I36" s="28">
        <v>9196</v>
      </c>
      <c r="J36" s="23">
        <v>2357</v>
      </c>
      <c r="K36" s="15">
        <v>799</v>
      </c>
      <c r="L36" s="15">
        <v>57</v>
      </c>
      <c r="M36" s="15">
        <v>23</v>
      </c>
      <c r="N36" s="15">
        <v>86</v>
      </c>
      <c r="O36" s="15">
        <v>110</v>
      </c>
      <c r="P36" s="15">
        <v>114</v>
      </c>
      <c r="Q36" s="15">
        <v>0</v>
      </c>
      <c r="R36" s="15">
        <v>409</v>
      </c>
    </row>
    <row r="37" spans="5:18" x14ac:dyDescent="0.2">
      <c r="E37" s="80"/>
      <c r="F37" s="16" t="s">
        <v>1184</v>
      </c>
      <c r="G37" s="23">
        <v>11335</v>
      </c>
      <c r="H37" s="23">
        <v>10763</v>
      </c>
      <c r="I37" s="28">
        <v>7658</v>
      </c>
      <c r="J37" s="23">
        <v>3105</v>
      </c>
      <c r="K37" s="15">
        <v>572</v>
      </c>
      <c r="L37" s="15">
        <v>102</v>
      </c>
      <c r="M37" s="15">
        <v>52</v>
      </c>
      <c r="N37" s="15">
        <v>74</v>
      </c>
      <c r="O37" s="15">
        <v>119</v>
      </c>
      <c r="P37" s="15">
        <v>30</v>
      </c>
      <c r="Q37" s="15">
        <v>0</v>
      </c>
      <c r="R37" s="15">
        <v>195</v>
      </c>
    </row>
    <row r="38" spans="5:18" x14ac:dyDescent="0.2">
      <c r="E38" s="80"/>
      <c r="F38" s="16" t="s">
        <v>1186</v>
      </c>
      <c r="G38" s="23">
        <v>7383</v>
      </c>
      <c r="H38" s="23">
        <v>6869</v>
      </c>
      <c r="I38" s="23">
        <v>2407</v>
      </c>
      <c r="J38" s="23">
        <v>4462</v>
      </c>
      <c r="K38" s="15">
        <v>514</v>
      </c>
      <c r="L38" s="15">
        <v>70</v>
      </c>
      <c r="M38" s="15">
        <v>0</v>
      </c>
      <c r="N38" s="15">
        <v>0</v>
      </c>
      <c r="O38" s="15">
        <v>0</v>
      </c>
      <c r="P38" s="15">
        <v>214</v>
      </c>
      <c r="Q38" s="15">
        <v>0</v>
      </c>
      <c r="R38" s="15">
        <v>230</v>
      </c>
    </row>
    <row r="39" spans="5:18" x14ac:dyDescent="0.2">
      <c r="E39" s="80"/>
      <c r="F39" s="47" t="s">
        <v>1188</v>
      </c>
      <c r="G39" s="23">
        <v>7383</v>
      </c>
      <c r="H39" s="23">
        <v>6869</v>
      </c>
      <c r="I39" s="23">
        <v>2407</v>
      </c>
      <c r="J39" s="23">
        <v>4462</v>
      </c>
      <c r="K39" s="15">
        <v>514</v>
      </c>
      <c r="L39" s="15">
        <v>70</v>
      </c>
      <c r="M39" s="15">
        <v>0</v>
      </c>
      <c r="N39" s="15">
        <v>0</v>
      </c>
      <c r="O39" s="15">
        <v>0</v>
      </c>
      <c r="P39" s="15">
        <v>214</v>
      </c>
      <c r="Q39" s="15">
        <v>0</v>
      </c>
      <c r="R39" s="15">
        <v>230</v>
      </c>
    </row>
    <row r="40" spans="5:18" x14ac:dyDescent="0.2">
      <c r="E40" s="80"/>
      <c r="F40" s="16" t="s">
        <v>1191</v>
      </c>
      <c r="G40" s="23">
        <v>3896</v>
      </c>
      <c r="H40" s="23">
        <v>3533</v>
      </c>
      <c r="I40" s="23">
        <v>1831</v>
      </c>
      <c r="J40" s="23">
        <v>1702</v>
      </c>
      <c r="K40" s="15">
        <v>363</v>
      </c>
      <c r="L40" s="15">
        <v>74</v>
      </c>
      <c r="M40" s="15">
        <v>0</v>
      </c>
      <c r="N40" s="15">
        <v>76</v>
      </c>
      <c r="O40" s="15">
        <v>68</v>
      </c>
      <c r="P40" s="15">
        <v>9</v>
      </c>
      <c r="Q40" s="15">
        <v>0</v>
      </c>
      <c r="R40" s="15">
        <v>136</v>
      </c>
    </row>
    <row r="41" spans="5:18" x14ac:dyDescent="0.2">
      <c r="E41" s="80"/>
      <c r="F41" s="16" t="s">
        <v>1195</v>
      </c>
      <c r="G41" s="23">
        <v>1766</v>
      </c>
      <c r="H41" s="23">
        <v>1539</v>
      </c>
      <c r="I41" s="23">
        <v>1159</v>
      </c>
      <c r="J41" s="15">
        <v>380</v>
      </c>
      <c r="K41" s="15">
        <v>227</v>
      </c>
      <c r="L41" s="15">
        <v>23</v>
      </c>
      <c r="M41" s="15">
        <v>0</v>
      </c>
      <c r="N41" s="15">
        <v>32</v>
      </c>
      <c r="O41" s="15">
        <v>13</v>
      </c>
      <c r="P41" s="15">
        <v>64</v>
      </c>
      <c r="Q41" s="15">
        <v>0</v>
      </c>
      <c r="R41" s="15">
        <v>95</v>
      </c>
    </row>
    <row r="42" spans="5:18" x14ac:dyDescent="0.2">
      <c r="E42" s="80"/>
      <c r="F42" s="47" t="s">
        <v>1199</v>
      </c>
      <c r="G42" s="23">
        <v>1284</v>
      </c>
      <c r="H42" s="23">
        <v>1151</v>
      </c>
      <c r="I42" s="15">
        <v>812</v>
      </c>
      <c r="J42" s="15">
        <v>339</v>
      </c>
      <c r="K42" s="15">
        <v>133</v>
      </c>
      <c r="L42" s="15">
        <v>23</v>
      </c>
      <c r="M42" s="15">
        <v>0</v>
      </c>
      <c r="N42" s="15">
        <v>27</v>
      </c>
      <c r="O42" s="15">
        <v>0</v>
      </c>
      <c r="P42" s="15">
        <v>14</v>
      </c>
      <c r="Q42" s="15">
        <v>0</v>
      </c>
      <c r="R42" s="15">
        <v>69</v>
      </c>
    </row>
    <row r="43" spans="5:18" x14ac:dyDescent="0.2">
      <c r="E43" s="80"/>
      <c r="F43" s="47" t="s">
        <v>1200</v>
      </c>
      <c r="G43" s="15">
        <v>482</v>
      </c>
      <c r="H43" s="15">
        <v>388</v>
      </c>
      <c r="I43" s="15">
        <v>347</v>
      </c>
      <c r="J43" s="15">
        <v>41</v>
      </c>
      <c r="K43" s="15">
        <v>94</v>
      </c>
      <c r="L43" s="15">
        <v>0</v>
      </c>
      <c r="M43" s="15">
        <v>0</v>
      </c>
      <c r="N43" s="15">
        <v>5</v>
      </c>
      <c r="O43" s="15">
        <v>13</v>
      </c>
      <c r="P43" s="15">
        <v>50</v>
      </c>
      <c r="Q43" s="15">
        <v>0</v>
      </c>
      <c r="R43" s="15">
        <v>26</v>
      </c>
    </row>
    <row r="44" spans="5:18" x14ac:dyDescent="0.2">
      <c r="E44" s="80"/>
      <c r="F44" s="16" t="s">
        <v>1201</v>
      </c>
      <c r="G44" s="23">
        <v>12287</v>
      </c>
      <c r="H44" s="23">
        <v>11910</v>
      </c>
      <c r="I44" s="23">
        <v>7930</v>
      </c>
      <c r="J44" s="23">
        <v>3980</v>
      </c>
      <c r="K44" s="15">
        <v>377</v>
      </c>
      <c r="L44" s="15">
        <v>34</v>
      </c>
      <c r="M44" s="15">
        <v>0</v>
      </c>
      <c r="N44" s="15">
        <v>37</v>
      </c>
      <c r="O44" s="15">
        <v>52</v>
      </c>
      <c r="P44" s="15">
        <v>95</v>
      </c>
      <c r="Q44" s="15">
        <v>0</v>
      </c>
      <c r="R44" s="15">
        <v>159</v>
      </c>
    </row>
    <row r="45" spans="5:18" x14ac:dyDescent="0.2">
      <c r="E45" s="80"/>
      <c r="F45" s="16" t="s">
        <v>1202</v>
      </c>
      <c r="G45" s="23">
        <v>13046</v>
      </c>
      <c r="H45" s="23">
        <v>11743</v>
      </c>
      <c r="I45" s="23">
        <v>9467</v>
      </c>
      <c r="J45" s="23">
        <v>2276</v>
      </c>
      <c r="K45" s="23">
        <v>1303</v>
      </c>
      <c r="L45" s="15">
        <v>96</v>
      </c>
      <c r="M45" s="15">
        <v>81</v>
      </c>
      <c r="N45" s="15">
        <v>59</v>
      </c>
      <c r="O45" s="15">
        <v>34</v>
      </c>
      <c r="P45" s="15">
        <v>495</v>
      </c>
      <c r="Q45" s="15">
        <v>47</v>
      </c>
      <c r="R45" s="15">
        <v>491</v>
      </c>
    </row>
    <row r="46" spans="5:18" x14ac:dyDescent="0.2">
      <c r="E46" s="80"/>
      <c r="F46" s="47" t="s">
        <v>1203</v>
      </c>
      <c r="G46" s="23">
        <v>1002</v>
      </c>
      <c r="H46" s="15">
        <v>936</v>
      </c>
      <c r="I46" s="15">
        <v>798</v>
      </c>
      <c r="J46" s="15">
        <v>138</v>
      </c>
      <c r="K46" s="15">
        <v>66</v>
      </c>
      <c r="L46" s="15">
        <v>14</v>
      </c>
      <c r="M46" s="15">
        <v>0</v>
      </c>
      <c r="N46" s="15">
        <v>23</v>
      </c>
      <c r="O46" s="15">
        <v>0</v>
      </c>
      <c r="P46" s="15">
        <v>0</v>
      </c>
      <c r="Q46" s="15">
        <v>0</v>
      </c>
      <c r="R46" s="15">
        <v>29</v>
      </c>
    </row>
    <row r="47" spans="5:18" x14ac:dyDescent="0.2">
      <c r="E47" s="80"/>
      <c r="F47" s="47" t="s">
        <v>1204</v>
      </c>
      <c r="G47" s="23">
        <v>1379</v>
      </c>
      <c r="H47" s="23">
        <v>1181</v>
      </c>
      <c r="I47" s="15">
        <v>923</v>
      </c>
      <c r="J47" s="15">
        <v>258</v>
      </c>
      <c r="K47" s="15">
        <v>198</v>
      </c>
      <c r="L47" s="15">
        <v>0</v>
      </c>
      <c r="M47" s="15">
        <v>0</v>
      </c>
      <c r="N47" s="15">
        <v>0</v>
      </c>
      <c r="O47" s="15">
        <v>34</v>
      </c>
      <c r="P47" s="15">
        <v>96</v>
      </c>
      <c r="Q47" s="15">
        <v>0</v>
      </c>
      <c r="R47" s="15">
        <v>68</v>
      </c>
    </row>
    <row r="48" spans="5:18" x14ac:dyDescent="0.2">
      <c r="E48" s="80"/>
      <c r="F48" s="47" t="s">
        <v>1205</v>
      </c>
      <c r="G48" s="23">
        <v>3304</v>
      </c>
      <c r="H48" s="23">
        <v>2998</v>
      </c>
      <c r="I48" s="23">
        <v>1684</v>
      </c>
      <c r="J48" s="23">
        <v>1314</v>
      </c>
      <c r="K48" s="15">
        <v>306</v>
      </c>
      <c r="L48" s="15">
        <v>82</v>
      </c>
      <c r="M48" s="15">
        <v>37</v>
      </c>
      <c r="N48" s="15">
        <v>0</v>
      </c>
      <c r="O48" s="15">
        <v>0</v>
      </c>
      <c r="P48" s="15">
        <v>0</v>
      </c>
      <c r="Q48" s="15">
        <v>0</v>
      </c>
      <c r="R48" s="15">
        <v>187</v>
      </c>
    </row>
    <row r="49" spans="5:18" x14ac:dyDescent="0.2">
      <c r="E49" s="80"/>
      <c r="F49" s="16" t="s">
        <v>1206</v>
      </c>
      <c r="G49" s="23">
        <v>2635</v>
      </c>
      <c r="H49" s="23">
        <v>2468</v>
      </c>
      <c r="I49" s="23">
        <v>2246</v>
      </c>
      <c r="J49" s="15">
        <v>222</v>
      </c>
      <c r="K49" s="15">
        <v>167</v>
      </c>
      <c r="L49" s="15">
        <v>0</v>
      </c>
      <c r="M49" s="15">
        <v>0</v>
      </c>
      <c r="N49" s="15">
        <v>26</v>
      </c>
      <c r="O49" s="15">
        <v>26</v>
      </c>
      <c r="P49" s="15">
        <v>19</v>
      </c>
      <c r="Q49" s="15">
        <v>0</v>
      </c>
      <c r="R49" s="15">
        <v>96</v>
      </c>
    </row>
    <row r="50" spans="5:18" x14ac:dyDescent="0.2">
      <c r="E50" s="80"/>
      <c r="F50" s="16" t="s">
        <v>1207</v>
      </c>
      <c r="G50" s="23">
        <v>4193</v>
      </c>
      <c r="H50" s="23">
        <v>3822</v>
      </c>
      <c r="I50" s="23">
        <v>3442</v>
      </c>
      <c r="J50" s="15">
        <v>380</v>
      </c>
      <c r="K50" s="15">
        <v>371</v>
      </c>
      <c r="L50" s="15">
        <v>128</v>
      </c>
      <c r="M50" s="15">
        <v>0</v>
      </c>
      <c r="N50" s="15">
        <v>35</v>
      </c>
      <c r="O50" s="15">
        <v>0</v>
      </c>
      <c r="P50" s="15">
        <v>151</v>
      </c>
      <c r="Q50" s="15">
        <v>0</v>
      </c>
      <c r="R50" s="15">
        <v>57</v>
      </c>
    </row>
    <row r="51" spans="5:18" x14ac:dyDescent="0.2">
      <c r="E51" s="80"/>
      <c r="F51" s="47" t="s">
        <v>1162</v>
      </c>
      <c r="G51" s="15">
        <v>259</v>
      </c>
      <c r="H51" s="15">
        <v>259</v>
      </c>
      <c r="I51" s="15">
        <v>120</v>
      </c>
      <c r="J51" s="15">
        <v>139</v>
      </c>
      <c r="K51" s="15">
        <v>0</v>
      </c>
      <c r="L51" s="15">
        <v>0</v>
      </c>
      <c r="M51" s="15">
        <v>0</v>
      </c>
      <c r="N51" s="15">
        <v>0</v>
      </c>
      <c r="O51" s="15">
        <v>0</v>
      </c>
      <c r="P51" s="15">
        <v>0</v>
      </c>
      <c r="Q51" s="15">
        <v>0</v>
      </c>
      <c r="R51" s="15">
        <v>0</v>
      </c>
    </row>
    <row r="52" spans="5:18" x14ac:dyDescent="0.2">
      <c r="E52" s="80"/>
      <c r="F52" s="47" t="s">
        <v>1208</v>
      </c>
      <c r="G52" s="23">
        <v>3934</v>
      </c>
      <c r="H52" s="23">
        <v>3563</v>
      </c>
      <c r="I52" s="23">
        <v>3322</v>
      </c>
      <c r="J52" s="15">
        <v>241</v>
      </c>
      <c r="K52" s="15">
        <v>371</v>
      </c>
      <c r="L52" s="15">
        <v>128</v>
      </c>
      <c r="M52" s="15">
        <v>0</v>
      </c>
      <c r="N52" s="15">
        <v>35</v>
      </c>
      <c r="O52" s="15">
        <v>0</v>
      </c>
      <c r="P52" s="15">
        <v>151</v>
      </c>
      <c r="Q52" s="15">
        <v>0</v>
      </c>
      <c r="R52" s="15">
        <v>57</v>
      </c>
    </row>
    <row r="53" spans="5:18" x14ac:dyDescent="0.2">
      <c r="E53" s="80"/>
    </row>
    <row r="54" spans="5:18" x14ac:dyDescent="0.2">
      <c r="E54" s="80"/>
    </row>
    <row r="55" spans="5:18" x14ac:dyDescent="0.2">
      <c r="E55" s="80"/>
    </row>
    <row r="56" spans="5:18" x14ac:dyDescent="0.2">
      <c r="E56" s="80"/>
    </row>
    <row r="57" spans="5:18" x14ac:dyDescent="0.2">
      <c r="E57" s="80"/>
    </row>
  </sheetData>
  <mergeCells count="11">
    <mergeCell ref="G5:G6"/>
    <mergeCell ref="B1:O1"/>
    <mergeCell ref="A21:B21"/>
    <mergeCell ref="E5:E57"/>
    <mergeCell ref="H5:M5"/>
    <mergeCell ref="A9:B9"/>
    <mergeCell ref="A5:B5"/>
    <mergeCell ref="F5:F6"/>
    <mergeCell ref="A18:B18"/>
    <mergeCell ref="A27:B27"/>
    <mergeCell ref="N5:R5"/>
  </mergeCells>
  <dataValidations count="4">
    <dataValidation type="list" allowBlank="1" showInputMessage="1" showErrorMessage="1" sqref="P4:R4" xr:uid="{00000000-0002-0000-2200-000000000000}">
      <formula1>"integer, number, percent1"</formula1>
    </dataValidation>
    <dataValidation type="list" allowBlank="1" showInputMessage="1" showErrorMessage="1" sqref="B10" xr:uid="{00000000-0002-0000-2200-000001000000}">
      <formula1>"Line,Clustered Bar,Stacked Bar,Bar,Horizontal Stacked Bar"</formula1>
    </dataValidation>
    <dataValidation type="list" allowBlank="1" showInputMessage="1" showErrorMessage="1" sqref="B2" xr:uid="{00000000-0002-0000-2200-000002000000}">
      <formula1>"Table,Figure,Both"</formula1>
    </dataValidation>
    <dataValidation type="list" allowBlank="1" showInputMessage="1" showErrorMessage="1" sqref="B6 B15:B16" xr:uid="{00000000-0002-0000-2200-000003000000}">
      <formula1>"True,False"</formula1>
    </dataValidation>
  </dataValidation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57"/>
  <sheetViews>
    <sheetView workbookViewId="0">
      <selection activeCell="H6" sqref="H6:O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2.1640625" bestFit="1" customWidth="1"/>
    <col min="8" max="8" width="11.8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121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tbl-house-unit-age</v>
      </c>
    </row>
    <row r="4" spans="1:17" x14ac:dyDescent="0.2">
      <c r="A4" s="16" t="s">
        <v>7</v>
      </c>
      <c r="B4" t="str">
        <f>IF($B$1="","",_xlfn.XLOOKUP($B$1,Master!$F$2:$F$321,Master!$H$2:$H$321,""))</f>
        <v>fig-house-unit-age</v>
      </c>
      <c r="E4" s="8"/>
      <c r="F4" s="10" t="s">
        <v>968</v>
      </c>
      <c r="G4" s="10" t="s">
        <v>973</v>
      </c>
      <c r="H4" s="10" t="s">
        <v>973</v>
      </c>
      <c r="I4" s="10" t="s">
        <v>973</v>
      </c>
      <c r="J4" s="10" t="s">
        <v>973</v>
      </c>
      <c r="K4" s="10" t="s">
        <v>973</v>
      </c>
      <c r="L4" s="10" t="s">
        <v>973</v>
      </c>
      <c r="M4" s="10" t="s">
        <v>973</v>
      </c>
      <c r="N4" s="10" t="s">
        <v>973</v>
      </c>
      <c r="O4" s="10" t="s">
        <v>973</v>
      </c>
      <c r="P4" s="10"/>
      <c r="Q4" s="10"/>
    </row>
    <row r="5" spans="1:17" x14ac:dyDescent="0.2">
      <c r="A5" s="83" t="s">
        <v>1081</v>
      </c>
      <c r="B5" s="80"/>
      <c r="E5" s="82" t="s">
        <v>1082</v>
      </c>
      <c r="F5" s="81" t="s">
        <v>1083</v>
      </c>
      <c r="G5" s="81" t="s">
        <v>1620</v>
      </c>
      <c r="H5" s="81" t="s">
        <v>1621</v>
      </c>
      <c r="I5" s="80"/>
      <c r="J5" s="80"/>
      <c r="K5" s="80"/>
      <c r="L5" s="80"/>
      <c r="M5" s="80"/>
      <c r="N5" s="80"/>
      <c r="O5" s="80"/>
    </row>
    <row r="6" spans="1:17" ht="15" customHeight="1" x14ac:dyDescent="0.2">
      <c r="A6" t="s">
        <v>1088</v>
      </c>
      <c r="B6" t="b">
        <v>1</v>
      </c>
      <c r="E6" s="80"/>
      <c r="F6" s="80"/>
      <c r="G6" s="80"/>
      <c r="H6" s="15" t="s">
        <v>1622</v>
      </c>
      <c r="I6" s="15" t="s">
        <v>2352</v>
      </c>
      <c r="J6" s="15" t="s">
        <v>2353</v>
      </c>
      <c r="K6" s="15" t="s">
        <v>2354</v>
      </c>
      <c r="L6" s="15" t="s">
        <v>2355</v>
      </c>
      <c r="M6" s="15" t="s">
        <v>2356</v>
      </c>
      <c r="N6" s="15" t="s">
        <v>2357</v>
      </c>
      <c r="O6" s="15" t="s">
        <v>1623</v>
      </c>
    </row>
    <row r="7" spans="1:17" ht="15.75" customHeight="1" x14ac:dyDescent="0.2">
      <c r="E7" s="80"/>
      <c r="F7" s="16" t="s">
        <v>1096</v>
      </c>
      <c r="G7" s="23">
        <v>148460</v>
      </c>
      <c r="H7" s="23">
        <v>1109</v>
      </c>
      <c r="I7" s="23">
        <v>10815</v>
      </c>
      <c r="J7" s="23">
        <v>18207</v>
      </c>
      <c r="K7" s="23">
        <v>14286</v>
      </c>
      <c r="L7" s="23">
        <v>19738</v>
      </c>
      <c r="M7" s="23">
        <v>18626</v>
      </c>
      <c r="N7" s="23">
        <v>29807</v>
      </c>
      <c r="O7" s="23">
        <v>35872</v>
      </c>
    </row>
    <row r="8" spans="1:17" x14ac:dyDescent="0.2">
      <c r="E8" s="80"/>
      <c r="F8" s="16" t="s">
        <v>1097</v>
      </c>
      <c r="G8" s="23">
        <v>6884</v>
      </c>
      <c r="H8" s="15">
        <v>38</v>
      </c>
      <c r="I8" s="15">
        <v>175</v>
      </c>
      <c r="J8" s="15">
        <v>905</v>
      </c>
      <c r="K8" s="15">
        <v>681</v>
      </c>
      <c r="L8" s="23">
        <v>1265</v>
      </c>
      <c r="M8" s="23">
        <v>1099</v>
      </c>
      <c r="N8" s="23">
        <v>1650</v>
      </c>
      <c r="O8" s="23">
        <v>1031</v>
      </c>
    </row>
    <row r="9" spans="1:17" x14ac:dyDescent="0.2">
      <c r="A9" s="83" t="s">
        <v>1098</v>
      </c>
      <c r="B9" s="80"/>
      <c r="E9" s="80"/>
      <c r="F9" s="47" t="s">
        <v>1099</v>
      </c>
      <c r="G9" s="23">
        <v>1390</v>
      </c>
      <c r="H9" s="15">
        <v>0</v>
      </c>
      <c r="I9" s="15">
        <v>7</v>
      </c>
      <c r="J9" s="15">
        <v>19</v>
      </c>
      <c r="K9" s="15">
        <v>69</v>
      </c>
      <c r="L9" s="15">
        <v>142</v>
      </c>
      <c r="M9" s="15">
        <v>463</v>
      </c>
      <c r="N9" s="15">
        <v>626</v>
      </c>
      <c r="O9" s="15">
        <v>64</v>
      </c>
    </row>
    <row r="10" spans="1:17" x14ac:dyDescent="0.2">
      <c r="A10" t="s">
        <v>1100</v>
      </c>
      <c r="E10" s="80"/>
      <c r="F10" s="47" t="s">
        <v>1101</v>
      </c>
      <c r="G10" s="23">
        <v>2186</v>
      </c>
      <c r="H10" s="15">
        <v>13</v>
      </c>
      <c r="I10" s="15">
        <v>64</v>
      </c>
      <c r="J10" s="15">
        <v>294</v>
      </c>
      <c r="K10" s="15">
        <v>303</v>
      </c>
      <c r="L10" s="15">
        <v>688</v>
      </c>
      <c r="M10" s="15">
        <v>434</v>
      </c>
      <c r="N10" s="15">
        <v>301</v>
      </c>
      <c r="O10" s="15">
        <v>89</v>
      </c>
    </row>
    <row r="11" spans="1:17" x14ac:dyDescent="0.2">
      <c r="A11" t="s">
        <v>1102</v>
      </c>
      <c r="E11" s="80"/>
      <c r="F11" s="16" t="s">
        <v>1103</v>
      </c>
      <c r="G11" s="23">
        <v>4763</v>
      </c>
      <c r="H11" s="15">
        <v>65</v>
      </c>
      <c r="I11" s="15">
        <v>243</v>
      </c>
      <c r="J11" s="17">
        <v>655</v>
      </c>
      <c r="K11" s="17">
        <v>485</v>
      </c>
      <c r="L11" s="28">
        <v>1065</v>
      </c>
      <c r="M11" s="17">
        <v>493</v>
      </c>
      <c r="N11" s="17">
        <v>996</v>
      </c>
      <c r="O11" s="15">
        <v>761</v>
      </c>
    </row>
    <row r="12" spans="1:17" x14ac:dyDescent="0.2">
      <c r="A12" t="s">
        <v>1104</v>
      </c>
      <c r="E12" s="80"/>
      <c r="F12" s="48" t="s">
        <v>1105</v>
      </c>
      <c r="G12" s="28">
        <v>1687</v>
      </c>
      <c r="H12" s="17">
        <v>0</v>
      </c>
      <c r="I12" s="15">
        <v>111</v>
      </c>
      <c r="J12" s="15">
        <v>54</v>
      </c>
      <c r="K12" s="15">
        <v>85</v>
      </c>
      <c r="L12" s="15">
        <v>531</v>
      </c>
      <c r="M12" s="15">
        <v>163</v>
      </c>
      <c r="N12" s="15">
        <v>292</v>
      </c>
      <c r="O12" s="15">
        <v>451</v>
      </c>
    </row>
    <row r="13" spans="1:17" x14ac:dyDescent="0.2">
      <c r="A13" t="s">
        <v>1108</v>
      </c>
      <c r="E13" s="80"/>
      <c r="F13" s="16" t="s">
        <v>1109</v>
      </c>
      <c r="G13" s="23">
        <v>5366</v>
      </c>
      <c r="H13" s="15">
        <v>0</v>
      </c>
      <c r="I13" s="15">
        <v>284</v>
      </c>
      <c r="J13" s="15">
        <v>393</v>
      </c>
      <c r="K13" s="15">
        <v>329</v>
      </c>
      <c r="L13" s="15">
        <v>808</v>
      </c>
      <c r="M13" s="15">
        <v>438</v>
      </c>
      <c r="N13" s="23">
        <v>1474</v>
      </c>
      <c r="O13" s="23">
        <v>1640</v>
      </c>
    </row>
    <row r="14" spans="1:17" x14ac:dyDescent="0.2">
      <c r="A14" t="s">
        <v>1112</v>
      </c>
      <c r="E14" s="80"/>
      <c r="F14" s="47" t="s">
        <v>1113</v>
      </c>
      <c r="G14" s="23">
        <v>1337</v>
      </c>
      <c r="H14" s="15">
        <v>0</v>
      </c>
      <c r="I14" s="15">
        <v>77</v>
      </c>
      <c r="J14" s="15">
        <v>38</v>
      </c>
      <c r="K14" s="15">
        <v>37</v>
      </c>
      <c r="L14" s="15">
        <v>205</v>
      </c>
      <c r="M14" s="15">
        <v>59</v>
      </c>
      <c r="N14" s="15">
        <v>333</v>
      </c>
      <c r="O14" s="15">
        <v>588</v>
      </c>
    </row>
    <row r="15" spans="1:17" x14ac:dyDescent="0.2">
      <c r="A15" t="s">
        <v>1114</v>
      </c>
      <c r="E15" s="80"/>
      <c r="F15" s="25" t="s">
        <v>1115</v>
      </c>
      <c r="G15" s="23">
        <v>3093</v>
      </c>
      <c r="H15" s="15">
        <v>0</v>
      </c>
      <c r="I15" s="15">
        <v>107</v>
      </c>
      <c r="J15" s="15">
        <v>580</v>
      </c>
      <c r="K15" s="15">
        <v>487</v>
      </c>
      <c r="L15" s="15">
        <v>395</v>
      </c>
      <c r="M15" s="15">
        <v>437</v>
      </c>
      <c r="N15" s="15">
        <v>455</v>
      </c>
      <c r="O15" s="15">
        <v>629</v>
      </c>
    </row>
    <row r="16" spans="1:17" x14ac:dyDescent="0.2">
      <c r="A16" t="s">
        <v>1116</v>
      </c>
      <c r="E16" s="80"/>
      <c r="F16" s="25" t="s">
        <v>1117</v>
      </c>
      <c r="G16" s="23">
        <v>3347</v>
      </c>
      <c r="H16" s="15">
        <v>21</v>
      </c>
      <c r="I16" s="15">
        <v>142</v>
      </c>
      <c r="J16" s="15">
        <v>303</v>
      </c>
      <c r="K16" s="15">
        <v>462</v>
      </c>
      <c r="L16" s="15">
        <v>473</v>
      </c>
      <c r="M16" s="15">
        <v>565</v>
      </c>
      <c r="N16" s="15">
        <v>689</v>
      </c>
      <c r="O16" s="15">
        <v>692</v>
      </c>
    </row>
    <row r="17" spans="1:15" x14ac:dyDescent="0.2">
      <c r="E17" s="80"/>
      <c r="F17" s="25" t="s">
        <v>1118</v>
      </c>
      <c r="G17" s="23">
        <v>5371</v>
      </c>
      <c r="H17" s="15">
        <v>56</v>
      </c>
      <c r="I17" s="15">
        <v>374</v>
      </c>
      <c r="J17" s="15">
        <v>510</v>
      </c>
      <c r="K17" s="15">
        <v>503</v>
      </c>
      <c r="L17" s="15">
        <v>795</v>
      </c>
      <c r="M17" s="15">
        <v>924</v>
      </c>
      <c r="N17" s="15">
        <v>998</v>
      </c>
      <c r="O17" s="23">
        <v>1211</v>
      </c>
    </row>
    <row r="18" spans="1:15" x14ac:dyDescent="0.2">
      <c r="A18" s="83" t="s">
        <v>1119</v>
      </c>
      <c r="B18" s="80"/>
      <c r="E18" s="80"/>
      <c r="F18" s="47" t="s">
        <v>1120</v>
      </c>
      <c r="G18" s="23">
        <v>2583</v>
      </c>
      <c r="H18" s="15">
        <v>25</v>
      </c>
      <c r="I18" s="15">
        <v>125</v>
      </c>
      <c r="J18" s="15">
        <v>197</v>
      </c>
      <c r="K18" s="15">
        <v>216</v>
      </c>
      <c r="L18" s="15">
        <v>388</v>
      </c>
      <c r="M18" s="15">
        <v>375</v>
      </c>
      <c r="N18" s="15">
        <v>455</v>
      </c>
      <c r="O18" s="15">
        <v>802</v>
      </c>
    </row>
    <row r="19" spans="1:15" x14ac:dyDescent="0.2">
      <c r="A19" t="s">
        <v>1121</v>
      </c>
      <c r="B19" t="s">
        <v>1624</v>
      </c>
      <c r="E19" s="80"/>
      <c r="F19" s="16" t="s">
        <v>1123</v>
      </c>
      <c r="G19" s="23">
        <v>1775</v>
      </c>
      <c r="H19" s="15">
        <v>0</v>
      </c>
      <c r="I19" s="15">
        <v>172</v>
      </c>
      <c r="J19" s="15">
        <v>380</v>
      </c>
      <c r="K19" s="15">
        <v>260</v>
      </c>
      <c r="L19" s="15">
        <v>341</v>
      </c>
      <c r="M19" s="15">
        <v>188</v>
      </c>
      <c r="N19" s="15">
        <v>293</v>
      </c>
      <c r="O19" s="15">
        <v>141</v>
      </c>
    </row>
    <row r="20" spans="1:15" x14ac:dyDescent="0.2">
      <c r="E20" s="80"/>
      <c r="F20" s="16" t="s">
        <v>1124</v>
      </c>
      <c r="G20" s="23">
        <v>1842</v>
      </c>
      <c r="H20" s="15">
        <v>0</v>
      </c>
      <c r="I20" s="15">
        <v>74</v>
      </c>
      <c r="J20" s="15">
        <v>300</v>
      </c>
      <c r="K20" s="15">
        <v>296</v>
      </c>
      <c r="L20" s="15">
        <v>320</v>
      </c>
      <c r="M20" s="15">
        <v>237</v>
      </c>
      <c r="N20" s="15">
        <v>270</v>
      </c>
      <c r="O20" s="15">
        <v>345</v>
      </c>
    </row>
    <row r="21" spans="1:15" x14ac:dyDescent="0.2">
      <c r="A21" s="81" t="s">
        <v>1125</v>
      </c>
      <c r="B21" s="80"/>
      <c r="E21" s="80"/>
      <c r="F21" s="16" t="s">
        <v>1126</v>
      </c>
      <c r="G21" s="23">
        <v>4240</v>
      </c>
      <c r="H21" s="15">
        <v>0</v>
      </c>
      <c r="I21" s="15">
        <v>140</v>
      </c>
      <c r="J21" s="15">
        <v>460</v>
      </c>
      <c r="K21" s="15">
        <v>327</v>
      </c>
      <c r="L21" s="15">
        <v>415</v>
      </c>
      <c r="M21" s="15">
        <v>554</v>
      </c>
      <c r="N21" s="15">
        <v>809</v>
      </c>
      <c r="O21" s="23">
        <v>1535</v>
      </c>
    </row>
    <row r="22" spans="1:15" x14ac:dyDescent="0.2">
      <c r="A22" t="s">
        <v>1135</v>
      </c>
      <c r="B22" t="s">
        <v>1232</v>
      </c>
      <c r="E22" s="80"/>
      <c r="F22" s="47" t="s">
        <v>1137</v>
      </c>
      <c r="G22" s="23">
        <v>1798</v>
      </c>
      <c r="H22" s="15">
        <v>0</v>
      </c>
      <c r="I22" s="15">
        <v>23</v>
      </c>
      <c r="J22" s="15">
        <v>18</v>
      </c>
      <c r="K22" s="15">
        <v>52</v>
      </c>
      <c r="L22" s="15">
        <v>123</v>
      </c>
      <c r="M22" s="15">
        <v>237</v>
      </c>
      <c r="N22" s="15">
        <v>625</v>
      </c>
      <c r="O22" s="15">
        <v>720</v>
      </c>
    </row>
    <row r="23" spans="1:15" x14ac:dyDescent="0.2">
      <c r="E23" s="80"/>
      <c r="F23" s="16" t="s">
        <v>1146</v>
      </c>
      <c r="G23" s="23">
        <v>11018</v>
      </c>
      <c r="H23" s="15">
        <v>241</v>
      </c>
      <c r="I23" s="15">
        <v>824</v>
      </c>
      <c r="J23" s="15">
        <v>924</v>
      </c>
      <c r="K23" s="15">
        <v>510</v>
      </c>
      <c r="L23" s="23">
        <v>1070</v>
      </c>
      <c r="M23" s="23">
        <v>1215</v>
      </c>
      <c r="N23" s="23">
        <v>2201</v>
      </c>
      <c r="O23" s="23">
        <v>4033</v>
      </c>
    </row>
    <row r="24" spans="1:15" x14ac:dyDescent="0.2">
      <c r="E24" s="80"/>
      <c r="F24" s="16" t="s">
        <v>1150</v>
      </c>
      <c r="G24" s="23">
        <v>1628</v>
      </c>
      <c r="H24" s="15">
        <v>7</v>
      </c>
      <c r="I24" s="15">
        <v>95</v>
      </c>
      <c r="J24" s="15">
        <v>431</v>
      </c>
      <c r="K24" s="15">
        <v>206</v>
      </c>
      <c r="L24" s="15">
        <v>178</v>
      </c>
      <c r="M24" s="15">
        <v>162</v>
      </c>
      <c r="N24" s="15">
        <v>219</v>
      </c>
      <c r="O24" s="15">
        <v>330</v>
      </c>
    </row>
    <row r="25" spans="1:15" x14ac:dyDescent="0.2">
      <c r="E25" s="80"/>
      <c r="F25" s="47" t="s">
        <v>1154</v>
      </c>
      <c r="G25" s="15">
        <v>235</v>
      </c>
      <c r="H25" s="15">
        <v>0</v>
      </c>
      <c r="I25" s="15">
        <v>17</v>
      </c>
      <c r="J25" s="15">
        <v>55</v>
      </c>
      <c r="K25" s="15">
        <v>6</v>
      </c>
      <c r="L25" s="15">
        <v>40</v>
      </c>
      <c r="M25" s="15">
        <v>0</v>
      </c>
      <c r="N25" s="15">
        <v>37</v>
      </c>
      <c r="O25" s="15">
        <v>80</v>
      </c>
    </row>
    <row r="26" spans="1:15" x14ac:dyDescent="0.2">
      <c r="E26" s="80"/>
      <c r="F26" s="16" t="s">
        <v>1158</v>
      </c>
      <c r="G26" s="23">
        <v>7395</v>
      </c>
      <c r="H26" s="15">
        <v>20</v>
      </c>
      <c r="I26" s="15">
        <v>320</v>
      </c>
      <c r="J26" s="23">
        <v>1024</v>
      </c>
      <c r="K26" s="15">
        <v>952</v>
      </c>
      <c r="L26" s="23">
        <v>1367</v>
      </c>
      <c r="M26" s="15">
        <v>648</v>
      </c>
      <c r="N26" s="23">
        <v>1606</v>
      </c>
      <c r="O26" s="23">
        <v>1458</v>
      </c>
    </row>
    <row r="27" spans="1:15" x14ac:dyDescent="0.2">
      <c r="A27" s="81"/>
      <c r="B27" s="80"/>
      <c r="E27" s="80"/>
      <c r="F27" s="47" t="s">
        <v>1162</v>
      </c>
      <c r="G27" s="15">
        <v>878</v>
      </c>
      <c r="H27" s="15">
        <v>0</v>
      </c>
      <c r="I27" s="15">
        <v>126</v>
      </c>
      <c r="J27" s="15">
        <v>63</v>
      </c>
      <c r="K27" s="15">
        <v>71</v>
      </c>
      <c r="L27" s="15">
        <v>372</v>
      </c>
      <c r="M27" s="15">
        <v>34</v>
      </c>
      <c r="N27" s="15">
        <v>39</v>
      </c>
      <c r="O27" s="15">
        <v>173</v>
      </c>
    </row>
    <row r="28" spans="1:15" x14ac:dyDescent="0.2">
      <c r="E28" s="80"/>
      <c r="F28" s="47" t="s">
        <v>1164</v>
      </c>
      <c r="G28" s="23">
        <v>2969</v>
      </c>
      <c r="H28" s="15">
        <v>20</v>
      </c>
      <c r="I28" s="15">
        <v>138</v>
      </c>
      <c r="J28" s="15">
        <v>139</v>
      </c>
      <c r="K28" s="15">
        <v>655</v>
      </c>
      <c r="L28" s="15">
        <v>408</v>
      </c>
      <c r="M28" s="15">
        <v>370</v>
      </c>
      <c r="N28" s="15">
        <v>752</v>
      </c>
      <c r="O28" s="15">
        <v>487</v>
      </c>
    </row>
    <row r="29" spans="1:15" x14ac:dyDescent="0.2">
      <c r="E29" s="80"/>
      <c r="F29" s="16" t="s">
        <v>1166</v>
      </c>
      <c r="G29" s="23">
        <v>8972</v>
      </c>
      <c r="H29" s="15">
        <v>69</v>
      </c>
      <c r="I29" s="15">
        <v>458</v>
      </c>
      <c r="J29" s="23">
        <v>1070</v>
      </c>
      <c r="K29" s="23">
        <v>1034</v>
      </c>
      <c r="L29" s="15">
        <v>964</v>
      </c>
      <c r="M29" s="23">
        <v>1211</v>
      </c>
      <c r="N29" s="23">
        <v>1638</v>
      </c>
      <c r="O29" s="23">
        <v>2528</v>
      </c>
    </row>
    <row r="30" spans="1:15" x14ac:dyDescent="0.2">
      <c r="E30" s="80"/>
      <c r="F30" s="47" t="s">
        <v>1168</v>
      </c>
      <c r="G30" s="23">
        <v>1519</v>
      </c>
      <c r="H30" s="15">
        <v>0</v>
      </c>
      <c r="I30" s="15">
        <v>116</v>
      </c>
      <c r="J30" s="15">
        <v>98</v>
      </c>
      <c r="K30" s="15">
        <v>82</v>
      </c>
      <c r="L30" s="15">
        <v>287</v>
      </c>
      <c r="M30" s="15">
        <v>305</v>
      </c>
      <c r="N30" s="15">
        <v>190</v>
      </c>
      <c r="O30" s="15">
        <v>441</v>
      </c>
    </row>
    <row r="31" spans="1:15" x14ac:dyDescent="0.2">
      <c r="E31" s="80"/>
      <c r="F31" s="47" t="s">
        <v>1170</v>
      </c>
      <c r="G31" s="23">
        <v>1600</v>
      </c>
      <c r="H31" s="15">
        <v>0</v>
      </c>
      <c r="I31" s="15">
        <v>58</v>
      </c>
      <c r="J31" s="15">
        <v>312</v>
      </c>
      <c r="K31" s="15">
        <v>311</v>
      </c>
      <c r="L31" s="15">
        <v>145</v>
      </c>
      <c r="M31" s="15">
        <v>336</v>
      </c>
      <c r="N31" s="15">
        <v>144</v>
      </c>
      <c r="O31" s="15">
        <v>294</v>
      </c>
    </row>
    <row r="32" spans="1:15" x14ac:dyDescent="0.2">
      <c r="E32" s="80"/>
      <c r="F32" s="47" t="s">
        <v>1172</v>
      </c>
      <c r="G32" s="23">
        <v>2882</v>
      </c>
      <c r="H32" s="15">
        <v>13</v>
      </c>
      <c r="I32" s="15">
        <v>8</v>
      </c>
      <c r="J32" s="15">
        <v>394</v>
      </c>
      <c r="K32" s="15">
        <v>417</v>
      </c>
      <c r="L32" s="15">
        <v>163</v>
      </c>
      <c r="M32" s="15">
        <v>187</v>
      </c>
      <c r="N32" s="15">
        <v>463</v>
      </c>
      <c r="O32" s="23">
        <v>1237</v>
      </c>
    </row>
    <row r="33" spans="5:15" x14ac:dyDescent="0.2">
      <c r="E33" s="80"/>
      <c r="F33" s="16" t="s">
        <v>1174</v>
      </c>
      <c r="G33" s="23">
        <v>2289</v>
      </c>
      <c r="H33" s="15">
        <v>15</v>
      </c>
      <c r="I33" s="15">
        <v>124</v>
      </c>
      <c r="J33" s="15">
        <v>394</v>
      </c>
      <c r="K33" s="15">
        <v>246</v>
      </c>
      <c r="L33" s="15">
        <v>161</v>
      </c>
      <c r="M33" s="15">
        <v>485</v>
      </c>
      <c r="N33" s="15">
        <v>306</v>
      </c>
      <c r="O33" s="15">
        <v>558</v>
      </c>
    </row>
    <row r="34" spans="5:15" x14ac:dyDescent="0.2">
      <c r="E34" s="80"/>
      <c r="F34" t="s">
        <v>1178</v>
      </c>
      <c r="G34" s="15">
        <v>468</v>
      </c>
      <c r="H34" s="15">
        <v>8</v>
      </c>
      <c r="I34" s="17">
        <v>7</v>
      </c>
      <c r="J34" s="15">
        <v>39</v>
      </c>
      <c r="K34" s="15">
        <v>24</v>
      </c>
      <c r="L34" s="15">
        <v>37</v>
      </c>
      <c r="M34" s="15">
        <v>66</v>
      </c>
      <c r="N34" s="15">
        <v>71</v>
      </c>
      <c r="O34" s="15">
        <v>216</v>
      </c>
    </row>
    <row r="35" spans="5:15" x14ac:dyDescent="0.2">
      <c r="E35" s="80"/>
      <c r="F35" s="16" t="s">
        <v>1180</v>
      </c>
      <c r="G35" s="23">
        <v>11624</v>
      </c>
      <c r="H35" s="15">
        <v>0</v>
      </c>
      <c r="I35" s="17">
        <v>185</v>
      </c>
      <c r="J35" s="15">
        <v>276</v>
      </c>
      <c r="K35" s="15">
        <v>529</v>
      </c>
      <c r="L35" s="23">
        <v>1053</v>
      </c>
      <c r="M35" s="15">
        <v>899</v>
      </c>
      <c r="N35" s="23">
        <v>2284</v>
      </c>
      <c r="O35" s="23">
        <v>6398</v>
      </c>
    </row>
    <row r="36" spans="5:15" x14ac:dyDescent="0.2">
      <c r="E36" s="80"/>
      <c r="F36" s="16" t="s">
        <v>1182</v>
      </c>
      <c r="G36" s="23">
        <v>12352</v>
      </c>
      <c r="H36" s="15">
        <v>142</v>
      </c>
      <c r="I36" s="17">
        <v>958</v>
      </c>
      <c r="J36" s="23">
        <v>1715</v>
      </c>
      <c r="K36" s="23">
        <v>1563</v>
      </c>
      <c r="L36" s="23">
        <v>1575</v>
      </c>
      <c r="M36" s="23">
        <v>1514</v>
      </c>
      <c r="N36" s="23">
        <v>3340</v>
      </c>
      <c r="O36" s="23">
        <v>1545</v>
      </c>
    </row>
    <row r="37" spans="5:15" x14ac:dyDescent="0.2">
      <c r="E37" s="80"/>
      <c r="F37" s="16" t="s">
        <v>1184</v>
      </c>
      <c r="G37" s="23">
        <v>11335</v>
      </c>
      <c r="H37" s="15">
        <v>48</v>
      </c>
      <c r="I37" s="28">
        <v>1113</v>
      </c>
      <c r="J37" s="23">
        <v>1670</v>
      </c>
      <c r="K37" s="15">
        <v>641</v>
      </c>
      <c r="L37" s="23">
        <v>1617</v>
      </c>
      <c r="M37" s="23">
        <v>1631</v>
      </c>
      <c r="N37" s="23">
        <v>3397</v>
      </c>
      <c r="O37" s="23">
        <v>1218</v>
      </c>
    </row>
    <row r="38" spans="5:15" x14ac:dyDescent="0.2">
      <c r="E38" s="80"/>
      <c r="F38" s="16" t="s">
        <v>1186</v>
      </c>
      <c r="G38" s="23">
        <v>7383</v>
      </c>
      <c r="H38" s="15">
        <v>137</v>
      </c>
      <c r="I38" s="23">
        <v>2418</v>
      </c>
      <c r="J38" s="23">
        <v>2147</v>
      </c>
      <c r="K38" s="23">
        <v>1309</v>
      </c>
      <c r="L38" s="15">
        <v>851</v>
      </c>
      <c r="M38" s="15">
        <v>199</v>
      </c>
      <c r="N38" s="15">
        <v>158</v>
      </c>
      <c r="O38" s="15">
        <v>164</v>
      </c>
    </row>
    <row r="39" spans="5:15" x14ac:dyDescent="0.2">
      <c r="E39" s="80"/>
      <c r="F39" s="47" t="s">
        <v>1188</v>
      </c>
      <c r="G39" s="23">
        <v>7383</v>
      </c>
      <c r="H39" s="15">
        <v>137</v>
      </c>
      <c r="I39" s="23">
        <v>2418</v>
      </c>
      <c r="J39" s="23">
        <v>2147</v>
      </c>
      <c r="K39" s="23">
        <v>1309</v>
      </c>
      <c r="L39" s="15">
        <v>851</v>
      </c>
      <c r="M39" s="15">
        <v>199</v>
      </c>
      <c r="N39" s="15">
        <v>158</v>
      </c>
      <c r="O39" s="15">
        <v>164</v>
      </c>
    </row>
    <row r="40" spans="5:15" x14ac:dyDescent="0.2">
      <c r="E40" s="80"/>
      <c r="F40" s="16" t="s">
        <v>1191</v>
      </c>
      <c r="G40" s="23">
        <v>3896</v>
      </c>
      <c r="H40" s="15">
        <v>0</v>
      </c>
      <c r="I40" s="15">
        <v>11</v>
      </c>
      <c r="J40" s="15">
        <v>322</v>
      </c>
      <c r="K40" s="15">
        <v>128</v>
      </c>
      <c r="L40" s="15">
        <v>262</v>
      </c>
      <c r="M40" s="15">
        <v>340</v>
      </c>
      <c r="N40" s="15">
        <v>621</v>
      </c>
      <c r="O40" s="23">
        <v>2212</v>
      </c>
    </row>
    <row r="41" spans="5:15" x14ac:dyDescent="0.2">
      <c r="E41" s="80"/>
      <c r="F41" s="16" t="s">
        <v>1195</v>
      </c>
      <c r="G41" s="23">
        <v>1766</v>
      </c>
      <c r="H41" s="15">
        <v>6</v>
      </c>
      <c r="I41" s="15">
        <v>62</v>
      </c>
      <c r="J41" s="15">
        <v>248</v>
      </c>
      <c r="K41" s="15">
        <v>108</v>
      </c>
      <c r="L41" s="15">
        <v>142</v>
      </c>
      <c r="M41" s="15">
        <v>141</v>
      </c>
      <c r="N41" s="15">
        <v>353</v>
      </c>
      <c r="O41" s="15">
        <v>706</v>
      </c>
    </row>
    <row r="42" spans="5:15" x14ac:dyDescent="0.2">
      <c r="E42" s="80"/>
      <c r="F42" s="47" t="s">
        <v>1199</v>
      </c>
      <c r="G42" s="23">
        <v>1284</v>
      </c>
      <c r="H42" s="15">
        <v>6</v>
      </c>
      <c r="I42" s="15">
        <v>57</v>
      </c>
      <c r="J42" s="15">
        <v>240</v>
      </c>
      <c r="K42" s="15">
        <v>100</v>
      </c>
      <c r="L42" s="15">
        <v>127</v>
      </c>
      <c r="M42" s="15">
        <v>121</v>
      </c>
      <c r="N42" s="15">
        <v>330</v>
      </c>
      <c r="O42" s="15">
        <v>303</v>
      </c>
    </row>
    <row r="43" spans="5:15" x14ac:dyDescent="0.2">
      <c r="E43" s="80"/>
      <c r="F43" s="47" t="s">
        <v>1200</v>
      </c>
      <c r="G43" s="15">
        <v>482</v>
      </c>
      <c r="H43" s="15">
        <v>0</v>
      </c>
      <c r="I43" s="15">
        <v>5</v>
      </c>
      <c r="J43" s="15">
        <v>8</v>
      </c>
      <c r="K43" s="15">
        <v>8</v>
      </c>
      <c r="L43" s="15">
        <v>15</v>
      </c>
      <c r="M43" s="15">
        <v>20</v>
      </c>
      <c r="N43" s="15">
        <v>23</v>
      </c>
      <c r="O43" s="15">
        <v>403</v>
      </c>
    </row>
    <row r="44" spans="5:15" x14ac:dyDescent="0.2">
      <c r="E44" s="80"/>
      <c r="F44" s="16" t="s">
        <v>1201</v>
      </c>
      <c r="G44" s="23">
        <v>12287</v>
      </c>
      <c r="H44" s="15">
        <v>207</v>
      </c>
      <c r="I44" s="23">
        <v>1331</v>
      </c>
      <c r="J44" s="23">
        <v>1700</v>
      </c>
      <c r="K44" s="15">
        <v>909</v>
      </c>
      <c r="L44" s="23">
        <v>1413</v>
      </c>
      <c r="M44" s="23">
        <v>2531</v>
      </c>
      <c r="N44" s="23">
        <v>2154</v>
      </c>
      <c r="O44" s="23">
        <v>2042</v>
      </c>
    </row>
    <row r="45" spans="5:15" x14ac:dyDescent="0.2">
      <c r="E45" s="80"/>
      <c r="F45" s="16" t="s">
        <v>1202</v>
      </c>
      <c r="G45" s="23">
        <v>13046</v>
      </c>
      <c r="H45" s="15">
        <v>0</v>
      </c>
      <c r="I45" s="15">
        <v>756</v>
      </c>
      <c r="J45" s="15">
        <v>965</v>
      </c>
      <c r="K45" s="23">
        <v>1513</v>
      </c>
      <c r="L45" s="23">
        <v>1905</v>
      </c>
      <c r="M45" s="23">
        <v>1853</v>
      </c>
      <c r="N45" s="23">
        <v>2603</v>
      </c>
      <c r="O45" s="23">
        <v>3451</v>
      </c>
    </row>
    <row r="46" spans="5:15" x14ac:dyDescent="0.2">
      <c r="E46" s="80"/>
      <c r="F46" s="47" t="s">
        <v>1203</v>
      </c>
      <c r="G46" s="23">
        <v>1002</v>
      </c>
      <c r="H46" s="15">
        <v>0</v>
      </c>
      <c r="I46" s="15">
        <v>43</v>
      </c>
      <c r="J46" s="15">
        <v>66</v>
      </c>
      <c r="K46" s="15">
        <v>90</v>
      </c>
      <c r="L46" s="15">
        <v>166</v>
      </c>
      <c r="M46" s="15">
        <v>236</v>
      </c>
      <c r="N46" s="15">
        <v>239</v>
      </c>
      <c r="O46" s="15">
        <v>162</v>
      </c>
    </row>
    <row r="47" spans="5:15" x14ac:dyDescent="0.2">
      <c r="E47" s="80"/>
      <c r="F47" s="47" t="s">
        <v>1204</v>
      </c>
      <c r="G47" s="23">
        <v>1379</v>
      </c>
      <c r="H47" s="15">
        <v>0</v>
      </c>
      <c r="I47" s="15">
        <v>7</v>
      </c>
      <c r="J47" s="15">
        <v>46</v>
      </c>
      <c r="K47" s="15">
        <v>72</v>
      </c>
      <c r="L47" s="15">
        <v>104</v>
      </c>
      <c r="M47" s="15">
        <v>37</v>
      </c>
      <c r="N47" s="15">
        <v>529</v>
      </c>
      <c r="O47" s="15">
        <v>584</v>
      </c>
    </row>
    <row r="48" spans="5:15" x14ac:dyDescent="0.2">
      <c r="E48" s="80"/>
      <c r="F48" s="47" t="s">
        <v>1205</v>
      </c>
      <c r="G48" s="23">
        <v>3304</v>
      </c>
      <c r="H48" s="15">
        <v>0</v>
      </c>
      <c r="I48" s="15">
        <v>481</v>
      </c>
      <c r="J48" s="15">
        <v>329</v>
      </c>
      <c r="K48" s="15">
        <v>344</v>
      </c>
      <c r="L48" s="15">
        <v>504</v>
      </c>
      <c r="M48" s="15">
        <v>399</v>
      </c>
      <c r="N48" s="15">
        <v>241</v>
      </c>
      <c r="O48" s="23">
        <v>1006</v>
      </c>
    </row>
    <row r="49" spans="5:15" x14ac:dyDescent="0.2">
      <c r="E49" s="80"/>
      <c r="F49" s="16" t="s">
        <v>1206</v>
      </c>
      <c r="G49" s="23">
        <v>2635</v>
      </c>
      <c r="H49" s="15">
        <v>37</v>
      </c>
      <c r="I49" s="15">
        <v>189</v>
      </c>
      <c r="J49" s="15">
        <v>340</v>
      </c>
      <c r="K49" s="15">
        <v>314</v>
      </c>
      <c r="L49" s="15">
        <v>432</v>
      </c>
      <c r="M49" s="15">
        <v>356</v>
      </c>
      <c r="N49" s="15">
        <v>512</v>
      </c>
      <c r="O49" s="15">
        <v>457</v>
      </c>
    </row>
    <row r="50" spans="5:15" x14ac:dyDescent="0.2">
      <c r="E50" s="80"/>
      <c r="F50" s="16" t="s">
        <v>1207</v>
      </c>
      <c r="G50" s="23">
        <v>4193</v>
      </c>
      <c r="H50" s="15">
        <v>0</v>
      </c>
      <c r="I50" s="15">
        <v>260</v>
      </c>
      <c r="J50" s="15">
        <v>495</v>
      </c>
      <c r="K50" s="15">
        <v>494</v>
      </c>
      <c r="L50" s="15">
        <v>871</v>
      </c>
      <c r="M50" s="15">
        <v>506</v>
      </c>
      <c r="N50" s="15">
        <v>778</v>
      </c>
      <c r="O50" s="15">
        <v>789</v>
      </c>
    </row>
    <row r="51" spans="5:15" x14ac:dyDescent="0.2">
      <c r="E51" s="80"/>
      <c r="F51" s="47" t="s">
        <v>1162</v>
      </c>
      <c r="G51" s="15">
        <v>259</v>
      </c>
      <c r="H51" s="15">
        <v>0</v>
      </c>
      <c r="I51" s="15">
        <v>0</v>
      </c>
      <c r="J51" s="15">
        <v>37</v>
      </c>
      <c r="K51" s="15">
        <v>26</v>
      </c>
      <c r="L51" s="15">
        <v>119</v>
      </c>
      <c r="M51" s="15">
        <v>71</v>
      </c>
      <c r="N51" s="15">
        <v>6</v>
      </c>
      <c r="O51" s="15">
        <v>0</v>
      </c>
    </row>
    <row r="52" spans="5:15" x14ac:dyDescent="0.2">
      <c r="E52" s="80"/>
      <c r="F52" s="47" t="s">
        <v>1208</v>
      </c>
      <c r="G52" s="23">
        <v>3934</v>
      </c>
      <c r="H52" s="15">
        <v>0</v>
      </c>
      <c r="I52" s="15">
        <v>260</v>
      </c>
      <c r="J52" s="15">
        <v>458</v>
      </c>
      <c r="K52" s="15">
        <v>468</v>
      </c>
      <c r="L52" s="15">
        <v>752</v>
      </c>
      <c r="M52" s="15">
        <v>435</v>
      </c>
      <c r="N52" s="15">
        <v>772</v>
      </c>
      <c r="O52" s="15">
        <v>789</v>
      </c>
    </row>
    <row r="53" spans="5:15" x14ac:dyDescent="0.2">
      <c r="E53" s="80"/>
    </row>
    <row r="54" spans="5:15" x14ac:dyDescent="0.2">
      <c r="E54" s="80"/>
    </row>
    <row r="55" spans="5:15" x14ac:dyDescent="0.2">
      <c r="E55" s="80"/>
    </row>
    <row r="56" spans="5:15" x14ac:dyDescent="0.2">
      <c r="E56" s="80"/>
    </row>
    <row r="57" spans="5:15" x14ac:dyDescent="0.2">
      <c r="E57" s="80"/>
    </row>
  </sheetData>
  <mergeCells count="10">
    <mergeCell ref="G5:G6"/>
    <mergeCell ref="B1:O1"/>
    <mergeCell ref="A21:B21"/>
    <mergeCell ref="E5:E57"/>
    <mergeCell ref="A9:B9"/>
    <mergeCell ref="A5:B5"/>
    <mergeCell ref="F5:F6"/>
    <mergeCell ref="A18:B18"/>
    <mergeCell ref="A27:B27"/>
    <mergeCell ref="H5:O5"/>
  </mergeCells>
  <dataValidations count="4">
    <dataValidation type="list" allowBlank="1" showInputMessage="1" showErrorMessage="1" sqref="P4:Q4" xr:uid="{00000000-0002-0000-2300-000000000000}">
      <formula1>"integer, number, percent1"</formula1>
    </dataValidation>
    <dataValidation type="list" allowBlank="1" showInputMessage="1" showErrorMessage="1" sqref="B10" xr:uid="{00000000-0002-0000-2300-000001000000}">
      <formula1>"Line,Clustered Bar,Stacked Bar,Bar,Horizontal Stacked Bar"</formula1>
    </dataValidation>
    <dataValidation type="list" allowBlank="1" showInputMessage="1" showErrorMessage="1" sqref="B2" xr:uid="{00000000-0002-0000-2300-000002000000}">
      <formula1>"Table,Figure,Both"</formula1>
    </dataValidation>
    <dataValidation type="list" allowBlank="1" showInputMessage="1" showErrorMessage="1" sqref="B6 B15:B16" xr:uid="{00000000-0002-0000-2300-000003000000}">
      <formula1>"True,False"</formula1>
    </dataValidation>
  </dataValidation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57"/>
  <sheetViews>
    <sheetView topLeftCell="B1" workbookViewId="0">
      <selection activeCell="L31" sqref="L3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20.6640625" bestFit="1" customWidth="1"/>
    <col min="12" max="12" width="48.33203125" bestFit="1" customWidth="1"/>
    <col min="13" max="13" width="40.1640625" bestFit="1" customWidth="1"/>
    <col min="14" max="14" width="12.33203125" bestFit="1" customWidth="1"/>
    <col min="15" max="16" width="12.5" bestFit="1" customWidth="1"/>
  </cols>
  <sheetData>
    <row r="1" spans="1:17" x14ac:dyDescent="0.2">
      <c r="A1" s="16" t="s">
        <v>1077</v>
      </c>
      <c r="B1" s="79" t="s">
        <v>124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tbl-house-characteristics-homeowner</v>
      </c>
    </row>
    <row r="4" spans="1:17" x14ac:dyDescent="0.2">
      <c r="A4" s="16" t="s">
        <v>7</v>
      </c>
      <c r="B4" t="str">
        <f>IF($B$1="","",_xlfn.XLOOKUP($B$1,Master!$F$2:$F$321,Master!$H$2:$H$321,""))</f>
        <v>fig-house-characteristics-homeowner</v>
      </c>
      <c r="E4" s="8"/>
      <c r="F4" s="10" t="s">
        <v>968</v>
      </c>
      <c r="G4" s="10" t="s">
        <v>973</v>
      </c>
      <c r="H4" s="10" t="s">
        <v>973</v>
      </c>
      <c r="I4" s="10" t="s">
        <v>973</v>
      </c>
      <c r="J4" s="10" t="s">
        <v>979</v>
      </c>
      <c r="K4" s="10" t="s">
        <v>989</v>
      </c>
      <c r="L4" s="10" t="s">
        <v>989</v>
      </c>
      <c r="M4" s="10" t="s">
        <v>973</v>
      </c>
      <c r="N4" s="10"/>
      <c r="O4" s="10"/>
      <c r="P4" s="10"/>
      <c r="Q4" s="10"/>
    </row>
    <row r="5" spans="1:17" x14ac:dyDescent="0.2">
      <c r="A5" s="83" t="s">
        <v>1081</v>
      </c>
      <c r="B5" s="80"/>
      <c r="E5" s="82" t="s">
        <v>1082</v>
      </c>
      <c r="F5" s="81" t="s">
        <v>1083</v>
      </c>
      <c r="G5" s="81" t="s">
        <v>1625</v>
      </c>
      <c r="H5" s="81"/>
      <c r="I5" s="81"/>
      <c r="J5" s="81"/>
      <c r="K5" s="81"/>
      <c r="L5" s="81"/>
      <c r="M5" s="81"/>
    </row>
    <row r="6" spans="1:17" ht="15" customHeight="1" x14ac:dyDescent="0.2">
      <c r="A6" t="s">
        <v>1088</v>
      </c>
      <c r="B6" t="b">
        <v>1</v>
      </c>
      <c r="E6" s="80"/>
      <c r="F6" s="80"/>
      <c r="G6" s="15" t="s">
        <v>1620</v>
      </c>
      <c r="H6" s="15" t="s">
        <v>1626</v>
      </c>
      <c r="I6" s="15" t="s">
        <v>1627</v>
      </c>
      <c r="J6" s="15" t="s">
        <v>1628</v>
      </c>
      <c r="K6" s="15" t="s">
        <v>1629</v>
      </c>
      <c r="L6" s="15" t="s">
        <v>1630</v>
      </c>
      <c r="M6" s="15" t="s">
        <v>1631</v>
      </c>
      <c r="N6" s="15"/>
      <c r="O6" s="15"/>
    </row>
    <row r="7" spans="1:17" ht="15.75" customHeight="1" x14ac:dyDescent="0.2">
      <c r="E7" s="80"/>
      <c r="F7" s="16" t="s">
        <v>1096</v>
      </c>
      <c r="G7" s="23">
        <v>148460</v>
      </c>
      <c r="H7" s="23">
        <v>137311</v>
      </c>
      <c r="I7" s="23">
        <v>93959</v>
      </c>
      <c r="J7" s="15">
        <v>1.1000000000000001</v>
      </c>
      <c r="K7" s="42">
        <v>361100</v>
      </c>
      <c r="L7" s="42">
        <v>2653</v>
      </c>
      <c r="M7" s="23">
        <v>30065</v>
      </c>
      <c r="N7" s="15"/>
      <c r="O7" s="15"/>
    </row>
    <row r="8" spans="1:17" x14ac:dyDescent="0.2">
      <c r="E8" s="80"/>
      <c r="F8" s="16" t="s">
        <v>1097</v>
      </c>
      <c r="G8" s="23">
        <v>6844</v>
      </c>
      <c r="H8" s="23">
        <v>6149</v>
      </c>
      <c r="I8" s="23">
        <v>5016</v>
      </c>
      <c r="J8" s="15">
        <v>1.3</v>
      </c>
      <c r="K8" s="42">
        <v>372900</v>
      </c>
      <c r="L8" s="42">
        <v>2738</v>
      </c>
      <c r="M8" s="23">
        <v>2083</v>
      </c>
      <c r="N8" s="15"/>
      <c r="O8" s="15"/>
    </row>
    <row r="9" spans="1:17" x14ac:dyDescent="0.2">
      <c r="A9" s="83" t="s">
        <v>1098</v>
      </c>
      <c r="B9" s="80"/>
      <c r="E9" s="80"/>
      <c r="F9" s="47" t="s">
        <v>1099</v>
      </c>
      <c r="G9" s="23">
        <v>1483</v>
      </c>
      <c r="H9" s="23">
        <v>1261</v>
      </c>
      <c r="I9" s="15">
        <v>995</v>
      </c>
      <c r="J9" s="15">
        <v>2.4</v>
      </c>
      <c r="K9" s="42">
        <v>349800</v>
      </c>
      <c r="L9" s="42">
        <v>2536</v>
      </c>
      <c r="M9" s="15">
        <v>500</v>
      </c>
      <c r="N9" s="15"/>
      <c r="O9" s="15"/>
    </row>
    <row r="10" spans="1:17" x14ac:dyDescent="0.2">
      <c r="A10" t="s">
        <v>1100</v>
      </c>
      <c r="E10" s="80"/>
      <c r="F10" s="47" t="s">
        <v>1101</v>
      </c>
      <c r="G10" s="23">
        <v>2080</v>
      </c>
      <c r="H10" s="14">
        <v>2004</v>
      </c>
      <c r="I10" s="14">
        <v>1575</v>
      </c>
      <c r="J10">
        <v>1.9</v>
      </c>
      <c r="K10" s="43">
        <v>268100</v>
      </c>
      <c r="L10" s="43">
        <v>2464</v>
      </c>
      <c r="M10">
        <v>507</v>
      </c>
    </row>
    <row r="11" spans="1:17" x14ac:dyDescent="0.2">
      <c r="A11" t="s">
        <v>1102</v>
      </c>
      <c r="E11" s="80"/>
      <c r="F11" s="16" t="s">
        <v>1103</v>
      </c>
      <c r="G11" s="23">
        <v>4763</v>
      </c>
      <c r="H11" s="23">
        <v>4458</v>
      </c>
      <c r="I11" s="23">
        <v>3538</v>
      </c>
      <c r="J11" s="17">
        <v>1.3</v>
      </c>
      <c r="K11" s="44">
        <v>399700</v>
      </c>
      <c r="L11" s="44">
        <v>3094</v>
      </c>
      <c r="M11" s="28">
        <v>1026</v>
      </c>
      <c r="N11" s="17"/>
    </row>
    <row r="12" spans="1:17" x14ac:dyDescent="0.2">
      <c r="A12" t="s">
        <v>1104</v>
      </c>
      <c r="E12" s="80"/>
      <c r="F12" s="48" t="s">
        <v>1105</v>
      </c>
      <c r="G12" s="28">
        <v>1735</v>
      </c>
      <c r="H12" s="28">
        <v>1643</v>
      </c>
      <c r="I12" s="15">
        <v>922</v>
      </c>
      <c r="J12" s="15">
        <v>5.0999999999999996</v>
      </c>
      <c r="K12" s="42">
        <v>219600</v>
      </c>
      <c r="L12" s="42">
        <v>2260</v>
      </c>
      <c r="M12">
        <v>409</v>
      </c>
    </row>
    <row r="13" spans="1:17" x14ac:dyDescent="0.2">
      <c r="A13" t="s">
        <v>1108</v>
      </c>
      <c r="E13" s="80"/>
      <c r="F13" s="16" t="s">
        <v>1109</v>
      </c>
      <c r="G13" s="14">
        <v>5366</v>
      </c>
      <c r="H13" s="14">
        <v>5023</v>
      </c>
      <c r="I13" s="14">
        <v>3815</v>
      </c>
      <c r="J13">
        <v>2.4</v>
      </c>
      <c r="K13" s="43">
        <v>416500</v>
      </c>
      <c r="L13" s="43">
        <v>2994</v>
      </c>
      <c r="M13" s="14">
        <v>1160</v>
      </c>
    </row>
    <row r="14" spans="1:17" x14ac:dyDescent="0.2">
      <c r="A14" t="s">
        <v>1112</v>
      </c>
      <c r="E14" s="80"/>
      <c r="F14" s="47" t="s">
        <v>1113</v>
      </c>
      <c r="G14" s="14">
        <v>1250</v>
      </c>
      <c r="H14" s="14">
        <v>1186</v>
      </c>
      <c r="I14">
        <v>818</v>
      </c>
      <c r="J14">
        <v>1.9</v>
      </c>
      <c r="K14" s="43">
        <v>349800</v>
      </c>
      <c r="L14" s="43">
        <v>2813</v>
      </c>
      <c r="M14">
        <v>321</v>
      </c>
    </row>
    <row r="15" spans="1:17" x14ac:dyDescent="0.2">
      <c r="A15" t="s">
        <v>1114</v>
      </c>
      <c r="E15" s="80"/>
      <c r="F15" s="16" t="s">
        <v>1115</v>
      </c>
      <c r="G15" s="14">
        <v>3093</v>
      </c>
      <c r="H15" s="14">
        <v>3001</v>
      </c>
      <c r="I15" s="14">
        <v>2299</v>
      </c>
      <c r="J15">
        <v>0</v>
      </c>
      <c r="K15" s="43">
        <v>384700</v>
      </c>
      <c r="L15" s="43">
        <v>2490</v>
      </c>
      <c r="M15">
        <v>399</v>
      </c>
    </row>
    <row r="16" spans="1:17" x14ac:dyDescent="0.2">
      <c r="A16" t="s">
        <v>1116</v>
      </c>
      <c r="E16" s="80"/>
      <c r="F16" s="16" t="s">
        <v>1117</v>
      </c>
      <c r="G16" s="14">
        <v>3347</v>
      </c>
      <c r="H16" s="14">
        <v>2993</v>
      </c>
      <c r="I16" s="14">
        <v>2254</v>
      </c>
      <c r="J16">
        <v>0.8</v>
      </c>
      <c r="K16" s="43">
        <v>223000</v>
      </c>
      <c r="L16" s="43">
        <v>2023</v>
      </c>
      <c r="M16">
        <v>611</v>
      </c>
    </row>
    <row r="17" spans="1:13" x14ac:dyDescent="0.2">
      <c r="E17" s="80"/>
      <c r="F17" s="16" t="s">
        <v>1118</v>
      </c>
      <c r="G17" s="14">
        <v>5371</v>
      </c>
      <c r="H17" s="14">
        <v>4861</v>
      </c>
      <c r="I17" s="14">
        <v>3868</v>
      </c>
      <c r="J17">
        <v>1.3</v>
      </c>
      <c r="K17" s="43">
        <v>437900</v>
      </c>
      <c r="L17" s="43">
        <v>3236</v>
      </c>
      <c r="M17" s="14">
        <v>1288</v>
      </c>
    </row>
    <row r="18" spans="1:13" x14ac:dyDescent="0.2">
      <c r="A18" s="83" t="s">
        <v>1119</v>
      </c>
      <c r="B18" s="80"/>
      <c r="E18" s="80"/>
      <c r="F18" s="47" t="s">
        <v>1120</v>
      </c>
      <c r="G18" s="14">
        <v>2548</v>
      </c>
      <c r="H18" s="14">
        <v>2307</v>
      </c>
      <c r="I18" s="14">
        <v>1379</v>
      </c>
      <c r="J18">
        <v>0</v>
      </c>
      <c r="K18" s="43">
        <v>357000</v>
      </c>
      <c r="L18" s="43">
        <v>2466</v>
      </c>
      <c r="M18">
        <v>337</v>
      </c>
    </row>
    <row r="19" spans="1:13" x14ac:dyDescent="0.2">
      <c r="A19" t="s">
        <v>1121</v>
      </c>
      <c r="B19" t="s">
        <v>1632</v>
      </c>
      <c r="E19" s="80"/>
      <c r="F19" s="16" t="s">
        <v>1123</v>
      </c>
      <c r="G19" s="14">
        <v>1775</v>
      </c>
      <c r="H19" s="14">
        <v>1645</v>
      </c>
      <c r="I19" s="14">
        <v>1343</v>
      </c>
      <c r="J19">
        <v>0</v>
      </c>
      <c r="K19" s="43">
        <v>357000</v>
      </c>
      <c r="L19" s="43">
        <v>2466</v>
      </c>
      <c r="M19">
        <v>337</v>
      </c>
    </row>
    <row r="20" spans="1:13" x14ac:dyDescent="0.2">
      <c r="E20" s="80"/>
      <c r="F20" s="16" t="s">
        <v>1124</v>
      </c>
      <c r="G20" s="23">
        <v>1842</v>
      </c>
      <c r="H20" s="23">
        <v>1745</v>
      </c>
      <c r="I20" s="14">
        <v>1625</v>
      </c>
      <c r="J20">
        <v>0.5</v>
      </c>
      <c r="K20" s="43">
        <v>481700</v>
      </c>
      <c r="L20" s="43">
        <v>3084</v>
      </c>
      <c r="M20">
        <v>596</v>
      </c>
    </row>
    <row r="21" spans="1:13" x14ac:dyDescent="0.2">
      <c r="A21" s="81" t="s">
        <v>1125</v>
      </c>
      <c r="B21" s="80"/>
      <c r="E21" s="80"/>
      <c r="F21" s="16" t="s">
        <v>1126</v>
      </c>
      <c r="G21" s="23">
        <v>4240</v>
      </c>
      <c r="H21" s="23">
        <v>3938</v>
      </c>
      <c r="I21" s="14">
        <v>1639</v>
      </c>
      <c r="J21">
        <v>0</v>
      </c>
      <c r="K21" s="43">
        <v>324800</v>
      </c>
      <c r="L21" s="43">
        <v>2810</v>
      </c>
      <c r="M21">
        <v>666</v>
      </c>
    </row>
    <row r="22" spans="1:13" x14ac:dyDescent="0.2">
      <c r="A22" t="s">
        <v>1135</v>
      </c>
      <c r="B22" t="s">
        <v>1633</v>
      </c>
      <c r="E22" s="80"/>
      <c r="F22" s="47" t="s">
        <v>1137</v>
      </c>
      <c r="G22" s="23">
        <v>1801</v>
      </c>
      <c r="H22" s="23">
        <v>1575</v>
      </c>
      <c r="I22">
        <v>853</v>
      </c>
      <c r="J22">
        <v>0</v>
      </c>
      <c r="K22" s="43">
        <v>266900</v>
      </c>
      <c r="L22" s="43">
        <v>2493</v>
      </c>
      <c r="M22">
        <v>319</v>
      </c>
    </row>
    <row r="23" spans="1:13" x14ac:dyDescent="0.2">
      <c r="E23" s="80"/>
      <c r="F23" s="16" t="s">
        <v>1146</v>
      </c>
      <c r="G23" s="23">
        <v>11018</v>
      </c>
      <c r="H23" s="23">
        <v>10182</v>
      </c>
      <c r="I23" s="14">
        <v>5341</v>
      </c>
      <c r="J23">
        <v>0.7</v>
      </c>
      <c r="K23" s="43">
        <v>271000</v>
      </c>
      <c r="L23" s="43">
        <v>2272</v>
      </c>
      <c r="M23" s="14">
        <v>1469</v>
      </c>
    </row>
    <row r="24" spans="1:13" x14ac:dyDescent="0.2">
      <c r="E24" s="80"/>
      <c r="F24" s="16" t="s">
        <v>1150</v>
      </c>
      <c r="G24" s="14">
        <v>1697</v>
      </c>
      <c r="H24" s="14">
        <v>1491</v>
      </c>
      <c r="I24" s="14">
        <v>1172</v>
      </c>
      <c r="J24">
        <v>0.9</v>
      </c>
      <c r="K24" s="43">
        <v>357800</v>
      </c>
      <c r="L24" s="43">
        <v>2790</v>
      </c>
      <c r="M24">
        <v>398</v>
      </c>
    </row>
    <row r="25" spans="1:13" x14ac:dyDescent="0.2">
      <c r="E25" s="80"/>
      <c r="F25" s="47" t="s">
        <v>1154</v>
      </c>
      <c r="G25" s="15">
        <v>265</v>
      </c>
      <c r="H25" s="15">
        <v>229</v>
      </c>
      <c r="I25">
        <v>138</v>
      </c>
      <c r="J25">
        <v>7.4</v>
      </c>
      <c r="K25" s="43">
        <v>261100</v>
      </c>
      <c r="L25" s="43">
        <v>1989</v>
      </c>
      <c r="M25">
        <v>30</v>
      </c>
    </row>
    <row r="26" spans="1:13" x14ac:dyDescent="0.2">
      <c r="E26" s="80"/>
      <c r="F26" s="16" t="s">
        <v>1158</v>
      </c>
      <c r="G26" s="23">
        <v>7407</v>
      </c>
      <c r="H26" s="23">
        <v>6883</v>
      </c>
      <c r="I26" s="14">
        <v>5588</v>
      </c>
      <c r="J26">
        <v>2.2000000000000002</v>
      </c>
      <c r="K26" s="43">
        <v>353300</v>
      </c>
      <c r="L26" s="43">
        <v>2834</v>
      </c>
      <c r="M26" s="14">
        <v>1857</v>
      </c>
    </row>
    <row r="27" spans="1:13" x14ac:dyDescent="0.2">
      <c r="A27" s="81"/>
      <c r="B27" s="80"/>
      <c r="E27" s="80"/>
      <c r="F27" s="47" t="s">
        <v>1244</v>
      </c>
      <c r="G27" s="23">
        <v>1233</v>
      </c>
      <c r="H27" s="23">
        <v>1140</v>
      </c>
      <c r="I27">
        <v>557</v>
      </c>
      <c r="J27">
        <v>0</v>
      </c>
      <c r="K27" s="43">
        <v>232100</v>
      </c>
      <c r="L27" s="43">
        <v>2411</v>
      </c>
      <c r="M27">
        <v>214</v>
      </c>
    </row>
    <row r="28" spans="1:13" x14ac:dyDescent="0.2">
      <c r="E28" s="80"/>
      <c r="F28" s="47" t="s">
        <v>1164</v>
      </c>
      <c r="G28" s="23">
        <v>3009</v>
      </c>
      <c r="H28" s="23">
        <v>2841</v>
      </c>
      <c r="I28" s="14">
        <v>2373</v>
      </c>
      <c r="J28">
        <v>0</v>
      </c>
      <c r="K28" s="43">
        <v>336800</v>
      </c>
      <c r="L28" s="43">
        <v>2942</v>
      </c>
      <c r="M28">
        <v>785</v>
      </c>
    </row>
    <row r="29" spans="1:13" x14ac:dyDescent="0.2">
      <c r="E29" s="80"/>
      <c r="F29" s="16" t="s">
        <v>1166</v>
      </c>
      <c r="G29" s="23">
        <v>9101</v>
      </c>
      <c r="H29" s="23">
        <v>8330</v>
      </c>
      <c r="I29" s="14">
        <v>5806</v>
      </c>
      <c r="J29">
        <v>0.9</v>
      </c>
      <c r="K29" s="43">
        <v>271700</v>
      </c>
      <c r="L29" s="43">
        <v>2299</v>
      </c>
      <c r="M29" s="14">
        <v>1884</v>
      </c>
    </row>
    <row r="30" spans="1:13" x14ac:dyDescent="0.2">
      <c r="E30" s="80"/>
      <c r="F30" s="47" t="s">
        <v>1168</v>
      </c>
      <c r="G30" s="23">
        <v>1446</v>
      </c>
      <c r="H30" s="23">
        <v>1286</v>
      </c>
      <c r="I30">
        <v>705</v>
      </c>
      <c r="J30">
        <v>7</v>
      </c>
      <c r="K30" s="43">
        <v>200200</v>
      </c>
      <c r="L30" s="43">
        <v>1747</v>
      </c>
      <c r="M30">
        <v>199</v>
      </c>
    </row>
    <row r="31" spans="1:13" x14ac:dyDescent="0.2">
      <c r="E31" s="80"/>
      <c r="F31" s="47" t="s">
        <v>1170</v>
      </c>
      <c r="G31" s="23">
        <v>1373</v>
      </c>
      <c r="H31" s="23">
        <v>1346</v>
      </c>
      <c r="I31">
        <v>859</v>
      </c>
      <c r="J31">
        <v>0</v>
      </c>
      <c r="K31" s="43">
        <v>291000</v>
      </c>
      <c r="L31" s="43">
        <v>2269</v>
      </c>
      <c r="M31">
        <v>195</v>
      </c>
    </row>
    <row r="32" spans="1:13" x14ac:dyDescent="0.2">
      <c r="E32" s="80"/>
      <c r="F32" s="47" t="s">
        <v>1172</v>
      </c>
      <c r="G32" s="14">
        <v>3003</v>
      </c>
      <c r="H32" s="14">
        <v>2790</v>
      </c>
      <c r="I32" s="14">
        <v>1717</v>
      </c>
      <c r="J32">
        <v>0</v>
      </c>
      <c r="K32" s="43">
        <v>257300</v>
      </c>
      <c r="L32" s="43">
        <v>2309</v>
      </c>
      <c r="M32">
        <v>699</v>
      </c>
    </row>
    <row r="33" spans="5:13" x14ac:dyDescent="0.2">
      <c r="E33" s="80"/>
      <c r="F33" s="16" t="s">
        <v>1174</v>
      </c>
      <c r="G33" s="23">
        <v>2216</v>
      </c>
      <c r="H33" s="23">
        <v>1906</v>
      </c>
      <c r="I33" s="14">
        <v>1550</v>
      </c>
      <c r="J33">
        <v>3.4</v>
      </c>
      <c r="K33" s="43">
        <v>269900</v>
      </c>
      <c r="L33" s="43">
        <v>2109</v>
      </c>
      <c r="M33">
        <v>405</v>
      </c>
    </row>
    <row r="34" spans="5:13" x14ac:dyDescent="0.2">
      <c r="E34" s="80"/>
      <c r="F34" s="47" t="s">
        <v>1178</v>
      </c>
      <c r="G34" s="15">
        <v>524</v>
      </c>
      <c r="H34" s="15">
        <v>491</v>
      </c>
      <c r="I34" s="17">
        <v>321</v>
      </c>
      <c r="J34">
        <v>1.5</v>
      </c>
      <c r="K34" s="43">
        <v>223100</v>
      </c>
      <c r="L34" s="43">
        <v>2169</v>
      </c>
      <c r="M34">
        <v>120</v>
      </c>
    </row>
    <row r="35" spans="5:13" x14ac:dyDescent="0.2">
      <c r="E35" s="80"/>
      <c r="F35" s="16" t="s">
        <v>1180</v>
      </c>
      <c r="G35" s="23">
        <v>11700</v>
      </c>
      <c r="H35" s="23">
        <v>9951</v>
      </c>
      <c r="I35" s="28">
        <v>3475</v>
      </c>
      <c r="J35">
        <v>1.3</v>
      </c>
      <c r="K35" s="43">
        <v>166000</v>
      </c>
      <c r="L35" s="43">
        <v>1852</v>
      </c>
      <c r="M35" s="14">
        <v>1161</v>
      </c>
    </row>
    <row r="36" spans="5:13" x14ac:dyDescent="0.2">
      <c r="E36" s="80"/>
      <c r="F36" s="16" t="s">
        <v>1182</v>
      </c>
      <c r="G36" s="23">
        <v>12127</v>
      </c>
      <c r="H36" s="23">
        <v>11228</v>
      </c>
      <c r="I36" s="28">
        <v>9224</v>
      </c>
      <c r="J36">
        <v>1.5</v>
      </c>
      <c r="K36" s="43">
        <v>278500</v>
      </c>
      <c r="L36" s="43">
        <v>2213</v>
      </c>
      <c r="M36" s="14">
        <v>2750</v>
      </c>
    </row>
    <row r="37" spans="5:13" x14ac:dyDescent="0.2">
      <c r="E37" s="80"/>
      <c r="F37" s="16" t="s">
        <v>1184</v>
      </c>
      <c r="G37" s="23">
        <v>10557</v>
      </c>
      <c r="H37" s="23">
        <v>9899</v>
      </c>
      <c r="I37" s="28">
        <v>7088</v>
      </c>
      <c r="J37">
        <v>1.1000000000000001</v>
      </c>
      <c r="K37" s="43">
        <v>290000</v>
      </c>
      <c r="L37" s="43">
        <v>2542</v>
      </c>
      <c r="M37" s="14">
        <v>2268</v>
      </c>
    </row>
    <row r="38" spans="5:13" x14ac:dyDescent="0.2">
      <c r="E38" s="80"/>
      <c r="F38" s="16" t="s">
        <v>1186</v>
      </c>
      <c r="G38" s="14">
        <v>6069</v>
      </c>
      <c r="H38" s="14">
        <v>5781</v>
      </c>
      <c r="I38" s="14">
        <v>1895</v>
      </c>
      <c r="J38">
        <v>0</v>
      </c>
      <c r="K38" s="43">
        <v>566100</v>
      </c>
      <c r="L38" s="43">
        <v>2610</v>
      </c>
      <c r="M38" s="14">
        <v>1304</v>
      </c>
    </row>
    <row r="39" spans="5:13" x14ac:dyDescent="0.2">
      <c r="E39" s="80"/>
      <c r="F39" s="47" t="s">
        <v>1188</v>
      </c>
      <c r="G39" s="14">
        <v>6069</v>
      </c>
      <c r="H39" s="14">
        <v>5781</v>
      </c>
      <c r="I39" s="14">
        <v>1895</v>
      </c>
      <c r="J39">
        <v>0</v>
      </c>
      <c r="K39" s="43">
        <v>566100</v>
      </c>
      <c r="L39" s="43">
        <v>2610</v>
      </c>
      <c r="M39" s="14">
        <v>1304</v>
      </c>
    </row>
    <row r="40" spans="5:13" x14ac:dyDescent="0.2">
      <c r="E40" s="80"/>
      <c r="F40" s="16" t="s">
        <v>1191</v>
      </c>
      <c r="G40" s="14">
        <v>4044</v>
      </c>
      <c r="H40" s="14">
        <v>3566</v>
      </c>
      <c r="I40" s="14">
        <v>1837</v>
      </c>
      <c r="J40">
        <v>4.4000000000000004</v>
      </c>
      <c r="K40" s="43">
        <v>153300</v>
      </c>
      <c r="L40" s="43">
        <v>1692</v>
      </c>
      <c r="M40">
        <v>684</v>
      </c>
    </row>
    <row r="41" spans="5:13" x14ac:dyDescent="0.2">
      <c r="E41" s="80"/>
      <c r="F41" s="16" t="s">
        <v>1195</v>
      </c>
      <c r="G41" s="14">
        <v>1722</v>
      </c>
      <c r="H41" s="14">
        <v>1477</v>
      </c>
      <c r="I41" s="14">
        <v>1235</v>
      </c>
      <c r="J41">
        <v>3.4</v>
      </c>
      <c r="K41" s="43">
        <v>528500</v>
      </c>
      <c r="L41" s="43">
        <v>3296</v>
      </c>
      <c r="M41">
        <v>359</v>
      </c>
    </row>
    <row r="42" spans="5:13" x14ac:dyDescent="0.2">
      <c r="E42" s="80"/>
      <c r="F42" s="47" t="s">
        <v>1200</v>
      </c>
      <c r="G42">
        <v>457</v>
      </c>
      <c r="H42">
        <v>360</v>
      </c>
      <c r="I42">
        <v>324</v>
      </c>
      <c r="J42">
        <v>2.9</v>
      </c>
      <c r="K42" s="43">
        <v>2000000</v>
      </c>
      <c r="L42" s="43">
        <v>3938</v>
      </c>
      <c r="M42">
        <v>54</v>
      </c>
    </row>
    <row r="43" spans="5:13" x14ac:dyDescent="0.2">
      <c r="E43" s="80"/>
      <c r="F43" s="16" t="s">
        <v>1201</v>
      </c>
      <c r="G43" s="14">
        <v>12140</v>
      </c>
      <c r="H43" s="14">
        <v>11574</v>
      </c>
      <c r="I43" s="14">
        <v>7723</v>
      </c>
      <c r="J43">
        <v>0.7</v>
      </c>
      <c r="K43" s="43">
        <v>259700</v>
      </c>
      <c r="L43" s="43">
        <v>2177</v>
      </c>
      <c r="M43" s="14">
        <v>2582</v>
      </c>
    </row>
    <row r="44" spans="5:13" x14ac:dyDescent="0.2">
      <c r="E44" s="80"/>
      <c r="F44" s="16" t="s">
        <v>1202</v>
      </c>
      <c r="G44" s="14">
        <v>13071</v>
      </c>
      <c r="H44" s="14">
        <v>11739</v>
      </c>
      <c r="I44" s="14">
        <v>9300</v>
      </c>
      <c r="J44">
        <v>2</v>
      </c>
      <c r="K44" s="43">
        <v>347900</v>
      </c>
      <c r="L44" s="43">
        <v>2682</v>
      </c>
      <c r="M44" s="14">
        <v>2524</v>
      </c>
    </row>
    <row r="45" spans="5:13" x14ac:dyDescent="0.2">
      <c r="E45" s="80"/>
      <c r="F45" s="47" t="s">
        <v>1203</v>
      </c>
      <c r="G45" s="14">
        <v>1049</v>
      </c>
      <c r="H45">
        <v>938</v>
      </c>
      <c r="I45">
        <v>745</v>
      </c>
      <c r="J45">
        <v>2.8</v>
      </c>
      <c r="K45" s="43">
        <v>289300</v>
      </c>
      <c r="L45" s="43">
        <v>2308</v>
      </c>
      <c r="M45">
        <v>220</v>
      </c>
    </row>
    <row r="46" spans="5:13" x14ac:dyDescent="0.2">
      <c r="E46" s="80"/>
      <c r="F46" s="47" t="s">
        <v>1204</v>
      </c>
      <c r="G46" s="14">
        <v>1430</v>
      </c>
      <c r="H46" s="14">
        <v>1114</v>
      </c>
      <c r="I46">
        <v>857</v>
      </c>
      <c r="J46">
        <v>3.3</v>
      </c>
      <c r="K46" s="43">
        <v>259600</v>
      </c>
      <c r="L46" s="43">
        <v>2123</v>
      </c>
      <c r="M46">
        <v>237</v>
      </c>
    </row>
    <row r="47" spans="5:13" x14ac:dyDescent="0.2">
      <c r="E47" s="80"/>
      <c r="F47" s="47" t="s">
        <v>1205</v>
      </c>
      <c r="G47" s="14">
        <v>3301</v>
      </c>
      <c r="H47" s="14">
        <v>3130</v>
      </c>
      <c r="I47" s="14">
        <v>1920</v>
      </c>
      <c r="J47">
        <v>0</v>
      </c>
      <c r="K47" s="43">
        <v>349900</v>
      </c>
      <c r="L47" s="43">
        <v>2612</v>
      </c>
      <c r="M47">
        <v>420</v>
      </c>
    </row>
    <row r="48" spans="5:13" x14ac:dyDescent="0.2">
      <c r="E48" s="80"/>
      <c r="F48" s="16" t="s">
        <v>1206</v>
      </c>
      <c r="G48" s="14">
        <v>2872</v>
      </c>
      <c r="H48" s="14">
        <v>2670</v>
      </c>
      <c r="I48" s="14">
        <v>2274</v>
      </c>
      <c r="J48">
        <v>1.1000000000000001</v>
      </c>
      <c r="K48" s="43">
        <v>291400</v>
      </c>
      <c r="L48" s="43">
        <v>2225</v>
      </c>
      <c r="M48">
        <v>672</v>
      </c>
    </row>
    <row r="49" spans="5:13" x14ac:dyDescent="0.2">
      <c r="E49" s="80"/>
      <c r="F49" s="16" t="s">
        <v>1207</v>
      </c>
      <c r="G49" s="14">
        <v>4261</v>
      </c>
      <c r="H49" s="14">
        <v>3753</v>
      </c>
      <c r="I49" s="14">
        <v>3303</v>
      </c>
      <c r="J49">
        <v>1.5</v>
      </c>
      <c r="K49" s="43">
        <v>353200</v>
      </c>
      <c r="L49" s="43">
        <v>2929</v>
      </c>
      <c r="M49" s="14">
        <v>1154</v>
      </c>
    </row>
    <row r="50" spans="5:13" x14ac:dyDescent="0.2">
      <c r="E50" s="80"/>
      <c r="F50" s="47" t="s">
        <v>1208</v>
      </c>
      <c r="G50" s="14">
        <v>3999</v>
      </c>
      <c r="H50" s="14">
        <v>3498</v>
      </c>
      <c r="I50" s="14">
        <v>3206</v>
      </c>
      <c r="J50">
        <v>1.6</v>
      </c>
      <c r="K50" s="43">
        <v>355900</v>
      </c>
      <c r="L50" s="43">
        <v>2951</v>
      </c>
      <c r="M50" s="14">
        <v>1102</v>
      </c>
    </row>
    <row r="51" spans="5:13" x14ac:dyDescent="0.2">
      <c r="E51" s="80"/>
    </row>
    <row r="52" spans="5:13" x14ac:dyDescent="0.2">
      <c r="E52" s="80"/>
    </row>
    <row r="53" spans="5:13" x14ac:dyDescent="0.2">
      <c r="E53" s="80"/>
    </row>
    <row r="54" spans="5:13" x14ac:dyDescent="0.2">
      <c r="E54" s="80"/>
    </row>
    <row r="55" spans="5:13" x14ac:dyDescent="0.2">
      <c r="E55" s="80"/>
    </row>
    <row r="56" spans="5:13" x14ac:dyDescent="0.2">
      <c r="E56" s="80"/>
    </row>
    <row r="57" spans="5:13" x14ac:dyDescent="0.2">
      <c r="E57" s="80"/>
    </row>
  </sheetData>
  <mergeCells count="9">
    <mergeCell ref="B1:O1"/>
    <mergeCell ref="A21:B21"/>
    <mergeCell ref="E5:E57"/>
    <mergeCell ref="A9:B9"/>
    <mergeCell ref="A5:B5"/>
    <mergeCell ref="F5:F6"/>
    <mergeCell ref="A18:B18"/>
    <mergeCell ref="A27:B27"/>
    <mergeCell ref="G5:M5"/>
  </mergeCells>
  <dataValidations count="4">
    <dataValidation type="list" allowBlank="1" showInputMessage="1" showErrorMessage="1" sqref="P4:Q4" xr:uid="{00000000-0002-0000-2400-000000000000}">
      <formula1>"integer, number, percent1"</formula1>
    </dataValidation>
    <dataValidation type="list" allowBlank="1" showInputMessage="1" showErrorMessage="1" sqref="B10" xr:uid="{00000000-0002-0000-2400-000001000000}">
      <formula1>"Line,Clustered Bar,Stacked Bar,Bar,Horizontal Stacked Bar"</formula1>
    </dataValidation>
    <dataValidation type="list" allowBlank="1" showInputMessage="1" showErrorMessage="1" sqref="B2" xr:uid="{00000000-0002-0000-2400-000002000000}">
      <formula1>"Table,Figure,Both"</formula1>
    </dataValidation>
    <dataValidation type="list" allowBlank="1" showInputMessage="1" showErrorMessage="1" sqref="B6 B15:B16" xr:uid="{00000000-0002-0000-2400-000003000000}">
      <formula1>"True,False"</formula1>
    </dataValidation>
  </dataValidation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35" bestFit="1" customWidth="1"/>
    <col min="13" max="13" width="12.1640625" bestFit="1" customWidth="1"/>
    <col min="14" max="14" width="12.33203125" bestFit="1" customWidth="1"/>
    <col min="15" max="16" width="12.5" bestFit="1" customWidth="1"/>
  </cols>
  <sheetData>
    <row r="1" spans="1:17" x14ac:dyDescent="0.2">
      <c r="A1" s="16" t="s">
        <v>1077</v>
      </c>
      <c r="B1" s="79" t="s">
        <v>130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tbl-house-characteristics-renters</v>
      </c>
    </row>
    <row r="4" spans="1:17" x14ac:dyDescent="0.2">
      <c r="A4" s="16" t="s">
        <v>7</v>
      </c>
      <c r="B4" t="str">
        <f>IF($B$1="","",_xlfn.XLOOKUP($B$1,Master!$F$2:$F$321,Master!$H$2:$H$321,""))</f>
        <v>fig-house-characteristics-renters</v>
      </c>
      <c r="E4" s="8"/>
      <c r="F4" s="10" t="s">
        <v>968</v>
      </c>
      <c r="G4" s="10" t="s">
        <v>973</v>
      </c>
      <c r="H4" s="10" t="s">
        <v>973</v>
      </c>
      <c r="I4" s="10" t="s">
        <v>973</v>
      </c>
      <c r="J4" s="10" t="s">
        <v>979</v>
      </c>
      <c r="K4" s="10" t="s">
        <v>989</v>
      </c>
      <c r="L4" s="10" t="s">
        <v>973</v>
      </c>
      <c r="M4" s="10"/>
      <c r="N4" s="10"/>
      <c r="O4" s="10"/>
      <c r="P4" s="10"/>
      <c r="Q4" s="10"/>
    </row>
    <row r="5" spans="1:17" x14ac:dyDescent="0.2">
      <c r="A5" s="83" t="s">
        <v>1081</v>
      </c>
      <c r="B5" s="80"/>
      <c r="E5" s="82" t="s">
        <v>1082</v>
      </c>
      <c r="F5" s="81" t="s">
        <v>1083</v>
      </c>
      <c r="G5" s="81" t="s">
        <v>1625</v>
      </c>
      <c r="H5" s="80"/>
      <c r="I5" s="80"/>
      <c r="J5" s="80"/>
      <c r="K5" s="80"/>
      <c r="L5" s="80"/>
    </row>
    <row r="6" spans="1:17" ht="15" customHeight="1" x14ac:dyDescent="0.2">
      <c r="A6" t="s">
        <v>1088</v>
      </c>
      <c r="B6" t="b">
        <v>1</v>
      </c>
      <c r="E6" s="80"/>
      <c r="F6" s="80"/>
      <c r="G6" s="15" t="s">
        <v>1620</v>
      </c>
      <c r="H6" s="15" t="s">
        <v>1626</v>
      </c>
      <c r="I6" s="15" t="s">
        <v>1634</v>
      </c>
      <c r="J6" s="15" t="s">
        <v>1635</v>
      </c>
      <c r="K6" s="15" t="s">
        <v>1636</v>
      </c>
      <c r="L6" s="15" t="s">
        <v>1637</v>
      </c>
      <c r="M6" s="15"/>
      <c r="N6" s="15"/>
      <c r="O6" s="15"/>
    </row>
    <row r="7" spans="1:17" ht="15.75" customHeight="1" x14ac:dyDescent="0.2">
      <c r="E7" s="80"/>
      <c r="F7" s="16" t="s">
        <v>1096</v>
      </c>
      <c r="G7" s="23">
        <v>145947</v>
      </c>
      <c r="H7" s="23">
        <v>132880</v>
      </c>
      <c r="I7" s="23">
        <v>41346</v>
      </c>
      <c r="J7" s="15">
        <v>4.2</v>
      </c>
      <c r="K7" s="39">
        <v>1379</v>
      </c>
      <c r="L7" s="23">
        <v>24456</v>
      </c>
      <c r="M7" s="15"/>
      <c r="N7" s="15"/>
      <c r="O7" s="15"/>
    </row>
    <row r="8" spans="1:17" x14ac:dyDescent="0.2">
      <c r="E8" s="80"/>
      <c r="F8" s="16" t="s">
        <v>1097</v>
      </c>
      <c r="G8" s="23">
        <v>6749</v>
      </c>
      <c r="H8" s="23">
        <v>6005</v>
      </c>
      <c r="I8" s="23">
        <v>1117</v>
      </c>
      <c r="J8" s="15">
        <v>6.6</v>
      </c>
      <c r="K8" s="39">
        <v>1429</v>
      </c>
      <c r="L8" s="15">
        <v>558</v>
      </c>
      <c r="M8" s="15"/>
      <c r="N8" s="15"/>
      <c r="O8" s="15"/>
    </row>
    <row r="9" spans="1:17" x14ac:dyDescent="0.2">
      <c r="A9" s="83" t="s">
        <v>1098</v>
      </c>
      <c r="B9" s="80"/>
      <c r="E9" s="80"/>
      <c r="F9" s="47" t="s">
        <v>1099</v>
      </c>
      <c r="G9" s="23">
        <v>1483</v>
      </c>
      <c r="H9" s="23">
        <v>1261</v>
      </c>
      <c r="I9" s="15">
        <v>266</v>
      </c>
      <c r="J9" s="15">
        <v>4.7</v>
      </c>
      <c r="K9" s="39">
        <v>1415</v>
      </c>
      <c r="L9" s="15">
        <v>139</v>
      </c>
      <c r="M9" s="15"/>
      <c r="N9" s="15"/>
      <c r="O9" s="15"/>
    </row>
    <row r="10" spans="1:17" x14ac:dyDescent="0.2">
      <c r="A10" t="s">
        <v>1100</v>
      </c>
      <c r="E10" s="80"/>
      <c r="F10" s="47" t="s">
        <v>1101</v>
      </c>
      <c r="G10" s="23">
        <v>2080</v>
      </c>
      <c r="H10" s="23">
        <v>2004</v>
      </c>
      <c r="I10" s="15">
        <v>429</v>
      </c>
      <c r="J10" s="15">
        <v>6.9</v>
      </c>
      <c r="K10" s="39">
        <v>1088</v>
      </c>
      <c r="L10" s="15">
        <v>299</v>
      </c>
    </row>
    <row r="11" spans="1:17" x14ac:dyDescent="0.2">
      <c r="A11" t="s">
        <v>1102</v>
      </c>
      <c r="E11" s="80"/>
      <c r="F11" s="16" t="s">
        <v>1103</v>
      </c>
      <c r="G11" s="23">
        <v>4712</v>
      </c>
      <c r="H11" s="23">
        <v>4364</v>
      </c>
      <c r="I11" s="15">
        <v>852</v>
      </c>
      <c r="J11" s="17">
        <v>0</v>
      </c>
      <c r="K11" s="41">
        <v>1539</v>
      </c>
      <c r="L11" s="17">
        <v>294</v>
      </c>
      <c r="M11" s="17"/>
      <c r="N11" s="17"/>
    </row>
    <row r="12" spans="1:17" x14ac:dyDescent="0.2">
      <c r="A12" t="s">
        <v>1104</v>
      </c>
      <c r="E12" s="80"/>
      <c r="F12" s="48" t="s">
        <v>1105</v>
      </c>
      <c r="G12" s="28">
        <v>1735</v>
      </c>
      <c r="H12" s="28">
        <v>1643</v>
      </c>
      <c r="I12" s="15">
        <v>721</v>
      </c>
      <c r="J12" s="15">
        <v>0</v>
      </c>
      <c r="K12" s="39">
        <v>1459</v>
      </c>
      <c r="L12" s="15">
        <v>247</v>
      </c>
    </row>
    <row r="13" spans="1:17" x14ac:dyDescent="0.2">
      <c r="A13" t="s">
        <v>1108</v>
      </c>
      <c r="E13" s="80"/>
      <c r="F13" s="16" t="s">
        <v>1109</v>
      </c>
      <c r="G13" s="23">
        <v>5250</v>
      </c>
      <c r="H13" s="23">
        <v>4890</v>
      </c>
      <c r="I13" s="23">
        <v>1303</v>
      </c>
      <c r="J13" s="15">
        <v>2.2000000000000002</v>
      </c>
      <c r="K13" s="39">
        <v>1577</v>
      </c>
      <c r="L13" s="15">
        <v>570</v>
      </c>
    </row>
    <row r="14" spans="1:17" x14ac:dyDescent="0.2">
      <c r="A14" t="s">
        <v>1112</v>
      </c>
      <c r="E14" s="80"/>
      <c r="F14" s="47" t="s">
        <v>1113</v>
      </c>
      <c r="G14" s="23">
        <v>1250</v>
      </c>
      <c r="H14" s="23">
        <v>1186</v>
      </c>
      <c r="I14" s="15">
        <v>368</v>
      </c>
      <c r="J14" s="15">
        <v>0</v>
      </c>
      <c r="K14" s="39">
        <v>1277</v>
      </c>
      <c r="L14" s="15">
        <v>78</v>
      </c>
    </row>
    <row r="15" spans="1:17" x14ac:dyDescent="0.2">
      <c r="A15" t="s">
        <v>1114</v>
      </c>
      <c r="E15" s="80"/>
      <c r="F15" s="16" t="s">
        <v>1115</v>
      </c>
      <c r="G15" s="23">
        <v>3103</v>
      </c>
      <c r="H15" s="23">
        <v>3029</v>
      </c>
      <c r="I15" s="15">
        <v>665</v>
      </c>
      <c r="J15" s="15">
        <v>4.5999999999999996</v>
      </c>
      <c r="K15" s="39">
        <v>1421</v>
      </c>
      <c r="L15" s="15">
        <v>307</v>
      </c>
    </row>
    <row r="16" spans="1:17" x14ac:dyDescent="0.2">
      <c r="A16" t="s">
        <v>1116</v>
      </c>
      <c r="E16" s="80"/>
      <c r="F16" s="16" t="s">
        <v>1117</v>
      </c>
      <c r="G16" s="23">
        <v>3143</v>
      </c>
      <c r="H16" s="23">
        <v>2800</v>
      </c>
      <c r="I16" s="15">
        <v>536</v>
      </c>
      <c r="J16" s="15">
        <v>8.4</v>
      </c>
      <c r="K16" s="39">
        <v>1156</v>
      </c>
      <c r="L16" s="15">
        <v>256</v>
      </c>
    </row>
    <row r="17" spans="1:12" x14ac:dyDescent="0.2">
      <c r="E17" s="80"/>
      <c r="F17" s="16" t="s">
        <v>1118</v>
      </c>
      <c r="G17" s="23">
        <v>4862</v>
      </c>
      <c r="H17" s="23">
        <v>4373</v>
      </c>
      <c r="I17" s="23">
        <v>1072</v>
      </c>
      <c r="J17" s="15">
        <v>9.1999999999999993</v>
      </c>
      <c r="K17" s="39">
        <v>1367</v>
      </c>
      <c r="L17" s="15">
        <v>577</v>
      </c>
    </row>
    <row r="18" spans="1:12" x14ac:dyDescent="0.2">
      <c r="A18" s="83" t="s">
        <v>1119</v>
      </c>
      <c r="B18" s="80"/>
      <c r="E18" s="80"/>
      <c r="F18" s="47" t="s">
        <v>1120</v>
      </c>
      <c r="G18" s="23">
        <v>2548</v>
      </c>
      <c r="H18" s="23">
        <v>2307</v>
      </c>
      <c r="I18" s="15">
        <v>904</v>
      </c>
      <c r="J18" s="15">
        <v>10.8</v>
      </c>
      <c r="K18" s="39">
        <v>1339</v>
      </c>
      <c r="L18" s="15">
        <v>484</v>
      </c>
    </row>
    <row r="19" spans="1:12" x14ac:dyDescent="0.2">
      <c r="A19" t="s">
        <v>1121</v>
      </c>
      <c r="B19" t="s">
        <v>1638</v>
      </c>
      <c r="E19" s="80"/>
      <c r="F19" s="25" t="s">
        <v>1123</v>
      </c>
      <c r="G19" s="23">
        <v>1678</v>
      </c>
      <c r="H19" s="23">
        <v>1581</v>
      </c>
      <c r="I19" s="15">
        <v>238</v>
      </c>
      <c r="J19" s="15">
        <v>10.199999999999999</v>
      </c>
      <c r="K19" s="39">
        <v>1377</v>
      </c>
      <c r="L19" s="15">
        <v>93</v>
      </c>
    </row>
    <row r="20" spans="1:12" x14ac:dyDescent="0.2">
      <c r="E20" s="80"/>
      <c r="F20" s="25" t="s">
        <v>1124</v>
      </c>
      <c r="G20" s="23">
        <v>1844</v>
      </c>
      <c r="H20" s="23">
        <v>1735</v>
      </c>
      <c r="I20" s="15">
        <v>97</v>
      </c>
      <c r="J20" s="15">
        <v>0</v>
      </c>
      <c r="K20" s="39">
        <v>793</v>
      </c>
      <c r="L20" s="15">
        <v>0</v>
      </c>
    </row>
    <row r="21" spans="1:12" x14ac:dyDescent="0.2">
      <c r="A21" s="81" t="s">
        <v>1125</v>
      </c>
      <c r="B21" s="80"/>
      <c r="E21" s="80"/>
      <c r="F21" s="25" t="s">
        <v>1126</v>
      </c>
      <c r="G21" s="23">
        <v>3750</v>
      </c>
      <c r="H21" s="23">
        <v>3251</v>
      </c>
      <c r="I21" s="23">
        <v>1947</v>
      </c>
      <c r="J21" s="15">
        <v>7.2</v>
      </c>
      <c r="K21" s="39">
        <v>2095</v>
      </c>
      <c r="L21" s="15">
        <v>889</v>
      </c>
    </row>
    <row r="22" spans="1:12" x14ac:dyDescent="0.2">
      <c r="A22" t="s">
        <v>1135</v>
      </c>
      <c r="B22" t="s">
        <v>1639</v>
      </c>
      <c r="E22" s="80"/>
      <c r="F22" s="47" t="s">
        <v>1137</v>
      </c>
      <c r="G22" s="23">
        <v>1801</v>
      </c>
      <c r="H22" s="23">
        <v>1575</v>
      </c>
      <c r="I22" s="15">
        <v>722</v>
      </c>
      <c r="J22" s="15">
        <v>5.2</v>
      </c>
      <c r="K22" s="39">
        <v>1459</v>
      </c>
      <c r="L22" s="15">
        <v>340</v>
      </c>
    </row>
    <row r="23" spans="1:12" x14ac:dyDescent="0.2">
      <c r="E23" s="80"/>
      <c r="F23" s="25" t="s">
        <v>1146</v>
      </c>
      <c r="G23" s="23">
        <v>11872</v>
      </c>
      <c r="H23" s="23">
        <v>10604</v>
      </c>
      <c r="I23" s="23">
        <v>4741</v>
      </c>
      <c r="J23" s="15">
        <v>6.4</v>
      </c>
      <c r="K23" s="39">
        <v>1407</v>
      </c>
      <c r="L23" s="23">
        <v>3353</v>
      </c>
    </row>
    <row r="24" spans="1:12" x14ac:dyDescent="0.2">
      <c r="E24" s="80"/>
      <c r="F24" s="25" t="s">
        <v>1150</v>
      </c>
      <c r="G24" s="23">
        <v>1697</v>
      </c>
      <c r="H24" s="23">
        <v>1491</v>
      </c>
      <c r="I24" s="15">
        <v>319</v>
      </c>
      <c r="J24" s="15">
        <v>20.100000000000001</v>
      </c>
      <c r="K24" s="39">
        <v>1304</v>
      </c>
      <c r="L24" s="15">
        <v>206</v>
      </c>
    </row>
    <row r="25" spans="1:12" x14ac:dyDescent="0.2">
      <c r="E25" s="80"/>
      <c r="F25" s="47" t="s">
        <v>1154</v>
      </c>
      <c r="G25" s="15">
        <v>265</v>
      </c>
      <c r="H25" s="15">
        <v>229</v>
      </c>
      <c r="I25" s="15">
        <v>91</v>
      </c>
      <c r="J25" s="15">
        <v>0</v>
      </c>
      <c r="K25" s="39">
        <v>1223</v>
      </c>
      <c r="L25" s="15">
        <v>8</v>
      </c>
    </row>
    <row r="26" spans="1:12" x14ac:dyDescent="0.2">
      <c r="E26" s="80"/>
      <c r="F26" s="25" t="s">
        <v>1158</v>
      </c>
      <c r="G26" s="23">
        <v>7407</v>
      </c>
      <c r="H26" s="23">
        <v>6883</v>
      </c>
      <c r="I26" s="23">
        <v>1295</v>
      </c>
      <c r="J26" s="15">
        <v>1.7</v>
      </c>
      <c r="K26" s="39">
        <v>1748</v>
      </c>
      <c r="L26" s="15">
        <v>572</v>
      </c>
    </row>
    <row r="27" spans="1:12" x14ac:dyDescent="0.2">
      <c r="A27" s="81"/>
      <c r="B27" s="80"/>
      <c r="E27" s="80"/>
      <c r="F27" s="47" t="s">
        <v>1244</v>
      </c>
      <c r="G27" s="23">
        <v>1233</v>
      </c>
      <c r="H27" s="23">
        <v>1140</v>
      </c>
      <c r="I27" s="15">
        <v>583</v>
      </c>
      <c r="J27" s="15">
        <v>0</v>
      </c>
      <c r="K27" s="39">
        <v>1742</v>
      </c>
      <c r="L27" s="15">
        <v>279</v>
      </c>
    </row>
    <row r="28" spans="1:12" x14ac:dyDescent="0.2">
      <c r="E28" s="80"/>
      <c r="F28" s="47" t="s">
        <v>1164</v>
      </c>
      <c r="G28" s="23">
        <v>3009</v>
      </c>
      <c r="H28" s="23">
        <v>2841</v>
      </c>
      <c r="I28" s="15">
        <v>468</v>
      </c>
      <c r="J28" s="15">
        <v>4.7</v>
      </c>
      <c r="K28" s="39">
        <v>1670</v>
      </c>
      <c r="L28" s="15">
        <v>275</v>
      </c>
    </row>
    <row r="29" spans="1:12" x14ac:dyDescent="0.2">
      <c r="E29" s="80"/>
      <c r="F29" s="25" t="s">
        <v>1166</v>
      </c>
      <c r="G29" s="23">
        <v>9101</v>
      </c>
      <c r="H29" s="23">
        <v>8330</v>
      </c>
      <c r="I29" s="23">
        <v>2524</v>
      </c>
      <c r="J29" s="15">
        <v>0.5</v>
      </c>
      <c r="K29" s="39">
        <v>1356</v>
      </c>
      <c r="L29" s="23">
        <v>1589</v>
      </c>
    </row>
    <row r="30" spans="1:12" x14ac:dyDescent="0.2">
      <c r="E30" s="80"/>
      <c r="F30" s="47" t="s">
        <v>1168</v>
      </c>
      <c r="G30" s="23">
        <v>1446</v>
      </c>
      <c r="H30" s="23">
        <v>1286</v>
      </c>
      <c r="I30" s="15">
        <v>581</v>
      </c>
      <c r="J30" s="15">
        <v>2.1</v>
      </c>
      <c r="K30" s="39">
        <v>1310</v>
      </c>
      <c r="L30" s="15">
        <v>239</v>
      </c>
    </row>
    <row r="31" spans="1:12" x14ac:dyDescent="0.2">
      <c r="E31" s="80"/>
      <c r="F31" s="47" t="s">
        <v>1170</v>
      </c>
      <c r="G31" s="23">
        <v>1373</v>
      </c>
      <c r="H31" s="23">
        <v>1346</v>
      </c>
      <c r="I31" s="15">
        <v>487</v>
      </c>
      <c r="J31" s="15">
        <v>0</v>
      </c>
      <c r="K31" s="39">
        <v>1425</v>
      </c>
      <c r="L31" s="15">
        <v>245</v>
      </c>
    </row>
    <row r="32" spans="1:12" x14ac:dyDescent="0.2">
      <c r="E32" s="80"/>
      <c r="F32" s="47" t="s">
        <v>1172</v>
      </c>
      <c r="G32" s="23">
        <v>3003</v>
      </c>
      <c r="H32" s="23">
        <v>2790</v>
      </c>
      <c r="I32" s="23">
        <v>1073</v>
      </c>
      <c r="J32" s="15">
        <v>0</v>
      </c>
      <c r="K32" s="39">
        <v>1268</v>
      </c>
      <c r="L32" s="15">
        <v>791</v>
      </c>
    </row>
    <row r="33" spans="5:12" x14ac:dyDescent="0.2">
      <c r="E33" s="80"/>
      <c r="F33" s="25" t="s">
        <v>1174</v>
      </c>
      <c r="G33" s="23">
        <v>2216</v>
      </c>
      <c r="H33" s="23">
        <v>1906</v>
      </c>
      <c r="I33" s="15">
        <v>356</v>
      </c>
      <c r="J33" s="15">
        <v>2.7</v>
      </c>
      <c r="K33" s="39">
        <v>867</v>
      </c>
      <c r="L33" s="15">
        <v>123</v>
      </c>
    </row>
    <row r="34" spans="5:12" x14ac:dyDescent="0.2">
      <c r="E34" s="80"/>
      <c r="F34" s="47" t="s">
        <v>1178</v>
      </c>
      <c r="G34" s="15">
        <v>524</v>
      </c>
      <c r="H34" s="15">
        <v>491</v>
      </c>
      <c r="I34" s="17">
        <v>170</v>
      </c>
      <c r="J34" s="15">
        <v>0</v>
      </c>
      <c r="K34" s="39">
        <v>1188</v>
      </c>
      <c r="L34" s="15">
        <v>73</v>
      </c>
    </row>
    <row r="35" spans="5:12" x14ac:dyDescent="0.2">
      <c r="E35" s="80"/>
      <c r="F35" s="25" t="s">
        <v>1180</v>
      </c>
      <c r="G35" s="23">
        <v>11700</v>
      </c>
      <c r="H35" s="23">
        <v>9951</v>
      </c>
      <c r="I35" s="28">
        <v>6476</v>
      </c>
      <c r="J35" s="15">
        <v>3.6</v>
      </c>
      <c r="K35" s="39">
        <v>1188</v>
      </c>
      <c r="L35" s="23">
        <v>3463</v>
      </c>
    </row>
    <row r="36" spans="5:12" x14ac:dyDescent="0.2">
      <c r="E36" s="80"/>
      <c r="F36" s="25" t="s">
        <v>1182</v>
      </c>
      <c r="G36" s="23">
        <v>12127</v>
      </c>
      <c r="H36" s="23">
        <v>11228</v>
      </c>
      <c r="I36" s="28">
        <v>2004</v>
      </c>
      <c r="J36" s="15">
        <v>0.5</v>
      </c>
      <c r="K36" s="39">
        <v>1691</v>
      </c>
      <c r="L36" s="23">
        <v>1090</v>
      </c>
    </row>
    <row r="37" spans="5:12" x14ac:dyDescent="0.2">
      <c r="E37" s="80"/>
      <c r="F37" s="25" t="s">
        <v>1184</v>
      </c>
      <c r="G37" s="23">
        <v>10557</v>
      </c>
      <c r="H37" s="23">
        <v>9899</v>
      </c>
      <c r="I37" s="28">
        <v>2811</v>
      </c>
      <c r="J37" s="15">
        <v>4.3</v>
      </c>
      <c r="K37" s="39">
        <v>1336</v>
      </c>
      <c r="L37" s="23">
        <v>1551</v>
      </c>
    </row>
    <row r="38" spans="5:12" x14ac:dyDescent="0.2">
      <c r="E38" s="80"/>
      <c r="F38" s="25" t="s">
        <v>1186</v>
      </c>
      <c r="G38" s="23">
        <v>6069</v>
      </c>
      <c r="H38" s="23">
        <v>5781</v>
      </c>
      <c r="I38" s="23">
        <v>3886</v>
      </c>
      <c r="J38" s="15">
        <v>1.4</v>
      </c>
      <c r="K38" s="39">
        <v>1295</v>
      </c>
      <c r="L38" s="23">
        <v>2672</v>
      </c>
    </row>
    <row r="39" spans="5:12" x14ac:dyDescent="0.2">
      <c r="E39" s="80"/>
      <c r="F39" s="47" t="s">
        <v>1188</v>
      </c>
      <c r="G39" s="23">
        <v>6069</v>
      </c>
      <c r="H39" s="23">
        <v>5781</v>
      </c>
      <c r="I39" s="23">
        <v>3886</v>
      </c>
      <c r="J39" s="15">
        <v>1.4</v>
      </c>
      <c r="K39" s="39">
        <v>1295</v>
      </c>
      <c r="L39" s="23">
        <v>2672</v>
      </c>
    </row>
    <row r="40" spans="5:12" x14ac:dyDescent="0.2">
      <c r="E40" s="80"/>
      <c r="F40" s="25" t="s">
        <v>1191</v>
      </c>
      <c r="G40" s="23">
        <v>4044</v>
      </c>
      <c r="H40" s="23">
        <v>3566</v>
      </c>
      <c r="I40" s="23">
        <v>1729</v>
      </c>
      <c r="J40" s="15">
        <v>1.5</v>
      </c>
      <c r="K40" s="39">
        <v>1006</v>
      </c>
      <c r="L40" s="23">
        <v>1121</v>
      </c>
    </row>
    <row r="41" spans="5:12" x14ac:dyDescent="0.2">
      <c r="E41" s="80"/>
      <c r="F41" s="25" t="s">
        <v>1195</v>
      </c>
      <c r="G41" s="23">
        <v>1722</v>
      </c>
      <c r="H41" s="23">
        <v>1477</v>
      </c>
      <c r="I41" s="15">
        <v>242</v>
      </c>
      <c r="J41" s="15">
        <v>9.6999999999999993</v>
      </c>
      <c r="K41" s="39">
        <v>1385</v>
      </c>
      <c r="L41" s="15">
        <v>170</v>
      </c>
    </row>
    <row r="42" spans="5:12" x14ac:dyDescent="0.2">
      <c r="E42" s="80"/>
      <c r="F42" s="47" t="s">
        <v>1200</v>
      </c>
      <c r="G42" s="15">
        <v>457</v>
      </c>
      <c r="H42" s="15">
        <v>360</v>
      </c>
      <c r="I42" s="15">
        <v>36</v>
      </c>
      <c r="J42" s="15">
        <v>5.3</v>
      </c>
      <c r="K42" s="39">
        <v>1339</v>
      </c>
      <c r="L42" s="15">
        <v>19</v>
      </c>
    </row>
    <row r="43" spans="5:12" x14ac:dyDescent="0.2">
      <c r="E43" s="80"/>
      <c r="F43" s="25" t="s">
        <v>1201</v>
      </c>
      <c r="G43" s="23">
        <v>12140</v>
      </c>
      <c r="H43" s="23">
        <v>11574</v>
      </c>
      <c r="I43" s="23">
        <v>3851</v>
      </c>
      <c r="J43" s="15">
        <v>3.5</v>
      </c>
      <c r="K43" s="39">
        <v>1483</v>
      </c>
      <c r="L43" s="23">
        <v>2012</v>
      </c>
    </row>
    <row r="44" spans="5:12" x14ac:dyDescent="0.2">
      <c r="E44" s="80"/>
      <c r="F44" s="25" t="s">
        <v>1202</v>
      </c>
      <c r="G44" s="23">
        <v>13071</v>
      </c>
      <c r="H44" s="23">
        <v>11739</v>
      </c>
      <c r="I44" s="23">
        <v>2439</v>
      </c>
      <c r="J44" s="15">
        <v>3.7</v>
      </c>
      <c r="K44" s="39">
        <v>1227</v>
      </c>
      <c r="L44" s="23">
        <v>1419</v>
      </c>
    </row>
    <row r="45" spans="5:12" x14ac:dyDescent="0.2">
      <c r="E45" s="80"/>
      <c r="F45" s="47" t="s">
        <v>1203</v>
      </c>
      <c r="G45" s="23">
        <v>1049</v>
      </c>
      <c r="H45" s="15">
        <v>938</v>
      </c>
      <c r="I45" s="15">
        <v>193</v>
      </c>
      <c r="J45" s="15">
        <v>7.2</v>
      </c>
      <c r="K45" s="39">
        <v>2018</v>
      </c>
      <c r="L45" s="15">
        <v>110</v>
      </c>
    </row>
    <row r="46" spans="5:12" x14ac:dyDescent="0.2">
      <c r="E46" s="80"/>
      <c r="F46" s="47" t="s">
        <v>1204</v>
      </c>
      <c r="G46" s="23">
        <v>1430</v>
      </c>
      <c r="H46" s="23">
        <v>1114</v>
      </c>
      <c r="I46" s="15">
        <v>257</v>
      </c>
      <c r="J46" s="15">
        <v>0</v>
      </c>
      <c r="K46" s="39">
        <v>1163</v>
      </c>
      <c r="L46" s="15">
        <v>98</v>
      </c>
    </row>
    <row r="47" spans="5:12" x14ac:dyDescent="0.2">
      <c r="E47" s="80"/>
      <c r="F47" s="47" t="s">
        <v>1205</v>
      </c>
      <c r="G47" s="23">
        <v>3301</v>
      </c>
      <c r="H47" s="23">
        <v>3130</v>
      </c>
      <c r="I47" s="23">
        <v>1210</v>
      </c>
      <c r="J47" s="15">
        <v>6.2</v>
      </c>
      <c r="K47" s="39">
        <v>1134</v>
      </c>
      <c r="L47" s="15">
        <v>828</v>
      </c>
    </row>
    <row r="48" spans="5:12" x14ac:dyDescent="0.2">
      <c r="E48" s="80"/>
      <c r="F48" s="25" t="s">
        <v>1206</v>
      </c>
      <c r="G48" s="23">
        <v>2872</v>
      </c>
      <c r="H48" s="23">
        <v>2670</v>
      </c>
      <c r="I48" s="15">
        <v>396</v>
      </c>
      <c r="J48" s="15">
        <v>0</v>
      </c>
      <c r="K48" s="39">
        <v>1756</v>
      </c>
      <c r="L48" s="15">
        <v>225</v>
      </c>
    </row>
    <row r="49" spans="5:12" x14ac:dyDescent="0.2">
      <c r="E49" s="80"/>
      <c r="F49" s="25" t="s">
        <v>1207</v>
      </c>
      <c r="G49" s="23">
        <v>4261</v>
      </c>
      <c r="H49" s="23">
        <v>3753</v>
      </c>
      <c r="I49" s="15">
        <v>450</v>
      </c>
      <c r="J49" s="15">
        <v>25.9</v>
      </c>
      <c r="K49" s="39">
        <v>1748</v>
      </c>
      <c r="L49" s="15">
        <v>233</v>
      </c>
    </row>
    <row r="50" spans="5:12" x14ac:dyDescent="0.2">
      <c r="E50" s="80"/>
      <c r="F50" s="47" t="s">
        <v>1208</v>
      </c>
      <c r="G50" s="23">
        <v>3999</v>
      </c>
      <c r="H50" s="23">
        <v>3498</v>
      </c>
      <c r="I50" s="15">
        <v>292</v>
      </c>
      <c r="J50" s="15">
        <v>35</v>
      </c>
      <c r="K50" s="39">
        <v>1745</v>
      </c>
      <c r="L50" s="15">
        <v>149</v>
      </c>
    </row>
    <row r="51" spans="5:12" x14ac:dyDescent="0.2">
      <c r="E51" s="80"/>
    </row>
    <row r="52" spans="5:12" x14ac:dyDescent="0.2">
      <c r="E52" s="80"/>
    </row>
    <row r="53" spans="5:12" x14ac:dyDescent="0.2">
      <c r="E53" s="80"/>
    </row>
    <row r="54" spans="5:12" x14ac:dyDescent="0.2">
      <c r="E54" s="80"/>
    </row>
    <row r="55" spans="5:12" x14ac:dyDescent="0.2">
      <c r="E55" s="80"/>
    </row>
    <row r="56" spans="5:12" x14ac:dyDescent="0.2">
      <c r="E56" s="80"/>
    </row>
    <row r="57" spans="5:12" x14ac:dyDescent="0.2">
      <c r="E57" s="80"/>
    </row>
  </sheetData>
  <mergeCells count="9">
    <mergeCell ref="B1:O1"/>
    <mergeCell ref="A21:B21"/>
    <mergeCell ref="E5:E57"/>
    <mergeCell ref="G5:L5"/>
    <mergeCell ref="A9:B9"/>
    <mergeCell ref="A5:B5"/>
    <mergeCell ref="F5:F6"/>
    <mergeCell ref="A18:B18"/>
    <mergeCell ref="A27:B27"/>
  </mergeCells>
  <dataValidations count="4">
    <dataValidation type="list" allowBlank="1" showInputMessage="1" showErrorMessage="1" sqref="P4:Q4" xr:uid="{00000000-0002-0000-2500-000000000000}">
      <formula1>"integer, number, percent1"</formula1>
    </dataValidation>
    <dataValidation type="list" allowBlank="1" showInputMessage="1" showErrorMessage="1" sqref="B10" xr:uid="{00000000-0002-0000-2500-000001000000}">
      <formula1>"Line,Clustered Bar,Stacked Bar,Bar,Horizontal Stacked Bar"</formula1>
    </dataValidation>
    <dataValidation type="list" allowBlank="1" showInputMessage="1" showErrorMessage="1" sqref="B2" xr:uid="{00000000-0002-0000-2500-000002000000}">
      <formula1>"Table,Figure,Both"</formula1>
    </dataValidation>
    <dataValidation type="list" allowBlank="1" showInputMessage="1" showErrorMessage="1" sqref="B6 B15:B16" xr:uid="{00000000-0002-0000-2500-000003000000}">
      <formula1>"True,False"</formula1>
    </dataValidation>
  </dataValidation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Q57"/>
  <sheetViews>
    <sheetView workbookViewId="0">
      <selection activeCell="H21" sqref="H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31.1640625" bestFit="1" customWidth="1"/>
    <col min="8" max="8" width="22" bestFit="1" customWidth="1"/>
    <col min="9" max="9" width="8"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136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tbl-own-vs-rent-per-room</v>
      </c>
    </row>
    <row r="4" spans="1:17" x14ac:dyDescent="0.2">
      <c r="A4" s="16" t="s">
        <v>7</v>
      </c>
      <c r="B4" t="str">
        <f>IF($B$1="","",_xlfn.XLOOKUP($B$1,Master!$F$2:$F$321,Master!$H$2:$H$321,""))</f>
        <v>fig-own-vs-rent-per-room</v>
      </c>
      <c r="E4" s="8"/>
      <c r="F4" s="10" t="s">
        <v>968</v>
      </c>
      <c r="G4" s="10" t="s">
        <v>973</v>
      </c>
      <c r="H4" s="10" t="s">
        <v>973</v>
      </c>
      <c r="I4" s="10" t="s">
        <v>973</v>
      </c>
      <c r="J4" s="10"/>
      <c r="K4" s="10"/>
      <c r="L4" s="10"/>
      <c r="M4" s="10"/>
      <c r="N4" s="10"/>
      <c r="O4" s="10"/>
      <c r="P4" s="10"/>
      <c r="Q4" s="10"/>
    </row>
    <row r="5" spans="1:17" x14ac:dyDescent="0.2">
      <c r="A5" s="83" t="s">
        <v>1081</v>
      </c>
      <c r="B5" s="80"/>
      <c r="E5" s="82" t="s">
        <v>1082</v>
      </c>
      <c r="F5" s="81" t="s">
        <v>1083</v>
      </c>
      <c r="G5" s="81" t="s">
        <v>1640</v>
      </c>
      <c r="H5" s="81" t="s">
        <v>1641</v>
      </c>
      <c r="I5" s="81"/>
    </row>
    <row r="6" spans="1:17" ht="15" customHeight="1" x14ac:dyDescent="0.2">
      <c r="A6" t="s">
        <v>1088</v>
      </c>
      <c r="B6" t="b">
        <v>1</v>
      </c>
      <c r="E6" s="80"/>
      <c r="F6" s="80"/>
      <c r="G6" s="80"/>
      <c r="H6" t="s">
        <v>1642</v>
      </c>
      <c r="I6" t="s">
        <v>1643</v>
      </c>
      <c r="J6" s="15"/>
      <c r="K6" s="15"/>
      <c r="L6" s="15"/>
      <c r="M6" s="15"/>
      <c r="N6" s="15"/>
      <c r="O6" s="15"/>
    </row>
    <row r="7" spans="1:17" ht="15.75" customHeight="1" x14ac:dyDescent="0.2">
      <c r="E7" s="80"/>
      <c r="F7" s="16" t="s">
        <v>1096</v>
      </c>
      <c r="G7" s="23">
        <v>137311</v>
      </c>
      <c r="H7" s="23">
        <v>2240</v>
      </c>
      <c r="I7" s="23">
        <v>2859</v>
      </c>
      <c r="J7" s="15"/>
      <c r="K7" s="15"/>
      <c r="L7" s="15"/>
      <c r="M7" s="15"/>
      <c r="N7" s="15"/>
      <c r="O7" s="15"/>
    </row>
    <row r="8" spans="1:17" x14ac:dyDescent="0.2">
      <c r="E8" s="80"/>
      <c r="F8" s="16" t="s">
        <v>1097</v>
      </c>
      <c r="G8" s="23">
        <v>6149</v>
      </c>
      <c r="H8" s="15">
        <v>140</v>
      </c>
      <c r="I8" s="15">
        <v>39</v>
      </c>
      <c r="J8" s="15"/>
      <c r="K8" s="15"/>
      <c r="L8" s="15"/>
      <c r="M8" s="15"/>
      <c r="N8" s="15"/>
      <c r="O8" s="15"/>
    </row>
    <row r="9" spans="1:17" x14ac:dyDescent="0.2">
      <c r="A9" s="83" t="s">
        <v>1098</v>
      </c>
      <c r="B9" s="80"/>
      <c r="E9" s="80"/>
      <c r="F9" s="47" t="s">
        <v>1099</v>
      </c>
      <c r="G9" s="23">
        <v>1173</v>
      </c>
      <c r="H9" s="15">
        <v>48</v>
      </c>
      <c r="I9" s="15">
        <v>30</v>
      </c>
      <c r="J9" s="15"/>
      <c r="K9" s="15"/>
      <c r="L9" s="15"/>
      <c r="M9" s="15"/>
      <c r="N9" s="15"/>
      <c r="O9" s="15"/>
    </row>
    <row r="10" spans="1:17" x14ac:dyDescent="0.2">
      <c r="A10" t="s">
        <v>1100</v>
      </c>
      <c r="E10" s="80"/>
      <c r="F10" s="47" t="s">
        <v>1101</v>
      </c>
      <c r="G10" s="23">
        <v>2106</v>
      </c>
      <c r="H10">
        <v>12</v>
      </c>
      <c r="I10">
        <v>9</v>
      </c>
    </row>
    <row r="11" spans="1:17" x14ac:dyDescent="0.2">
      <c r="A11" t="s">
        <v>1102</v>
      </c>
      <c r="E11" s="80"/>
      <c r="F11" s="16" t="s">
        <v>1103</v>
      </c>
      <c r="G11" s="23">
        <v>4458</v>
      </c>
      <c r="H11" s="15">
        <v>0</v>
      </c>
      <c r="I11" s="15">
        <v>0</v>
      </c>
      <c r="J11" s="17"/>
      <c r="K11" s="17"/>
      <c r="L11" s="17"/>
      <c r="M11" s="17"/>
      <c r="N11" s="17"/>
    </row>
    <row r="12" spans="1:17" x14ac:dyDescent="0.2">
      <c r="A12" t="s">
        <v>1104</v>
      </c>
      <c r="E12" s="80"/>
      <c r="F12" s="48" t="s">
        <v>1105</v>
      </c>
      <c r="G12" s="28">
        <v>1560</v>
      </c>
      <c r="H12" s="17">
        <v>0</v>
      </c>
      <c r="I12" s="15">
        <v>0</v>
      </c>
      <c r="J12" s="15"/>
      <c r="K12" s="15"/>
      <c r="L12" s="15"/>
    </row>
    <row r="13" spans="1:17" x14ac:dyDescent="0.2">
      <c r="A13" t="s">
        <v>1108</v>
      </c>
      <c r="E13" s="80"/>
      <c r="F13" s="16" t="s">
        <v>1109</v>
      </c>
      <c r="G13" s="14">
        <v>5023</v>
      </c>
      <c r="H13">
        <v>27</v>
      </c>
      <c r="I13">
        <v>12</v>
      </c>
    </row>
    <row r="14" spans="1:17" x14ac:dyDescent="0.2">
      <c r="A14" t="s">
        <v>1112</v>
      </c>
      <c r="E14" s="80"/>
      <c r="F14" s="47" t="s">
        <v>1113</v>
      </c>
      <c r="G14" s="14">
        <v>1230</v>
      </c>
      <c r="H14">
        <v>0</v>
      </c>
      <c r="I14">
        <v>0</v>
      </c>
    </row>
    <row r="15" spans="1:17" x14ac:dyDescent="0.2">
      <c r="A15" t="s">
        <v>1114</v>
      </c>
      <c r="E15" s="80"/>
      <c r="F15" s="25" t="s">
        <v>1115</v>
      </c>
      <c r="G15" s="14">
        <v>3001</v>
      </c>
      <c r="H15">
        <v>0</v>
      </c>
      <c r="I15">
        <v>8</v>
      </c>
    </row>
    <row r="16" spans="1:17" x14ac:dyDescent="0.2">
      <c r="A16" t="s">
        <v>1116</v>
      </c>
      <c r="E16" s="80"/>
      <c r="F16" s="25" t="s">
        <v>1117</v>
      </c>
      <c r="G16" s="14">
        <v>2993</v>
      </c>
      <c r="H16">
        <v>55</v>
      </c>
      <c r="I16">
        <v>30</v>
      </c>
    </row>
    <row r="17" spans="1:11" x14ac:dyDescent="0.2">
      <c r="E17" s="80"/>
      <c r="F17" s="25" t="s">
        <v>1118</v>
      </c>
      <c r="G17" s="14">
        <v>4861</v>
      </c>
      <c r="H17">
        <v>55</v>
      </c>
      <c r="I17">
        <v>23</v>
      </c>
    </row>
    <row r="18" spans="1:11" x14ac:dyDescent="0.2">
      <c r="A18" s="83" t="s">
        <v>1119</v>
      </c>
      <c r="B18" s="80"/>
      <c r="E18" s="80"/>
      <c r="F18" s="47" t="s">
        <v>1120</v>
      </c>
      <c r="G18" s="14">
        <v>2350</v>
      </c>
      <c r="H18">
        <v>7</v>
      </c>
      <c r="I18">
        <v>23</v>
      </c>
    </row>
    <row r="19" spans="1:11" x14ac:dyDescent="0.2">
      <c r="A19" t="s">
        <v>1121</v>
      </c>
      <c r="B19" t="s">
        <v>1644</v>
      </c>
      <c r="E19" s="80"/>
      <c r="F19" s="16" t="s">
        <v>1123</v>
      </c>
      <c r="G19" s="14">
        <v>1645</v>
      </c>
      <c r="H19">
        <v>40</v>
      </c>
      <c r="I19">
        <v>0</v>
      </c>
    </row>
    <row r="20" spans="1:11" x14ac:dyDescent="0.2">
      <c r="E20" s="80"/>
      <c r="F20" s="16" t="s">
        <v>1124</v>
      </c>
      <c r="G20" s="23">
        <v>1745</v>
      </c>
      <c r="H20" s="15">
        <v>11</v>
      </c>
      <c r="I20">
        <v>0</v>
      </c>
    </row>
    <row r="21" spans="1:11" x14ac:dyDescent="0.2">
      <c r="A21" s="81" t="s">
        <v>1125</v>
      </c>
      <c r="B21" s="80"/>
      <c r="E21" s="80"/>
      <c r="F21" s="16" t="s">
        <v>1126</v>
      </c>
      <c r="G21" s="23">
        <v>3938</v>
      </c>
      <c r="H21" s="15">
        <v>29</v>
      </c>
      <c r="I21">
        <v>101</v>
      </c>
    </row>
    <row r="22" spans="1:11" x14ac:dyDescent="0.2">
      <c r="A22" t="s">
        <v>1135</v>
      </c>
      <c r="B22" t="s">
        <v>1243</v>
      </c>
      <c r="E22" s="80"/>
      <c r="F22" s="47" t="s">
        <v>1137</v>
      </c>
      <c r="G22" s="23">
        <v>1648</v>
      </c>
      <c r="H22" s="15">
        <v>0</v>
      </c>
      <c r="I22">
        <v>44</v>
      </c>
    </row>
    <row r="23" spans="1:11" x14ac:dyDescent="0.2">
      <c r="E23" s="80"/>
      <c r="F23" s="16" t="s">
        <v>1146</v>
      </c>
      <c r="G23" s="23">
        <v>10182</v>
      </c>
      <c r="H23" s="15">
        <v>145</v>
      </c>
      <c r="I23">
        <v>184</v>
      </c>
    </row>
    <row r="24" spans="1:11" x14ac:dyDescent="0.2">
      <c r="E24" s="80"/>
      <c r="F24" s="16" t="s">
        <v>1150</v>
      </c>
      <c r="G24" s="14">
        <v>1526</v>
      </c>
      <c r="H24">
        <v>15</v>
      </c>
      <c r="I24">
        <v>0</v>
      </c>
    </row>
    <row r="25" spans="1:11" x14ac:dyDescent="0.2">
      <c r="E25" s="80"/>
      <c r="F25" s="47" t="s">
        <v>1154</v>
      </c>
      <c r="G25" s="15">
        <v>222</v>
      </c>
      <c r="H25" s="15">
        <v>0</v>
      </c>
      <c r="I25">
        <v>0</v>
      </c>
      <c r="K25" t="s">
        <v>1226</v>
      </c>
    </row>
    <row r="26" spans="1:11" x14ac:dyDescent="0.2">
      <c r="E26" s="80"/>
      <c r="F26" s="16" t="s">
        <v>1158</v>
      </c>
      <c r="G26" s="23">
        <v>6855</v>
      </c>
      <c r="H26" s="15">
        <v>138</v>
      </c>
      <c r="I26">
        <v>196</v>
      </c>
    </row>
    <row r="27" spans="1:11" x14ac:dyDescent="0.2">
      <c r="A27" s="81"/>
      <c r="B27" s="80"/>
      <c r="E27" s="80"/>
      <c r="F27" s="47" t="s">
        <v>1162</v>
      </c>
      <c r="G27" s="15">
        <v>792</v>
      </c>
      <c r="H27" s="15">
        <v>0</v>
      </c>
      <c r="I27">
        <v>37</v>
      </c>
    </row>
    <row r="28" spans="1:11" x14ac:dyDescent="0.2">
      <c r="E28" s="80"/>
      <c r="F28" s="47" t="s">
        <v>1164</v>
      </c>
      <c r="G28" s="23">
        <v>2886</v>
      </c>
      <c r="H28" s="15">
        <v>78</v>
      </c>
      <c r="I28">
        <v>146</v>
      </c>
    </row>
    <row r="29" spans="1:11" x14ac:dyDescent="0.2">
      <c r="E29" s="80"/>
      <c r="F29" s="16" t="s">
        <v>1166</v>
      </c>
      <c r="G29" s="23">
        <v>8306</v>
      </c>
      <c r="H29" s="15">
        <v>203</v>
      </c>
      <c r="I29">
        <v>237</v>
      </c>
    </row>
    <row r="30" spans="1:11" x14ac:dyDescent="0.2">
      <c r="E30" s="80"/>
      <c r="F30" s="47" t="s">
        <v>1168</v>
      </c>
      <c r="G30" s="23">
        <v>1401</v>
      </c>
      <c r="H30" s="15">
        <v>46</v>
      </c>
      <c r="I30">
        <v>52</v>
      </c>
    </row>
    <row r="31" spans="1:11" x14ac:dyDescent="0.2">
      <c r="E31" s="80"/>
      <c r="F31" s="47" t="s">
        <v>1170</v>
      </c>
      <c r="G31" s="23">
        <v>1535</v>
      </c>
      <c r="H31" s="15">
        <v>32</v>
      </c>
      <c r="I31">
        <v>0</v>
      </c>
      <c r="K31" t="s">
        <v>1227</v>
      </c>
    </row>
    <row r="32" spans="1:11" x14ac:dyDescent="0.2">
      <c r="E32" s="80"/>
      <c r="F32" s="47" t="s">
        <v>1172</v>
      </c>
      <c r="G32" s="14">
        <v>2621</v>
      </c>
      <c r="H32">
        <v>36</v>
      </c>
      <c r="I32">
        <v>128</v>
      </c>
    </row>
    <row r="33" spans="5:9" x14ac:dyDescent="0.2">
      <c r="E33" s="80"/>
      <c r="F33" s="16" t="s">
        <v>1174</v>
      </c>
      <c r="G33" s="23">
        <v>2094</v>
      </c>
      <c r="H33" s="15">
        <v>33</v>
      </c>
      <c r="I33">
        <v>0</v>
      </c>
    </row>
    <row r="34" spans="5:9" x14ac:dyDescent="0.2">
      <c r="E34" s="80"/>
      <c r="F34" t="s">
        <v>1178</v>
      </c>
      <c r="G34" s="15">
        <v>439</v>
      </c>
      <c r="H34" s="15">
        <v>14</v>
      </c>
      <c r="I34" s="17">
        <v>0</v>
      </c>
    </row>
    <row r="35" spans="5:9" x14ac:dyDescent="0.2">
      <c r="E35" s="80"/>
      <c r="F35" s="16" t="s">
        <v>1180</v>
      </c>
      <c r="G35" s="23">
        <v>10335</v>
      </c>
      <c r="H35" s="15">
        <v>99</v>
      </c>
      <c r="I35" s="17">
        <v>304</v>
      </c>
    </row>
    <row r="36" spans="5:9" x14ac:dyDescent="0.2">
      <c r="E36" s="80"/>
      <c r="F36" s="16" t="s">
        <v>1182</v>
      </c>
      <c r="G36" s="23">
        <v>11553</v>
      </c>
      <c r="H36" s="15">
        <v>82</v>
      </c>
      <c r="I36" s="17">
        <v>90</v>
      </c>
    </row>
    <row r="37" spans="5:9" x14ac:dyDescent="0.2">
      <c r="E37" s="80"/>
      <c r="F37" s="16" t="s">
        <v>1184</v>
      </c>
      <c r="G37" s="23">
        <v>10763</v>
      </c>
      <c r="H37" s="15">
        <v>56</v>
      </c>
      <c r="I37" s="17">
        <v>118</v>
      </c>
    </row>
    <row r="38" spans="5:9" x14ac:dyDescent="0.2">
      <c r="E38" s="80"/>
      <c r="F38" s="16" t="s">
        <v>1186</v>
      </c>
      <c r="G38" s="14">
        <v>6869</v>
      </c>
      <c r="H38">
        <v>780</v>
      </c>
      <c r="I38" s="14">
        <v>1192</v>
      </c>
    </row>
    <row r="39" spans="5:9" x14ac:dyDescent="0.2">
      <c r="E39" s="80"/>
      <c r="F39" s="47" t="s">
        <v>1188</v>
      </c>
      <c r="G39" s="14">
        <v>6869</v>
      </c>
      <c r="H39">
        <v>780</v>
      </c>
      <c r="I39" s="14">
        <v>1192</v>
      </c>
    </row>
    <row r="40" spans="5:9" x14ac:dyDescent="0.2">
      <c r="E40" s="80"/>
      <c r="F40" s="16" t="s">
        <v>1191</v>
      </c>
      <c r="G40" s="14">
        <v>3533</v>
      </c>
      <c r="H40">
        <v>31</v>
      </c>
      <c r="I40">
        <v>24</v>
      </c>
    </row>
    <row r="41" spans="5:9" x14ac:dyDescent="0.2">
      <c r="E41" s="80"/>
      <c r="F41" s="16" t="s">
        <v>1195</v>
      </c>
      <c r="G41" s="14">
        <v>1539</v>
      </c>
      <c r="H41">
        <v>6</v>
      </c>
      <c r="I41">
        <v>6</v>
      </c>
    </row>
    <row r="42" spans="5:9" x14ac:dyDescent="0.2">
      <c r="E42" s="80"/>
      <c r="F42" s="47" t="s">
        <v>1199</v>
      </c>
      <c r="G42" s="14">
        <v>1151</v>
      </c>
      <c r="H42">
        <v>6</v>
      </c>
      <c r="I42">
        <v>6</v>
      </c>
    </row>
    <row r="43" spans="5:9" x14ac:dyDescent="0.2">
      <c r="E43" s="80"/>
      <c r="F43" s="47" t="s">
        <v>1200</v>
      </c>
      <c r="G43">
        <v>388</v>
      </c>
      <c r="H43">
        <v>0</v>
      </c>
      <c r="I43">
        <v>0</v>
      </c>
    </row>
    <row r="44" spans="5:9" x14ac:dyDescent="0.2">
      <c r="E44" s="80"/>
      <c r="F44" s="16" t="s">
        <v>1201</v>
      </c>
      <c r="G44" s="14">
        <v>11910</v>
      </c>
      <c r="H44">
        <v>97</v>
      </c>
      <c r="I44">
        <v>203</v>
      </c>
    </row>
    <row r="45" spans="5:9" x14ac:dyDescent="0.2">
      <c r="E45" s="80"/>
      <c r="F45" s="16" t="s">
        <v>1202</v>
      </c>
      <c r="G45" s="14">
        <v>11743</v>
      </c>
      <c r="H45">
        <v>161</v>
      </c>
      <c r="I45">
        <v>77</v>
      </c>
    </row>
    <row r="46" spans="5:9" x14ac:dyDescent="0.2">
      <c r="E46" s="80"/>
      <c r="F46" s="47" t="s">
        <v>1203</v>
      </c>
      <c r="G46">
        <v>936</v>
      </c>
      <c r="H46">
        <v>19</v>
      </c>
      <c r="I46">
        <v>35</v>
      </c>
    </row>
    <row r="47" spans="5:9" x14ac:dyDescent="0.2">
      <c r="E47" s="80"/>
      <c r="F47" s="47" t="s">
        <v>1204</v>
      </c>
      <c r="G47" s="14">
        <v>1181</v>
      </c>
      <c r="H47">
        <v>49</v>
      </c>
      <c r="I47">
        <v>0</v>
      </c>
    </row>
    <row r="48" spans="5:9" x14ac:dyDescent="0.2">
      <c r="E48" s="80"/>
      <c r="F48" s="47" t="s">
        <v>1205</v>
      </c>
      <c r="G48" s="14">
        <v>2998</v>
      </c>
      <c r="H48">
        <v>0</v>
      </c>
      <c r="I48">
        <v>20</v>
      </c>
    </row>
    <row r="49" spans="5:9" x14ac:dyDescent="0.2">
      <c r="E49" s="80"/>
      <c r="F49" s="16" t="s">
        <v>1206</v>
      </c>
      <c r="G49" s="14">
        <v>2468</v>
      </c>
      <c r="H49">
        <v>0</v>
      </c>
      <c r="I49">
        <v>0</v>
      </c>
    </row>
    <row r="50" spans="5:9" x14ac:dyDescent="0.2">
      <c r="E50" s="80"/>
      <c r="F50" s="16" t="s">
        <v>1207</v>
      </c>
      <c r="G50" s="14">
        <v>3822</v>
      </c>
      <c r="H50">
        <v>37</v>
      </c>
      <c r="I50">
        <v>15</v>
      </c>
    </row>
    <row r="51" spans="5:9" x14ac:dyDescent="0.2">
      <c r="E51" s="80"/>
      <c r="F51" s="47" t="s">
        <v>1162</v>
      </c>
      <c r="G51">
        <v>259</v>
      </c>
      <c r="H51">
        <v>19</v>
      </c>
      <c r="I51">
        <v>15</v>
      </c>
    </row>
    <row r="52" spans="5:9" x14ac:dyDescent="0.2">
      <c r="E52" s="80"/>
      <c r="F52" s="47" t="s">
        <v>1208</v>
      </c>
      <c r="G52" s="14">
        <v>3563</v>
      </c>
      <c r="H52">
        <v>18</v>
      </c>
      <c r="I52">
        <v>0</v>
      </c>
    </row>
    <row r="53" spans="5:9" x14ac:dyDescent="0.2">
      <c r="E53" s="80"/>
    </row>
    <row r="54" spans="5:9" x14ac:dyDescent="0.2">
      <c r="E54" s="80"/>
    </row>
    <row r="55" spans="5:9" x14ac:dyDescent="0.2">
      <c r="E55" s="80"/>
    </row>
    <row r="56" spans="5:9" x14ac:dyDescent="0.2">
      <c r="E56" s="80"/>
    </row>
    <row r="57" spans="5:9" x14ac:dyDescent="0.2">
      <c r="E57" s="80"/>
    </row>
  </sheetData>
  <mergeCells count="10">
    <mergeCell ref="G5:G6"/>
    <mergeCell ref="B1:O1"/>
    <mergeCell ref="A21:B21"/>
    <mergeCell ref="E5:E57"/>
    <mergeCell ref="A9:B9"/>
    <mergeCell ref="A5:B5"/>
    <mergeCell ref="F5:F6"/>
    <mergeCell ref="A18:B18"/>
    <mergeCell ref="A27:B27"/>
    <mergeCell ref="H5:I5"/>
  </mergeCells>
  <dataValidations count="4">
    <dataValidation type="list" allowBlank="1" showInputMessage="1" showErrorMessage="1" sqref="P4:Q4" xr:uid="{00000000-0002-0000-2600-000000000000}">
      <formula1>"integer, number, percent1"</formula1>
    </dataValidation>
    <dataValidation type="list" allowBlank="1" showInputMessage="1" showErrorMessage="1" sqref="B10" xr:uid="{00000000-0002-0000-2600-000001000000}">
      <formula1>"Line,Clustered Bar,Stacked Bar,Bar,Horizontal Stacked Bar"</formula1>
    </dataValidation>
    <dataValidation type="list" allowBlank="1" showInputMessage="1" showErrorMessage="1" sqref="B2" xr:uid="{00000000-0002-0000-2600-000002000000}">
      <formula1>"Table,Figure,Both"</formula1>
    </dataValidation>
    <dataValidation type="list" allowBlank="1" showInputMessage="1" showErrorMessage="1" sqref="B6 B15:B16" xr:uid="{00000000-0002-0000-2600-000003000000}">
      <formula1>"True,False"</formula1>
    </dataValidation>
  </dataValidation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142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tbl-high-bll</v>
      </c>
    </row>
    <row r="4" spans="1:17" x14ac:dyDescent="0.2">
      <c r="A4" s="16" t="s">
        <v>7</v>
      </c>
      <c r="B4" t="str">
        <f>IF($B$1="","",_xlfn.XLOOKUP($B$1,Master!$F$2:$F$321,Master!$H$2:$H$321,""))</f>
        <v>fig-high-bll</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2018</v>
      </c>
      <c r="H5">
        <v>2019</v>
      </c>
      <c r="I5">
        <v>2020</v>
      </c>
      <c r="J5">
        <v>2021</v>
      </c>
    </row>
    <row r="6" spans="1:17" ht="15" customHeight="1" x14ac:dyDescent="0.2">
      <c r="A6" t="s">
        <v>1088</v>
      </c>
      <c r="B6" t="b">
        <v>0</v>
      </c>
      <c r="E6" s="80"/>
      <c r="F6" t="s">
        <v>1297</v>
      </c>
      <c r="G6" s="15">
        <v>4.7</v>
      </c>
      <c r="H6" s="15">
        <v>5.0999999999999996</v>
      </c>
      <c r="I6" s="15">
        <v>4.7</v>
      </c>
      <c r="J6" s="15">
        <v>3.7</v>
      </c>
      <c r="K6" s="15"/>
      <c r="L6" s="15"/>
      <c r="M6" s="15"/>
      <c r="N6" s="15"/>
      <c r="O6" s="15"/>
    </row>
    <row r="7" spans="1:17" ht="15.75" customHeight="1" x14ac:dyDescent="0.2">
      <c r="E7" s="80"/>
      <c r="F7" t="s">
        <v>1645</v>
      </c>
      <c r="G7" s="15">
        <v>3.5</v>
      </c>
      <c r="H7" s="15">
        <v>3.9</v>
      </c>
      <c r="I7" s="15">
        <v>3.2</v>
      </c>
      <c r="J7" s="15">
        <v>2.8</v>
      </c>
      <c r="K7" s="15"/>
      <c r="L7" s="15"/>
      <c r="M7" s="15"/>
      <c r="N7" s="15"/>
      <c r="O7" s="15"/>
    </row>
    <row r="8" spans="1:17" x14ac:dyDescent="0.2">
      <c r="E8" s="80"/>
      <c r="F8" t="s">
        <v>1298</v>
      </c>
      <c r="G8" s="15">
        <v>6.5</v>
      </c>
      <c r="H8" s="15">
        <v>6.5</v>
      </c>
      <c r="I8" s="15">
        <v>5</v>
      </c>
      <c r="J8" s="15">
        <v>5.0999999999999996</v>
      </c>
      <c r="K8" s="15"/>
      <c r="L8" s="15"/>
      <c r="M8" s="15"/>
      <c r="N8" s="15"/>
      <c r="O8" s="15"/>
    </row>
    <row r="9" spans="1:17" x14ac:dyDescent="0.2">
      <c r="A9" s="83" t="s">
        <v>1098</v>
      </c>
      <c r="B9" s="80"/>
      <c r="E9" s="80"/>
      <c r="F9" t="s">
        <v>1299</v>
      </c>
      <c r="G9" s="15">
        <v>3.6</v>
      </c>
      <c r="H9" s="15">
        <v>3.8</v>
      </c>
      <c r="I9" s="15">
        <v>3.2</v>
      </c>
      <c r="J9" s="15">
        <v>3.3</v>
      </c>
      <c r="K9" s="15"/>
      <c r="L9" s="15"/>
      <c r="M9" s="15"/>
      <c r="N9" s="15"/>
      <c r="O9" s="15"/>
    </row>
    <row r="10" spans="1:17" x14ac:dyDescent="0.2">
      <c r="A10" t="s">
        <v>1100</v>
      </c>
      <c r="B10" t="s">
        <v>1304</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1646</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1647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2700-000000000000}">
      <formula1>"integer, number, percent1"</formula1>
    </dataValidation>
    <dataValidation type="list" allowBlank="1" showInputMessage="1" showErrorMessage="1" sqref="B10" xr:uid="{00000000-0002-0000-2700-000001000000}">
      <formula1>"Line,Clustered Bar,Stacked Bar,Bar,Horizontal Stacked Bar"</formula1>
    </dataValidation>
    <dataValidation type="list" allowBlank="1" showInputMessage="1" showErrorMessage="1" sqref="B2" xr:uid="{00000000-0002-0000-2700-000002000000}">
      <formula1>"Table,Figure,Both"</formula1>
    </dataValidation>
    <dataValidation type="list" allowBlank="1" showInputMessage="1" showErrorMessage="1" sqref="B6 B15:B16" xr:uid="{00000000-0002-0000-2700-000003000000}">
      <formula1>"True,False"</formula1>
    </dataValidation>
  </dataValidation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0.33203125" bestFit="1" customWidth="1"/>
    <col min="8" max="8" width="8.83203125" bestFit="1" customWidth="1"/>
    <col min="9" max="9" width="24.83203125"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145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tbl-internet-access</v>
      </c>
    </row>
    <row r="4" spans="1:17" x14ac:dyDescent="0.2">
      <c r="A4" s="16" t="s">
        <v>7</v>
      </c>
      <c r="B4" t="str">
        <f>IF($B$1="","",_xlfn.XLOOKUP($B$1,Master!$F$2:$F$321,Master!$H$2:$H$321,""))</f>
        <v>fig-internet-access</v>
      </c>
      <c r="E4" s="8"/>
      <c r="F4" s="10" t="s">
        <v>968</v>
      </c>
      <c r="G4" s="10" t="s">
        <v>973</v>
      </c>
      <c r="H4" s="10" t="s">
        <v>973</v>
      </c>
      <c r="I4" s="10" t="s">
        <v>979</v>
      </c>
      <c r="J4" s="10" t="s">
        <v>973</v>
      </c>
      <c r="K4" s="10" t="s">
        <v>979</v>
      </c>
      <c r="L4" s="10" t="s">
        <v>973</v>
      </c>
      <c r="M4" s="10" t="s">
        <v>979</v>
      </c>
      <c r="N4" s="10" t="s">
        <v>973</v>
      </c>
      <c r="O4" s="10" t="s">
        <v>979</v>
      </c>
      <c r="P4" s="10"/>
      <c r="Q4" s="10"/>
    </row>
    <row r="5" spans="1:17" x14ac:dyDescent="0.2">
      <c r="A5" s="83" t="s">
        <v>1081</v>
      </c>
      <c r="B5" s="80"/>
      <c r="E5" s="82" t="s">
        <v>1082</v>
      </c>
      <c r="F5" s="81" t="s">
        <v>1083</v>
      </c>
      <c r="G5" s="81" t="s">
        <v>1648</v>
      </c>
      <c r="H5" s="81" t="s">
        <v>1649</v>
      </c>
      <c r="I5" s="80"/>
      <c r="J5" s="81" t="s">
        <v>1650</v>
      </c>
      <c r="K5" s="80"/>
      <c r="L5" s="81" t="s">
        <v>1651</v>
      </c>
      <c r="M5" s="80"/>
      <c r="N5" s="81" t="s">
        <v>1652</v>
      </c>
      <c r="O5" s="80"/>
    </row>
    <row r="6" spans="1:17" ht="15" customHeight="1" x14ac:dyDescent="0.2">
      <c r="A6" t="s">
        <v>1088</v>
      </c>
      <c r="B6" t="b">
        <v>1</v>
      </c>
      <c r="E6" s="80"/>
      <c r="F6" s="80"/>
      <c r="G6" s="80"/>
      <c r="H6" s="15" t="s">
        <v>1272</v>
      </c>
      <c r="I6" s="15" t="s">
        <v>1344</v>
      </c>
      <c r="J6" s="15" t="s">
        <v>1272</v>
      </c>
      <c r="K6" s="15" t="s">
        <v>1344</v>
      </c>
      <c r="L6" s="15" t="s">
        <v>1272</v>
      </c>
      <c r="M6" s="15" t="s">
        <v>1344</v>
      </c>
      <c r="N6" s="15" t="s">
        <v>1272</v>
      </c>
      <c r="O6" s="15" t="s">
        <v>1344</v>
      </c>
    </row>
    <row r="7" spans="1:17" ht="15.75" customHeight="1" x14ac:dyDescent="0.2">
      <c r="E7" s="80"/>
      <c r="F7" s="16" t="s">
        <v>1096</v>
      </c>
      <c r="G7" s="23">
        <v>137311</v>
      </c>
      <c r="H7" s="23">
        <v>13355</v>
      </c>
      <c r="I7" s="15">
        <v>9.6999999999999993</v>
      </c>
      <c r="J7" s="23">
        <v>121963</v>
      </c>
      <c r="K7" s="15">
        <v>88.8</v>
      </c>
      <c r="L7" s="23">
        <v>1993</v>
      </c>
      <c r="M7" s="15">
        <v>145.1</v>
      </c>
      <c r="N7" s="23">
        <v>12688</v>
      </c>
      <c r="O7" s="15">
        <v>9.1999999999999993</v>
      </c>
    </row>
    <row r="8" spans="1:17" x14ac:dyDescent="0.2">
      <c r="E8" s="80"/>
      <c r="F8" s="16" t="s">
        <v>1097</v>
      </c>
      <c r="G8" s="23">
        <v>6149</v>
      </c>
      <c r="H8" s="15">
        <v>281</v>
      </c>
      <c r="I8" s="15">
        <v>4.5999999999999996</v>
      </c>
      <c r="J8" s="23">
        <v>5768</v>
      </c>
      <c r="K8" s="15">
        <v>93.8</v>
      </c>
      <c r="L8" s="15">
        <v>100</v>
      </c>
      <c r="M8" s="15">
        <v>162.6</v>
      </c>
      <c r="N8" s="15">
        <v>523</v>
      </c>
      <c r="O8" s="15">
        <v>8.5</v>
      </c>
    </row>
    <row r="9" spans="1:17" x14ac:dyDescent="0.2">
      <c r="A9" s="83" t="s">
        <v>1098</v>
      </c>
      <c r="B9" s="80"/>
      <c r="E9" s="80"/>
      <c r="F9" s="47" t="s">
        <v>1099</v>
      </c>
      <c r="G9" s="23">
        <v>1173</v>
      </c>
      <c r="H9" s="15">
        <v>154</v>
      </c>
      <c r="I9" s="15">
        <v>13.1</v>
      </c>
      <c r="J9" s="23">
        <v>1019</v>
      </c>
      <c r="K9" s="15">
        <v>86.9</v>
      </c>
      <c r="L9" s="15">
        <v>0</v>
      </c>
      <c r="M9" s="15">
        <v>0</v>
      </c>
      <c r="N9" s="15">
        <v>93</v>
      </c>
      <c r="O9" s="15">
        <v>7.9</v>
      </c>
    </row>
    <row r="10" spans="1:17" x14ac:dyDescent="0.2">
      <c r="A10" t="s">
        <v>1100</v>
      </c>
      <c r="E10" s="80"/>
      <c r="F10" s="47" t="s">
        <v>1101</v>
      </c>
      <c r="G10" s="23">
        <v>2106</v>
      </c>
      <c r="H10" s="15">
        <v>63</v>
      </c>
      <c r="I10" s="15">
        <v>3</v>
      </c>
      <c r="J10" s="23">
        <v>2011</v>
      </c>
      <c r="K10" s="15">
        <v>95.5</v>
      </c>
      <c r="L10" s="15">
        <v>32</v>
      </c>
      <c r="M10" s="15">
        <v>151.9</v>
      </c>
      <c r="N10" s="15">
        <v>236</v>
      </c>
      <c r="O10" s="15">
        <v>11.2</v>
      </c>
    </row>
    <row r="11" spans="1:17" x14ac:dyDescent="0.2">
      <c r="A11" t="s">
        <v>1102</v>
      </c>
      <c r="E11" s="80"/>
      <c r="F11" s="16" t="s">
        <v>1103</v>
      </c>
      <c r="G11" s="23">
        <v>4458</v>
      </c>
      <c r="H11" s="15">
        <v>282</v>
      </c>
      <c r="I11" s="15">
        <v>6.3</v>
      </c>
      <c r="J11" s="28">
        <v>4143</v>
      </c>
      <c r="K11" s="17">
        <v>92.9</v>
      </c>
      <c r="L11" s="17">
        <v>33</v>
      </c>
      <c r="M11" s="17">
        <v>74</v>
      </c>
      <c r="N11" s="17">
        <v>380</v>
      </c>
      <c r="O11" s="15">
        <v>8.5</v>
      </c>
    </row>
    <row r="12" spans="1:17" x14ac:dyDescent="0.2">
      <c r="A12" t="s">
        <v>1104</v>
      </c>
      <c r="E12" s="80"/>
      <c r="F12" s="48" t="s">
        <v>1105</v>
      </c>
      <c r="G12" s="28">
        <v>1560</v>
      </c>
      <c r="H12" s="17">
        <v>77</v>
      </c>
      <c r="I12" s="15">
        <v>4.9000000000000004</v>
      </c>
      <c r="J12" s="23">
        <v>1483</v>
      </c>
      <c r="K12" s="15">
        <v>95.1</v>
      </c>
      <c r="L12" s="15">
        <v>0</v>
      </c>
      <c r="M12" s="15">
        <v>0</v>
      </c>
      <c r="N12" s="15">
        <v>213</v>
      </c>
      <c r="O12" s="15">
        <v>13.7</v>
      </c>
    </row>
    <row r="13" spans="1:17" x14ac:dyDescent="0.2">
      <c r="A13" t="s">
        <v>1108</v>
      </c>
      <c r="E13" s="80"/>
      <c r="F13" s="16" t="s">
        <v>1109</v>
      </c>
      <c r="G13" s="23">
        <v>5023</v>
      </c>
      <c r="H13" s="15">
        <v>276</v>
      </c>
      <c r="I13" s="15">
        <v>5.5</v>
      </c>
      <c r="J13" s="23">
        <v>4713</v>
      </c>
      <c r="K13" s="15">
        <v>93.8</v>
      </c>
      <c r="L13" s="15">
        <v>34</v>
      </c>
      <c r="M13" s="15">
        <v>67.7</v>
      </c>
      <c r="N13" s="15">
        <v>546</v>
      </c>
      <c r="O13" s="15">
        <v>10.9</v>
      </c>
    </row>
    <row r="14" spans="1:17" x14ac:dyDescent="0.2">
      <c r="A14" t="s">
        <v>1112</v>
      </c>
      <c r="E14" s="80"/>
      <c r="F14" s="47" t="s">
        <v>1113</v>
      </c>
      <c r="G14" s="23">
        <v>1230</v>
      </c>
      <c r="H14" s="15">
        <v>56</v>
      </c>
      <c r="I14" s="15">
        <v>4.5999999999999996</v>
      </c>
      <c r="J14" s="23">
        <v>1170</v>
      </c>
      <c r="K14" s="15">
        <v>95.1</v>
      </c>
      <c r="L14" s="15">
        <v>4</v>
      </c>
      <c r="M14" s="15">
        <v>32.5</v>
      </c>
      <c r="N14" s="15">
        <v>211</v>
      </c>
      <c r="O14" s="15">
        <v>17.2</v>
      </c>
    </row>
    <row r="15" spans="1:17" x14ac:dyDescent="0.2">
      <c r="A15" t="s">
        <v>1114</v>
      </c>
      <c r="E15" s="80"/>
      <c r="F15" s="25" t="s">
        <v>1115</v>
      </c>
      <c r="G15" s="23">
        <v>3001</v>
      </c>
      <c r="H15" s="15">
        <v>273</v>
      </c>
      <c r="I15" s="15">
        <v>9.1</v>
      </c>
      <c r="J15" s="23">
        <v>2692</v>
      </c>
      <c r="K15" s="15">
        <v>89.7</v>
      </c>
      <c r="L15" s="15">
        <v>36</v>
      </c>
      <c r="M15" s="15">
        <v>120</v>
      </c>
      <c r="N15" s="15">
        <v>261</v>
      </c>
      <c r="O15" s="15">
        <v>8.6999999999999993</v>
      </c>
    </row>
    <row r="16" spans="1:17" x14ac:dyDescent="0.2">
      <c r="A16" t="s">
        <v>1116</v>
      </c>
      <c r="E16" s="80"/>
      <c r="F16" s="25" t="s">
        <v>1117</v>
      </c>
      <c r="G16" s="23">
        <v>2993</v>
      </c>
      <c r="H16" s="15">
        <v>207</v>
      </c>
      <c r="I16" s="15">
        <v>6.9</v>
      </c>
      <c r="J16" s="23">
        <v>2774</v>
      </c>
      <c r="K16" s="15">
        <v>92.7</v>
      </c>
      <c r="L16" s="15">
        <v>12</v>
      </c>
      <c r="M16" s="15">
        <v>40.1</v>
      </c>
      <c r="N16" s="15">
        <v>338</v>
      </c>
      <c r="O16" s="15">
        <v>11.3</v>
      </c>
    </row>
    <row r="17" spans="1:15" x14ac:dyDescent="0.2">
      <c r="E17" s="80"/>
      <c r="F17" s="25" t="s">
        <v>1118</v>
      </c>
      <c r="G17" s="23">
        <v>4861</v>
      </c>
      <c r="H17" s="15">
        <v>232</v>
      </c>
      <c r="I17" s="15">
        <v>4.8</v>
      </c>
      <c r="J17" s="23">
        <v>4623</v>
      </c>
      <c r="K17" s="15">
        <v>95.1</v>
      </c>
      <c r="L17" s="15">
        <v>6</v>
      </c>
      <c r="M17" s="15">
        <v>12.3</v>
      </c>
      <c r="N17" s="15">
        <v>449</v>
      </c>
      <c r="O17" s="15">
        <v>9.1999999999999993</v>
      </c>
    </row>
    <row r="18" spans="1:15" x14ac:dyDescent="0.2">
      <c r="A18" s="83" t="s">
        <v>1119</v>
      </c>
      <c r="B18" s="80"/>
      <c r="E18" s="80"/>
      <c r="F18" s="47" t="s">
        <v>1120</v>
      </c>
      <c r="G18" s="23">
        <v>2350</v>
      </c>
      <c r="H18" s="15">
        <v>208</v>
      </c>
      <c r="I18" s="15">
        <v>8.9</v>
      </c>
      <c r="J18" s="23">
        <v>2142</v>
      </c>
      <c r="K18" s="15">
        <v>91.1</v>
      </c>
      <c r="L18" s="15">
        <v>0</v>
      </c>
      <c r="M18" s="15">
        <v>0</v>
      </c>
      <c r="N18" s="15">
        <v>228</v>
      </c>
      <c r="O18" s="15">
        <v>9.6999999999999993</v>
      </c>
    </row>
    <row r="19" spans="1:15" x14ac:dyDescent="0.2">
      <c r="A19" t="s">
        <v>1121</v>
      </c>
      <c r="B19" t="s">
        <v>1653</v>
      </c>
      <c r="E19" s="80"/>
      <c r="F19" s="16" t="s">
        <v>1123</v>
      </c>
      <c r="G19" s="23">
        <v>1645</v>
      </c>
      <c r="H19" s="15">
        <v>52</v>
      </c>
      <c r="I19" s="15">
        <v>3.2</v>
      </c>
      <c r="J19" s="23">
        <v>1580</v>
      </c>
      <c r="K19" s="15">
        <v>96</v>
      </c>
      <c r="L19" s="15">
        <v>13</v>
      </c>
      <c r="M19" s="15">
        <v>79</v>
      </c>
      <c r="N19" s="15">
        <v>163</v>
      </c>
      <c r="O19" s="15">
        <v>9.9</v>
      </c>
    </row>
    <row r="20" spans="1:15" x14ac:dyDescent="0.2">
      <c r="E20" s="80"/>
      <c r="F20" s="16" t="s">
        <v>1124</v>
      </c>
      <c r="G20" s="23">
        <v>1745</v>
      </c>
      <c r="H20" s="15">
        <v>15</v>
      </c>
      <c r="I20" s="15">
        <v>0.9</v>
      </c>
      <c r="J20" s="23">
        <v>1723</v>
      </c>
      <c r="K20" s="15">
        <v>98.7</v>
      </c>
      <c r="L20" s="15">
        <v>7</v>
      </c>
      <c r="M20" s="15">
        <v>40.1</v>
      </c>
      <c r="N20" s="15">
        <v>105</v>
      </c>
      <c r="O20" s="15">
        <v>6</v>
      </c>
    </row>
    <row r="21" spans="1:15" x14ac:dyDescent="0.2">
      <c r="A21" s="81" t="s">
        <v>1125</v>
      </c>
      <c r="B21" s="80"/>
      <c r="E21" s="80"/>
      <c r="F21" s="16" t="s">
        <v>1126</v>
      </c>
      <c r="G21" s="23">
        <v>3938</v>
      </c>
      <c r="H21" s="15">
        <v>163</v>
      </c>
      <c r="I21" s="15">
        <v>4.0999999999999996</v>
      </c>
      <c r="J21" s="23">
        <v>3738</v>
      </c>
      <c r="K21" s="15">
        <v>94.9</v>
      </c>
      <c r="L21" s="15">
        <v>37</v>
      </c>
      <c r="M21" s="15">
        <v>94</v>
      </c>
      <c r="N21" s="15">
        <v>186</v>
      </c>
      <c r="O21" s="15">
        <v>4.7</v>
      </c>
    </row>
    <row r="22" spans="1:15" x14ac:dyDescent="0.2">
      <c r="A22" t="s">
        <v>1135</v>
      </c>
      <c r="B22" t="s">
        <v>1243</v>
      </c>
      <c r="E22" s="80"/>
      <c r="F22" s="47" t="s">
        <v>1137</v>
      </c>
      <c r="G22" s="23">
        <v>1648</v>
      </c>
      <c r="H22" s="15">
        <v>46</v>
      </c>
      <c r="I22" s="15">
        <v>2.8</v>
      </c>
      <c r="J22" s="23">
        <v>1587</v>
      </c>
      <c r="K22" s="15">
        <v>96.3</v>
      </c>
      <c r="L22" s="15">
        <v>15</v>
      </c>
      <c r="M22" s="15">
        <v>91</v>
      </c>
      <c r="N22" s="15">
        <v>71</v>
      </c>
      <c r="O22" s="15">
        <v>4.3</v>
      </c>
    </row>
    <row r="23" spans="1:15" x14ac:dyDescent="0.2">
      <c r="E23" s="80"/>
      <c r="F23" s="16" t="s">
        <v>1146</v>
      </c>
      <c r="G23" s="23">
        <v>10182</v>
      </c>
      <c r="H23" s="15">
        <v>921</v>
      </c>
      <c r="I23" s="15">
        <v>9</v>
      </c>
      <c r="J23" s="23">
        <v>9113</v>
      </c>
      <c r="K23" s="15">
        <v>89.5</v>
      </c>
      <c r="L23" s="15">
        <v>148</v>
      </c>
      <c r="M23" s="15">
        <v>145.4</v>
      </c>
      <c r="N23" s="23">
        <v>1071</v>
      </c>
      <c r="O23" s="15">
        <v>10.5</v>
      </c>
    </row>
    <row r="24" spans="1:15" x14ac:dyDescent="0.2">
      <c r="E24" s="80"/>
      <c r="F24" s="16" t="s">
        <v>1150</v>
      </c>
      <c r="G24" s="23">
        <v>1526</v>
      </c>
      <c r="H24" s="15">
        <v>24</v>
      </c>
      <c r="I24" s="15">
        <v>1.6</v>
      </c>
      <c r="J24" s="23">
        <v>1483</v>
      </c>
      <c r="K24" s="15">
        <v>97.2</v>
      </c>
      <c r="L24" s="15">
        <v>19</v>
      </c>
      <c r="M24" s="15">
        <v>124.5</v>
      </c>
      <c r="N24" s="15">
        <v>126</v>
      </c>
      <c r="O24" s="15">
        <v>8.3000000000000007</v>
      </c>
    </row>
    <row r="25" spans="1:15" x14ac:dyDescent="0.2">
      <c r="E25" s="80"/>
      <c r="F25" s="47" t="s">
        <v>1154</v>
      </c>
      <c r="G25" s="15">
        <v>222</v>
      </c>
      <c r="H25" s="15">
        <v>15</v>
      </c>
      <c r="I25" s="15">
        <v>6.8</v>
      </c>
      <c r="J25" s="15">
        <v>201</v>
      </c>
      <c r="K25" s="15">
        <v>90.5</v>
      </c>
      <c r="L25" s="15">
        <v>6</v>
      </c>
      <c r="M25" s="15">
        <v>270.3</v>
      </c>
      <c r="N25" s="15">
        <v>16</v>
      </c>
      <c r="O25" s="15">
        <v>7.2</v>
      </c>
    </row>
    <row r="26" spans="1:15" x14ac:dyDescent="0.2">
      <c r="E26" s="80"/>
      <c r="F26" s="16" t="s">
        <v>1158</v>
      </c>
      <c r="G26" s="23">
        <v>6855</v>
      </c>
      <c r="H26" s="15">
        <v>320</v>
      </c>
      <c r="I26" s="15">
        <v>4.7</v>
      </c>
      <c r="J26" s="23">
        <v>6444</v>
      </c>
      <c r="K26" s="15">
        <v>94</v>
      </c>
      <c r="L26" s="15">
        <v>91</v>
      </c>
      <c r="M26" s="15">
        <v>132.69999999999999</v>
      </c>
      <c r="N26" s="15">
        <v>359</v>
      </c>
      <c r="O26" s="15">
        <v>5.2</v>
      </c>
    </row>
    <row r="27" spans="1:15" x14ac:dyDescent="0.2">
      <c r="A27" s="81"/>
      <c r="B27" s="80"/>
      <c r="E27" s="80"/>
      <c r="F27" s="47" t="s">
        <v>1162</v>
      </c>
      <c r="G27" s="15">
        <v>792</v>
      </c>
      <c r="H27" s="15">
        <v>45</v>
      </c>
      <c r="I27" s="15">
        <v>5.7</v>
      </c>
      <c r="J27" s="15">
        <v>731</v>
      </c>
      <c r="K27" s="15">
        <v>92.3</v>
      </c>
      <c r="L27" s="15">
        <v>16</v>
      </c>
      <c r="M27" s="15">
        <v>202</v>
      </c>
      <c r="N27" s="15">
        <v>76</v>
      </c>
      <c r="O27" s="15">
        <v>9.6</v>
      </c>
    </row>
    <row r="28" spans="1:15" x14ac:dyDescent="0.2">
      <c r="E28" s="80"/>
      <c r="F28" s="47" t="s">
        <v>1164</v>
      </c>
      <c r="G28" s="23">
        <v>2886</v>
      </c>
      <c r="H28" s="15">
        <v>134</v>
      </c>
      <c r="I28" s="15">
        <v>4.5999999999999996</v>
      </c>
      <c r="J28" s="23">
        <v>2711</v>
      </c>
      <c r="K28" s="15">
        <v>93.9</v>
      </c>
      <c r="L28" s="15">
        <v>41</v>
      </c>
      <c r="M28" s="15">
        <v>142.1</v>
      </c>
      <c r="N28" s="15">
        <v>185</v>
      </c>
      <c r="O28" s="15">
        <v>6.4</v>
      </c>
    </row>
    <row r="29" spans="1:15" x14ac:dyDescent="0.2">
      <c r="E29" s="80"/>
      <c r="F29" s="16" t="s">
        <v>1166</v>
      </c>
      <c r="G29" s="23">
        <v>8306</v>
      </c>
      <c r="H29" s="15">
        <v>476</v>
      </c>
      <c r="I29" s="15">
        <v>5.7</v>
      </c>
      <c r="J29" s="23">
        <v>7753</v>
      </c>
      <c r="K29" s="15">
        <v>93.3</v>
      </c>
      <c r="L29" s="15">
        <v>77</v>
      </c>
      <c r="M29" s="15">
        <v>92.7</v>
      </c>
      <c r="N29" s="15">
        <v>652</v>
      </c>
      <c r="O29" s="15">
        <v>7.8</v>
      </c>
    </row>
    <row r="30" spans="1:15" x14ac:dyDescent="0.2">
      <c r="E30" s="80"/>
      <c r="F30" s="47" t="s">
        <v>1168</v>
      </c>
      <c r="G30" s="23">
        <v>1401</v>
      </c>
      <c r="H30" s="15">
        <v>58</v>
      </c>
      <c r="I30" s="15">
        <v>4.0999999999999996</v>
      </c>
      <c r="J30" s="23">
        <v>1290</v>
      </c>
      <c r="K30" s="15">
        <v>92.1</v>
      </c>
      <c r="L30" s="15">
        <v>53</v>
      </c>
      <c r="M30" s="15">
        <v>378.3</v>
      </c>
      <c r="N30" s="15">
        <v>91</v>
      </c>
      <c r="O30" s="15">
        <v>6.5</v>
      </c>
    </row>
    <row r="31" spans="1:15" x14ac:dyDescent="0.2">
      <c r="E31" s="80"/>
      <c r="F31" s="47" t="s">
        <v>1170</v>
      </c>
      <c r="G31" s="23">
        <v>1535</v>
      </c>
      <c r="H31" s="15">
        <v>43</v>
      </c>
      <c r="I31" s="15">
        <v>2.8</v>
      </c>
      <c r="J31" s="23">
        <v>1492</v>
      </c>
      <c r="K31" s="15">
        <v>97.2</v>
      </c>
      <c r="L31" s="15">
        <v>0</v>
      </c>
      <c r="M31" s="15">
        <v>0</v>
      </c>
      <c r="N31" s="15">
        <v>44</v>
      </c>
      <c r="O31" s="15">
        <v>2.9</v>
      </c>
    </row>
    <row r="32" spans="1:15" x14ac:dyDescent="0.2">
      <c r="E32" s="80"/>
      <c r="F32" s="47" t="s">
        <v>1172</v>
      </c>
      <c r="G32" s="23">
        <v>2621</v>
      </c>
      <c r="H32" s="15">
        <v>320</v>
      </c>
      <c r="I32" s="15">
        <v>12.2</v>
      </c>
      <c r="J32" s="23">
        <v>2291</v>
      </c>
      <c r="K32" s="15">
        <v>87.4</v>
      </c>
      <c r="L32" s="15">
        <v>10</v>
      </c>
      <c r="M32" s="15">
        <v>38.200000000000003</v>
      </c>
      <c r="N32" s="15">
        <v>351</v>
      </c>
      <c r="O32" s="15">
        <v>13.4</v>
      </c>
    </row>
    <row r="33" spans="5:15" x14ac:dyDescent="0.2">
      <c r="E33" s="80"/>
      <c r="F33" s="16" t="s">
        <v>1174</v>
      </c>
      <c r="G33" s="23">
        <v>2094</v>
      </c>
      <c r="H33" s="15">
        <v>170</v>
      </c>
      <c r="I33" s="15">
        <v>8.1</v>
      </c>
      <c r="J33" s="23">
        <v>1910</v>
      </c>
      <c r="K33" s="15">
        <v>91.2</v>
      </c>
      <c r="L33" s="15">
        <v>14</v>
      </c>
      <c r="M33" s="15">
        <v>66.900000000000006</v>
      </c>
      <c r="N33" s="15">
        <v>218</v>
      </c>
      <c r="O33" s="15">
        <v>10.4</v>
      </c>
    </row>
    <row r="34" spans="5:15" x14ac:dyDescent="0.2">
      <c r="E34" s="80"/>
      <c r="F34" t="s">
        <v>1178</v>
      </c>
      <c r="G34" s="15">
        <v>439</v>
      </c>
      <c r="H34" s="15">
        <v>10</v>
      </c>
      <c r="I34" s="17">
        <v>2.2999999999999998</v>
      </c>
      <c r="J34" s="15">
        <v>426</v>
      </c>
      <c r="K34" s="15">
        <v>97</v>
      </c>
      <c r="L34" s="15">
        <v>3</v>
      </c>
      <c r="M34" s="15">
        <v>68.3</v>
      </c>
      <c r="N34" s="15">
        <v>18</v>
      </c>
      <c r="O34" s="15">
        <v>4.0999999999999996</v>
      </c>
    </row>
    <row r="35" spans="5:15" x14ac:dyDescent="0.2">
      <c r="E35" s="80"/>
      <c r="F35" s="16" t="s">
        <v>1180</v>
      </c>
      <c r="G35" s="23">
        <v>10335</v>
      </c>
      <c r="H35" s="23">
        <v>1296</v>
      </c>
      <c r="I35" s="17">
        <v>12.5</v>
      </c>
      <c r="J35" s="23">
        <v>8880</v>
      </c>
      <c r="K35" s="15">
        <v>85.9</v>
      </c>
      <c r="L35" s="15">
        <v>159</v>
      </c>
      <c r="M35" s="15">
        <v>153.80000000000001</v>
      </c>
      <c r="N35" s="23">
        <v>1322</v>
      </c>
      <c r="O35" s="15">
        <v>12.8</v>
      </c>
    </row>
    <row r="36" spans="5:15" x14ac:dyDescent="0.2">
      <c r="E36" s="80"/>
      <c r="F36" s="16" t="s">
        <v>1182</v>
      </c>
      <c r="G36" s="23">
        <v>11553</v>
      </c>
      <c r="H36" s="15">
        <v>481</v>
      </c>
      <c r="I36" s="17">
        <v>4.2</v>
      </c>
      <c r="J36" s="23">
        <v>10881</v>
      </c>
      <c r="K36" s="15">
        <v>94.2</v>
      </c>
      <c r="L36" s="15">
        <v>191</v>
      </c>
      <c r="M36" s="15">
        <v>165.3</v>
      </c>
      <c r="N36" s="15">
        <v>965</v>
      </c>
      <c r="O36" s="15">
        <v>8.4</v>
      </c>
    </row>
    <row r="37" spans="5:15" x14ac:dyDescent="0.2">
      <c r="E37" s="80"/>
      <c r="F37" s="16" t="s">
        <v>1184</v>
      </c>
      <c r="G37" s="23">
        <v>10763</v>
      </c>
      <c r="H37" s="15">
        <v>657</v>
      </c>
      <c r="I37" s="17">
        <v>6.1</v>
      </c>
      <c r="J37" s="23">
        <v>9963</v>
      </c>
      <c r="K37" s="15">
        <v>92.6</v>
      </c>
      <c r="L37" s="15">
        <v>143</v>
      </c>
      <c r="M37" s="15">
        <v>132.9</v>
      </c>
      <c r="N37" s="23">
        <v>1070</v>
      </c>
      <c r="O37" s="15">
        <v>9.9</v>
      </c>
    </row>
    <row r="38" spans="5:15" x14ac:dyDescent="0.2">
      <c r="E38" s="80"/>
      <c r="F38" s="16" t="s">
        <v>1186</v>
      </c>
      <c r="G38" s="23">
        <v>6869</v>
      </c>
      <c r="H38" s="23">
        <v>5130</v>
      </c>
      <c r="I38" s="15">
        <v>74.7</v>
      </c>
      <c r="J38" s="23">
        <v>1646</v>
      </c>
      <c r="K38" s="15">
        <v>24</v>
      </c>
      <c r="L38" s="15">
        <v>93</v>
      </c>
      <c r="M38" s="15">
        <v>135.4</v>
      </c>
      <c r="N38" s="15">
        <v>818</v>
      </c>
      <c r="O38" s="15">
        <v>11.9</v>
      </c>
    </row>
    <row r="39" spans="5:15" x14ac:dyDescent="0.2">
      <c r="E39" s="80"/>
      <c r="F39" s="47" t="s">
        <v>1188</v>
      </c>
      <c r="G39" s="23">
        <v>6869</v>
      </c>
      <c r="H39" s="23">
        <v>5130</v>
      </c>
      <c r="I39" s="15">
        <v>74.7</v>
      </c>
      <c r="J39" s="23">
        <v>1646</v>
      </c>
      <c r="K39" s="15">
        <v>24</v>
      </c>
      <c r="L39" s="15">
        <v>93</v>
      </c>
      <c r="M39" s="15">
        <v>135.4</v>
      </c>
      <c r="N39" s="15">
        <v>818</v>
      </c>
      <c r="O39" s="15">
        <v>11.9</v>
      </c>
    </row>
    <row r="40" spans="5:15" x14ac:dyDescent="0.2">
      <c r="E40" s="80"/>
      <c r="F40" s="16" t="s">
        <v>1191</v>
      </c>
      <c r="G40" s="23">
        <v>3533</v>
      </c>
      <c r="H40" s="15">
        <v>480</v>
      </c>
      <c r="I40" s="15">
        <v>13.6</v>
      </c>
      <c r="J40" s="23">
        <v>2912</v>
      </c>
      <c r="K40" s="15">
        <v>82.4</v>
      </c>
      <c r="L40" s="15">
        <v>141</v>
      </c>
      <c r="M40" s="15">
        <v>399.1</v>
      </c>
      <c r="N40" s="15">
        <v>454</v>
      </c>
      <c r="O40" s="15">
        <v>12.9</v>
      </c>
    </row>
    <row r="41" spans="5:15" x14ac:dyDescent="0.2">
      <c r="E41" s="80"/>
      <c r="F41" s="16" t="s">
        <v>1195</v>
      </c>
      <c r="G41" s="23">
        <v>1539</v>
      </c>
      <c r="H41" s="15">
        <v>50</v>
      </c>
      <c r="I41" s="15">
        <v>3.2</v>
      </c>
      <c r="J41" s="23">
        <v>1458</v>
      </c>
      <c r="K41" s="15">
        <v>94.7</v>
      </c>
      <c r="L41" s="15">
        <v>31</v>
      </c>
      <c r="M41" s="15">
        <v>201.4</v>
      </c>
      <c r="N41" s="15">
        <v>122</v>
      </c>
      <c r="O41" s="15">
        <v>7.9</v>
      </c>
    </row>
    <row r="42" spans="5:15" x14ac:dyDescent="0.2">
      <c r="E42" s="80"/>
      <c r="F42" s="47" t="s">
        <v>1199</v>
      </c>
      <c r="G42" s="23">
        <v>1151</v>
      </c>
      <c r="H42" s="15">
        <v>46</v>
      </c>
      <c r="I42" s="15">
        <v>4</v>
      </c>
      <c r="J42" s="23">
        <v>1074</v>
      </c>
      <c r="K42" s="15">
        <v>93.3</v>
      </c>
      <c r="L42" s="15">
        <v>31</v>
      </c>
      <c r="M42" s="15">
        <v>269.3</v>
      </c>
      <c r="N42" s="15">
        <v>102</v>
      </c>
      <c r="O42" s="15">
        <v>8.9</v>
      </c>
    </row>
    <row r="43" spans="5:15" x14ac:dyDescent="0.2">
      <c r="E43" s="80"/>
      <c r="F43" s="47" t="s">
        <v>1200</v>
      </c>
      <c r="G43" s="15">
        <v>388</v>
      </c>
      <c r="H43" s="15">
        <v>4</v>
      </c>
      <c r="I43" s="15">
        <v>1</v>
      </c>
      <c r="J43" s="15">
        <v>384</v>
      </c>
      <c r="K43" s="15">
        <v>99</v>
      </c>
      <c r="L43" s="15">
        <v>0</v>
      </c>
      <c r="M43" s="15">
        <v>0</v>
      </c>
      <c r="N43" s="15">
        <v>20</v>
      </c>
      <c r="O43" s="15">
        <v>5.2</v>
      </c>
    </row>
    <row r="44" spans="5:15" x14ac:dyDescent="0.2">
      <c r="E44" s="80"/>
      <c r="F44" s="16" t="s">
        <v>1201</v>
      </c>
      <c r="G44" s="23">
        <v>11910</v>
      </c>
      <c r="H44" s="15">
        <v>882</v>
      </c>
      <c r="I44" s="15">
        <v>7.4</v>
      </c>
      <c r="J44" s="23">
        <v>10642</v>
      </c>
      <c r="K44" s="15">
        <v>89.4</v>
      </c>
      <c r="L44" s="15">
        <v>386</v>
      </c>
      <c r="M44" s="15">
        <v>324.10000000000002</v>
      </c>
      <c r="N44" s="23">
        <v>1086</v>
      </c>
      <c r="O44" s="15">
        <v>9.1</v>
      </c>
    </row>
    <row r="45" spans="5:15" x14ac:dyDescent="0.2">
      <c r="E45" s="80"/>
      <c r="F45" s="16" t="s">
        <v>1202</v>
      </c>
      <c r="G45" s="23">
        <v>11743</v>
      </c>
      <c r="H45" s="15">
        <v>446</v>
      </c>
      <c r="I45" s="15">
        <v>3.8</v>
      </c>
      <c r="J45" s="23">
        <v>11132</v>
      </c>
      <c r="K45" s="15">
        <v>94.8</v>
      </c>
      <c r="L45" s="15">
        <v>165</v>
      </c>
      <c r="M45" s="15">
        <v>140.5</v>
      </c>
      <c r="N45" s="15">
        <v>974</v>
      </c>
      <c r="O45" s="15">
        <v>8.3000000000000007</v>
      </c>
    </row>
    <row r="46" spans="5:15" x14ac:dyDescent="0.2">
      <c r="E46" s="80"/>
      <c r="F46" s="47" t="s">
        <v>1203</v>
      </c>
      <c r="G46" s="15">
        <v>936</v>
      </c>
      <c r="H46" s="15">
        <v>21</v>
      </c>
      <c r="I46" s="15">
        <v>2.2000000000000002</v>
      </c>
      <c r="J46" s="15">
        <v>910</v>
      </c>
      <c r="K46" s="15">
        <v>97.2</v>
      </c>
      <c r="L46" s="15">
        <v>5</v>
      </c>
      <c r="M46" s="15">
        <v>53.4</v>
      </c>
      <c r="N46" s="15">
        <v>107</v>
      </c>
      <c r="O46" s="15">
        <v>11.4</v>
      </c>
    </row>
    <row r="47" spans="5:15" x14ac:dyDescent="0.2">
      <c r="E47" s="80"/>
      <c r="F47" s="47" t="s">
        <v>1204</v>
      </c>
      <c r="G47" s="23">
        <v>1181</v>
      </c>
      <c r="H47" s="15">
        <v>123</v>
      </c>
      <c r="I47" s="15">
        <v>10.4</v>
      </c>
      <c r="J47" s="23">
        <v>1007</v>
      </c>
      <c r="K47" s="15">
        <v>85.3</v>
      </c>
      <c r="L47" s="15">
        <v>51</v>
      </c>
      <c r="M47" s="15">
        <v>431.8</v>
      </c>
      <c r="N47" s="15">
        <v>186</v>
      </c>
      <c r="O47" s="15">
        <v>15.7</v>
      </c>
    </row>
    <row r="48" spans="5:15" x14ac:dyDescent="0.2">
      <c r="E48" s="80"/>
      <c r="F48" s="47" t="s">
        <v>1205</v>
      </c>
      <c r="G48" s="23">
        <v>2998</v>
      </c>
      <c r="H48" s="15">
        <v>175</v>
      </c>
      <c r="I48" s="15">
        <v>5.8</v>
      </c>
      <c r="J48" s="23">
        <v>2763</v>
      </c>
      <c r="K48" s="15">
        <v>92.2</v>
      </c>
      <c r="L48" s="15">
        <v>60</v>
      </c>
      <c r="M48" s="15">
        <v>200.1</v>
      </c>
      <c r="N48" s="15">
        <v>277</v>
      </c>
      <c r="O48" s="15">
        <v>9.1999999999999993</v>
      </c>
    </row>
    <row r="49" spans="5:15" x14ac:dyDescent="0.2">
      <c r="E49" s="80"/>
      <c r="F49" s="16" t="s">
        <v>1206</v>
      </c>
      <c r="G49" s="23">
        <v>2468</v>
      </c>
      <c r="H49" s="15">
        <v>114</v>
      </c>
      <c r="I49" s="15">
        <v>4.5999999999999996</v>
      </c>
      <c r="J49" s="23">
        <v>2308</v>
      </c>
      <c r="K49" s="15">
        <v>93.5</v>
      </c>
      <c r="L49" s="15">
        <v>46</v>
      </c>
      <c r="M49" s="15">
        <v>186.4</v>
      </c>
      <c r="N49" s="15">
        <v>128</v>
      </c>
      <c r="O49" s="15">
        <v>5.2</v>
      </c>
    </row>
    <row r="50" spans="5:15" x14ac:dyDescent="0.2">
      <c r="E50" s="80"/>
      <c r="F50" s="16" t="s">
        <v>1207</v>
      </c>
      <c r="G50" s="23">
        <v>3822</v>
      </c>
      <c r="H50" s="15">
        <v>127</v>
      </c>
      <c r="I50" s="15">
        <v>3.3</v>
      </c>
      <c r="J50" s="23">
        <v>3684</v>
      </c>
      <c r="K50" s="15">
        <v>96.4</v>
      </c>
      <c r="L50" s="15">
        <v>11</v>
      </c>
      <c r="M50" s="15">
        <v>28.8</v>
      </c>
      <c r="N50" s="15">
        <v>372</v>
      </c>
      <c r="O50" s="15">
        <v>9.6999999999999993</v>
      </c>
    </row>
    <row r="51" spans="5:15" x14ac:dyDescent="0.2">
      <c r="E51" s="80"/>
      <c r="F51" s="47" t="s">
        <v>1654</v>
      </c>
      <c r="G51" s="15">
        <v>259</v>
      </c>
      <c r="H51" s="15">
        <v>5</v>
      </c>
      <c r="I51" s="15">
        <v>1.9</v>
      </c>
      <c r="J51" s="15">
        <v>254</v>
      </c>
      <c r="K51" s="15">
        <v>98.1</v>
      </c>
      <c r="L51" s="15">
        <v>0</v>
      </c>
      <c r="M51" s="15">
        <v>0</v>
      </c>
      <c r="N51" s="15">
        <v>16</v>
      </c>
      <c r="O51" s="15">
        <v>6.2</v>
      </c>
    </row>
    <row r="52" spans="5:15" x14ac:dyDescent="0.2">
      <c r="E52" s="80"/>
      <c r="F52" s="47" t="s">
        <v>1208</v>
      </c>
      <c r="G52" s="23">
        <v>3563</v>
      </c>
      <c r="H52" s="15">
        <v>122</v>
      </c>
      <c r="I52" s="15">
        <v>3.4</v>
      </c>
      <c r="J52" s="23">
        <v>3430</v>
      </c>
      <c r="K52" s="15">
        <v>96.3</v>
      </c>
      <c r="L52" s="15">
        <v>11</v>
      </c>
      <c r="M52" s="15">
        <v>30.9</v>
      </c>
      <c r="N52" s="15">
        <v>356</v>
      </c>
      <c r="O52" s="15">
        <v>10</v>
      </c>
    </row>
    <row r="53" spans="5:15" x14ac:dyDescent="0.2">
      <c r="E53" s="80"/>
    </row>
    <row r="54" spans="5:15" x14ac:dyDescent="0.2">
      <c r="E54" s="80"/>
    </row>
    <row r="55" spans="5:15" x14ac:dyDescent="0.2">
      <c r="E55" s="80"/>
    </row>
    <row r="56" spans="5:15" x14ac:dyDescent="0.2">
      <c r="E56" s="80"/>
    </row>
    <row r="57" spans="5:15" x14ac:dyDescent="0.2">
      <c r="E57" s="80"/>
    </row>
  </sheetData>
  <mergeCells count="13">
    <mergeCell ref="G5:G6"/>
    <mergeCell ref="B1:O1"/>
    <mergeCell ref="A21:B21"/>
    <mergeCell ref="E5:E57"/>
    <mergeCell ref="J5:K5"/>
    <mergeCell ref="N5:O5"/>
    <mergeCell ref="A5:B5"/>
    <mergeCell ref="H5:I5"/>
    <mergeCell ref="L5:M5"/>
    <mergeCell ref="A18:B18"/>
    <mergeCell ref="F5:F6"/>
    <mergeCell ref="A9:B9"/>
    <mergeCell ref="A27:B27"/>
  </mergeCells>
  <dataValidations count="4">
    <dataValidation type="list" allowBlank="1" showInputMessage="1" showErrorMessage="1" sqref="P4:Q4" xr:uid="{00000000-0002-0000-2800-000000000000}">
      <formula1>"integer, number, percent1"</formula1>
    </dataValidation>
    <dataValidation type="list" allowBlank="1" showInputMessage="1" showErrorMessage="1" sqref="B10" xr:uid="{00000000-0002-0000-2800-000001000000}">
      <formula1>"Line,Clustered Bar,Stacked Bar,Bar,Horizontal Stacked Bar"</formula1>
    </dataValidation>
    <dataValidation type="list" allowBlank="1" showInputMessage="1" showErrorMessage="1" sqref="B2" xr:uid="{00000000-0002-0000-2800-000002000000}">
      <formula1>"Table,Figure,Both"</formula1>
    </dataValidation>
    <dataValidation type="list" allowBlank="1" showInputMessage="1" showErrorMessage="1" sqref="B6 B15:B16" xr:uid="{00000000-0002-0000-2800-000003000000}">
      <formula1>"True,False"</formula1>
    </dataValidation>
  </dataValidation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Q57"/>
  <sheetViews>
    <sheetView topLeftCell="A3" workbookViewId="0">
      <selection activeCell="H9" sqref="H9"/>
    </sheetView>
  </sheetViews>
  <sheetFormatPr baseColWidth="10" defaultColWidth="8.6640625" defaultRowHeight="15" x14ac:dyDescent="0.2"/>
  <cols>
    <col min="1" max="1" width="20" bestFit="1" customWidth="1"/>
    <col min="2" max="2" width="22.1640625" bestFit="1" customWidth="1"/>
    <col min="5" max="5" width="6.6640625" customWidth="1"/>
    <col min="6" max="6" width="120" bestFit="1" customWidth="1"/>
    <col min="7" max="7" width="38" bestFit="1" customWidth="1"/>
    <col min="8" max="8" width="24.6640625" customWidth="1"/>
    <col min="9" max="9" width="38"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148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tbl-pop-served-ocdss</v>
      </c>
    </row>
    <row r="4" spans="1:17" x14ac:dyDescent="0.2">
      <c r="A4" s="16" t="s">
        <v>7</v>
      </c>
      <c r="B4" t="str">
        <f>IF($B$1="","",_xlfn.XLOOKUP($B$1,Master!$F$2:$F$321,Master!$H$2:$H$321,""))</f>
        <v>fig-pop-served-ocdss</v>
      </c>
      <c r="E4" s="8"/>
      <c r="F4" s="10" t="s">
        <v>968</v>
      </c>
      <c r="G4" s="10" t="s">
        <v>973</v>
      </c>
      <c r="H4" s="10" t="s">
        <v>973</v>
      </c>
      <c r="I4" s="10" t="s">
        <v>973</v>
      </c>
      <c r="J4" s="10"/>
      <c r="K4" s="10"/>
      <c r="L4" s="10"/>
      <c r="M4" s="10"/>
      <c r="N4" s="10"/>
      <c r="O4" s="10"/>
      <c r="P4" s="10"/>
      <c r="Q4" s="10"/>
    </row>
    <row r="5" spans="1:17" x14ac:dyDescent="0.2">
      <c r="A5" s="83" t="s">
        <v>1081</v>
      </c>
      <c r="B5" s="80"/>
      <c r="E5" s="82" t="s">
        <v>1082</v>
      </c>
      <c r="F5" s="16" t="s">
        <v>1655</v>
      </c>
      <c r="G5">
        <v>2022</v>
      </c>
      <c r="H5">
        <v>2023</v>
      </c>
      <c r="I5">
        <v>2024</v>
      </c>
    </row>
    <row r="6" spans="1:17" ht="15" customHeight="1" x14ac:dyDescent="0.2">
      <c r="A6" t="s">
        <v>1088</v>
      </c>
      <c r="B6" t="b">
        <v>1</v>
      </c>
      <c r="E6" s="80"/>
      <c r="F6" s="37" t="s">
        <v>1656</v>
      </c>
      <c r="G6" s="23">
        <v>3611</v>
      </c>
      <c r="H6" s="23">
        <v>3831</v>
      </c>
      <c r="I6" s="23">
        <v>3620</v>
      </c>
      <c r="J6" s="15"/>
      <c r="K6" s="15"/>
      <c r="L6" s="15"/>
      <c r="M6" s="15"/>
      <c r="N6" s="15"/>
      <c r="O6" s="15"/>
    </row>
    <row r="7" spans="1:17" ht="15.75" customHeight="1" x14ac:dyDescent="0.2">
      <c r="E7" s="80"/>
      <c r="F7" s="37" t="s">
        <v>1657</v>
      </c>
      <c r="G7" s="15">
        <v>248</v>
      </c>
      <c r="H7" s="15">
        <v>220</v>
      </c>
      <c r="I7" s="15">
        <v>201</v>
      </c>
      <c r="J7" s="15"/>
      <c r="K7" s="15"/>
      <c r="L7" s="15"/>
      <c r="M7" s="15"/>
      <c r="N7" s="15"/>
      <c r="O7" s="15"/>
    </row>
    <row r="8" spans="1:17" x14ac:dyDescent="0.2">
      <c r="E8" s="80"/>
      <c r="F8" s="37" t="s">
        <v>1658</v>
      </c>
      <c r="G8" s="15">
        <v>120</v>
      </c>
      <c r="H8" s="15">
        <v>127</v>
      </c>
      <c r="I8" s="15">
        <v>116</v>
      </c>
      <c r="J8" s="15"/>
      <c r="K8" s="15"/>
      <c r="L8" s="15"/>
      <c r="M8" s="15"/>
      <c r="N8" s="15"/>
      <c r="O8" s="15"/>
    </row>
    <row r="9" spans="1:17" x14ac:dyDescent="0.2">
      <c r="A9" s="83" t="s">
        <v>1098</v>
      </c>
      <c r="B9" s="80"/>
      <c r="E9" s="80"/>
      <c r="F9" s="37" t="s">
        <v>1659</v>
      </c>
      <c r="G9" s="15">
        <v>28</v>
      </c>
      <c r="H9">
        <v>23</v>
      </c>
      <c r="I9">
        <v>25</v>
      </c>
      <c r="J9" s="15"/>
      <c r="K9" s="15"/>
      <c r="L9" s="15"/>
      <c r="M9" s="15"/>
      <c r="N9" s="15"/>
      <c r="O9" s="15"/>
    </row>
    <row r="10" spans="1:17" x14ac:dyDescent="0.2">
      <c r="A10" t="s">
        <v>1100</v>
      </c>
      <c r="E10" s="80"/>
      <c r="F10" s="37" t="s">
        <v>1660</v>
      </c>
      <c r="G10" s="15">
        <v>179</v>
      </c>
      <c r="H10" s="15">
        <v>188</v>
      </c>
      <c r="I10" s="15">
        <v>184</v>
      </c>
    </row>
    <row r="11" spans="1:17" x14ac:dyDescent="0.2">
      <c r="A11" t="s">
        <v>1102</v>
      </c>
      <c r="E11" s="80"/>
      <c r="F11" s="90" t="s">
        <v>1661</v>
      </c>
      <c r="G11" s="80"/>
      <c r="H11" s="80"/>
      <c r="I11" s="80"/>
      <c r="J11" s="17"/>
      <c r="K11" s="17"/>
      <c r="L11" s="17"/>
      <c r="M11" s="17"/>
      <c r="N11" s="17"/>
    </row>
    <row r="12" spans="1:17" x14ac:dyDescent="0.2">
      <c r="A12" t="s">
        <v>1104</v>
      </c>
      <c r="E12" s="80"/>
      <c r="F12" s="37" t="s">
        <v>1662</v>
      </c>
      <c r="G12" s="14">
        <v>3434</v>
      </c>
      <c r="H12" s="14">
        <v>3855</v>
      </c>
      <c r="I12" s="14">
        <v>4181</v>
      </c>
      <c r="J12" s="15"/>
      <c r="K12" s="15"/>
      <c r="L12" s="15"/>
    </row>
    <row r="13" spans="1:17" x14ac:dyDescent="0.2">
      <c r="A13" t="s">
        <v>1108</v>
      </c>
      <c r="E13" s="80"/>
      <c r="F13" s="37" t="s">
        <v>1663</v>
      </c>
      <c r="G13" s="14">
        <v>1336</v>
      </c>
      <c r="H13" s="14">
        <v>1471</v>
      </c>
      <c r="I13" s="14">
        <v>1605</v>
      </c>
    </row>
    <row r="14" spans="1:17" x14ac:dyDescent="0.2">
      <c r="A14" t="s">
        <v>1112</v>
      </c>
      <c r="E14" s="80"/>
      <c r="F14" s="37" t="s">
        <v>1664</v>
      </c>
      <c r="G14" s="14">
        <v>2327</v>
      </c>
      <c r="H14" s="14">
        <v>2624</v>
      </c>
      <c r="I14" s="14">
        <v>2873</v>
      </c>
    </row>
    <row r="15" spans="1:17" x14ac:dyDescent="0.2">
      <c r="A15" t="s">
        <v>1114</v>
      </c>
      <c r="E15" s="80"/>
      <c r="F15" s="37" t="s">
        <v>1665</v>
      </c>
      <c r="G15">
        <v>504</v>
      </c>
      <c r="H15">
        <v>527</v>
      </c>
      <c r="I15">
        <v>565</v>
      </c>
    </row>
    <row r="16" spans="1:17" x14ac:dyDescent="0.2">
      <c r="A16" t="s">
        <v>1116</v>
      </c>
      <c r="E16" s="80"/>
      <c r="F16" s="37" t="s">
        <v>1666</v>
      </c>
      <c r="G16">
        <v>832</v>
      </c>
      <c r="H16">
        <v>944</v>
      </c>
      <c r="I16" s="14">
        <v>1040</v>
      </c>
    </row>
    <row r="17" spans="1:11" x14ac:dyDescent="0.2">
      <c r="E17" s="80"/>
      <c r="F17" s="37" t="s">
        <v>1667</v>
      </c>
      <c r="G17" s="14">
        <v>23796</v>
      </c>
      <c r="H17" s="14">
        <v>28602</v>
      </c>
      <c r="I17" s="14">
        <v>20929</v>
      </c>
    </row>
    <row r="18" spans="1:11" x14ac:dyDescent="0.2">
      <c r="A18" s="83" t="s">
        <v>1119</v>
      </c>
      <c r="B18" s="80"/>
      <c r="E18" s="80"/>
      <c r="F18" s="37" t="s">
        <v>1668</v>
      </c>
      <c r="G18" s="14">
        <v>1728</v>
      </c>
      <c r="H18" s="14">
        <v>2572</v>
      </c>
      <c r="I18" s="14">
        <v>3042</v>
      </c>
    </row>
    <row r="19" spans="1:11" x14ac:dyDescent="0.2">
      <c r="A19" t="s">
        <v>1121</v>
      </c>
      <c r="B19" t="s">
        <v>1669</v>
      </c>
      <c r="E19" s="80"/>
      <c r="F19" s="37" t="s">
        <v>1670</v>
      </c>
      <c r="G19" s="23">
        <v>20975</v>
      </c>
      <c r="H19" s="23">
        <v>20739</v>
      </c>
      <c r="I19" s="14">
        <v>19266</v>
      </c>
    </row>
    <row r="20" spans="1:11" x14ac:dyDescent="0.2">
      <c r="E20" s="80"/>
      <c r="F20" s="37" t="s">
        <v>1671</v>
      </c>
      <c r="G20" s="15">
        <v>0</v>
      </c>
      <c r="H20" s="15">
        <v>0</v>
      </c>
      <c r="I20">
        <v>0</v>
      </c>
    </row>
    <row r="21" spans="1:11" x14ac:dyDescent="0.2">
      <c r="A21" s="81" t="s">
        <v>1125</v>
      </c>
      <c r="B21" s="80"/>
      <c r="E21" s="80"/>
      <c r="F21" s="37" t="s">
        <v>1672</v>
      </c>
      <c r="G21" s="23">
        <v>12584</v>
      </c>
      <c r="H21" s="23">
        <v>14560</v>
      </c>
      <c r="I21" s="14">
        <v>12792</v>
      </c>
    </row>
    <row r="22" spans="1:11" x14ac:dyDescent="0.2">
      <c r="A22" t="s">
        <v>1135</v>
      </c>
      <c r="B22" t="s">
        <v>1673</v>
      </c>
      <c r="E22" s="80"/>
      <c r="F22" s="37" t="s">
        <v>1674</v>
      </c>
      <c r="G22" s="23">
        <v>17002</v>
      </c>
      <c r="H22" s="23">
        <v>17784</v>
      </c>
      <c r="I22" s="14">
        <v>18923</v>
      </c>
    </row>
    <row r="23" spans="1:11" x14ac:dyDescent="0.2">
      <c r="E23" s="80"/>
      <c r="F23" s="37" t="s">
        <v>1675</v>
      </c>
      <c r="G23" s="40">
        <v>20823245</v>
      </c>
      <c r="H23" s="40">
        <v>98665429</v>
      </c>
      <c r="I23" s="40">
        <v>119488674</v>
      </c>
    </row>
    <row r="24" spans="1:11" x14ac:dyDescent="0.2">
      <c r="E24" s="80"/>
      <c r="F24" s="37" t="s">
        <v>1676</v>
      </c>
      <c r="G24" s="15">
        <v>254</v>
      </c>
      <c r="H24" s="15">
        <v>302</v>
      </c>
      <c r="I24">
        <v>314</v>
      </c>
    </row>
    <row r="25" spans="1:11" ht="32" customHeight="1" x14ac:dyDescent="0.2">
      <c r="E25" s="80"/>
      <c r="F25" s="37" t="s">
        <v>1677</v>
      </c>
      <c r="G25" s="71" t="s">
        <v>1678</v>
      </c>
      <c r="H25" s="71" t="s">
        <v>1679</v>
      </c>
      <c r="I25" s="20" t="s">
        <v>1680</v>
      </c>
      <c r="K25" t="s">
        <v>1226</v>
      </c>
    </row>
    <row r="26" spans="1:11" x14ac:dyDescent="0.2">
      <c r="E26" s="80"/>
      <c r="F26" s="37" t="s">
        <v>1681</v>
      </c>
      <c r="G26" s="23">
        <v>1733</v>
      </c>
      <c r="H26" s="23">
        <v>2161</v>
      </c>
      <c r="I26" s="14">
        <v>2668</v>
      </c>
    </row>
    <row r="27" spans="1:11" x14ac:dyDescent="0.2">
      <c r="A27" s="81"/>
      <c r="B27" s="80"/>
      <c r="E27" s="80"/>
      <c r="F27" s="37" t="s">
        <v>1682</v>
      </c>
      <c r="G27" s="15">
        <v>265</v>
      </c>
      <c r="H27" s="15">
        <v>487</v>
      </c>
      <c r="I27">
        <v>737</v>
      </c>
    </row>
    <row r="28" spans="1:11" ht="48" customHeight="1" x14ac:dyDescent="0.2">
      <c r="E28" s="80"/>
      <c r="F28" s="37" t="s">
        <v>1683</v>
      </c>
      <c r="G28" s="71" t="s">
        <v>1684</v>
      </c>
      <c r="H28" s="71" t="s">
        <v>1685</v>
      </c>
      <c r="I28" s="71" t="s">
        <v>1686</v>
      </c>
    </row>
    <row r="29" spans="1:11" x14ac:dyDescent="0.2">
      <c r="E29" s="80"/>
      <c r="F29" s="37" t="s">
        <v>1687</v>
      </c>
      <c r="G29" s="15">
        <v>19</v>
      </c>
      <c r="H29" s="15">
        <v>90</v>
      </c>
      <c r="I29">
        <v>230</v>
      </c>
    </row>
    <row r="30" spans="1:11" x14ac:dyDescent="0.2">
      <c r="E30" s="80"/>
      <c r="F30" s="37" t="s">
        <v>1688</v>
      </c>
      <c r="G30" s="15">
        <v>12</v>
      </c>
      <c r="H30" s="15">
        <v>14</v>
      </c>
      <c r="I30">
        <v>12</v>
      </c>
    </row>
    <row r="31" spans="1:11" x14ac:dyDescent="0.2">
      <c r="E31" s="80"/>
      <c r="F31" s="85" t="s">
        <v>1689</v>
      </c>
      <c r="G31" s="80"/>
      <c r="H31" s="80"/>
      <c r="I31" s="80"/>
      <c r="K31" t="s">
        <v>1227</v>
      </c>
    </row>
    <row r="32" spans="1:11" x14ac:dyDescent="0.2">
      <c r="E32" s="80"/>
      <c r="F32" s="37" t="s">
        <v>1690</v>
      </c>
      <c r="G32" s="23">
        <v>10260</v>
      </c>
      <c r="H32" s="23">
        <v>9930</v>
      </c>
      <c r="I32" s="14">
        <v>9724</v>
      </c>
    </row>
    <row r="33" spans="5:9" x14ac:dyDescent="0.2">
      <c r="E33" s="80"/>
      <c r="F33" s="37" t="s">
        <v>1691</v>
      </c>
      <c r="G33" s="39">
        <v>38251624</v>
      </c>
      <c r="H33" s="39">
        <v>39675001</v>
      </c>
      <c r="I33" s="41">
        <v>41707553</v>
      </c>
    </row>
    <row r="34" spans="5:9" x14ac:dyDescent="0.2">
      <c r="E34" s="80"/>
      <c r="F34" s="37" t="s">
        <v>1692</v>
      </c>
      <c r="G34" s="15">
        <v>407</v>
      </c>
      <c r="H34" s="15">
        <v>709</v>
      </c>
      <c r="I34" s="17">
        <v>559</v>
      </c>
    </row>
    <row r="35" spans="5:9" x14ac:dyDescent="0.2">
      <c r="E35" s="80"/>
      <c r="F35" s="37" t="s">
        <v>1693</v>
      </c>
      <c r="G35" s="39">
        <v>637829</v>
      </c>
      <c r="H35" s="39">
        <v>1254285</v>
      </c>
      <c r="I35" s="41">
        <v>371227</v>
      </c>
    </row>
    <row r="36" spans="5:9" ht="48" customHeight="1" x14ac:dyDescent="0.2">
      <c r="E36" s="80"/>
      <c r="F36" s="37" t="s">
        <v>1694</v>
      </c>
      <c r="G36" s="71" t="s">
        <v>1695</v>
      </c>
      <c r="H36" s="71" t="s">
        <v>1696</v>
      </c>
      <c r="I36" s="35" t="s">
        <v>1697</v>
      </c>
    </row>
    <row r="37" spans="5:9" x14ac:dyDescent="0.2">
      <c r="E37" s="80"/>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9">
    <mergeCell ref="B1:O1"/>
    <mergeCell ref="A21:B21"/>
    <mergeCell ref="F31:I31"/>
    <mergeCell ref="E5:E57"/>
    <mergeCell ref="A9:B9"/>
    <mergeCell ref="F11:I11"/>
    <mergeCell ref="A5:B5"/>
    <mergeCell ref="A18:B18"/>
    <mergeCell ref="A27:B27"/>
  </mergeCells>
  <dataValidations count="4">
    <dataValidation type="list" allowBlank="1" showInputMessage="1" showErrorMessage="1" sqref="P4:Q4" xr:uid="{00000000-0002-0000-2900-000000000000}">
      <formula1>"integer, number, percent1"</formula1>
    </dataValidation>
    <dataValidation type="list" allowBlank="1" showInputMessage="1" showErrorMessage="1" sqref="B10" xr:uid="{00000000-0002-0000-2900-000001000000}">
      <formula1>"Line,Clustered Bar,Stacked Bar,Bar,Horizontal Stacked Bar"</formula1>
    </dataValidation>
    <dataValidation type="list" allowBlank="1" showInputMessage="1" showErrorMessage="1" sqref="B2" xr:uid="{00000000-0002-0000-2900-000002000000}">
      <formula1>"Table,Figure,Both"</formula1>
    </dataValidation>
    <dataValidation type="list" allowBlank="1" showInputMessage="1" showErrorMessage="1" sqref="B6 B15:B16" xr:uid="{00000000-0002-0000-2900-000003000000}">
      <formula1>"True,False"</formula1>
    </dataValidation>
  </dataValidation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Q57"/>
  <sheetViews>
    <sheetView workbookViewId="0">
      <selection activeCell="G21" sqref="G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151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tbl-dzcircsystem-count-rate-age-rande-zip</v>
      </c>
    </row>
    <row r="4" spans="1:17" x14ac:dyDescent="0.2">
      <c r="A4" s="16" t="s">
        <v>7</v>
      </c>
      <c r="B4" t="str">
        <f>IF($B$1="","",_xlfn.XLOOKUP($B$1,Master!$F$2:$F$321,Master!$H$2:$H$321,""))</f>
        <v>fig-dzcircsystem-count-rate-age-rande-zip</v>
      </c>
      <c r="E4" s="8"/>
      <c r="F4" s="10" t="s">
        <v>1009</v>
      </c>
      <c r="G4" s="10" t="s">
        <v>973</v>
      </c>
      <c r="H4" s="10" t="s">
        <v>979</v>
      </c>
      <c r="I4" s="10" t="s">
        <v>973</v>
      </c>
      <c r="J4" s="10" t="s">
        <v>979</v>
      </c>
      <c r="K4" s="10" t="s">
        <v>973</v>
      </c>
      <c r="L4" s="10" t="s">
        <v>979</v>
      </c>
      <c r="M4" s="10" t="s">
        <v>973</v>
      </c>
      <c r="N4" s="10" t="s">
        <v>979</v>
      </c>
      <c r="O4" s="10" t="s">
        <v>973</v>
      </c>
      <c r="P4" s="10" t="s">
        <v>979</v>
      </c>
      <c r="Q4" s="10"/>
    </row>
    <row r="5" spans="1:17" x14ac:dyDescent="0.2">
      <c r="A5" s="83" t="s">
        <v>1081</v>
      </c>
      <c r="B5" s="80"/>
      <c r="E5" s="82" t="s">
        <v>1082</v>
      </c>
      <c r="F5" s="85" t="s">
        <v>1391</v>
      </c>
      <c r="G5" s="81">
        <v>2020</v>
      </c>
      <c r="H5" s="80"/>
      <c r="I5" s="81">
        <v>2021</v>
      </c>
      <c r="J5" s="80"/>
      <c r="K5" s="81">
        <v>2022</v>
      </c>
      <c r="L5" s="80"/>
      <c r="M5" s="81">
        <v>2023</v>
      </c>
      <c r="N5" s="80"/>
      <c r="O5" s="81" t="s">
        <v>2358</v>
      </c>
      <c r="P5" s="80"/>
    </row>
    <row r="6" spans="1:17" ht="15" customHeight="1" x14ac:dyDescent="0.2">
      <c r="A6" t="s">
        <v>1088</v>
      </c>
      <c r="B6" t="b">
        <v>1</v>
      </c>
      <c r="E6" s="80"/>
      <c r="F6" s="85"/>
      <c r="G6" s="15" t="s">
        <v>1272</v>
      </c>
      <c r="H6" s="15" t="s">
        <v>1273</v>
      </c>
      <c r="I6" s="15" t="s">
        <v>1272</v>
      </c>
      <c r="J6" s="15" t="s">
        <v>1273</v>
      </c>
      <c r="K6" s="15" t="s">
        <v>1272</v>
      </c>
      <c r="L6" s="15" t="s">
        <v>1273</v>
      </c>
      <c r="M6" s="15" t="s">
        <v>1272</v>
      </c>
      <c r="N6" s="15" t="s">
        <v>1273</v>
      </c>
      <c r="O6" s="15" t="s">
        <v>1272</v>
      </c>
      <c r="P6" s="15" t="s">
        <v>1275</v>
      </c>
    </row>
    <row r="7" spans="1:17" ht="15.75" customHeight="1" x14ac:dyDescent="0.2">
      <c r="E7" s="80"/>
      <c r="F7" s="16" t="s">
        <v>1698</v>
      </c>
      <c r="G7" s="15">
        <v>68</v>
      </c>
      <c r="H7" s="15">
        <v>17.8</v>
      </c>
      <c r="I7" s="15">
        <v>39</v>
      </c>
      <c r="J7" s="15">
        <v>9.8000000000000007</v>
      </c>
      <c r="K7" s="15">
        <v>65</v>
      </c>
      <c r="L7" s="15">
        <v>16.2</v>
      </c>
      <c r="M7" s="15">
        <v>73</v>
      </c>
      <c r="N7" s="15">
        <v>18.100000000000001</v>
      </c>
      <c r="O7" s="15">
        <v>245</v>
      </c>
      <c r="P7" s="15">
        <v>15.5</v>
      </c>
    </row>
    <row r="8" spans="1:17" x14ac:dyDescent="0.2">
      <c r="E8" s="80"/>
      <c r="F8" s="91" t="s">
        <v>1276</v>
      </c>
      <c r="G8" s="80"/>
      <c r="H8" s="80"/>
      <c r="I8" s="80"/>
      <c r="J8" s="80"/>
      <c r="K8" s="80"/>
      <c r="L8" s="80"/>
      <c r="M8" s="80"/>
      <c r="N8" s="80"/>
      <c r="O8" s="80"/>
      <c r="P8" s="80"/>
    </row>
    <row r="9" spans="1:17" x14ac:dyDescent="0.2">
      <c r="A9" s="83" t="s">
        <v>1098</v>
      </c>
      <c r="B9" s="80"/>
      <c r="E9" s="80"/>
      <c r="F9" s="47" t="s">
        <v>1277</v>
      </c>
      <c r="G9" s="15">
        <v>0</v>
      </c>
      <c r="H9" s="15">
        <v>0</v>
      </c>
      <c r="I9" s="15" t="s">
        <v>1031</v>
      </c>
      <c r="J9" s="15" t="s">
        <v>1031</v>
      </c>
      <c r="K9" s="15">
        <v>0</v>
      </c>
      <c r="L9" s="15">
        <v>0</v>
      </c>
      <c r="M9" s="15" t="s">
        <v>1031</v>
      </c>
      <c r="N9" s="15" t="s">
        <v>1031</v>
      </c>
      <c r="O9" s="15" t="s">
        <v>1031</v>
      </c>
      <c r="P9" s="15" t="s">
        <v>1031</v>
      </c>
    </row>
    <row r="10" spans="1:17" x14ac:dyDescent="0.2">
      <c r="A10" t="s">
        <v>1100</v>
      </c>
      <c r="E10" s="80"/>
      <c r="F10" s="49" t="s">
        <v>1699</v>
      </c>
      <c r="G10" s="15" t="s">
        <v>1031</v>
      </c>
      <c r="H10" s="15" t="s">
        <v>1031</v>
      </c>
      <c r="I10" s="15">
        <v>0</v>
      </c>
      <c r="J10" s="15">
        <v>0</v>
      </c>
      <c r="K10" s="15">
        <v>0</v>
      </c>
      <c r="L10" s="15">
        <v>0</v>
      </c>
      <c r="M10" s="15">
        <v>0</v>
      </c>
      <c r="N10" s="15">
        <v>0</v>
      </c>
      <c r="O10" s="15" t="s">
        <v>1031</v>
      </c>
      <c r="P10" s="15" t="s">
        <v>1031</v>
      </c>
    </row>
    <row r="11" spans="1:17" x14ac:dyDescent="0.2">
      <c r="A11" t="s">
        <v>1102</v>
      </c>
      <c r="E11" s="80"/>
      <c r="F11" s="49" t="s">
        <v>1700</v>
      </c>
      <c r="G11" s="15">
        <v>0</v>
      </c>
      <c r="H11" s="15">
        <v>0</v>
      </c>
      <c r="I11" s="15">
        <v>0</v>
      </c>
      <c r="J11" s="15">
        <v>0</v>
      </c>
      <c r="K11" s="15">
        <v>0</v>
      </c>
      <c r="L11" s="15">
        <v>0</v>
      </c>
      <c r="M11" s="15">
        <v>0</v>
      </c>
      <c r="N11" s="15">
        <v>0</v>
      </c>
      <c r="O11" s="15">
        <v>0</v>
      </c>
      <c r="P11" s="15">
        <v>0</v>
      </c>
    </row>
    <row r="12" spans="1:17" x14ac:dyDescent="0.2">
      <c r="A12" t="s">
        <v>1104</v>
      </c>
      <c r="E12" s="80"/>
      <c r="F12" s="47" t="s">
        <v>1701</v>
      </c>
      <c r="G12" s="15" t="s">
        <v>1031</v>
      </c>
      <c r="H12" s="15" t="s">
        <v>1031</v>
      </c>
      <c r="I12" s="15" t="s">
        <v>1031</v>
      </c>
      <c r="J12" s="17" t="s">
        <v>1031</v>
      </c>
      <c r="K12" s="17" t="s">
        <v>1031</v>
      </c>
      <c r="L12" s="17" t="s">
        <v>1031</v>
      </c>
      <c r="M12" s="17" t="s">
        <v>1031</v>
      </c>
      <c r="N12" s="17" t="s">
        <v>1031</v>
      </c>
      <c r="O12" s="15" t="s">
        <v>1031</v>
      </c>
      <c r="P12" s="15" t="s">
        <v>1031</v>
      </c>
    </row>
    <row r="13" spans="1:17" x14ac:dyDescent="0.2">
      <c r="A13" t="s">
        <v>1108</v>
      </c>
      <c r="E13" s="80"/>
      <c r="F13" s="48" t="s">
        <v>1702</v>
      </c>
      <c r="G13" s="17" t="s">
        <v>1031</v>
      </c>
      <c r="H13" s="17" t="s">
        <v>1031</v>
      </c>
      <c r="I13" s="15" t="s">
        <v>1031</v>
      </c>
      <c r="J13" s="15" t="s">
        <v>1031</v>
      </c>
      <c r="K13" s="15" t="s">
        <v>1031</v>
      </c>
      <c r="L13" s="15" t="s">
        <v>1031</v>
      </c>
      <c r="M13" s="15" t="s">
        <v>1031</v>
      </c>
      <c r="N13" s="15" t="s">
        <v>1031</v>
      </c>
      <c r="O13" s="15">
        <v>14</v>
      </c>
      <c r="P13" s="15">
        <v>7.5</v>
      </c>
    </row>
    <row r="14" spans="1:17" x14ac:dyDescent="0.2">
      <c r="A14" t="s">
        <v>1112</v>
      </c>
      <c r="E14" s="80"/>
      <c r="F14" s="47" t="s">
        <v>1703</v>
      </c>
      <c r="G14" s="15" t="s">
        <v>1031</v>
      </c>
      <c r="H14" s="15" t="s">
        <v>1031</v>
      </c>
      <c r="I14" s="15" t="s">
        <v>1031</v>
      </c>
      <c r="J14" s="15" t="s">
        <v>1031</v>
      </c>
      <c r="K14" s="15" t="s">
        <v>1031</v>
      </c>
      <c r="L14" s="15" t="s">
        <v>1031</v>
      </c>
      <c r="M14" s="15" t="s">
        <v>1031</v>
      </c>
      <c r="N14" s="15" t="s">
        <v>1031</v>
      </c>
      <c r="O14" s="15">
        <v>30</v>
      </c>
      <c r="P14" s="15">
        <v>15.7</v>
      </c>
    </row>
    <row r="15" spans="1:17" x14ac:dyDescent="0.2">
      <c r="A15" t="s">
        <v>1114</v>
      </c>
      <c r="E15" s="80"/>
      <c r="F15" s="47" t="s">
        <v>1704</v>
      </c>
      <c r="G15" s="15">
        <v>28</v>
      </c>
      <c r="H15" s="15">
        <v>53.5</v>
      </c>
      <c r="I15" s="15">
        <v>34</v>
      </c>
      <c r="J15" s="15">
        <v>63.7</v>
      </c>
      <c r="K15" s="15">
        <v>21</v>
      </c>
      <c r="L15" s="15">
        <v>40.1</v>
      </c>
      <c r="M15" s="15">
        <v>32</v>
      </c>
      <c r="N15" s="15">
        <v>62.1</v>
      </c>
      <c r="O15" s="15">
        <v>115</v>
      </c>
      <c r="P15" s="15">
        <v>54.9</v>
      </c>
    </row>
    <row r="16" spans="1:17" x14ac:dyDescent="0.2">
      <c r="A16" t="s">
        <v>1116</v>
      </c>
      <c r="E16" s="80"/>
      <c r="F16" s="47" t="s">
        <v>1705</v>
      </c>
      <c r="G16" s="15">
        <v>84</v>
      </c>
      <c r="H16" s="15">
        <v>172.5</v>
      </c>
      <c r="I16" s="15">
        <v>91</v>
      </c>
      <c r="J16" s="15">
        <v>177.1</v>
      </c>
      <c r="K16" s="15">
        <v>99</v>
      </c>
      <c r="L16" s="15">
        <v>193.4</v>
      </c>
      <c r="M16" s="15">
        <v>98</v>
      </c>
      <c r="N16" s="15">
        <v>190.3</v>
      </c>
      <c r="O16" s="15">
        <v>372</v>
      </c>
      <c r="P16" s="15">
        <v>183.3</v>
      </c>
    </row>
    <row r="17" spans="1:16" x14ac:dyDescent="0.2">
      <c r="E17" s="80"/>
      <c r="F17" s="47" t="s">
        <v>1706</v>
      </c>
      <c r="G17" s="15">
        <v>154</v>
      </c>
      <c r="H17" s="15">
        <v>488.4</v>
      </c>
      <c r="I17" s="15">
        <v>147</v>
      </c>
      <c r="J17" s="15">
        <v>439.2</v>
      </c>
      <c r="K17" s="15">
        <v>159</v>
      </c>
      <c r="L17" s="15">
        <v>469.7</v>
      </c>
      <c r="M17" s="15">
        <v>147</v>
      </c>
      <c r="N17" s="15">
        <v>421.9</v>
      </c>
      <c r="O17" s="15">
        <v>607</v>
      </c>
      <c r="P17" s="15">
        <v>454.8</v>
      </c>
    </row>
    <row r="18" spans="1:16" x14ac:dyDescent="0.2">
      <c r="A18" s="83" t="s">
        <v>1119</v>
      </c>
      <c r="B18" s="80"/>
      <c r="E18" s="80"/>
      <c r="F18" s="47" t="s">
        <v>1707</v>
      </c>
      <c r="G18" s="15">
        <v>196</v>
      </c>
      <c r="H18" s="15">
        <v>1329.3</v>
      </c>
      <c r="I18" s="15">
        <v>209</v>
      </c>
      <c r="J18" s="15">
        <v>1369.6</v>
      </c>
      <c r="K18" s="15">
        <v>230</v>
      </c>
      <c r="L18" s="15">
        <v>1451.7</v>
      </c>
      <c r="M18" s="15">
        <v>236</v>
      </c>
      <c r="N18" s="15">
        <v>1439.3</v>
      </c>
      <c r="O18" s="15">
        <v>871</v>
      </c>
      <c r="P18" s="15">
        <v>1397.4</v>
      </c>
    </row>
    <row r="19" spans="1:16" x14ac:dyDescent="0.2">
      <c r="A19" t="s">
        <v>1121</v>
      </c>
      <c r="B19" t="s">
        <v>1287</v>
      </c>
      <c r="E19" s="80"/>
      <c r="F19" s="47" t="s">
        <v>1288</v>
      </c>
      <c r="G19" s="15">
        <v>365</v>
      </c>
      <c r="H19" s="15">
        <v>5105.6000000000004</v>
      </c>
      <c r="I19" s="15">
        <v>297</v>
      </c>
      <c r="J19" s="15">
        <v>4359.3</v>
      </c>
      <c r="K19" s="15">
        <v>295</v>
      </c>
      <c r="L19" s="15">
        <v>4202.3</v>
      </c>
      <c r="M19" s="15">
        <v>313</v>
      </c>
      <c r="N19" s="15">
        <v>4665.3999999999996</v>
      </c>
      <c r="O19" s="15">
        <v>1270</v>
      </c>
      <c r="P19" s="15">
        <v>4583.1000000000004</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686</v>
      </c>
      <c r="H21" s="15">
        <v>284.39999999999998</v>
      </c>
      <c r="I21" s="15">
        <v>635</v>
      </c>
      <c r="J21" s="15">
        <v>256.2</v>
      </c>
      <c r="K21" s="15">
        <v>656</v>
      </c>
      <c r="L21" s="15">
        <v>270.39999999999998</v>
      </c>
      <c r="M21" s="15">
        <v>660</v>
      </c>
      <c r="N21" s="15">
        <v>275.89999999999998</v>
      </c>
      <c r="O21" s="15">
        <v>2637</v>
      </c>
      <c r="P21" s="15">
        <v>271.7</v>
      </c>
    </row>
    <row r="22" spans="1:16" x14ac:dyDescent="0.2">
      <c r="A22" t="s">
        <v>1135</v>
      </c>
      <c r="B22" t="s">
        <v>1708</v>
      </c>
      <c r="E22" s="80"/>
      <c r="F22" s="47" t="s">
        <v>1292</v>
      </c>
      <c r="G22" s="15">
        <v>66</v>
      </c>
      <c r="H22" s="15">
        <v>171.6</v>
      </c>
      <c r="I22" s="15">
        <v>72</v>
      </c>
      <c r="J22" s="15">
        <v>181.2</v>
      </c>
      <c r="K22" s="15">
        <v>74</v>
      </c>
      <c r="L22" s="15">
        <v>176.4</v>
      </c>
      <c r="M22" s="15">
        <v>85</v>
      </c>
      <c r="N22" s="15">
        <v>200.1</v>
      </c>
      <c r="O22" s="15">
        <v>297</v>
      </c>
      <c r="P22" s="15">
        <v>182.3</v>
      </c>
    </row>
    <row r="23" spans="1:16" x14ac:dyDescent="0.2">
      <c r="E23" s="80"/>
      <c r="F23" s="47" t="s">
        <v>1293</v>
      </c>
      <c r="G23" s="15">
        <v>63</v>
      </c>
      <c r="H23" s="15">
        <v>78.5</v>
      </c>
      <c r="I23" s="15">
        <v>70</v>
      </c>
      <c r="J23" s="15">
        <v>82</v>
      </c>
      <c r="K23" s="15">
        <v>61</v>
      </c>
      <c r="L23" s="15">
        <v>68.2</v>
      </c>
      <c r="M23" s="15">
        <v>74</v>
      </c>
      <c r="N23" s="15">
        <v>79.099999999999994</v>
      </c>
      <c r="O23" s="15">
        <v>268</v>
      </c>
      <c r="P23" s="15">
        <v>76.900000000000006</v>
      </c>
    </row>
    <row r="24" spans="1:16" x14ac:dyDescent="0.2">
      <c r="E24" s="80"/>
      <c r="F24" s="47" t="s">
        <v>1015</v>
      </c>
      <c r="G24" s="15">
        <v>28</v>
      </c>
      <c r="H24" s="15">
        <v>126.2</v>
      </c>
      <c r="I24" s="15">
        <v>16</v>
      </c>
      <c r="J24" s="15">
        <v>63.2</v>
      </c>
      <c r="K24" s="15">
        <v>24</v>
      </c>
      <c r="L24" s="15">
        <v>88.4</v>
      </c>
      <c r="M24" s="15">
        <v>20</v>
      </c>
      <c r="N24" s="15">
        <v>70</v>
      </c>
      <c r="O24" s="15">
        <v>88</v>
      </c>
      <c r="P24" s="15">
        <v>87</v>
      </c>
    </row>
    <row r="25" spans="1:16" x14ac:dyDescent="0.2">
      <c r="E25" s="80"/>
      <c r="F25" s="91" t="s">
        <v>1294</v>
      </c>
      <c r="G25" s="80"/>
      <c r="H25" s="80"/>
      <c r="I25" s="80"/>
      <c r="J25" s="80"/>
      <c r="K25" s="80"/>
      <c r="L25" s="80"/>
      <c r="M25" s="80"/>
      <c r="N25" s="80"/>
      <c r="O25" s="80"/>
      <c r="P25" s="80"/>
    </row>
    <row r="26" spans="1:16" x14ac:dyDescent="0.2">
      <c r="E26" s="80"/>
      <c r="F26" s="47">
        <v>10940</v>
      </c>
      <c r="G26" s="15">
        <v>111</v>
      </c>
      <c r="H26" s="15">
        <v>224.6</v>
      </c>
      <c r="I26" s="15">
        <v>138</v>
      </c>
      <c r="J26" s="15">
        <v>270.89999999999998</v>
      </c>
      <c r="K26" s="15">
        <v>127</v>
      </c>
      <c r="L26" s="15">
        <v>244.9</v>
      </c>
      <c r="M26" s="15">
        <v>125</v>
      </c>
      <c r="N26" s="15">
        <v>235.4</v>
      </c>
      <c r="O26" s="15">
        <v>501</v>
      </c>
      <c r="P26" s="15">
        <v>244</v>
      </c>
    </row>
    <row r="27" spans="1:16" x14ac:dyDescent="0.2">
      <c r="A27" s="81"/>
      <c r="B27" s="80"/>
      <c r="E27" s="80"/>
      <c r="F27" s="47">
        <v>10950</v>
      </c>
      <c r="G27" s="15">
        <v>58</v>
      </c>
      <c r="H27" s="15">
        <v>433.4</v>
      </c>
      <c r="I27" s="15">
        <v>48</v>
      </c>
      <c r="J27" s="15">
        <v>333</v>
      </c>
      <c r="K27" s="15">
        <v>46</v>
      </c>
      <c r="L27" s="15">
        <v>317.2</v>
      </c>
      <c r="M27" s="15">
        <v>43</v>
      </c>
      <c r="N27" s="15">
        <v>291.3</v>
      </c>
      <c r="O27" s="15">
        <v>195</v>
      </c>
      <c r="P27" s="15">
        <v>343.7</v>
      </c>
    </row>
    <row r="28" spans="1:16" x14ac:dyDescent="0.2">
      <c r="E28" s="80"/>
      <c r="F28" s="47">
        <v>12550</v>
      </c>
      <c r="G28" s="15">
        <v>153</v>
      </c>
      <c r="H28" s="15">
        <v>573.79999999999995</v>
      </c>
      <c r="I28" s="15">
        <v>115</v>
      </c>
      <c r="J28" s="15">
        <v>429</v>
      </c>
      <c r="K28" s="15">
        <v>127</v>
      </c>
      <c r="L28" s="15">
        <v>463.4</v>
      </c>
      <c r="M28" s="15">
        <v>113</v>
      </c>
      <c r="N28" s="15">
        <v>413.9</v>
      </c>
      <c r="O28" s="15">
        <v>508</v>
      </c>
      <c r="P28" s="15">
        <v>470</v>
      </c>
    </row>
    <row r="29" spans="1:16" x14ac:dyDescent="0.2">
      <c r="E29" s="80"/>
      <c r="F29" s="47">
        <v>12771</v>
      </c>
      <c r="G29" s="15">
        <v>33</v>
      </c>
      <c r="H29" s="15">
        <v>229</v>
      </c>
      <c r="I29" s="15">
        <v>55</v>
      </c>
      <c r="J29" s="15">
        <v>370.6</v>
      </c>
      <c r="K29" s="15">
        <v>46</v>
      </c>
      <c r="L29" s="15">
        <v>318.3</v>
      </c>
      <c r="M29" s="15">
        <v>52</v>
      </c>
      <c r="N29" s="15">
        <v>362.5</v>
      </c>
      <c r="O29" s="15">
        <v>186</v>
      </c>
      <c r="P29" s="15">
        <v>320.10000000000002</v>
      </c>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K5:L5"/>
    <mergeCell ref="I5:J5"/>
    <mergeCell ref="F20:P20"/>
    <mergeCell ref="M5:N5"/>
    <mergeCell ref="F25:P25"/>
    <mergeCell ref="A18:B18"/>
    <mergeCell ref="A27:B27"/>
    <mergeCell ref="F5:F6"/>
  </mergeCells>
  <dataValidations count="4">
    <dataValidation type="list" allowBlank="1" showInputMessage="1" showErrorMessage="1" sqref="P4:Q4" xr:uid="{00000000-0002-0000-2A00-000000000000}">
      <formula1>"integer, number, percent1"</formula1>
    </dataValidation>
    <dataValidation type="list" allowBlank="1" showInputMessage="1" showErrorMessage="1" sqref="B10" xr:uid="{00000000-0002-0000-2A00-000001000000}">
      <formula1>"Line,Clustered Bar,Stacked Bar,Bar,Horizontal Stacked Bar"</formula1>
    </dataValidation>
    <dataValidation type="list" allowBlank="1" showInputMessage="1" showErrorMessage="1" sqref="B2" xr:uid="{00000000-0002-0000-2A00-000002000000}">
      <formula1>"Table,Figure,Both"</formula1>
    </dataValidation>
    <dataValidation type="list" allowBlank="1" showInputMessage="1" showErrorMessage="1" sqref="B6 B15:B16" xr:uid="{00000000-0002-0000-2A00-000003000000}">
      <formula1>"True,False"</formula1>
    </dataValidation>
  </dataValidation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154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tbl-dzcircsystem-mortal-aar</v>
      </c>
    </row>
    <row r="4" spans="1:17" x14ac:dyDescent="0.2">
      <c r="A4" s="16" t="s">
        <v>7</v>
      </c>
      <c r="B4" t="str">
        <f>IF($B$1="","",_xlfn.XLOOKUP($B$1,Master!$F$2:$F$321,Master!$H$2:$H$321,""))</f>
        <v>fig-dzcircsystem-mortal-aar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s="34" t="s">
        <v>1391</v>
      </c>
      <c r="G5">
        <v>2020</v>
      </c>
      <c r="H5">
        <v>2021</v>
      </c>
      <c r="I5">
        <v>2022</v>
      </c>
      <c r="J5">
        <v>2023</v>
      </c>
    </row>
    <row r="6" spans="1:17" ht="15" customHeight="1" x14ac:dyDescent="0.2">
      <c r="A6" t="s">
        <v>1088</v>
      </c>
      <c r="B6" t="b">
        <v>0</v>
      </c>
      <c r="E6" s="80"/>
      <c r="F6" t="s">
        <v>1297</v>
      </c>
      <c r="G6" s="15">
        <v>198.4</v>
      </c>
      <c r="H6" s="15">
        <v>186.4</v>
      </c>
      <c r="I6" s="15">
        <v>187.1</v>
      </c>
      <c r="J6" s="15">
        <v>193.6</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1710</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2B00-000000000000}">
      <formula1>"integer, number, percent1"</formula1>
    </dataValidation>
    <dataValidation type="list" allowBlank="1" showInputMessage="1" showErrorMessage="1" sqref="B10" xr:uid="{00000000-0002-0000-2B00-000001000000}">
      <formula1>"Line,Clustered Bar,Stacked Bar,Bar,Horizontal Stacked Bar"</formula1>
    </dataValidation>
    <dataValidation type="list" allowBlank="1" showInputMessage="1" showErrorMessage="1" sqref="B2" xr:uid="{00000000-0002-0000-2B00-000002000000}">
      <formula1>"Table,Figure,Both"</formula1>
    </dataValidation>
    <dataValidation type="list" allowBlank="1" showInputMessage="1" showErrorMessage="1" sqref="B6 B15:B16" xr:uid="{00000000-0002-0000-2B00-000003000000}">
      <formula1>"True,False"</formula1>
    </dataValidation>
  </dataValidation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157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tbl-dzcircsystem--mortal-rande</v>
      </c>
    </row>
    <row r="4" spans="1:17" x14ac:dyDescent="0.2">
      <c r="A4" s="16" t="s">
        <v>7</v>
      </c>
      <c r="B4" t="str">
        <f>IF($B$1="","",_xlfn.XLOOKUP($B$1,Master!$F$2:$F$321,Master!$H$2:$H$321,""))</f>
        <v>fig-dzcircsystem--mortal-rande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1289</v>
      </c>
      <c r="G5">
        <v>2020</v>
      </c>
      <c r="H5">
        <v>2021</v>
      </c>
      <c r="I5">
        <v>2022</v>
      </c>
      <c r="J5">
        <v>2023</v>
      </c>
    </row>
    <row r="6" spans="1:17" ht="15" customHeight="1" x14ac:dyDescent="0.2">
      <c r="A6" t="s">
        <v>1088</v>
      </c>
      <c r="B6" t="b">
        <v>0</v>
      </c>
      <c r="E6" s="80"/>
      <c r="F6" t="s">
        <v>1290</v>
      </c>
      <c r="G6" s="15">
        <v>284.39999999999998</v>
      </c>
      <c r="H6" s="15">
        <v>256.2</v>
      </c>
      <c r="I6" s="15">
        <v>169.2</v>
      </c>
      <c r="J6" s="15">
        <v>275.89999999999998</v>
      </c>
      <c r="K6" s="15"/>
      <c r="L6" s="15"/>
      <c r="M6" s="15"/>
      <c r="N6" s="15"/>
      <c r="O6" s="15"/>
    </row>
    <row r="7" spans="1:17" ht="15.75" customHeight="1" x14ac:dyDescent="0.2">
      <c r="E7" s="80"/>
      <c r="F7" t="s">
        <v>1292</v>
      </c>
      <c r="G7" s="15">
        <v>171.6</v>
      </c>
      <c r="H7" s="15">
        <v>181.2</v>
      </c>
      <c r="I7" s="15">
        <v>217.1</v>
      </c>
      <c r="J7" s="15">
        <v>200.1</v>
      </c>
      <c r="K7" s="15"/>
      <c r="L7" s="15"/>
      <c r="M7" s="15"/>
      <c r="N7" s="15"/>
      <c r="O7" s="15"/>
    </row>
    <row r="8" spans="1:17" x14ac:dyDescent="0.2">
      <c r="E8" s="80"/>
      <c r="F8" t="s">
        <v>1296</v>
      </c>
      <c r="G8" s="15">
        <v>78.5</v>
      </c>
      <c r="H8" s="15">
        <v>82</v>
      </c>
      <c r="I8" s="15">
        <v>103.3</v>
      </c>
      <c r="J8" s="15">
        <v>79.099999999999994</v>
      </c>
      <c r="K8" s="15"/>
      <c r="L8" s="15"/>
      <c r="M8" s="15"/>
      <c r="N8" s="15"/>
      <c r="O8" s="15"/>
    </row>
    <row r="9" spans="1:17" x14ac:dyDescent="0.2">
      <c r="A9" s="83" t="s">
        <v>1098</v>
      </c>
      <c r="B9" s="80"/>
      <c r="E9" s="80"/>
      <c r="F9" t="s">
        <v>1293</v>
      </c>
      <c r="G9" s="15">
        <v>126.2</v>
      </c>
      <c r="H9" s="15">
        <v>63.2</v>
      </c>
      <c r="I9" s="15">
        <v>135.9</v>
      </c>
      <c r="J9" s="15">
        <v>70</v>
      </c>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1710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2C00-000000000000}">
      <formula1>"integer, number, percent1"</formula1>
    </dataValidation>
    <dataValidation type="list" allowBlank="1" showInputMessage="1" showErrorMessage="1" sqref="B10" xr:uid="{00000000-0002-0000-2C00-000001000000}">
      <formula1>"Line,Clustered Bar,Stacked Bar,Bar,Horizontal Stacked Bar"</formula1>
    </dataValidation>
    <dataValidation type="list" allowBlank="1" showInputMessage="1" showErrorMessage="1" sqref="B2" xr:uid="{00000000-0002-0000-2C00-000002000000}">
      <formula1>"Table,Figure,Both"</formula1>
    </dataValidation>
    <dataValidation type="list" allowBlank="1" showInputMessage="1" showErrorMessage="1" sqref="B6 B15:B16" xr:uid="{00000000-0002-0000-2C00-000003000000}">
      <formula1>"True,False"</formula1>
    </dataValidation>
  </dataValidation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Q57"/>
  <sheetViews>
    <sheetView workbookViewId="0">
      <selection activeCell="R46" sqref="R4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160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tbl-dzcircsystem--mortal-zip</v>
      </c>
    </row>
    <row r="4" spans="1:17" x14ac:dyDescent="0.2">
      <c r="A4" s="16" t="s">
        <v>7</v>
      </c>
      <c r="B4" t="str">
        <f>IF($B$1="","",_xlfn.XLOOKUP($B$1,Master!$F$2:$F$321,Master!$H$2:$H$321,""))</f>
        <v>fig-dzcircsystem--mortal-zip</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1294</v>
      </c>
      <c r="G5">
        <v>2020</v>
      </c>
      <c r="H5">
        <v>2021</v>
      </c>
      <c r="I5">
        <v>2022</v>
      </c>
      <c r="J5">
        <v>2023</v>
      </c>
    </row>
    <row r="6" spans="1:17" ht="15" customHeight="1" x14ac:dyDescent="0.2">
      <c r="A6" t="s">
        <v>1088</v>
      </c>
      <c r="B6" t="b">
        <v>0</v>
      </c>
      <c r="E6" s="80"/>
      <c r="F6">
        <v>10940</v>
      </c>
      <c r="G6" s="15">
        <v>224.6</v>
      </c>
      <c r="H6" s="15">
        <v>270.89999999999998</v>
      </c>
      <c r="I6" s="15">
        <v>244.9</v>
      </c>
      <c r="J6" s="15">
        <v>235.4</v>
      </c>
      <c r="K6" s="15"/>
      <c r="L6" s="15"/>
      <c r="M6" s="15"/>
      <c r="N6" s="15"/>
      <c r="O6" s="15"/>
    </row>
    <row r="7" spans="1:17" ht="15.75" customHeight="1" x14ac:dyDescent="0.2">
      <c r="E7" s="80"/>
      <c r="F7">
        <v>10950</v>
      </c>
      <c r="G7" s="15">
        <v>433.4</v>
      </c>
      <c r="H7" s="15">
        <v>333</v>
      </c>
      <c r="I7" s="15">
        <v>317.2</v>
      </c>
      <c r="J7" s="15">
        <v>291.3</v>
      </c>
      <c r="K7" s="15"/>
      <c r="L7" s="15"/>
      <c r="M7" s="15"/>
      <c r="N7" s="15"/>
      <c r="O7" s="15"/>
    </row>
    <row r="8" spans="1:17" x14ac:dyDescent="0.2">
      <c r="E8" s="80"/>
      <c r="F8">
        <v>12550</v>
      </c>
      <c r="G8" s="15">
        <v>573.79999999999995</v>
      </c>
      <c r="H8" s="15">
        <v>429</v>
      </c>
      <c r="I8" s="15">
        <v>463.4</v>
      </c>
      <c r="J8" s="15">
        <v>413.9</v>
      </c>
      <c r="K8" s="15"/>
      <c r="L8" s="15"/>
      <c r="M8" s="15"/>
      <c r="N8" s="15"/>
      <c r="O8" s="15"/>
    </row>
    <row r="9" spans="1:17" x14ac:dyDescent="0.2">
      <c r="A9" s="83" t="s">
        <v>1098</v>
      </c>
      <c r="B9" s="80"/>
      <c r="E9" s="80"/>
      <c r="F9">
        <v>12771</v>
      </c>
      <c r="G9" s="15">
        <v>229</v>
      </c>
      <c r="H9" s="15">
        <v>370.6</v>
      </c>
      <c r="I9" s="15">
        <v>318.3</v>
      </c>
      <c r="J9" s="15">
        <v>362.5</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1710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2D00-000000000000}">
      <formula1>"integer, number, percent1"</formula1>
    </dataValidation>
    <dataValidation type="list" allowBlank="1" showInputMessage="1" showErrorMessage="1" sqref="B10" xr:uid="{00000000-0002-0000-2D00-000001000000}">
      <formula1>"Line,Clustered Bar,Stacked Bar,Bar,Horizontal Stacked Bar"</formula1>
    </dataValidation>
    <dataValidation type="list" allowBlank="1" showInputMessage="1" showErrorMessage="1" sqref="B2" xr:uid="{00000000-0002-0000-2D00-000002000000}">
      <formula1>"Table,Figure,Both"</formula1>
    </dataValidation>
    <dataValidation type="list" allowBlank="1" showInputMessage="1" showErrorMessage="1" sqref="B6 B15:B16" xr:uid="{00000000-0002-0000-2D00-000003000000}">
      <formula1>"True,False"</formula1>
    </dataValidation>
  </dataValidation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Q57"/>
  <sheetViews>
    <sheetView workbookViewId="0">
      <selection activeCell="J32" sqref="J3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163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tbl-dzcircsystem-mortal-sex-aar</v>
      </c>
    </row>
    <row r="4" spans="1:17" x14ac:dyDescent="0.2">
      <c r="A4" s="16" t="s">
        <v>7</v>
      </c>
      <c r="B4" t="str">
        <f>IF($B$1="","",_xlfn.XLOOKUP($B$1,Master!$F$2:$F$321,Master!$H$2:$H$321,""))</f>
        <v>fig-dzcircsystem-mortal-sex-aar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264.8</v>
      </c>
      <c r="H6" s="15">
        <v>220.2</v>
      </c>
      <c r="I6" s="15">
        <v>219.7</v>
      </c>
      <c r="J6" s="15">
        <v>238.7</v>
      </c>
      <c r="K6" s="15"/>
      <c r="L6" s="15"/>
      <c r="M6" s="15"/>
      <c r="N6" s="15"/>
      <c r="O6" s="15"/>
    </row>
    <row r="7" spans="1:17" ht="15.75" customHeight="1" x14ac:dyDescent="0.2">
      <c r="E7" s="80"/>
      <c r="F7" t="s">
        <v>1306</v>
      </c>
      <c r="G7" s="15">
        <v>149.1</v>
      </c>
      <c r="H7" s="15">
        <v>159.19999999999999</v>
      </c>
      <c r="I7" s="15">
        <v>158.6</v>
      </c>
      <c r="J7" s="15">
        <v>157.69999999999999</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1307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1710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disablePrompts="1" count="4">
    <dataValidation type="list" allowBlank="1" showInputMessage="1" showErrorMessage="1" sqref="P4:Q4" xr:uid="{00000000-0002-0000-2E00-000000000000}">
      <formula1>"integer, number, percent1"</formula1>
    </dataValidation>
    <dataValidation type="list" allowBlank="1" showInputMessage="1" showErrorMessage="1" sqref="B10" xr:uid="{00000000-0002-0000-2E00-000001000000}">
      <formula1>"Line,Clustered Bar,Stacked Bar,Bar,Horizontal Stacked Bar"</formula1>
    </dataValidation>
    <dataValidation type="list" allowBlank="1" showInputMessage="1" showErrorMessage="1" sqref="B2" xr:uid="{00000000-0002-0000-2E00-000002000000}">
      <formula1>"Table,Figure,Both"</formula1>
    </dataValidation>
    <dataValidation type="list" allowBlank="1" showInputMessage="1" showErrorMessage="1" sqref="B6 B15:B16" xr:uid="{00000000-0002-0000-2E00-000003000000}">
      <formula1>"True,False"</formula1>
    </dataValidation>
  </dataValidation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Q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166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tbl-heartdz-count-rate-age-rande-zip</v>
      </c>
    </row>
    <row r="4" spans="1:17" x14ac:dyDescent="0.2">
      <c r="A4" s="16" t="s">
        <v>7</v>
      </c>
      <c r="B4" t="str">
        <f>IF($B$1="","",_xlfn.XLOOKUP($B$1,Master!$F$2:$F$321,Master!$H$2:$H$321,""))</f>
        <v>fig-heartdz-count-rate-age-rande-zip</v>
      </c>
      <c r="E4" s="8"/>
      <c r="F4" s="10" t="s">
        <v>1009</v>
      </c>
      <c r="G4" s="10" t="s">
        <v>973</v>
      </c>
      <c r="H4" s="10" t="s">
        <v>979</v>
      </c>
      <c r="I4" s="10" t="s">
        <v>973</v>
      </c>
      <c r="J4" s="10" t="s">
        <v>979</v>
      </c>
      <c r="K4" s="10" t="s">
        <v>973</v>
      </c>
      <c r="L4" s="10" t="s">
        <v>979</v>
      </c>
      <c r="M4" s="10" t="s">
        <v>973</v>
      </c>
      <c r="N4" s="10" t="s">
        <v>979</v>
      </c>
      <c r="O4" s="10" t="s">
        <v>973</v>
      </c>
      <c r="P4" s="10" t="s">
        <v>979</v>
      </c>
      <c r="Q4" s="10"/>
    </row>
    <row r="5" spans="1:17" x14ac:dyDescent="0.2">
      <c r="A5" s="83" t="s">
        <v>1081</v>
      </c>
      <c r="B5" s="80"/>
      <c r="E5" s="82" t="s">
        <v>1082</v>
      </c>
      <c r="F5" s="85" t="s">
        <v>1391</v>
      </c>
      <c r="G5" s="81">
        <v>2020</v>
      </c>
      <c r="H5" s="80"/>
      <c r="I5" s="81">
        <v>2021</v>
      </c>
      <c r="J5" s="80"/>
      <c r="K5" s="81">
        <v>2022</v>
      </c>
      <c r="L5" s="80"/>
      <c r="M5" s="81">
        <v>2023</v>
      </c>
      <c r="N5" s="80"/>
      <c r="O5" s="81" t="s">
        <v>1271</v>
      </c>
      <c r="P5" s="80"/>
    </row>
    <row r="6" spans="1:17" ht="15" customHeight="1" x14ac:dyDescent="0.2">
      <c r="A6" t="s">
        <v>1088</v>
      </c>
      <c r="B6" t="b">
        <v>1</v>
      </c>
      <c r="E6" s="80"/>
      <c r="F6" s="85"/>
      <c r="G6" s="15" t="s">
        <v>1272</v>
      </c>
      <c r="H6" s="15" t="s">
        <v>1273</v>
      </c>
      <c r="I6" s="15" t="s">
        <v>1272</v>
      </c>
      <c r="J6" s="15" t="s">
        <v>1273</v>
      </c>
      <c r="K6" s="15" t="s">
        <v>1272</v>
      </c>
      <c r="L6" s="15" t="s">
        <v>1273</v>
      </c>
      <c r="M6" s="15" t="s">
        <v>1272</v>
      </c>
      <c r="N6" s="15" t="s">
        <v>1273</v>
      </c>
      <c r="O6" s="15" t="s">
        <v>1272</v>
      </c>
      <c r="P6" s="15" t="s">
        <v>1275</v>
      </c>
    </row>
    <row r="7" spans="1:17" ht="15.75" customHeight="1" x14ac:dyDescent="0.2">
      <c r="E7" s="80"/>
      <c r="F7" s="16" t="s">
        <v>1096</v>
      </c>
      <c r="G7" s="15">
        <v>687</v>
      </c>
      <c r="H7" s="15">
        <v>179.8</v>
      </c>
      <c r="I7" s="15">
        <v>628</v>
      </c>
      <c r="J7" s="15">
        <v>157.69999999999999</v>
      </c>
      <c r="K7" s="15">
        <v>632</v>
      </c>
      <c r="L7" s="15">
        <v>157.5</v>
      </c>
      <c r="M7" s="15">
        <v>676</v>
      </c>
      <c r="N7" s="15">
        <v>167.4</v>
      </c>
      <c r="O7" s="15">
        <v>2623</v>
      </c>
      <c r="P7">
        <v>165.6</v>
      </c>
    </row>
    <row r="8" spans="1:17" x14ac:dyDescent="0.2">
      <c r="E8" s="80"/>
      <c r="F8" s="91" t="s">
        <v>1276</v>
      </c>
      <c r="G8" s="80"/>
      <c r="H8" s="80"/>
      <c r="I8" s="80"/>
      <c r="J8" s="80"/>
      <c r="K8" s="80"/>
      <c r="L8" s="80"/>
      <c r="M8" s="80"/>
      <c r="N8" s="80"/>
      <c r="O8" s="80"/>
      <c r="P8" s="80"/>
    </row>
    <row r="9" spans="1:17" x14ac:dyDescent="0.2">
      <c r="A9" s="83" t="s">
        <v>1098</v>
      </c>
      <c r="B9" s="80"/>
      <c r="E9" s="80"/>
      <c r="F9" s="47" t="s">
        <v>1277</v>
      </c>
      <c r="G9" s="15">
        <v>0</v>
      </c>
      <c r="H9" s="15">
        <v>0</v>
      </c>
      <c r="I9" s="15" t="s">
        <v>1031</v>
      </c>
      <c r="J9" s="15" t="s">
        <v>1031</v>
      </c>
      <c r="K9" s="15">
        <v>0</v>
      </c>
      <c r="L9" s="15">
        <v>0</v>
      </c>
      <c r="M9" s="15" t="s">
        <v>1031</v>
      </c>
      <c r="N9" s="15" t="s">
        <v>1031</v>
      </c>
      <c r="O9" s="15" t="s">
        <v>1031</v>
      </c>
      <c r="P9" t="s">
        <v>1031</v>
      </c>
    </row>
    <row r="10" spans="1:17" x14ac:dyDescent="0.2">
      <c r="A10" t="s">
        <v>1100</v>
      </c>
      <c r="E10" s="80"/>
      <c r="F10" s="49" t="s">
        <v>1699</v>
      </c>
      <c r="G10" s="15" t="s">
        <v>1031</v>
      </c>
      <c r="H10" s="15" t="s">
        <v>1031</v>
      </c>
      <c r="I10" s="15">
        <v>0</v>
      </c>
      <c r="J10" s="15">
        <v>0</v>
      </c>
      <c r="K10" s="15">
        <v>0</v>
      </c>
      <c r="L10" s="15">
        <v>0</v>
      </c>
      <c r="M10" s="15">
        <v>0</v>
      </c>
      <c r="N10" s="15">
        <v>0</v>
      </c>
      <c r="O10" s="15" t="s">
        <v>1031</v>
      </c>
      <c r="P10" t="s">
        <v>1031</v>
      </c>
    </row>
    <row r="11" spans="1:17" x14ac:dyDescent="0.2">
      <c r="A11" t="s">
        <v>1102</v>
      </c>
      <c r="E11" s="80"/>
      <c r="F11" s="49" t="s">
        <v>1700</v>
      </c>
      <c r="G11" s="15">
        <v>0</v>
      </c>
      <c r="H11">
        <v>0</v>
      </c>
      <c r="I11">
        <v>0</v>
      </c>
      <c r="J11">
        <v>0</v>
      </c>
      <c r="K11">
        <v>0</v>
      </c>
      <c r="L11">
        <v>0</v>
      </c>
      <c r="M11">
        <v>0</v>
      </c>
      <c r="N11">
        <v>0</v>
      </c>
      <c r="O11">
        <v>0</v>
      </c>
      <c r="P11">
        <v>0</v>
      </c>
    </row>
    <row r="12" spans="1:17" x14ac:dyDescent="0.2">
      <c r="A12" t="s">
        <v>1104</v>
      </c>
      <c r="E12" s="80"/>
      <c r="F12" s="47" t="s">
        <v>1701</v>
      </c>
      <c r="G12" s="15" t="s">
        <v>1031</v>
      </c>
      <c r="H12" s="15" t="s">
        <v>1031</v>
      </c>
      <c r="I12" s="15" t="s">
        <v>1031</v>
      </c>
      <c r="J12" s="17" t="s">
        <v>1031</v>
      </c>
      <c r="K12" s="17">
        <v>0</v>
      </c>
      <c r="L12" s="17">
        <v>0</v>
      </c>
      <c r="M12" s="17" t="s">
        <v>1031</v>
      </c>
      <c r="N12" s="17" t="s">
        <v>1031</v>
      </c>
      <c r="O12" t="s">
        <v>1031</v>
      </c>
      <c r="P12" t="s">
        <v>1031</v>
      </c>
    </row>
    <row r="13" spans="1:17" x14ac:dyDescent="0.2">
      <c r="A13" t="s">
        <v>1108</v>
      </c>
      <c r="E13" s="80"/>
      <c r="F13" s="48" t="s">
        <v>1702</v>
      </c>
      <c r="G13" s="17" t="s">
        <v>1031</v>
      </c>
      <c r="H13" s="17" t="s">
        <v>1031</v>
      </c>
      <c r="I13" s="15" t="s">
        <v>1031</v>
      </c>
      <c r="J13" s="15" t="s">
        <v>1031</v>
      </c>
      <c r="K13" s="15" t="s">
        <v>1031</v>
      </c>
      <c r="L13" s="15" t="s">
        <v>1031</v>
      </c>
      <c r="M13" t="s">
        <v>1031</v>
      </c>
      <c r="N13" t="s">
        <v>1031</v>
      </c>
      <c r="O13" t="s">
        <v>1031</v>
      </c>
      <c r="P13" t="s">
        <v>1031</v>
      </c>
    </row>
    <row r="14" spans="1:17" x14ac:dyDescent="0.2">
      <c r="A14" t="s">
        <v>1112</v>
      </c>
      <c r="E14" s="80"/>
      <c r="F14" s="47" t="s">
        <v>1703</v>
      </c>
      <c r="G14" t="s">
        <v>1031</v>
      </c>
      <c r="H14" t="s">
        <v>1031</v>
      </c>
      <c r="I14" t="s">
        <v>1031</v>
      </c>
      <c r="J14" t="s">
        <v>1031</v>
      </c>
      <c r="K14" t="s">
        <v>1031</v>
      </c>
      <c r="L14" t="s">
        <v>1031</v>
      </c>
      <c r="M14" t="s">
        <v>1031</v>
      </c>
      <c r="N14" t="s">
        <v>1031</v>
      </c>
      <c r="O14">
        <v>20</v>
      </c>
      <c r="P14">
        <v>10.5</v>
      </c>
    </row>
    <row r="15" spans="1:17" x14ac:dyDescent="0.2">
      <c r="A15" t="s">
        <v>1114</v>
      </c>
      <c r="E15" s="80"/>
      <c r="F15" s="47" t="s">
        <v>1704</v>
      </c>
      <c r="G15">
        <v>24</v>
      </c>
      <c r="H15">
        <v>45.8</v>
      </c>
      <c r="I15">
        <v>27</v>
      </c>
      <c r="J15">
        <v>50.6</v>
      </c>
      <c r="K15">
        <v>14</v>
      </c>
      <c r="L15">
        <v>26.7</v>
      </c>
      <c r="M15">
        <v>30</v>
      </c>
      <c r="N15">
        <v>58.2</v>
      </c>
      <c r="O15">
        <v>95</v>
      </c>
      <c r="P15">
        <v>45.4</v>
      </c>
    </row>
    <row r="16" spans="1:17" x14ac:dyDescent="0.2">
      <c r="A16" t="s">
        <v>1116</v>
      </c>
      <c r="E16" s="80"/>
      <c r="F16" s="47" t="s">
        <v>1705</v>
      </c>
      <c r="G16">
        <v>66</v>
      </c>
      <c r="H16">
        <v>135.5</v>
      </c>
      <c r="I16">
        <v>69</v>
      </c>
      <c r="J16">
        <v>134.30000000000001</v>
      </c>
      <c r="K16">
        <v>71</v>
      </c>
      <c r="L16">
        <v>138.69999999999999</v>
      </c>
      <c r="M16">
        <v>81</v>
      </c>
      <c r="N16">
        <v>157.30000000000001</v>
      </c>
      <c r="O16">
        <v>287</v>
      </c>
      <c r="P16">
        <v>141.4</v>
      </c>
    </row>
    <row r="17" spans="1:16" x14ac:dyDescent="0.2">
      <c r="E17" s="80"/>
      <c r="F17" s="47" t="s">
        <v>1706</v>
      </c>
      <c r="G17">
        <v>130</v>
      </c>
      <c r="H17">
        <v>412.3</v>
      </c>
      <c r="I17">
        <v>122</v>
      </c>
      <c r="J17">
        <v>364.5</v>
      </c>
      <c r="K17">
        <v>131</v>
      </c>
      <c r="L17">
        <v>387</v>
      </c>
      <c r="M17">
        <v>120</v>
      </c>
      <c r="N17">
        <v>344.4</v>
      </c>
      <c r="O17">
        <v>503</v>
      </c>
      <c r="P17">
        <v>377.1</v>
      </c>
    </row>
    <row r="18" spans="1:16" x14ac:dyDescent="0.2">
      <c r="A18" s="83" t="s">
        <v>1119</v>
      </c>
      <c r="B18" s="80"/>
      <c r="E18" s="80"/>
      <c r="F18" s="47" t="s">
        <v>1707</v>
      </c>
      <c r="G18">
        <v>155</v>
      </c>
      <c r="H18">
        <v>1051.2</v>
      </c>
      <c r="I18">
        <v>167</v>
      </c>
      <c r="J18">
        <v>1094.4000000000001</v>
      </c>
      <c r="K18">
        <v>174</v>
      </c>
      <c r="L18">
        <v>1098.2</v>
      </c>
      <c r="M18">
        <v>195</v>
      </c>
      <c r="N18">
        <v>1189.2</v>
      </c>
      <c r="O18">
        <v>691</v>
      </c>
      <c r="P18">
        <v>1108.3</v>
      </c>
    </row>
    <row r="19" spans="1:16" x14ac:dyDescent="0.2">
      <c r="A19" t="s">
        <v>1121</v>
      </c>
      <c r="B19" t="s">
        <v>1287</v>
      </c>
      <c r="E19" s="80"/>
      <c r="F19" s="47" t="s">
        <v>1288</v>
      </c>
      <c r="G19">
        <v>300</v>
      </c>
      <c r="H19">
        <v>4196.3999999999996</v>
      </c>
      <c r="I19">
        <v>234</v>
      </c>
      <c r="J19">
        <v>3434.6</v>
      </c>
      <c r="K19">
        <v>234</v>
      </c>
      <c r="L19">
        <v>3333.3</v>
      </c>
      <c r="M19">
        <v>245</v>
      </c>
      <c r="N19">
        <v>3651.8</v>
      </c>
      <c r="O19">
        <v>1013</v>
      </c>
      <c r="P19">
        <v>3654</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565</v>
      </c>
      <c r="H21" s="15">
        <v>234.3</v>
      </c>
      <c r="I21">
        <v>507</v>
      </c>
      <c r="J21">
        <v>204.5</v>
      </c>
      <c r="K21">
        <v>518</v>
      </c>
      <c r="L21">
        <v>213.5</v>
      </c>
      <c r="M21">
        <v>532</v>
      </c>
      <c r="N21">
        <v>222.4</v>
      </c>
      <c r="O21">
        <v>2122</v>
      </c>
      <c r="P21">
        <v>218.7</v>
      </c>
    </row>
    <row r="22" spans="1:16" x14ac:dyDescent="0.2">
      <c r="A22" t="s">
        <v>1135</v>
      </c>
      <c r="B22" t="s">
        <v>1711</v>
      </c>
      <c r="E22" s="80"/>
      <c r="F22" s="47" t="s">
        <v>1292</v>
      </c>
      <c r="G22" s="15">
        <v>46</v>
      </c>
      <c r="H22" s="15">
        <v>119.6</v>
      </c>
      <c r="I22">
        <v>58</v>
      </c>
      <c r="J22">
        <v>146</v>
      </c>
      <c r="K22">
        <v>49</v>
      </c>
      <c r="L22">
        <v>116.8</v>
      </c>
      <c r="M22">
        <v>65</v>
      </c>
      <c r="N22">
        <v>153</v>
      </c>
      <c r="O22">
        <v>218</v>
      </c>
      <c r="P22">
        <v>133.9</v>
      </c>
    </row>
    <row r="23" spans="1:16" x14ac:dyDescent="0.2">
      <c r="E23" s="80"/>
      <c r="F23" s="47" t="s">
        <v>1293</v>
      </c>
      <c r="G23" s="15">
        <v>51</v>
      </c>
      <c r="H23" s="15">
        <v>63.5</v>
      </c>
      <c r="I23">
        <v>50</v>
      </c>
      <c r="J23">
        <v>58.6</v>
      </c>
      <c r="K23">
        <v>46</v>
      </c>
      <c r="L23">
        <v>51.4</v>
      </c>
      <c r="M23">
        <v>61</v>
      </c>
      <c r="N23">
        <v>65.2</v>
      </c>
      <c r="O23">
        <v>208</v>
      </c>
      <c r="P23">
        <v>59.7</v>
      </c>
    </row>
    <row r="24" spans="1:16" x14ac:dyDescent="0.2">
      <c r="E24" s="80"/>
      <c r="F24" s="47" t="s">
        <v>1015</v>
      </c>
      <c r="G24" s="15">
        <v>25</v>
      </c>
      <c r="H24" s="15">
        <v>112.7</v>
      </c>
      <c r="I24">
        <v>13</v>
      </c>
      <c r="J24">
        <v>51.4</v>
      </c>
      <c r="K24">
        <v>19</v>
      </c>
      <c r="L24">
        <v>70</v>
      </c>
      <c r="M24">
        <v>18</v>
      </c>
      <c r="N24">
        <v>63</v>
      </c>
      <c r="O24">
        <v>75</v>
      </c>
      <c r="P24">
        <v>74.3</v>
      </c>
    </row>
    <row r="25" spans="1:16" x14ac:dyDescent="0.2">
      <c r="E25" s="80"/>
      <c r="F25" s="91" t="s">
        <v>1294</v>
      </c>
      <c r="G25" s="80"/>
      <c r="H25" s="80"/>
      <c r="I25" s="80"/>
      <c r="J25" s="80"/>
      <c r="K25" s="80"/>
      <c r="L25" s="80"/>
      <c r="M25" s="80"/>
      <c r="N25" s="80"/>
      <c r="O25" s="80"/>
      <c r="P25" s="80"/>
    </row>
    <row r="26" spans="1:16" x14ac:dyDescent="0.2">
      <c r="E26" s="80"/>
      <c r="F26" s="47">
        <v>10940</v>
      </c>
      <c r="G26" s="15">
        <v>88</v>
      </c>
      <c r="H26" s="15">
        <v>178</v>
      </c>
      <c r="I26">
        <v>113</v>
      </c>
      <c r="J26">
        <v>221.9</v>
      </c>
      <c r="K26">
        <v>95</v>
      </c>
      <c r="L26">
        <v>183.2</v>
      </c>
      <c r="M26">
        <v>106</v>
      </c>
      <c r="N26">
        <v>199.6</v>
      </c>
      <c r="O26">
        <v>402</v>
      </c>
      <c r="P26">
        <v>195.7</v>
      </c>
    </row>
    <row r="27" spans="1:16" x14ac:dyDescent="0.2">
      <c r="A27" s="81"/>
      <c r="B27" s="80"/>
      <c r="E27" s="80"/>
      <c r="F27" s="47">
        <v>10950</v>
      </c>
      <c r="G27" s="15">
        <v>43</v>
      </c>
      <c r="H27" s="15">
        <v>321.3</v>
      </c>
      <c r="I27">
        <v>30</v>
      </c>
      <c r="J27">
        <v>208.1</v>
      </c>
      <c r="K27">
        <v>34</v>
      </c>
      <c r="L27">
        <v>234.5</v>
      </c>
      <c r="M27">
        <v>36</v>
      </c>
      <c r="N27">
        <v>243.9</v>
      </c>
      <c r="O27">
        <v>143</v>
      </c>
      <c r="P27">
        <v>251.9</v>
      </c>
    </row>
    <row r="28" spans="1:16" x14ac:dyDescent="0.2">
      <c r="E28" s="80"/>
      <c r="F28" s="47">
        <v>12550</v>
      </c>
      <c r="G28" s="15">
        <v>125</v>
      </c>
      <c r="H28" s="15">
        <v>468.8</v>
      </c>
      <c r="I28">
        <v>94</v>
      </c>
      <c r="J28">
        <v>350.7</v>
      </c>
      <c r="K28">
        <v>102</v>
      </c>
      <c r="L28">
        <v>372.1</v>
      </c>
      <c r="M28">
        <v>86</v>
      </c>
      <c r="N28">
        <v>315</v>
      </c>
      <c r="O28">
        <v>407</v>
      </c>
      <c r="P28">
        <v>376.7</v>
      </c>
    </row>
    <row r="29" spans="1:16" x14ac:dyDescent="0.2">
      <c r="E29" s="80"/>
      <c r="F29" s="47">
        <v>12771</v>
      </c>
      <c r="G29" s="15">
        <v>29</v>
      </c>
      <c r="H29" s="15">
        <v>201.3</v>
      </c>
      <c r="I29">
        <v>46</v>
      </c>
      <c r="J29">
        <v>310</v>
      </c>
      <c r="K29">
        <v>33</v>
      </c>
      <c r="L29">
        <v>228.3</v>
      </c>
      <c r="M29">
        <v>40</v>
      </c>
      <c r="N29">
        <v>278.8</v>
      </c>
      <c r="O29">
        <v>148</v>
      </c>
      <c r="P29">
        <v>254.6</v>
      </c>
    </row>
    <row r="30" spans="1:16" x14ac:dyDescent="0.2">
      <c r="E30" s="80"/>
      <c r="F30" s="15"/>
      <c r="G30" s="15"/>
      <c r="H30" s="15"/>
    </row>
    <row r="31" spans="1:16" x14ac:dyDescent="0.2">
      <c r="E31" s="80"/>
      <c r="F31" s="15"/>
      <c r="G31" s="15"/>
      <c r="H31" s="15"/>
    </row>
    <row r="32" spans="1:16" x14ac:dyDescent="0.2">
      <c r="E32" s="80"/>
      <c r="F32" s="15"/>
      <c r="G32" s="15"/>
      <c r="H32" s="15"/>
    </row>
    <row r="33" spans="5:9" x14ac:dyDescent="0.2">
      <c r="E33" s="80"/>
    </row>
    <row r="34" spans="5:9" x14ac:dyDescent="0.2">
      <c r="E34" s="80"/>
      <c r="F34" s="15"/>
      <c r="G34" s="15"/>
      <c r="H34" s="15"/>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c r="F38" s="15"/>
      <c r="G38" s="15"/>
      <c r="H38" s="15"/>
      <c r="I38" s="17"/>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F25:P25"/>
    <mergeCell ref="F20:P20"/>
    <mergeCell ref="I5:J5"/>
    <mergeCell ref="K5:L5"/>
    <mergeCell ref="M5:N5"/>
    <mergeCell ref="A18:B18"/>
    <mergeCell ref="A27:B27"/>
    <mergeCell ref="F5:F6"/>
  </mergeCells>
  <dataValidations count="4">
    <dataValidation type="list" allowBlank="1" showInputMessage="1" showErrorMessage="1" sqref="P4:Q4" xr:uid="{00000000-0002-0000-2F00-000000000000}">
      <formula1>"integer, number, percent1"</formula1>
    </dataValidation>
    <dataValidation type="list" allowBlank="1" showInputMessage="1" showErrorMessage="1" sqref="B10" xr:uid="{00000000-0002-0000-2F00-000001000000}">
      <formula1>"Line,Clustered Bar,Stacked Bar,Bar,Horizontal Stacked Bar"</formula1>
    </dataValidation>
    <dataValidation type="list" allowBlank="1" showInputMessage="1" showErrorMessage="1" sqref="B2" xr:uid="{00000000-0002-0000-2F00-000002000000}">
      <formula1>"Table,Figure,Both"</formula1>
    </dataValidation>
    <dataValidation type="list" allowBlank="1" showInputMessage="1" showErrorMessage="1" sqref="B6 B15:B16" xr:uid="{00000000-0002-0000-2F00-000003000000}">
      <formula1>"True,False"</formula1>
    </dataValidation>
  </dataValidation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169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tbl-heartdz-mortal-aar</v>
      </c>
    </row>
    <row r="4" spans="1:17" x14ac:dyDescent="0.2">
      <c r="A4" s="16" t="s">
        <v>7</v>
      </c>
      <c r="B4" t="str">
        <f>IF($B$1="","",_xlfn.XLOOKUP($B$1,Master!$F$2:$F$321,Master!$H$2:$H$321,""))</f>
        <v>fig-heartdz-mortal-aar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s="34" t="s">
        <v>1391</v>
      </c>
      <c r="G5">
        <v>2020</v>
      </c>
      <c r="H5">
        <v>2021</v>
      </c>
      <c r="I5">
        <v>2022</v>
      </c>
      <c r="J5">
        <v>2023</v>
      </c>
    </row>
    <row r="6" spans="1:17" ht="15" customHeight="1" x14ac:dyDescent="0.2">
      <c r="A6" t="s">
        <v>1088</v>
      </c>
      <c r="B6" t="b">
        <v>0</v>
      </c>
      <c r="E6" s="80"/>
      <c r="F6" t="s">
        <v>1297</v>
      </c>
      <c r="G6" s="15">
        <v>161.19999999999999</v>
      </c>
      <c r="H6" s="15">
        <v>147.6</v>
      </c>
      <c r="I6" s="15">
        <v>144.80000000000001</v>
      </c>
      <c r="J6" s="15">
        <v>155.80000000000001</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1712</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000-000000000000}">
      <formula1>"integer, number, percent1"</formula1>
    </dataValidation>
    <dataValidation type="list" allowBlank="1" showInputMessage="1" showErrorMessage="1" sqref="B10" xr:uid="{00000000-0002-0000-3000-000001000000}">
      <formula1>"Line,Clustered Bar,Stacked Bar,Bar,Horizontal Stacked Bar"</formula1>
    </dataValidation>
    <dataValidation type="list" allowBlank="1" showInputMessage="1" showErrorMessage="1" sqref="B2" xr:uid="{00000000-0002-0000-3000-000002000000}">
      <formula1>"Table,Figure,Both"</formula1>
    </dataValidation>
    <dataValidation type="list" allowBlank="1" showInputMessage="1" showErrorMessage="1" sqref="B6 B15:B16" xr:uid="{00000000-0002-0000-3000-000003000000}">
      <formula1>"True,False"</formula1>
    </dataValidation>
  </dataValidation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172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tbl-heartdz-mortal-rande</v>
      </c>
    </row>
    <row r="4" spans="1:17" x14ac:dyDescent="0.2">
      <c r="A4" s="16" t="s">
        <v>7</v>
      </c>
      <c r="B4" t="str">
        <f>IF($B$1="","",_xlfn.XLOOKUP($B$1,Master!$F$2:$F$321,Master!$H$2:$H$321,""))</f>
        <v>fig-heartdz-mortal-rande</v>
      </c>
      <c r="E4" s="8"/>
      <c r="F4" s="10" t="s">
        <v>968</v>
      </c>
      <c r="G4" s="10" t="s">
        <v>979</v>
      </c>
      <c r="H4" s="10" t="s">
        <v>979</v>
      </c>
      <c r="I4" s="10" t="s">
        <v>979</v>
      </c>
      <c r="J4" s="10"/>
      <c r="K4" s="10"/>
      <c r="L4" s="10"/>
      <c r="M4" s="10"/>
      <c r="N4" s="10"/>
      <c r="O4" s="10"/>
      <c r="P4" s="10"/>
      <c r="Q4" s="10"/>
    </row>
    <row r="5" spans="1:17" x14ac:dyDescent="0.2">
      <c r="A5" s="83" t="s">
        <v>1081</v>
      </c>
      <c r="B5" s="80"/>
      <c r="E5" s="82" t="s">
        <v>1082</v>
      </c>
      <c r="F5" t="s">
        <v>1289</v>
      </c>
      <c r="G5" t="s">
        <v>1297</v>
      </c>
      <c r="H5" t="s">
        <v>1298</v>
      </c>
      <c r="I5" t="s">
        <v>1299</v>
      </c>
    </row>
    <row r="6" spans="1:17" ht="15" customHeight="1" x14ac:dyDescent="0.2">
      <c r="A6" t="s">
        <v>1088</v>
      </c>
      <c r="B6" t="b">
        <v>0</v>
      </c>
      <c r="E6" s="80"/>
      <c r="F6" t="s">
        <v>1089</v>
      </c>
      <c r="G6" s="15">
        <v>157.6</v>
      </c>
      <c r="H6" s="15">
        <v>166.8</v>
      </c>
      <c r="I6" s="15">
        <v>170.6</v>
      </c>
      <c r="J6" s="15"/>
      <c r="K6" s="15"/>
      <c r="L6" s="15"/>
      <c r="M6" s="15"/>
      <c r="N6" s="15"/>
      <c r="O6" s="15"/>
    </row>
    <row r="7" spans="1:17" ht="15.75" customHeight="1" x14ac:dyDescent="0.2">
      <c r="E7" s="80"/>
      <c r="F7" t="s">
        <v>1290</v>
      </c>
      <c r="G7" s="15">
        <v>163.4</v>
      </c>
      <c r="H7" s="15">
        <v>168.5</v>
      </c>
      <c r="I7" s="15">
        <v>169.2</v>
      </c>
      <c r="J7" s="15"/>
      <c r="K7" s="15"/>
      <c r="L7" s="15"/>
      <c r="M7" s="15"/>
      <c r="N7" s="15"/>
      <c r="O7" s="15"/>
    </row>
    <row r="8" spans="1:17" x14ac:dyDescent="0.2">
      <c r="E8" s="80"/>
      <c r="F8" t="s">
        <v>1292</v>
      </c>
      <c r="G8" s="15">
        <v>156.6</v>
      </c>
      <c r="H8" s="15">
        <v>200.2</v>
      </c>
      <c r="I8" s="15">
        <v>217.1</v>
      </c>
      <c r="J8" s="15"/>
      <c r="K8" s="15"/>
      <c r="L8" s="15"/>
      <c r="M8" s="15"/>
      <c r="N8" s="15"/>
      <c r="O8" s="15"/>
    </row>
    <row r="9" spans="1:17" x14ac:dyDescent="0.2">
      <c r="A9" s="83" t="s">
        <v>1098</v>
      </c>
      <c r="B9" s="80"/>
      <c r="E9" s="80"/>
      <c r="F9" t="s">
        <v>1296</v>
      </c>
      <c r="G9" s="15">
        <v>97.7</v>
      </c>
      <c r="H9" s="15">
        <v>88</v>
      </c>
      <c r="I9" s="15">
        <v>103.3</v>
      </c>
      <c r="J9" s="15"/>
      <c r="K9" s="15"/>
      <c r="L9" s="15"/>
      <c r="M9" s="15"/>
      <c r="N9" s="15"/>
      <c r="O9" s="15"/>
    </row>
    <row r="10" spans="1:17" x14ac:dyDescent="0.2">
      <c r="A10" t="s">
        <v>1100</v>
      </c>
      <c r="B10" t="s">
        <v>1300</v>
      </c>
      <c r="E10" s="80"/>
      <c r="F10" t="s">
        <v>1293</v>
      </c>
      <c r="G10" s="15">
        <v>112.1</v>
      </c>
      <c r="H10">
        <v>109.6</v>
      </c>
      <c r="I10">
        <v>135.9</v>
      </c>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1713</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1714</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100-000000000000}">
      <formula1>"integer, number, percent1"</formula1>
    </dataValidation>
    <dataValidation type="list" allowBlank="1" showInputMessage="1" showErrorMessage="1" sqref="B10" xr:uid="{00000000-0002-0000-3100-000001000000}">
      <formula1>"Line,Clustered Bar,Stacked Bar,Bar,Horizontal Stacked Bar"</formula1>
    </dataValidation>
    <dataValidation type="list" allowBlank="1" showInputMessage="1" showErrorMessage="1" sqref="B2" xr:uid="{00000000-0002-0000-3100-000002000000}">
      <formula1>"Table,Figure,Both"</formula1>
    </dataValidation>
    <dataValidation type="list" allowBlank="1" showInputMessage="1" showErrorMessage="1" sqref="B6 B15:B16" xr:uid="{00000000-0002-0000-3100-000003000000}">
      <formula1>"True,False"</formula1>
    </dataValidation>
  </dataValidation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Q57"/>
  <sheetViews>
    <sheetView workbookViewId="0">
      <selection activeCell="O31" sqref="O3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175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tbl-heartdz-mortal-zip</v>
      </c>
    </row>
    <row r="4" spans="1:17" x14ac:dyDescent="0.2">
      <c r="A4" s="16" t="s">
        <v>7</v>
      </c>
      <c r="B4" t="str">
        <f>IF($B$1="","",_xlfn.XLOOKUP($B$1,Master!$F$2:$F$321,Master!$H$2:$H$321,""))</f>
        <v>fig-heartdz-mortal-zip</v>
      </c>
      <c r="E4" s="8"/>
      <c r="F4" s="10" t="s">
        <v>2359</v>
      </c>
      <c r="G4" s="10" t="s">
        <v>979</v>
      </c>
      <c r="H4" s="10" t="s">
        <v>979</v>
      </c>
      <c r="I4" s="10" t="s">
        <v>979</v>
      </c>
      <c r="J4" s="10" t="s">
        <v>979</v>
      </c>
      <c r="K4" s="10"/>
      <c r="L4" s="10"/>
      <c r="M4" s="10"/>
      <c r="N4" s="10"/>
      <c r="O4" s="10"/>
      <c r="P4" s="10"/>
      <c r="Q4" s="10"/>
    </row>
    <row r="5" spans="1:17" x14ac:dyDescent="0.2">
      <c r="A5" s="83" t="s">
        <v>1081</v>
      </c>
      <c r="B5" s="80"/>
      <c r="E5" s="82" t="s">
        <v>1082</v>
      </c>
      <c r="F5" t="s">
        <v>1294</v>
      </c>
      <c r="G5">
        <v>2020</v>
      </c>
      <c r="H5">
        <v>2021</v>
      </c>
      <c r="I5">
        <v>2022</v>
      </c>
      <c r="J5">
        <v>2023</v>
      </c>
    </row>
    <row r="6" spans="1:17" ht="15" customHeight="1" x14ac:dyDescent="0.2">
      <c r="A6" t="s">
        <v>1088</v>
      </c>
      <c r="B6" t="b">
        <v>0</v>
      </c>
      <c r="E6" s="80"/>
      <c r="F6">
        <v>10940</v>
      </c>
      <c r="G6" s="15">
        <v>178</v>
      </c>
      <c r="H6" s="15">
        <v>221.9</v>
      </c>
      <c r="I6" s="15">
        <v>183.2</v>
      </c>
      <c r="J6" s="15">
        <v>199.6</v>
      </c>
      <c r="K6" s="15"/>
      <c r="L6" s="15"/>
      <c r="M6" s="15"/>
      <c r="N6" s="15"/>
      <c r="O6" s="15"/>
    </row>
    <row r="7" spans="1:17" ht="15.75" customHeight="1" x14ac:dyDescent="0.2">
      <c r="E7" s="80"/>
      <c r="F7">
        <v>10950</v>
      </c>
      <c r="G7" s="15">
        <v>321.3</v>
      </c>
      <c r="H7" s="15">
        <v>208.1</v>
      </c>
      <c r="I7" s="15">
        <v>234.5</v>
      </c>
      <c r="J7" s="15">
        <v>243.9</v>
      </c>
      <c r="K7" s="15"/>
      <c r="L7" s="15"/>
      <c r="M7" s="15"/>
      <c r="N7" s="15"/>
      <c r="O7" s="15"/>
    </row>
    <row r="8" spans="1:17" x14ac:dyDescent="0.2">
      <c r="E8" s="80"/>
      <c r="F8">
        <v>12550</v>
      </c>
      <c r="G8" s="15">
        <v>468.8</v>
      </c>
      <c r="H8" s="15">
        <v>350.7</v>
      </c>
      <c r="I8" s="15">
        <v>372.1</v>
      </c>
      <c r="J8" s="15">
        <v>315</v>
      </c>
      <c r="K8" s="15"/>
      <c r="L8" s="15"/>
      <c r="M8" s="15"/>
      <c r="N8" s="15"/>
      <c r="O8" s="15"/>
    </row>
    <row r="9" spans="1:17" x14ac:dyDescent="0.2">
      <c r="A9" s="83" t="s">
        <v>1098</v>
      </c>
      <c r="B9" s="80"/>
      <c r="E9" s="80"/>
      <c r="F9">
        <v>12771</v>
      </c>
      <c r="G9" s="15">
        <v>201.3</v>
      </c>
      <c r="H9" s="15">
        <v>310</v>
      </c>
      <c r="I9" s="15">
        <v>228.3</v>
      </c>
      <c r="J9" s="15">
        <v>278.8</v>
      </c>
      <c r="K9" s="15"/>
      <c r="L9" s="15"/>
      <c r="M9" s="15"/>
      <c r="N9" s="15"/>
      <c r="O9" s="15"/>
    </row>
    <row r="10" spans="1:17" x14ac:dyDescent="0.2">
      <c r="A10" t="s">
        <v>1100</v>
      </c>
      <c r="B10" t="s">
        <v>1304</v>
      </c>
      <c r="E10" s="80"/>
      <c r="G10" s="15"/>
    </row>
    <row r="11" spans="1:17" x14ac:dyDescent="0.2">
      <c r="A11" t="s">
        <v>1102</v>
      </c>
      <c r="B11" t="s">
        <v>1715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1712</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200-000000000000}">
      <formula1>"integer, number, percent1"</formula1>
    </dataValidation>
    <dataValidation type="list" allowBlank="1" showInputMessage="1" showErrorMessage="1" sqref="B10" xr:uid="{00000000-0002-0000-3200-000001000000}">
      <formula1>"Line,Clustered Bar,Stacked Bar,Bar,Horizontal Stacked Bar"</formula1>
    </dataValidation>
    <dataValidation type="list" allowBlank="1" showInputMessage="1" showErrorMessage="1" sqref="B2" xr:uid="{00000000-0002-0000-3200-000002000000}">
      <formula1>"Table,Figure,Both"</formula1>
    </dataValidation>
    <dataValidation type="list" allowBlank="1" showInputMessage="1" showErrorMessage="1" sqref="B6 B15:B16" xr:uid="{00000000-0002-0000-3200-000003000000}">
      <formula1>"True,False"</formula1>
    </dataValidation>
  </dataValidation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178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tbl-heartdz-mortal-sex-aar</v>
      </c>
    </row>
    <row r="4" spans="1:17" x14ac:dyDescent="0.2">
      <c r="A4" s="16" t="s">
        <v>7</v>
      </c>
      <c r="B4" t="str">
        <f>IF($B$1="","",_xlfn.XLOOKUP($B$1,Master!$F$2:$F$321,Master!$H$2:$H$321,""))</f>
        <v>fig-heartdz-mortal-sex-aar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222.8</v>
      </c>
      <c r="H6" s="15">
        <v>178.9</v>
      </c>
      <c r="I6" s="15">
        <v>178.9</v>
      </c>
      <c r="J6" s="15">
        <v>202.9</v>
      </c>
      <c r="K6" s="15"/>
      <c r="L6" s="15"/>
      <c r="M6" s="15"/>
      <c r="N6" s="15"/>
      <c r="O6" s="15"/>
    </row>
    <row r="7" spans="1:17" ht="15.75" customHeight="1" x14ac:dyDescent="0.2">
      <c r="E7" s="80"/>
      <c r="F7" t="s">
        <v>1306</v>
      </c>
      <c r="G7" s="15">
        <v>116.4</v>
      </c>
      <c r="H7" s="15">
        <v>122.5</v>
      </c>
      <c r="I7" s="15">
        <v>116.5</v>
      </c>
      <c r="J7" s="15">
        <v>119.2</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1712</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300-000000000000}">
      <formula1>"integer, number, percent1"</formula1>
    </dataValidation>
    <dataValidation type="list" allowBlank="1" showInputMessage="1" showErrorMessage="1" sqref="B10" xr:uid="{00000000-0002-0000-3300-000001000000}">
      <formula1>"Line,Clustered Bar,Stacked Bar,Bar,Horizontal Stacked Bar"</formula1>
    </dataValidation>
    <dataValidation type="list" allowBlank="1" showInputMessage="1" showErrorMessage="1" sqref="B2" xr:uid="{00000000-0002-0000-3300-000002000000}">
      <formula1>"Table,Figure,Both"</formula1>
    </dataValidation>
    <dataValidation type="list" allowBlank="1" showInputMessage="1" showErrorMessage="1" sqref="B6 B15:B16" xr:uid="{00000000-0002-0000-3300-000003000000}">
      <formula1>"True,False"</formula1>
    </dataValidation>
  </dataValidation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8.83203125"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181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tbl-cerebrovascdz-hosp-rande-aar</v>
      </c>
    </row>
    <row r="4" spans="1:17" x14ac:dyDescent="0.2">
      <c r="A4" s="16" t="s">
        <v>7</v>
      </c>
      <c r="B4" t="str">
        <f>IF($B$1="","",_xlfn.XLOOKUP($B$1,Master!$F$2:$F$321,Master!$H$2:$H$321,""))</f>
        <v>fig-cerebrovascdz-hosp-rande-aar</v>
      </c>
      <c r="E4" s="8"/>
      <c r="F4" s="10" t="s">
        <v>968</v>
      </c>
      <c r="G4" s="10" t="s">
        <v>979</v>
      </c>
      <c r="H4" s="10" t="s">
        <v>979</v>
      </c>
      <c r="I4" s="10" t="s">
        <v>979</v>
      </c>
      <c r="J4" s="10"/>
      <c r="K4" s="10"/>
      <c r="L4" s="10"/>
      <c r="M4" s="10"/>
      <c r="N4" s="10"/>
      <c r="O4" s="10"/>
      <c r="P4" s="10"/>
      <c r="Q4" s="10"/>
    </row>
    <row r="5" spans="1:17" x14ac:dyDescent="0.2">
      <c r="A5" s="83" t="s">
        <v>1081</v>
      </c>
      <c r="B5" s="80"/>
      <c r="E5" s="82" t="s">
        <v>1082</v>
      </c>
      <c r="F5" t="s">
        <v>1289</v>
      </c>
      <c r="G5" t="s">
        <v>1297</v>
      </c>
      <c r="H5" t="s">
        <v>1298</v>
      </c>
      <c r="I5" t="s">
        <v>1299</v>
      </c>
    </row>
    <row r="6" spans="1:17" ht="15" customHeight="1" x14ac:dyDescent="0.2">
      <c r="A6" t="s">
        <v>1088</v>
      </c>
      <c r="B6" t="b">
        <v>0</v>
      </c>
      <c r="E6" s="80"/>
      <c r="F6" t="s">
        <v>1089</v>
      </c>
      <c r="G6" s="15">
        <v>21.9</v>
      </c>
      <c r="H6" s="15">
        <v>19.600000000000001</v>
      </c>
      <c r="I6" s="15">
        <v>19.8</v>
      </c>
      <c r="J6" s="15"/>
      <c r="K6" s="15"/>
      <c r="L6" s="15"/>
      <c r="M6" s="15"/>
      <c r="N6" s="15"/>
      <c r="O6" s="15"/>
    </row>
    <row r="7" spans="1:17" ht="15.75" customHeight="1" x14ac:dyDescent="0.2">
      <c r="E7" s="80"/>
      <c r="F7" t="s">
        <v>1290</v>
      </c>
      <c r="G7" s="15">
        <v>17.600000000000001</v>
      </c>
      <c r="H7" s="15">
        <v>16.7</v>
      </c>
      <c r="I7" s="15">
        <v>15.4</v>
      </c>
      <c r="J7" s="15"/>
      <c r="K7" s="15"/>
      <c r="L7" s="15"/>
      <c r="M7" s="15"/>
      <c r="N7" s="15"/>
      <c r="O7" s="15"/>
    </row>
    <row r="8" spans="1:17" x14ac:dyDescent="0.2">
      <c r="E8" s="80"/>
      <c r="F8" t="s">
        <v>1292</v>
      </c>
      <c r="G8" s="15">
        <v>29.4</v>
      </c>
      <c r="H8" s="15">
        <v>33.1</v>
      </c>
      <c r="I8" s="15">
        <v>27</v>
      </c>
      <c r="J8" s="15"/>
      <c r="K8" s="15"/>
      <c r="L8" s="15"/>
      <c r="M8" s="15"/>
      <c r="N8" s="15"/>
      <c r="O8" s="15"/>
    </row>
    <row r="9" spans="1:17" x14ac:dyDescent="0.2">
      <c r="A9" s="83" t="s">
        <v>1098</v>
      </c>
      <c r="B9" s="80"/>
      <c r="E9" s="80"/>
      <c r="F9" t="s">
        <v>1296</v>
      </c>
      <c r="G9" s="15">
        <v>16</v>
      </c>
      <c r="H9" s="15">
        <v>11.2</v>
      </c>
      <c r="I9" s="15">
        <v>11.2</v>
      </c>
      <c r="J9" s="15"/>
      <c r="K9" s="15"/>
      <c r="L9" s="15"/>
      <c r="M9" s="15"/>
      <c r="N9" s="15"/>
      <c r="O9" s="15"/>
    </row>
    <row r="10" spans="1:17" x14ac:dyDescent="0.2">
      <c r="A10" t="s">
        <v>1100</v>
      </c>
      <c r="B10" t="s">
        <v>1300</v>
      </c>
      <c r="E10" s="80"/>
      <c r="F10" t="s">
        <v>1293</v>
      </c>
      <c r="G10" s="15">
        <v>15.4</v>
      </c>
      <c r="H10">
        <v>15.4</v>
      </c>
      <c r="I10">
        <v>16.399999999999999</v>
      </c>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1716</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1717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400-000000000000}">
      <formula1>"integer, number, percent1"</formula1>
    </dataValidation>
    <dataValidation type="list" allowBlank="1" showInputMessage="1" showErrorMessage="1" sqref="B10" xr:uid="{00000000-0002-0000-3400-000001000000}">
      <formula1>"Line,Clustered Bar,Stacked Bar,Bar,Horizontal Stacked Bar"</formula1>
    </dataValidation>
    <dataValidation type="list" allowBlank="1" showInputMessage="1" showErrorMessage="1" sqref="B2" xr:uid="{00000000-0002-0000-3400-000002000000}">
      <formula1>"Table,Figure,Both"</formula1>
    </dataValidation>
    <dataValidation type="list" allowBlank="1" showInputMessage="1" showErrorMessage="1" sqref="B6 B15:B16" xr:uid="{00000000-0002-0000-3400-000003000000}">
      <formula1>"True,False"</formula1>
    </dataValidation>
  </dataValidation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16" t="s">
        <v>1077</v>
      </c>
      <c r="B1" s="79" t="s">
        <v>184</v>
      </c>
      <c r="C1" s="80"/>
      <c r="D1" s="80"/>
      <c r="E1" s="80"/>
      <c r="F1" s="80"/>
      <c r="G1" s="80"/>
      <c r="H1" s="80"/>
      <c r="I1" s="80"/>
      <c r="J1" s="80"/>
      <c r="K1" s="80"/>
      <c r="L1" s="80"/>
      <c r="M1" s="80"/>
      <c r="N1" s="80"/>
      <c r="O1" s="80"/>
    </row>
    <row r="2" spans="1:16" x14ac:dyDescent="0.2">
      <c r="A2" s="16" t="s">
        <v>1078</v>
      </c>
      <c r="B2" t="s">
        <v>1079</v>
      </c>
    </row>
    <row r="3" spans="1:16" x14ac:dyDescent="0.2">
      <c r="A3" s="16" t="s">
        <v>1080</v>
      </c>
      <c r="B3" t="str">
        <f>IF($B$1="","",_xlfn.XLOOKUP($B$1,Master!$F$2:$F$321,Master!$G$2:$G$321,""))</f>
        <v>tbl-cerebrovascdz-count-rate-age-rande-zip</v>
      </c>
    </row>
    <row r="4" spans="1:16" x14ac:dyDescent="0.2">
      <c r="A4" s="16" t="s">
        <v>7</v>
      </c>
      <c r="B4" t="str">
        <f>IF($B$1="","",_xlfn.XLOOKUP($B$1,Master!$F$2:$F$321,Master!$H$2:$H$321,""))</f>
        <v>fig-cerebrovascdz-count-rate-age-rande-zip</v>
      </c>
      <c r="E4" s="8"/>
      <c r="F4" s="10" t="s">
        <v>968</v>
      </c>
      <c r="G4" s="10" t="s">
        <v>979</v>
      </c>
      <c r="H4" s="10" t="s">
        <v>979</v>
      </c>
      <c r="I4" s="10" t="s">
        <v>979</v>
      </c>
      <c r="J4" s="10" t="s">
        <v>979</v>
      </c>
      <c r="K4" s="10" t="s">
        <v>979</v>
      </c>
      <c r="L4" s="10" t="s">
        <v>979</v>
      </c>
      <c r="M4" s="10" t="s">
        <v>979</v>
      </c>
      <c r="N4" s="10" t="s">
        <v>979</v>
      </c>
      <c r="O4" s="10" t="s">
        <v>979</v>
      </c>
      <c r="P4" s="10" t="s">
        <v>979</v>
      </c>
    </row>
    <row r="5" spans="1:16" x14ac:dyDescent="0.2">
      <c r="A5" s="83" t="s">
        <v>1081</v>
      </c>
      <c r="B5" s="80"/>
      <c r="E5" s="82" t="s">
        <v>1082</v>
      </c>
      <c r="F5" s="90" t="s">
        <v>1391</v>
      </c>
      <c r="G5" s="81">
        <v>2020</v>
      </c>
      <c r="H5" s="80"/>
      <c r="I5" s="81">
        <v>2021</v>
      </c>
      <c r="J5" s="80"/>
      <c r="K5" s="81">
        <v>2022</v>
      </c>
      <c r="L5" s="80"/>
      <c r="M5" s="81">
        <v>2023</v>
      </c>
      <c r="N5" s="80"/>
      <c r="O5" s="81" t="s">
        <v>1271</v>
      </c>
      <c r="P5" s="80"/>
    </row>
    <row r="6" spans="1:16" ht="15" customHeight="1" x14ac:dyDescent="0.2">
      <c r="A6" t="s">
        <v>1088</v>
      </c>
      <c r="B6" t="b">
        <v>0</v>
      </c>
      <c r="E6" s="80"/>
      <c r="F6" s="90"/>
      <c r="G6" s="15" t="s">
        <v>1272</v>
      </c>
      <c r="H6" s="15" t="s">
        <v>1273</v>
      </c>
      <c r="I6" s="15" t="s">
        <v>1272</v>
      </c>
      <c r="J6" s="15" t="s">
        <v>1273</v>
      </c>
      <c r="K6" s="15" t="s">
        <v>1272</v>
      </c>
      <c r="L6" s="15" t="s">
        <v>1273</v>
      </c>
      <c r="M6" s="15" t="s">
        <v>1272</v>
      </c>
      <c r="N6" s="15" t="s">
        <v>1273</v>
      </c>
      <c r="O6" s="15" t="s">
        <v>1272</v>
      </c>
      <c r="P6" s="15" t="s">
        <v>1275</v>
      </c>
    </row>
    <row r="7" spans="1:16" ht="15.75" customHeight="1" x14ac:dyDescent="0.2">
      <c r="E7" s="80"/>
      <c r="F7" s="16" t="s">
        <v>1698</v>
      </c>
      <c r="G7" s="15">
        <v>102</v>
      </c>
      <c r="H7" s="15">
        <v>26.7</v>
      </c>
      <c r="I7" s="15">
        <v>96</v>
      </c>
      <c r="J7" s="15">
        <v>24.1</v>
      </c>
      <c r="K7" s="15">
        <v>122</v>
      </c>
      <c r="L7" s="15">
        <v>30.4</v>
      </c>
      <c r="M7" s="15">
        <v>92</v>
      </c>
      <c r="N7" s="15">
        <v>22.8</v>
      </c>
      <c r="O7" s="15">
        <v>412</v>
      </c>
      <c r="P7">
        <v>26</v>
      </c>
    </row>
    <row r="8" spans="1:16" x14ac:dyDescent="0.2">
      <c r="E8" s="80"/>
      <c r="F8" s="91" t="s">
        <v>1276</v>
      </c>
      <c r="G8" s="80"/>
      <c r="H8" s="80"/>
      <c r="I8" s="80"/>
      <c r="J8" s="80"/>
      <c r="K8" s="80"/>
      <c r="L8" s="80"/>
      <c r="M8" s="80"/>
      <c r="N8" s="80"/>
      <c r="O8" s="80"/>
      <c r="P8" s="80"/>
    </row>
    <row r="9" spans="1:16" x14ac:dyDescent="0.2">
      <c r="A9" s="83" t="s">
        <v>1098</v>
      </c>
      <c r="B9" s="80"/>
      <c r="E9" s="80"/>
      <c r="F9" s="47" t="s">
        <v>1277</v>
      </c>
      <c r="G9" s="15">
        <v>0</v>
      </c>
      <c r="H9" s="15">
        <v>0</v>
      </c>
      <c r="I9" s="15">
        <v>0</v>
      </c>
      <c r="J9" s="15">
        <v>0</v>
      </c>
      <c r="K9" s="15">
        <v>0</v>
      </c>
      <c r="L9" s="15">
        <v>0</v>
      </c>
      <c r="M9" s="15">
        <v>0</v>
      </c>
      <c r="N9" s="15">
        <v>0</v>
      </c>
      <c r="O9" s="15">
        <v>0</v>
      </c>
      <c r="P9">
        <v>0</v>
      </c>
    </row>
    <row r="10" spans="1:16" x14ac:dyDescent="0.2">
      <c r="A10" t="s">
        <v>1100</v>
      </c>
      <c r="B10" t="s">
        <v>1304</v>
      </c>
      <c r="E10" s="80"/>
      <c r="F10" s="49" t="s">
        <v>1699</v>
      </c>
      <c r="G10" s="15" t="s">
        <v>1031</v>
      </c>
      <c r="H10" s="15" t="s">
        <v>1031</v>
      </c>
      <c r="I10" s="15">
        <v>0</v>
      </c>
      <c r="J10" s="15">
        <v>0</v>
      </c>
      <c r="K10" s="15">
        <v>0</v>
      </c>
      <c r="L10" s="15">
        <v>0</v>
      </c>
      <c r="M10" s="15">
        <v>0</v>
      </c>
      <c r="N10" s="15">
        <v>0</v>
      </c>
      <c r="O10" s="15" t="s">
        <v>1031</v>
      </c>
      <c r="P10" t="s">
        <v>1031</v>
      </c>
    </row>
    <row r="11" spans="1:16" x14ac:dyDescent="0.2">
      <c r="A11" t="s">
        <v>1102</v>
      </c>
      <c r="B11" t="s">
        <v>1709</v>
      </c>
      <c r="E11" s="80"/>
      <c r="F11" s="49" t="s">
        <v>1700</v>
      </c>
      <c r="G11" s="15">
        <v>0</v>
      </c>
      <c r="H11">
        <v>0</v>
      </c>
      <c r="I11">
        <v>0</v>
      </c>
      <c r="J11">
        <v>0</v>
      </c>
      <c r="K11">
        <v>0</v>
      </c>
      <c r="L11">
        <v>0</v>
      </c>
      <c r="M11">
        <v>0</v>
      </c>
      <c r="N11">
        <v>0</v>
      </c>
      <c r="O11">
        <v>0</v>
      </c>
      <c r="P11">
        <v>0</v>
      </c>
    </row>
    <row r="12" spans="1:16" x14ac:dyDescent="0.2">
      <c r="A12" t="s">
        <v>1104</v>
      </c>
      <c r="E12" s="80"/>
      <c r="F12" s="47" t="s">
        <v>1701</v>
      </c>
      <c r="G12" s="15" t="s">
        <v>1031</v>
      </c>
      <c r="H12" s="15" t="s">
        <v>1031</v>
      </c>
      <c r="I12" s="15" t="s">
        <v>1031</v>
      </c>
      <c r="J12" s="17" t="s">
        <v>1031</v>
      </c>
      <c r="K12" s="17">
        <v>0</v>
      </c>
      <c r="L12" s="17">
        <v>0</v>
      </c>
      <c r="M12" s="17" t="s">
        <v>1031</v>
      </c>
      <c r="N12" s="17" t="s">
        <v>1031</v>
      </c>
      <c r="O12" t="s">
        <v>1031</v>
      </c>
      <c r="P12" t="s">
        <v>1031</v>
      </c>
    </row>
    <row r="13" spans="1:16" x14ac:dyDescent="0.2">
      <c r="A13" t="s">
        <v>1108</v>
      </c>
      <c r="E13" s="80"/>
      <c r="F13" s="48" t="s">
        <v>1702</v>
      </c>
      <c r="G13" s="17" t="s">
        <v>1031</v>
      </c>
      <c r="H13" s="17" t="s">
        <v>1031</v>
      </c>
      <c r="I13" s="15" t="s">
        <v>1031</v>
      </c>
      <c r="J13" s="15" t="s">
        <v>1031</v>
      </c>
      <c r="K13" s="15" t="s">
        <v>1031</v>
      </c>
      <c r="L13" s="15" t="s">
        <v>1031</v>
      </c>
      <c r="M13">
        <v>0</v>
      </c>
      <c r="N13">
        <v>0</v>
      </c>
      <c r="O13" t="s">
        <v>1031</v>
      </c>
      <c r="P13" t="s">
        <v>1031</v>
      </c>
    </row>
    <row r="14" spans="1:16" x14ac:dyDescent="0.2">
      <c r="A14" t="s">
        <v>1112</v>
      </c>
      <c r="E14" s="80"/>
      <c r="F14" s="47" t="s">
        <v>1703</v>
      </c>
      <c r="G14" t="s">
        <v>1031</v>
      </c>
      <c r="H14" t="s">
        <v>1031</v>
      </c>
      <c r="I14" t="s">
        <v>1031</v>
      </c>
      <c r="J14" t="s">
        <v>1031</v>
      </c>
      <c r="K14" t="s">
        <v>1031</v>
      </c>
      <c r="L14" t="s">
        <v>1031</v>
      </c>
      <c r="M14" t="s">
        <v>1031</v>
      </c>
      <c r="N14" t="s">
        <v>1031</v>
      </c>
      <c r="O14">
        <v>20</v>
      </c>
      <c r="P14">
        <v>10.5</v>
      </c>
    </row>
    <row r="15" spans="1:16" x14ac:dyDescent="0.2">
      <c r="A15" t="s">
        <v>1114</v>
      </c>
      <c r="B15" t="b">
        <v>1</v>
      </c>
      <c r="E15" s="80"/>
      <c r="F15" s="47" t="s">
        <v>1704</v>
      </c>
      <c r="G15">
        <v>24</v>
      </c>
      <c r="H15">
        <v>45.8</v>
      </c>
      <c r="I15">
        <v>27</v>
      </c>
      <c r="J15">
        <v>50.6</v>
      </c>
      <c r="K15">
        <v>14</v>
      </c>
      <c r="L15">
        <v>26.7</v>
      </c>
      <c r="M15">
        <v>30</v>
      </c>
      <c r="N15">
        <v>58.2</v>
      </c>
      <c r="O15">
        <v>95</v>
      </c>
      <c r="P15">
        <v>45.4</v>
      </c>
    </row>
    <row r="16" spans="1:16" x14ac:dyDescent="0.2">
      <c r="A16" t="s">
        <v>1116</v>
      </c>
      <c r="B16" t="b">
        <v>1</v>
      </c>
      <c r="E16" s="80"/>
      <c r="F16" s="47" t="s">
        <v>1705</v>
      </c>
      <c r="G16">
        <v>66</v>
      </c>
      <c r="H16">
        <v>135.5</v>
      </c>
      <c r="I16">
        <v>69</v>
      </c>
      <c r="J16">
        <v>134.30000000000001</v>
      </c>
      <c r="K16">
        <v>71</v>
      </c>
      <c r="L16">
        <v>138.69999999999999</v>
      </c>
      <c r="M16">
        <v>81</v>
      </c>
      <c r="N16">
        <v>157.30000000000001</v>
      </c>
      <c r="O16">
        <v>287</v>
      </c>
      <c r="P16">
        <v>141.4</v>
      </c>
    </row>
    <row r="17" spans="1:16" x14ac:dyDescent="0.2">
      <c r="E17" s="80"/>
      <c r="F17" s="47" t="s">
        <v>1706</v>
      </c>
      <c r="G17">
        <v>130</v>
      </c>
      <c r="H17">
        <v>412.3</v>
      </c>
      <c r="I17">
        <v>122</v>
      </c>
      <c r="J17">
        <v>364.5</v>
      </c>
      <c r="K17">
        <v>131</v>
      </c>
      <c r="L17">
        <v>387</v>
      </c>
      <c r="M17">
        <v>120</v>
      </c>
      <c r="N17">
        <v>344.4</v>
      </c>
      <c r="O17">
        <v>503</v>
      </c>
      <c r="P17">
        <v>377.1</v>
      </c>
    </row>
    <row r="18" spans="1:16" x14ac:dyDescent="0.2">
      <c r="A18" s="83" t="s">
        <v>1119</v>
      </c>
      <c r="B18" s="80"/>
      <c r="E18" s="80"/>
      <c r="F18" s="47" t="s">
        <v>1707</v>
      </c>
      <c r="G18">
        <v>155</v>
      </c>
      <c r="H18">
        <v>1051.2</v>
      </c>
      <c r="I18">
        <v>167</v>
      </c>
      <c r="J18">
        <v>1094.4000000000001</v>
      </c>
      <c r="K18">
        <v>174</v>
      </c>
      <c r="L18">
        <v>1098.2</v>
      </c>
      <c r="M18">
        <v>195</v>
      </c>
      <c r="N18">
        <v>1189.2</v>
      </c>
      <c r="O18">
        <v>691</v>
      </c>
      <c r="P18">
        <v>1108.3</v>
      </c>
    </row>
    <row r="19" spans="1:16" x14ac:dyDescent="0.2">
      <c r="A19" t="s">
        <v>1121</v>
      </c>
      <c r="B19" t="s">
        <v>1287</v>
      </c>
      <c r="E19" s="80"/>
      <c r="F19" s="47" t="s">
        <v>1288</v>
      </c>
      <c r="G19">
        <v>300</v>
      </c>
      <c r="H19">
        <v>4196.3999999999996</v>
      </c>
      <c r="I19">
        <v>234</v>
      </c>
      <c r="J19">
        <v>3434.6</v>
      </c>
      <c r="K19">
        <v>234</v>
      </c>
      <c r="L19">
        <v>3333.3</v>
      </c>
      <c r="M19">
        <v>245</v>
      </c>
      <c r="N19">
        <v>3651.8</v>
      </c>
      <c r="O19">
        <v>1013</v>
      </c>
      <c r="P19">
        <v>3654</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82</v>
      </c>
      <c r="H21" s="15">
        <v>34</v>
      </c>
      <c r="I21">
        <v>73</v>
      </c>
      <c r="J21">
        <v>29.4</v>
      </c>
      <c r="K21">
        <v>89</v>
      </c>
      <c r="L21">
        <v>36.700000000000003</v>
      </c>
      <c r="M21">
        <v>74</v>
      </c>
      <c r="N21">
        <v>30.9</v>
      </c>
      <c r="O21">
        <v>318</v>
      </c>
      <c r="P21">
        <v>32.799999999999997</v>
      </c>
    </row>
    <row r="22" spans="1:16" x14ac:dyDescent="0.2">
      <c r="A22" t="s">
        <v>1135</v>
      </c>
      <c r="B22" t="s">
        <v>1718</v>
      </c>
      <c r="E22" s="80"/>
      <c r="F22" s="47" t="s">
        <v>1292</v>
      </c>
      <c r="G22" s="15" t="s">
        <v>1031</v>
      </c>
      <c r="H22" s="15" t="s">
        <v>1031</v>
      </c>
      <c r="I22" t="s">
        <v>1031</v>
      </c>
      <c r="J22" t="s">
        <v>1031</v>
      </c>
      <c r="K22">
        <v>19</v>
      </c>
      <c r="L22">
        <v>45.3</v>
      </c>
      <c r="M22" t="s">
        <v>1031</v>
      </c>
      <c r="N22" t="s">
        <v>1031</v>
      </c>
      <c r="O22">
        <v>46</v>
      </c>
      <c r="P22">
        <v>28.1</v>
      </c>
    </row>
    <row r="23" spans="1:16" x14ac:dyDescent="0.2">
      <c r="E23" s="80"/>
      <c r="F23" s="47" t="s">
        <v>1293</v>
      </c>
      <c r="G23" s="15" t="s">
        <v>1031</v>
      </c>
      <c r="H23" s="15" t="s">
        <v>1031</v>
      </c>
      <c r="I23">
        <v>12</v>
      </c>
      <c r="J23">
        <v>14.1</v>
      </c>
      <c r="K23" t="s">
        <v>1031</v>
      </c>
      <c r="L23" t="s">
        <v>1031</v>
      </c>
      <c r="M23" t="s">
        <v>1031</v>
      </c>
      <c r="N23" t="s">
        <v>1031</v>
      </c>
      <c r="O23">
        <v>36</v>
      </c>
      <c r="P23">
        <v>10.4</v>
      </c>
    </row>
    <row r="24" spans="1:16" x14ac:dyDescent="0.2">
      <c r="E24" s="80"/>
      <c r="F24" s="47" t="s">
        <v>1015</v>
      </c>
      <c r="G24" s="15" t="s">
        <v>1031</v>
      </c>
      <c r="H24" s="15" t="s">
        <v>1031</v>
      </c>
      <c r="I24" t="s">
        <v>1031</v>
      </c>
      <c r="J24" t="s">
        <v>1031</v>
      </c>
      <c r="K24" t="s">
        <v>1031</v>
      </c>
      <c r="L24" t="s">
        <v>1031</v>
      </c>
      <c r="M24" t="s">
        <v>1031</v>
      </c>
      <c r="N24" t="s">
        <v>1031</v>
      </c>
      <c r="O24">
        <v>12</v>
      </c>
      <c r="P24">
        <v>11.7</v>
      </c>
    </row>
    <row r="25" spans="1:16" x14ac:dyDescent="0.2">
      <c r="E25" s="80"/>
      <c r="F25" s="91" t="s">
        <v>1294</v>
      </c>
      <c r="G25" s="80"/>
      <c r="H25" s="80"/>
      <c r="I25" s="80"/>
      <c r="J25" s="80"/>
      <c r="K25" s="80"/>
      <c r="L25" s="80"/>
      <c r="M25" s="80"/>
      <c r="N25" s="80"/>
      <c r="O25" s="80"/>
      <c r="P25" s="80"/>
    </row>
    <row r="26" spans="1:16" x14ac:dyDescent="0.2">
      <c r="E26" s="80"/>
      <c r="F26" s="47">
        <v>10940</v>
      </c>
      <c r="G26" s="15">
        <v>13</v>
      </c>
      <c r="H26" s="15">
        <v>26.3</v>
      </c>
      <c r="I26">
        <v>16</v>
      </c>
      <c r="J26">
        <v>31.4</v>
      </c>
      <c r="K26">
        <v>18</v>
      </c>
      <c r="L26">
        <v>34.700000000000003</v>
      </c>
      <c r="M26">
        <v>11</v>
      </c>
      <c r="N26">
        <v>20.7</v>
      </c>
      <c r="O26">
        <v>58</v>
      </c>
      <c r="P26">
        <v>28.3</v>
      </c>
    </row>
    <row r="27" spans="1:16" x14ac:dyDescent="0.2">
      <c r="A27" s="81"/>
      <c r="B27" s="80"/>
      <c r="E27" s="80"/>
      <c r="F27" s="47">
        <v>10950</v>
      </c>
      <c r="G27" s="15">
        <v>11</v>
      </c>
      <c r="H27" s="15">
        <v>82.2</v>
      </c>
      <c r="I27">
        <v>10</v>
      </c>
      <c r="J27">
        <v>69.400000000000006</v>
      </c>
      <c r="K27" t="s">
        <v>1031</v>
      </c>
      <c r="L27" t="s">
        <v>1031</v>
      </c>
      <c r="M27" t="s">
        <v>1031</v>
      </c>
      <c r="N27" t="s">
        <v>1031</v>
      </c>
      <c r="O27">
        <v>33</v>
      </c>
      <c r="P27">
        <v>58.5</v>
      </c>
    </row>
    <row r="28" spans="1:16" x14ac:dyDescent="0.2">
      <c r="E28" s="80"/>
      <c r="F28" s="47">
        <v>12550</v>
      </c>
      <c r="G28" s="15">
        <v>17</v>
      </c>
      <c r="H28" s="15">
        <v>63.8</v>
      </c>
      <c r="I28">
        <v>12</v>
      </c>
      <c r="J28">
        <v>44.8</v>
      </c>
      <c r="K28">
        <v>18</v>
      </c>
      <c r="L28">
        <v>65.7</v>
      </c>
      <c r="M28">
        <v>13</v>
      </c>
      <c r="N28">
        <v>47.6</v>
      </c>
      <c r="O28">
        <v>60</v>
      </c>
      <c r="P28">
        <v>55.5</v>
      </c>
    </row>
    <row r="29" spans="1:16" x14ac:dyDescent="0.2">
      <c r="E29" s="80"/>
      <c r="F29" s="47">
        <v>12771</v>
      </c>
      <c r="G29" s="15" t="s">
        <v>1031</v>
      </c>
      <c r="H29" s="15" t="s">
        <v>1031</v>
      </c>
      <c r="I29" t="s">
        <v>1031</v>
      </c>
      <c r="J29" t="s">
        <v>1031</v>
      </c>
      <c r="K29" t="s">
        <v>1031</v>
      </c>
      <c r="L29" t="s">
        <v>1031</v>
      </c>
      <c r="M29">
        <v>10</v>
      </c>
      <c r="N29">
        <v>69.7</v>
      </c>
      <c r="O29">
        <v>28</v>
      </c>
      <c r="P29">
        <v>48.3</v>
      </c>
    </row>
    <row r="30" spans="1:16" x14ac:dyDescent="0.2">
      <c r="E30" s="80"/>
      <c r="F30" s="15"/>
      <c r="G30" s="15"/>
      <c r="H30" s="15"/>
    </row>
    <row r="31" spans="1:16" x14ac:dyDescent="0.2">
      <c r="E31" s="80"/>
      <c r="F31" s="15"/>
      <c r="G31" s="15"/>
      <c r="H31" s="15"/>
    </row>
    <row r="32" spans="1:16" x14ac:dyDescent="0.2">
      <c r="E32" s="80"/>
      <c r="F32" s="15"/>
      <c r="G32" s="15"/>
      <c r="H32" s="15"/>
    </row>
    <row r="33" spans="5:9" x14ac:dyDescent="0.2">
      <c r="E33" s="80"/>
    </row>
    <row r="34" spans="5:9" x14ac:dyDescent="0.2">
      <c r="E34" s="80"/>
      <c r="F34" s="15"/>
      <c r="G34" s="15"/>
      <c r="H34" s="15"/>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c r="F38" s="15"/>
      <c r="G38" s="15"/>
      <c r="H38" s="15"/>
      <c r="I38" s="17"/>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K5:L5"/>
    <mergeCell ref="I5:J5"/>
    <mergeCell ref="F20:P20"/>
    <mergeCell ref="M5:N5"/>
    <mergeCell ref="F25:P25"/>
    <mergeCell ref="A18:B18"/>
    <mergeCell ref="A27:B27"/>
    <mergeCell ref="F5:F6"/>
  </mergeCells>
  <dataValidations count="4">
    <dataValidation type="list" allowBlank="1" showInputMessage="1" showErrorMessage="1" sqref="P4" xr:uid="{00000000-0002-0000-3500-000000000000}">
      <formula1>"integer, number, percent1"</formula1>
    </dataValidation>
    <dataValidation type="list" allowBlank="1" showInputMessage="1" showErrorMessage="1" sqref="B10" xr:uid="{00000000-0002-0000-3500-000001000000}">
      <formula1>"Line,Clustered Bar,Stacked Bar,Bar,Horizontal Stacked Bar"</formula1>
    </dataValidation>
    <dataValidation type="list" allowBlank="1" showInputMessage="1" showErrorMessage="1" sqref="B2" xr:uid="{00000000-0002-0000-3500-000002000000}">
      <formula1>"Table,Figure,Both"</formula1>
    </dataValidation>
    <dataValidation type="list" allowBlank="1" showInputMessage="1" showErrorMessage="1" sqref="B6 B15:B16" xr:uid="{00000000-0002-0000-3500-000003000000}">
      <formula1>"True,False"</formula1>
    </dataValidation>
  </dataValidation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187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tbl-cerebrovascdz-mortal-aar</v>
      </c>
    </row>
    <row r="4" spans="1:17" x14ac:dyDescent="0.2">
      <c r="A4" s="16" t="s">
        <v>7</v>
      </c>
      <c r="B4" t="str">
        <f>IF($B$1="","",_xlfn.XLOOKUP($B$1,Master!$F$2:$F$321,Master!$H$2:$H$321,""))</f>
        <v>fig-cerebrovascdz-mortal-aar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s="34" t="s">
        <v>1391</v>
      </c>
      <c r="G5">
        <v>2020</v>
      </c>
      <c r="H5">
        <v>2021</v>
      </c>
      <c r="I5">
        <v>2022</v>
      </c>
      <c r="J5">
        <v>2023</v>
      </c>
    </row>
    <row r="6" spans="1:17" ht="15" customHeight="1" x14ac:dyDescent="0.2">
      <c r="A6" t="s">
        <v>1088</v>
      </c>
      <c r="B6" t="b">
        <v>0</v>
      </c>
      <c r="E6" s="80"/>
      <c r="F6" t="s">
        <v>1297</v>
      </c>
      <c r="G6" s="15">
        <v>24.3</v>
      </c>
      <c r="H6" s="15">
        <v>22.9</v>
      </c>
      <c r="I6" s="15">
        <v>28.3</v>
      </c>
      <c r="J6" s="15">
        <v>21.4</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1719</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600-000000000000}">
      <formula1>"integer, number, percent1"</formula1>
    </dataValidation>
    <dataValidation type="list" allowBlank="1" showInputMessage="1" showErrorMessage="1" sqref="B10" xr:uid="{00000000-0002-0000-3600-000001000000}">
      <formula1>"Line,Clustered Bar,Stacked Bar,Bar,Horizontal Stacked Bar"</formula1>
    </dataValidation>
    <dataValidation type="list" allowBlank="1" showInputMessage="1" showErrorMessage="1" sqref="B2" xr:uid="{00000000-0002-0000-3600-000002000000}">
      <formula1>"Table,Figure,Both"</formula1>
    </dataValidation>
    <dataValidation type="list" allowBlank="1" showInputMessage="1" showErrorMessage="1" sqref="B6 B15:B16" xr:uid="{00000000-0002-0000-3600-000003000000}">
      <formula1>"True,False"</formula1>
    </dataValidation>
  </dataValidation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190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tbl-cerebrovascdz-mortal-sex-aar</v>
      </c>
    </row>
    <row r="4" spans="1:17" x14ac:dyDescent="0.2">
      <c r="A4" s="16" t="s">
        <v>7</v>
      </c>
      <c r="B4" t="str">
        <f>IF($B$1="","",_xlfn.XLOOKUP($B$1,Master!$F$2:$F$321,Master!$H$2:$H$321,""))</f>
        <v>fig-cerebrovascdz-mortal-sex-aar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24.7</v>
      </c>
      <c r="H6" s="15">
        <v>24.3</v>
      </c>
      <c r="I6" s="15">
        <v>29.3</v>
      </c>
      <c r="J6" s="15">
        <v>19.3</v>
      </c>
      <c r="K6" s="15"/>
      <c r="L6" s="15"/>
      <c r="M6" s="15"/>
      <c r="N6" s="15"/>
      <c r="O6" s="15"/>
    </row>
    <row r="7" spans="1:17" ht="15.75" customHeight="1" x14ac:dyDescent="0.2">
      <c r="E7" s="80"/>
      <c r="F7" t="s">
        <v>1306</v>
      </c>
      <c r="G7" s="15">
        <v>23.5</v>
      </c>
      <c r="H7" s="15">
        <v>22</v>
      </c>
      <c r="I7" s="15">
        <v>26.8</v>
      </c>
      <c r="J7" s="15">
        <v>22.6</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1719</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700-000000000000}">
      <formula1>"integer, number, percent1"</formula1>
    </dataValidation>
    <dataValidation type="list" allowBlank="1" showInputMessage="1" showErrorMessage="1" sqref="B10" xr:uid="{00000000-0002-0000-3700-000001000000}">
      <formula1>"Line,Clustered Bar,Stacked Bar,Bar,Horizontal Stacked Bar"</formula1>
    </dataValidation>
    <dataValidation type="list" allowBlank="1" showInputMessage="1" showErrorMessage="1" sqref="B2" xr:uid="{00000000-0002-0000-3700-000002000000}">
      <formula1>"Table,Figure,Both"</formula1>
    </dataValidation>
    <dataValidation type="list" allowBlank="1" showInputMessage="1" showErrorMessage="1" sqref="B6 B15:B16" xr:uid="{00000000-0002-0000-3700-000003000000}">
      <formula1>"True,False"</formula1>
    </dataValidation>
  </dataValidation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P57"/>
  <sheetViews>
    <sheetView workbookViewId="0">
      <selection activeCell="P16" sqref="P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12.5" bestFit="1" customWidth="1"/>
    <col min="16" max="16" width="10.6640625" bestFit="1" customWidth="1"/>
  </cols>
  <sheetData>
    <row r="1" spans="1:16" x14ac:dyDescent="0.2">
      <c r="A1" s="16" t="s">
        <v>1077</v>
      </c>
      <c r="B1" s="79" t="s">
        <v>193</v>
      </c>
      <c r="C1" s="80"/>
      <c r="D1" s="80"/>
      <c r="E1" s="80"/>
      <c r="F1" s="80"/>
      <c r="G1" s="80"/>
      <c r="H1" s="80"/>
      <c r="I1" s="80"/>
      <c r="J1" s="80"/>
      <c r="K1" s="80"/>
      <c r="L1" s="80"/>
      <c r="M1" s="80"/>
      <c r="N1" s="80"/>
      <c r="O1" s="80"/>
    </row>
    <row r="2" spans="1:16" x14ac:dyDescent="0.2">
      <c r="A2" s="16" t="s">
        <v>1078</v>
      </c>
      <c r="B2" t="s">
        <v>1079</v>
      </c>
    </row>
    <row r="3" spans="1:16" x14ac:dyDescent="0.2">
      <c r="A3" s="16" t="s">
        <v>1080</v>
      </c>
      <c r="B3" t="str">
        <f>IF($B$1="","",_xlfn.XLOOKUP($B$1,Master!$F$2:$F$321,Master!$G$2:$G$321,""))</f>
        <v>tbl-other-dzcircsystem-count-rate-age-rande-zip</v>
      </c>
    </row>
    <row r="4" spans="1:16" x14ac:dyDescent="0.2">
      <c r="A4" s="16" t="s">
        <v>7</v>
      </c>
      <c r="B4" t="str">
        <f>IF($B$1="","",_xlfn.XLOOKUP($B$1,Master!$F$2:$F$321,Master!$H$2:$H$321,""))</f>
        <v>fig-other-dzcircsystem-count-rate-age-rande-zip</v>
      </c>
      <c r="E4" s="8"/>
      <c r="F4" s="10" t="s">
        <v>1009</v>
      </c>
      <c r="G4" s="10" t="s">
        <v>973</v>
      </c>
      <c r="H4" s="10" t="s">
        <v>979</v>
      </c>
      <c r="I4" s="10" t="s">
        <v>973</v>
      </c>
      <c r="J4" s="10" t="s">
        <v>979</v>
      </c>
      <c r="K4" s="10" t="s">
        <v>973</v>
      </c>
      <c r="L4" s="10" t="s">
        <v>979</v>
      </c>
      <c r="M4" s="10" t="s">
        <v>973</v>
      </c>
      <c r="N4" s="10" t="s">
        <v>979</v>
      </c>
      <c r="O4" s="10" t="s">
        <v>973</v>
      </c>
      <c r="P4" s="10" t="s">
        <v>979</v>
      </c>
    </row>
    <row r="5" spans="1:16" x14ac:dyDescent="0.2">
      <c r="A5" s="83" t="s">
        <v>1081</v>
      </c>
      <c r="B5" s="80"/>
      <c r="E5" s="82" t="s">
        <v>1082</v>
      </c>
      <c r="F5" s="85" t="s">
        <v>1391</v>
      </c>
      <c r="G5" s="81">
        <v>2020</v>
      </c>
      <c r="H5" s="80"/>
      <c r="I5" s="81">
        <v>2021</v>
      </c>
      <c r="J5" s="80"/>
      <c r="K5" s="81">
        <v>2022</v>
      </c>
      <c r="L5" s="80"/>
      <c r="M5" s="81">
        <v>2023</v>
      </c>
      <c r="N5" s="80"/>
      <c r="O5" s="81" t="s">
        <v>1271</v>
      </c>
      <c r="P5" s="80"/>
    </row>
    <row r="6" spans="1:16" ht="15" customHeight="1" x14ac:dyDescent="0.2">
      <c r="A6" t="s">
        <v>1088</v>
      </c>
      <c r="B6" t="b">
        <v>1</v>
      </c>
      <c r="E6" s="80"/>
      <c r="F6" s="85"/>
      <c r="G6" s="15" t="s">
        <v>1272</v>
      </c>
      <c r="H6" s="15" t="s">
        <v>1273</v>
      </c>
      <c r="I6" s="15" t="s">
        <v>1272</v>
      </c>
      <c r="J6" s="15" t="s">
        <v>1273</v>
      </c>
      <c r="K6" s="15" t="s">
        <v>1272</v>
      </c>
      <c r="L6" s="15" t="s">
        <v>1273</v>
      </c>
      <c r="M6" s="15" t="s">
        <v>1272</v>
      </c>
      <c r="N6" s="15" t="s">
        <v>1273</v>
      </c>
      <c r="O6" s="15" t="s">
        <v>1272</v>
      </c>
      <c r="P6" s="15" t="s">
        <v>1275</v>
      </c>
    </row>
    <row r="7" spans="1:16" ht="15.75" customHeight="1" x14ac:dyDescent="0.2">
      <c r="E7" s="80"/>
      <c r="F7" s="16" t="s">
        <v>1698</v>
      </c>
      <c r="G7" s="15">
        <v>68</v>
      </c>
      <c r="H7" s="15">
        <v>17.8</v>
      </c>
      <c r="I7" s="15">
        <v>39</v>
      </c>
      <c r="J7" s="15">
        <v>9.8000000000000007</v>
      </c>
      <c r="K7" s="15">
        <v>65</v>
      </c>
      <c r="L7" s="15">
        <v>16.2</v>
      </c>
      <c r="M7" s="15">
        <v>73</v>
      </c>
      <c r="N7" s="15">
        <v>18.100000000000001</v>
      </c>
      <c r="O7" s="15">
        <v>245</v>
      </c>
      <c r="P7">
        <v>15.5</v>
      </c>
    </row>
    <row r="8" spans="1:16" x14ac:dyDescent="0.2">
      <c r="E8" s="80"/>
      <c r="F8" s="91" t="s">
        <v>1276</v>
      </c>
      <c r="G8" s="80"/>
      <c r="H8" s="80"/>
      <c r="I8" s="80"/>
      <c r="J8" s="80"/>
      <c r="K8" s="80"/>
      <c r="L8" s="80"/>
      <c r="M8" s="80"/>
      <c r="N8" s="80"/>
      <c r="O8" s="80"/>
      <c r="P8" s="80"/>
    </row>
    <row r="9" spans="1:16" x14ac:dyDescent="0.2">
      <c r="A9" s="83" t="s">
        <v>1098</v>
      </c>
      <c r="B9" s="80"/>
      <c r="E9" s="80"/>
      <c r="F9" s="47" t="s">
        <v>1277</v>
      </c>
      <c r="G9" s="15">
        <v>0</v>
      </c>
      <c r="H9" s="15">
        <v>0</v>
      </c>
      <c r="I9" s="15" t="s">
        <v>1031</v>
      </c>
      <c r="J9" s="15" t="s">
        <v>1031</v>
      </c>
      <c r="K9" s="15">
        <v>0</v>
      </c>
      <c r="L9" s="15">
        <v>0</v>
      </c>
      <c r="M9" s="15" t="s">
        <v>1031</v>
      </c>
      <c r="N9" s="15" t="s">
        <v>1031</v>
      </c>
      <c r="O9" s="15" t="s">
        <v>1031</v>
      </c>
      <c r="P9" t="s">
        <v>1031</v>
      </c>
    </row>
    <row r="10" spans="1:16" x14ac:dyDescent="0.2">
      <c r="A10" t="s">
        <v>1100</v>
      </c>
      <c r="E10" s="80"/>
      <c r="F10" s="49" t="s">
        <v>1699</v>
      </c>
      <c r="G10" s="15" t="s">
        <v>1031</v>
      </c>
      <c r="H10" s="15" t="s">
        <v>1031</v>
      </c>
      <c r="I10" s="15">
        <v>0</v>
      </c>
      <c r="J10" s="15">
        <v>0</v>
      </c>
      <c r="K10" s="15">
        <v>0</v>
      </c>
      <c r="L10" s="15">
        <v>0</v>
      </c>
      <c r="M10" s="15">
        <v>0</v>
      </c>
      <c r="N10" s="15">
        <v>0</v>
      </c>
      <c r="O10" s="15" t="s">
        <v>1031</v>
      </c>
      <c r="P10" t="s">
        <v>1031</v>
      </c>
    </row>
    <row r="11" spans="1:16" x14ac:dyDescent="0.2">
      <c r="A11" t="s">
        <v>1102</v>
      </c>
      <c r="E11" s="80"/>
      <c r="F11" s="49" t="s">
        <v>1700</v>
      </c>
      <c r="G11" s="15">
        <v>0</v>
      </c>
      <c r="H11">
        <v>0</v>
      </c>
      <c r="I11">
        <v>0</v>
      </c>
      <c r="J11">
        <v>0</v>
      </c>
      <c r="K11">
        <v>0</v>
      </c>
      <c r="L11">
        <v>0</v>
      </c>
      <c r="M11">
        <v>0</v>
      </c>
      <c r="N11">
        <v>0</v>
      </c>
      <c r="O11">
        <v>0</v>
      </c>
      <c r="P11">
        <v>0</v>
      </c>
    </row>
    <row r="12" spans="1:16" x14ac:dyDescent="0.2">
      <c r="A12" t="s">
        <v>1104</v>
      </c>
      <c r="E12" s="80"/>
      <c r="F12" s="47" t="s">
        <v>1701</v>
      </c>
      <c r="G12" s="15" t="s">
        <v>1031</v>
      </c>
      <c r="H12" s="15" t="s">
        <v>1031</v>
      </c>
      <c r="I12" s="15" t="s">
        <v>1031</v>
      </c>
      <c r="J12" s="17" t="s">
        <v>1031</v>
      </c>
      <c r="K12" s="17" t="s">
        <v>1031</v>
      </c>
      <c r="L12" s="17" t="s">
        <v>1031</v>
      </c>
      <c r="M12" s="17" t="s">
        <v>1031</v>
      </c>
      <c r="N12" s="17" t="s">
        <v>1031</v>
      </c>
      <c r="O12" t="s">
        <v>1031</v>
      </c>
      <c r="P12" t="s">
        <v>1031</v>
      </c>
    </row>
    <row r="13" spans="1:16" x14ac:dyDescent="0.2">
      <c r="A13" t="s">
        <v>1108</v>
      </c>
      <c r="E13" s="80"/>
      <c r="F13" s="48" t="s">
        <v>1702</v>
      </c>
      <c r="G13" s="17" t="s">
        <v>1031</v>
      </c>
      <c r="H13" s="17" t="s">
        <v>1031</v>
      </c>
      <c r="I13" s="15" t="s">
        <v>1031</v>
      </c>
      <c r="J13" s="15" t="s">
        <v>1031</v>
      </c>
      <c r="K13" s="15" t="s">
        <v>1031</v>
      </c>
      <c r="L13" s="15" t="s">
        <v>1031</v>
      </c>
      <c r="M13" t="s">
        <v>1031</v>
      </c>
      <c r="N13" t="s">
        <v>1031</v>
      </c>
      <c r="O13">
        <v>14</v>
      </c>
      <c r="P13">
        <v>7.5</v>
      </c>
    </row>
    <row r="14" spans="1:16" x14ac:dyDescent="0.2">
      <c r="A14" t="s">
        <v>1112</v>
      </c>
      <c r="E14" s="80"/>
      <c r="F14" s="47" t="s">
        <v>1703</v>
      </c>
      <c r="G14" t="s">
        <v>1031</v>
      </c>
      <c r="H14" t="s">
        <v>1031</v>
      </c>
      <c r="I14" t="s">
        <v>1031</v>
      </c>
      <c r="J14" t="s">
        <v>1031</v>
      </c>
      <c r="K14" t="s">
        <v>1031</v>
      </c>
      <c r="L14" t="s">
        <v>1031</v>
      </c>
      <c r="M14" t="s">
        <v>1031</v>
      </c>
      <c r="N14" t="s">
        <v>1031</v>
      </c>
      <c r="O14">
        <v>30</v>
      </c>
      <c r="P14">
        <v>15.7</v>
      </c>
    </row>
    <row r="15" spans="1:16" x14ac:dyDescent="0.2">
      <c r="A15" t="s">
        <v>1114</v>
      </c>
      <c r="E15" s="80"/>
      <c r="F15" s="47" t="s">
        <v>1704</v>
      </c>
      <c r="G15">
        <v>28</v>
      </c>
      <c r="H15">
        <v>53.5</v>
      </c>
      <c r="I15">
        <v>34</v>
      </c>
      <c r="J15">
        <v>63.7</v>
      </c>
      <c r="K15">
        <v>21</v>
      </c>
      <c r="L15">
        <v>40.1</v>
      </c>
      <c r="M15">
        <v>32</v>
      </c>
      <c r="N15">
        <v>62.1</v>
      </c>
      <c r="O15">
        <v>115</v>
      </c>
      <c r="P15">
        <v>54.9</v>
      </c>
    </row>
    <row r="16" spans="1:16" x14ac:dyDescent="0.2">
      <c r="A16" t="s">
        <v>1116</v>
      </c>
      <c r="E16" s="80"/>
      <c r="F16" s="47" t="s">
        <v>1705</v>
      </c>
      <c r="G16">
        <v>84</v>
      </c>
      <c r="H16">
        <v>172.5</v>
      </c>
      <c r="I16">
        <v>91</v>
      </c>
      <c r="J16">
        <v>177.1</v>
      </c>
      <c r="K16">
        <v>99</v>
      </c>
      <c r="L16">
        <v>193.4</v>
      </c>
      <c r="M16">
        <v>98</v>
      </c>
      <c r="N16">
        <v>190.3</v>
      </c>
      <c r="O16">
        <v>372</v>
      </c>
      <c r="P16">
        <v>183.3</v>
      </c>
    </row>
    <row r="17" spans="1:16" x14ac:dyDescent="0.2">
      <c r="E17" s="80"/>
      <c r="F17" s="47" t="s">
        <v>1706</v>
      </c>
      <c r="G17">
        <v>154</v>
      </c>
      <c r="H17">
        <v>488.4</v>
      </c>
      <c r="I17">
        <v>147</v>
      </c>
      <c r="J17">
        <v>439.2</v>
      </c>
      <c r="K17">
        <v>159</v>
      </c>
      <c r="L17">
        <v>469.7</v>
      </c>
      <c r="M17">
        <v>147</v>
      </c>
      <c r="N17">
        <v>421.9</v>
      </c>
      <c r="O17">
        <v>607</v>
      </c>
      <c r="P17">
        <v>454.8</v>
      </c>
    </row>
    <row r="18" spans="1:16" x14ac:dyDescent="0.2">
      <c r="A18" s="83" t="s">
        <v>1119</v>
      </c>
      <c r="B18" s="80"/>
      <c r="E18" s="80"/>
      <c r="F18" s="47" t="s">
        <v>1707</v>
      </c>
      <c r="G18">
        <v>196</v>
      </c>
      <c r="H18">
        <v>1329.3</v>
      </c>
      <c r="I18">
        <v>209</v>
      </c>
      <c r="J18">
        <v>1369.6</v>
      </c>
      <c r="K18">
        <v>230</v>
      </c>
      <c r="L18">
        <v>1451.7</v>
      </c>
      <c r="M18">
        <v>236</v>
      </c>
      <c r="N18">
        <v>1439.3</v>
      </c>
      <c r="O18">
        <v>871</v>
      </c>
      <c r="P18">
        <v>1397.4</v>
      </c>
    </row>
    <row r="19" spans="1:16" x14ac:dyDescent="0.2">
      <c r="A19" t="s">
        <v>1121</v>
      </c>
      <c r="B19" t="s">
        <v>1287</v>
      </c>
      <c r="E19" s="80"/>
      <c r="F19" s="47" t="s">
        <v>1288</v>
      </c>
      <c r="G19">
        <v>365</v>
      </c>
      <c r="H19">
        <v>5105.6000000000004</v>
      </c>
      <c r="I19">
        <v>297</v>
      </c>
      <c r="J19">
        <v>4359.3</v>
      </c>
      <c r="K19">
        <v>295</v>
      </c>
      <c r="L19">
        <v>4202.3</v>
      </c>
      <c r="M19">
        <v>313</v>
      </c>
      <c r="N19">
        <v>4665.3999999999996</v>
      </c>
      <c r="O19">
        <v>1270</v>
      </c>
      <c r="P19">
        <v>4583.1000000000004</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686</v>
      </c>
      <c r="H21" s="15">
        <v>284.39999999999998</v>
      </c>
      <c r="I21">
        <v>635</v>
      </c>
      <c r="J21">
        <v>256.2</v>
      </c>
      <c r="K21">
        <v>656</v>
      </c>
      <c r="L21">
        <v>270.39999999999998</v>
      </c>
      <c r="M21">
        <v>660</v>
      </c>
      <c r="N21">
        <v>275.89999999999998</v>
      </c>
      <c r="O21">
        <v>2637</v>
      </c>
      <c r="P21">
        <v>271.7</v>
      </c>
    </row>
    <row r="22" spans="1:16" x14ac:dyDescent="0.2">
      <c r="A22" t="s">
        <v>1135</v>
      </c>
      <c r="B22" t="s">
        <v>1720</v>
      </c>
      <c r="E22" s="80"/>
      <c r="F22" s="47" t="s">
        <v>1292</v>
      </c>
      <c r="G22" s="15">
        <v>66</v>
      </c>
      <c r="H22" s="15">
        <v>171.6</v>
      </c>
      <c r="I22">
        <v>72</v>
      </c>
      <c r="J22">
        <v>181.2</v>
      </c>
      <c r="K22">
        <v>74</v>
      </c>
      <c r="L22">
        <v>176.4</v>
      </c>
      <c r="M22">
        <v>85</v>
      </c>
      <c r="N22">
        <v>200.1</v>
      </c>
      <c r="O22">
        <v>297</v>
      </c>
      <c r="P22">
        <v>182.3</v>
      </c>
    </row>
    <row r="23" spans="1:16" x14ac:dyDescent="0.2">
      <c r="E23" s="80"/>
      <c r="F23" s="47" t="s">
        <v>1293</v>
      </c>
      <c r="G23" s="15">
        <v>63</v>
      </c>
      <c r="H23" s="15">
        <v>78.5</v>
      </c>
      <c r="I23">
        <v>70</v>
      </c>
      <c r="J23">
        <v>82</v>
      </c>
      <c r="K23">
        <v>61</v>
      </c>
      <c r="L23">
        <v>68.2</v>
      </c>
      <c r="M23">
        <v>74</v>
      </c>
      <c r="N23">
        <v>79.099999999999994</v>
      </c>
      <c r="O23">
        <v>268</v>
      </c>
      <c r="P23">
        <v>76.900000000000006</v>
      </c>
    </row>
    <row r="24" spans="1:16" x14ac:dyDescent="0.2">
      <c r="E24" s="80"/>
      <c r="F24" s="47" t="s">
        <v>1015</v>
      </c>
      <c r="G24" s="15">
        <v>28</v>
      </c>
      <c r="H24" s="15">
        <v>126.2</v>
      </c>
      <c r="I24">
        <v>16</v>
      </c>
      <c r="J24">
        <v>63.2</v>
      </c>
      <c r="K24">
        <v>24</v>
      </c>
      <c r="L24">
        <v>88.4</v>
      </c>
      <c r="M24">
        <v>20</v>
      </c>
      <c r="N24">
        <v>70</v>
      </c>
      <c r="O24">
        <v>88</v>
      </c>
      <c r="P24">
        <v>87</v>
      </c>
    </row>
    <row r="25" spans="1:16" x14ac:dyDescent="0.2">
      <c r="E25" s="80"/>
      <c r="F25" s="91" t="s">
        <v>1294</v>
      </c>
      <c r="G25" s="80"/>
      <c r="H25" s="80"/>
      <c r="I25" s="80"/>
      <c r="J25" s="80"/>
      <c r="K25" s="80"/>
      <c r="L25" s="80"/>
      <c r="M25" s="80"/>
      <c r="N25" s="80"/>
      <c r="O25" s="80"/>
      <c r="P25" s="80"/>
    </row>
    <row r="26" spans="1:16" x14ac:dyDescent="0.2">
      <c r="E26" s="80"/>
      <c r="F26" s="47">
        <v>10940</v>
      </c>
      <c r="G26" s="15">
        <v>111</v>
      </c>
      <c r="H26" s="15">
        <v>224.6</v>
      </c>
      <c r="I26">
        <v>138</v>
      </c>
      <c r="J26">
        <v>270.89999999999998</v>
      </c>
      <c r="K26">
        <v>127</v>
      </c>
      <c r="L26">
        <v>244.9</v>
      </c>
      <c r="M26">
        <v>125</v>
      </c>
      <c r="N26">
        <v>235.4</v>
      </c>
      <c r="O26">
        <v>501</v>
      </c>
      <c r="P26">
        <v>244</v>
      </c>
    </row>
    <row r="27" spans="1:16" x14ac:dyDescent="0.2">
      <c r="A27" s="81"/>
      <c r="B27" s="80"/>
      <c r="E27" s="80"/>
      <c r="F27" s="47">
        <v>10950</v>
      </c>
      <c r="G27" s="15">
        <v>58</v>
      </c>
      <c r="H27" s="15">
        <v>433.4</v>
      </c>
      <c r="I27">
        <v>48</v>
      </c>
      <c r="J27">
        <v>333</v>
      </c>
      <c r="K27">
        <v>46</v>
      </c>
      <c r="L27">
        <v>317.2</v>
      </c>
      <c r="M27">
        <v>43</v>
      </c>
      <c r="N27">
        <v>291.3</v>
      </c>
      <c r="O27">
        <v>195</v>
      </c>
      <c r="P27">
        <v>343.7</v>
      </c>
    </row>
    <row r="28" spans="1:16" x14ac:dyDescent="0.2">
      <c r="E28" s="80"/>
      <c r="F28" s="47">
        <v>12550</v>
      </c>
      <c r="G28" s="15">
        <v>153</v>
      </c>
      <c r="H28" s="15">
        <v>573.79999999999995</v>
      </c>
      <c r="I28">
        <v>115</v>
      </c>
      <c r="J28">
        <v>429</v>
      </c>
      <c r="K28">
        <v>127</v>
      </c>
      <c r="L28">
        <v>463.4</v>
      </c>
      <c r="M28">
        <v>113</v>
      </c>
      <c r="N28">
        <v>413.9</v>
      </c>
      <c r="O28">
        <v>508</v>
      </c>
      <c r="P28">
        <v>470</v>
      </c>
    </row>
    <row r="29" spans="1:16" x14ac:dyDescent="0.2">
      <c r="E29" s="80"/>
      <c r="F29" s="47">
        <v>12771</v>
      </c>
      <c r="G29" s="15">
        <v>33</v>
      </c>
      <c r="H29" s="15">
        <v>229</v>
      </c>
      <c r="I29">
        <v>55</v>
      </c>
      <c r="J29">
        <v>370.6</v>
      </c>
      <c r="K29">
        <v>46</v>
      </c>
      <c r="L29">
        <v>318.3</v>
      </c>
      <c r="M29">
        <v>52</v>
      </c>
      <c r="N29">
        <v>362.5</v>
      </c>
      <c r="O29">
        <v>186</v>
      </c>
      <c r="P29">
        <v>320.10000000000002</v>
      </c>
    </row>
    <row r="30" spans="1:16" x14ac:dyDescent="0.2">
      <c r="E30" s="80"/>
      <c r="F30" s="15"/>
      <c r="G30" s="15"/>
      <c r="H30" s="15"/>
    </row>
    <row r="31" spans="1:16" x14ac:dyDescent="0.2">
      <c r="E31" s="80"/>
      <c r="F31" s="15"/>
      <c r="G31" s="15"/>
      <c r="H31" s="15"/>
    </row>
    <row r="32" spans="1:16" x14ac:dyDescent="0.2">
      <c r="E32" s="80"/>
      <c r="F32" s="15"/>
      <c r="G32" s="15"/>
      <c r="H32" s="15"/>
    </row>
    <row r="33" spans="5:9" x14ac:dyDescent="0.2">
      <c r="E33" s="80"/>
    </row>
    <row r="34" spans="5:9" x14ac:dyDescent="0.2">
      <c r="E34" s="80"/>
      <c r="F34" s="15"/>
      <c r="G34" s="15"/>
      <c r="H34" s="15"/>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c r="F38" s="15"/>
      <c r="G38" s="15"/>
      <c r="H38" s="15"/>
      <c r="I38" s="17"/>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K5:L5"/>
    <mergeCell ref="I5:J5"/>
    <mergeCell ref="F20:P20"/>
    <mergeCell ref="M5:N5"/>
    <mergeCell ref="F25:P25"/>
    <mergeCell ref="A18:B18"/>
    <mergeCell ref="A27:B27"/>
    <mergeCell ref="F5:F6"/>
  </mergeCells>
  <dataValidations count="4">
    <dataValidation type="list" allowBlank="1" showInputMessage="1" showErrorMessage="1" sqref="P4" xr:uid="{00000000-0002-0000-3800-000000000000}">
      <formula1>"integer, number, percent1"</formula1>
    </dataValidation>
    <dataValidation type="list" allowBlank="1" showInputMessage="1" showErrorMessage="1" sqref="B10" xr:uid="{00000000-0002-0000-3800-000001000000}">
      <formula1>"Line,Clustered Bar,Stacked Bar,Bar,Horizontal Stacked Bar"</formula1>
    </dataValidation>
    <dataValidation type="list" allowBlank="1" showInputMessage="1" showErrorMessage="1" sqref="B2" xr:uid="{00000000-0002-0000-3800-000002000000}">
      <formula1>"Table,Figure,Both"</formula1>
    </dataValidation>
    <dataValidation type="list" allowBlank="1" showInputMessage="1" showErrorMessage="1" sqref="B6 B15:B16" xr:uid="{00000000-0002-0000-3800-000003000000}">
      <formula1>"True,False"</formula1>
    </dataValidation>
  </dataValidation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196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tbl-other-dzcircsystem-mortal-aar</v>
      </c>
    </row>
    <row r="4" spans="1:17" x14ac:dyDescent="0.2">
      <c r="A4" s="16" t="s">
        <v>7</v>
      </c>
      <c r="B4" t="str">
        <f>IF($B$1="","",_xlfn.XLOOKUP($B$1,Master!$F$2:$F$321,Master!$H$2:$H$321,""))</f>
        <v>fig-other-dzcircsystem-mortal-aar</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198.4</v>
      </c>
      <c r="H6" s="15">
        <v>186.4</v>
      </c>
      <c r="I6" s="15">
        <v>187.1</v>
      </c>
      <c r="J6" s="15">
        <v>193.6</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1721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900-000000000000}">
      <formula1>"integer, number, percent1"</formula1>
    </dataValidation>
    <dataValidation type="list" allowBlank="1" showInputMessage="1" showErrorMessage="1" sqref="B10" xr:uid="{00000000-0002-0000-3900-000001000000}">
      <formula1>"Line,Clustered Bar,Stacked Bar,Bar,Horizontal Stacked Bar"</formula1>
    </dataValidation>
    <dataValidation type="list" allowBlank="1" showInputMessage="1" showErrorMessage="1" sqref="B2" xr:uid="{00000000-0002-0000-3900-000002000000}">
      <formula1>"Table,Figure,Both"</formula1>
    </dataValidation>
    <dataValidation type="list" allowBlank="1" showInputMessage="1" showErrorMessage="1" sqref="B6 B15:B16" xr:uid="{00000000-0002-0000-3900-000003000000}">
      <formula1>"True,False"</formula1>
    </dataValidation>
  </dataValidation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199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tbl-other-dzcircsystem-mortal-rande</v>
      </c>
    </row>
    <row r="4" spans="1:17" x14ac:dyDescent="0.2">
      <c r="A4" s="16" t="s">
        <v>7</v>
      </c>
      <c r="B4" t="str">
        <f>IF($B$1="","",_xlfn.XLOOKUP($B$1,Master!$F$2:$F$321,Master!$H$2:$H$321,""))</f>
        <v>fig-other-dzcircsystem-mortal-rande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1289</v>
      </c>
      <c r="G5">
        <v>2020</v>
      </c>
      <c r="H5">
        <v>2021</v>
      </c>
      <c r="I5">
        <v>2022</v>
      </c>
      <c r="J5">
        <v>2023</v>
      </c>
    </row>
    <row r="6" spans="1:17" ht="15" customHeight="1" x14ac:dyDescent="0.2">
      <c r="A6" t="s">
        <v>1088</v>
      </c>
      <c r="B6" t="b">
        <v>0</v>
      </c>
      <c r="E6" s="80"/>
      <c r="F6" t="s">
        <v>1290</v>
      </c>
      <c r="G6" s="15">
        <v>284.39999999999998</v>
      </c>
      <c r="H6" s="15">
        <v>256.2</v>
      </c>
      <c r="I6" s="15">
        <v>270.39999999999998</v>
      </c>
      <c r="J6" s="15">
        <v>275.89999999999998</v>
      </c>
      <c r="K6" s="15"/>
      <c r="L6" s="15"/>
      <c r="M6" s="15"/>
      <c r="N6" s="15"/>
      <c r="O6" s="15"/>
    </row>
    <row r="7" spans="1:17" ht="15.75" customHeight="1" x14ac:dyDescent="0.2">
      <c r="E7" s="80"/>
      <c r="F7" t="s">
        <v>1292</v>
      </c>
      <c r="G7" s="15">
        <v>171.6</v>
      </c>
      <c r="H7" s="15">
        <v>181.2</v>
      </c>
      <c r="I7" s="15">
        <v>176.4</v>
      </c>
      <c r="J7" s="15">
        <v>200.1</v>
      </c>
      <c r="K7" s="15"/>
      <c r="L7" s="15"/>
      <c r="M7" s="15"/>
      <c r="N7" s="15"/>
      <c r="O7" s="15"/>
    </row>
    <row r="8" spans="1:17" x14ac:dyDescent="0.2">
      <c r="E8" s="80"/>
      <c r="F8" t="s">
        <v>1293</v>
      </c>
      <c r="G8" s="15">
        <v>78.5</v>
      </c>
      <c r="H8" s="15">
        <v>82</v>
      </c>
      <c r="I8" s="15">
        <v>68.2</v>
      </c>
      <c r="J8" s="15">
        <v>79.099999999999994</v>
      </c>
      <c r="K8" s="15"/>
      <c r="L8" s="15"/>
      <c r="M8" s="15"/>
      <c r="N8" s="15"/>
      <c r="O8" s="15"/>
    </row>
    <row r="9" spans="1:17" x14ac:dyDescent="0.2">
      <c r="A9" s="83" t="s">
        <v>1098</v>
      </c>
      <c r="B9" s="80"/>
      <c r="E9" s="80"/>
      <c r="F9" t="s">
        <v>1015</v>
      </c>
      <c r="G9" s="15">
        <v>126.2</v>
      </c>
      <c r="H9" s="15">
        <v>63.2</v>
      </c>
      <c r="I9" s="15">
        <v>88.4</v>
      </c>
      <c r="J9" s="15">
        <v>70</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1721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A00-000000000000}">
      <formula1>"integer, number, percent1"</formula1>
    </dataValidation>
    <dataValidation type="list" allowBlank="1" showInputMessage="1" showErrorMessage="1" sqref="B10" xr:uid="{00000000-0002-0000-3A00-000001000000}">
      <formula1>"Line,Clustered Bar,Stacked Bar,Bar,Horizontal Stacked Bar"</formula1>
    </dataValidation>
    <dataValidation type="list" allowBlank="1" showInputMessage="1" showErrorMessage="1" sqref="B2" xr:uid="{00000000-0002-0000-3A00-000002000000}">
      <formula1>"Table,Figure,Both"</formula1>
    </dataValidation>
    <dataValidation type="list" allowBlank="1" showInputMessage="1" showErrorMessage="1" sqref="B6 B15:B16" xr:uid="{00000000-0002-0000-3A00-000003000000}">
      <formula1>"True,False"</formula1>
    </dataValidation>
  </dataValidation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Q57"/>
  <sheetViews>
    <sheetView workbookViewId="0"/>
  </sheetViews>
  <sheetFormatPr baseColWidth="10" defaultColWidth="8.6640625" defaultRowHeight="15" x14ac:dyDescent="0.2"/>
  <cols>
    <col min="1" max="1" width="20" bestFit="1" customWidth="1"/>
    <col min="2" max="2" width="22.1640625" bestFit="1" customWidth="1"/>
    <col min="3" max="3" width="8.33203125"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202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tbl-circsystemdz-mortal-zip</v>
      </c>
    </row>
    <row r="4" spans="1:17" x14ac:dyDescent="0.2">
      <c r="A4" s="16" t="s">
        <v>7</v>
      </c>
      <c r="B4" t="str">
        <f>IF($B$1="","",_xlfn.XLOOKUP($B$1,Master!$F$2:$F$321,Master!$H$2:$H$321,""))</f>
        <v>fig-circsystemdz-mortal-zip</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1294</v>
      </c>
      <c r="G5">
        <v>2020</v>
      </c>
      <c r="H5">
        <v>2021</v>
      </c>
      <c r="I5">
        <v>2022</v>
      </c>
      <c r="J5">
        <v>2023</v>
      </c>
    </row>
    <row r="6" spans="1:17" ht="15" customHeight="1" x14ac:dyDescent="0.2">
      <c r="A6" t="s">
        <v>1088</v>
      </c>
      <c r="B6" t="b">
        <v>0</v>
      </c>
      <c r="E6" s="80"/>
      <c r="F6">
        <v>10940</v>
      </c>
      <c r="G6" s="15">
        <v>224.6</v>
      </c>
      <c r="H6" s="15">
        <v>270.89999999999998</v>
      </c>
      <c r="I6" s="15">
        <v>244.9</v>
      </c>
      <c r="J6" s="15">
        <v>235.4</v>
      </c>
      <c r="K6" s="15"/>
      <c r="L6" s="15"/>
      <c r="M6" s="15"/>
      <c r="N6" s="15"/>
      <c r="O6" s="15"/>
    </row>
    <row r="7" spans="1:17" ht="15.75" customHeight="1" x14ac:dyDescent="0.2">
      <c r="E7" s="80"/>
      <c r="F7">
        <v>10950</v>
      </c>
      <c r="G7" s="15">
        <v>433.4</v>
      </c>
      <c r="H7" s="15">
        <v>333</v>
      </c>
      <c r="I7" s="15">
        <v>317.2</v>
      </c>
      <c r="J7" s="15">
        <v>291.3</v>
      </c>
      <c r="K7" s="15"/>
      <c r="L7" s="15"/>
      <c r="M7" s="15"/>
      <c r="N7" s="15"/>
      <c r="O7" s="15"/>
    </row>
    <row r="8" spans="1:17" x14ac:dyDescent="0.2">
      <c r="E8" s="80"/>
      <c r="F8">
        <v>12550</v>
      </c>
      <c r="G8" s="15">
        <v>573.79999999999995</v>
      </c>
      <c r="H8" s="15">
        <v>429</v>
      </c>
      <c r="I8" s="15">
        <v>463.4</v>
      </c>
      <c r="J8" s="15">
        <v>413.9</v>
      </c>
      <c r="K8" s="15"/>
      <c r="L8" s="15"/>
      <c r="M8" s="15"/>
      <c r="N8" s="15"/>
      <c r="O8" s="15"/>
    </row>
    <row r="9" spans="1:17" x14ac:dyDescent="0.2">
      <c r="A9" s="83" t="s">
        <v>1098</v>
      </c>
      <c r="B9" s="80"/>
      <c r="E9" s="80"/>
      <c r="F9">
        <v>12771</v>
      </c>
      <c r="G9" s="15">
        <v>229</v>
      </c>
      <c r="H9" s="15">
        <v>370.6</v>
      </c>
      <c r="I9" s="15">
        <v>318.3</v>
      </c>
      <c r="J9" s="15">
        <v>362.5</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1715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8" x14ac:dyDescent="0.2">
      <c r="E17" s="80"/>
    </row>
    <row r="18" spans="1:8" x14ac:dyDescent="0.2">
      <c r="A18" s="83" t="s">
        <v>1119</v>
      </c>
      <c r="B18" s="80"/>
      <c r="E18" s="80"/>
    </row>
    <row r="19" spans="1:8" x14ac:dyDescent="0.2">
      <c r="A19" t="s">
        <v>1121</v>
      </c>
      <c r="B19" t="s">
        <v>1287</v>
      </c>
      <c r="E19" s="80"/>
    </row>
    <row r="20" spans="1:8" x14ac:dyDescent="0.2">
      <c r="E20" s="80"/>
      <c r="F20" s="15"/>
      <c r="G20" s="15"/>
      <c r="H20" s="15"/>
    </row>
    <row r="21" spans="1:8" x14ac:dyDescent="0.2">
      <c r="A21" s="81" t="s">
        <v>1125</v>
      </c>
      <c r="B21" s="80"/>
      <c r="E21" s="80"/>
      <c r="F21" s="15"/>
      <c r="G21" s="15"/>
      <c r="H21" s="15"/>
    </row>
    <row r="22" spans="1:8" x14ac:dyDescent="0.2">
      <c r="A22" t="s">
        <v>1135</v>
      </c>
      <c r="B22" t="s">
        <v>1721</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4">
    <dataValidation type="list" allowBlank="1" showInputMessage="1" showErrorMessage="1" sqref="P4:Q4" xr:uid="{00000000-0002-0000-3B00-000000000000}">
      <formula1>"integer, number, percent1"</formula1>
    </dataValidation>
    <dataValidation type="list" allowBlank="1" showInputMessage="1" showErrorMessage="1" sqref="B10" xr:uid="{00000000-0002-0000-3B00-000001000000}">
      <formula1>"Line,Clustered Bar,Stacked Bar,Bar,Horizontal Stacked Bar"</formula1>
    </dataValidation>
    <dataValidation type="list" allowBlank="1" showInputMessage="1" showErrorMessage="1" sqref="B2" xr:uid="{00000000-0002-0000-3B00-000002000000}">
      <formula1>"Table,Figure,Both"</formula1>
    </dataValidation>
    <dataValidation type="list" allowBlank="1" showInputMessage="1" showErrorMessage="1" sqref="B6 B15:B16" xr:uid="{00000000-0002-0000-3B00-000003000000}">
      <formula1>"True,False"</formula1>
    </dataValidation>
  </dataValidation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205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tbl-circsystemdz-mortal-sex-aar</v>
      </c>
    </row>
    <row r="4" spans="1:17" ht="15.75" customHeight="1" thickBot="1" x14ac:dyDescent="0.25">
      <c r="A4" s="16" t="s">
        <v>7</v>
      </c>
      <c r="B4" t="str">
        <f>IF($B$1="","",_xlfn.XLOOKUP($B$1,Master!$F$2:$F$321,Master!$H$2:$H$321,""))</f>
        <v>fig-circsystemdz-mortal-sex-aar</v>
      </c>
      <c r="E4" s="8"/>
      <c r="F4" s="10" t="s">
        <v>1009</v>
      </c>
      <c r="G4" s="10" t="s">
        <v>979</v>
      </c>
      <c r="H4" s="10" t="s">
        <v>979</v>
      </c>
      <c r="I4" s="10" t="s">
        <v>979</v>
      </c>
      <c r="J4" s="10" t="s">
        <v>979</v>
      </c>
      <c r="K4" s="10"/>
      <c r="L4" s="10"/>
      <c r="M4" s="10"/>
      <c r="N4" s="10"/>
      <c r="O4" s="10"/>
      <c r="P4" s="10"/>
      <c r="Q4" s="10"/>
    </row>
    <row r="5" spans="1:17" ht="15.75" customHeight="1" thickBot="1" x14ac:dyDescent="0.25">
      <c r="A5" s="83" t="s">
        <v>1081</v>
      </c>
      <c r="B5" s="80"/>
      <c r="E5" s="82" t="s">
        <v>1082</v>
      </c>
      <c r="F5" s="53" t="s">
        <v>1086</v>
      </c>
      <c r="G5" s="53">
        <v>2020</v>
      </c>
      <c r="H5" s="53">
        <v>2021</v>
      </c>
      <c r="I5" s="53">
        <v>2022</v>
      </c>
      <c r="J5" s="53">
        <v>2023</v>
      </c>
      <c r="K5" s="15"/>
      <c r="L5" s="15"/>
      <c r="M5" s="15"/>
    </row>
    <row r="6" spans="1:17" ht="15" customHeight="1" thickBot="1" x14ac:dyDescent="0.25">
      <c r="A6" t="s">
        <v>1088</v>
      </c>
      <c r="B6" t="b">
        <v>0</v>
      </c>
      <c r="E6" s="80"/>
      <c r="F6" s="53" t="s">
        <v>1305</v>
      </c>
      <c r="G6" s="52">
        <v>264.8</v>
      </c>
      <c r="H6" s="52">
        <v>220.2</v>
      </c>
      <c r="I6" s="52">
        <v>219.7</v>
      </c>
      <c r="J6" s="52">
        <v>238.7</v>
      </c>
      <c r="K6" s="15"/>
      <c r="L6" s="15"/>
      <c r="M6" s="15"/>
      <c r="N6" s="15"/>
      <c r="O6" s="15"/>
    </row>
    <row r="7" spans="1:17" ht="15.75" customHeight="1" thickBot="1" x14ac:dyDescent="0.25">
      <c r="E7" s="80"/>
      <c r="F7" s="53" t="s">
        <v>1306</v>
      </c>
      <c r="G7" s="52">
        <v>149.1</v>
      </c>
      <c r="H7" s="52">
        <v>159.19999999999999</v>
      </c>
      <c r="I7" s="52">
        <v>158.6</v>
      </c>
      <c r="J7" s="52">
        <v>157.69999999999999</v>
      </c>
      <c r="K7" s="15"/>
      <c r="L7" s="15"/>
      <c r="M7" s="15"/>
      <c r="N7" s="15"/>
      <c r="O7" s="15"/>
    </row>
    <row r="8" spans="1:17" x14ac:dyDescent="0.2">
      <c r="E8" s="80"/>
      <c r="F8" s="21"/>
      <c r="K8" s="15"/>
      <c r="L8" s="15"/>
      <c r="M8" s="15"/>
      <c r="N8" s="15"/>
      <c r="O8" s="15"/>
    </row>
    <row r="9" spans="1:17" x14ac:dyDescent="0.2">
      <c r="A9" s="83" t="s">
        <v>1098</v>
      </c>
      <c r="B9" s="80"/>
      <c r="E9" s="80"/>
      <c r="F9" s="54"/>
      <c r="N9" s="15"/>
      <c r="O9" s="15"/>
    </row>
    <row r="10" spans="1:17" x14ac:dyDescent="0.2">
      <c r="A10" t="s">
        <v>1100</v>
      </c>
      <c r="B10" t="s">
        <v>1304</v>
      </c>
      <c r="E10" s="80"/>
      <c r="G10" s="15"/>
      <c r="H10" s="15"/>
      <c r="I10" s="15"/>
      <c r="J10" s="17"/>
      <c r="K10" s="17"/>
      <c r="L10" s="17"/>
      <c r="M10" s="17"/>
    </row>
    <row r="11" spans="1:17" x14ac:dyDescent="0.2">
      <c r="A11" t="s">
        <v>1102</v>
      </c>
      <c r="B11" t="s">
        <v>1303</v>
      </c>
      <c r="E11" s="80"/>
      <c r="F11" s="21"/>
      <c r="G11" s="17"/>
      <c r="H11" s="17"/>
      <c r="I11" s="15"/>
      <c r="J11" s="15"/>
      <c r="K11" s="15"/>
      <c r="L11" s="15"/>
      <c r="N11" s="17"/>
    </row>
    <row r="12" spans="1:17" x14ac:dyDescent="0.2">
      <c r="A12" t="s">
        <v>1104</v>
      </c>
      <c r="E12" s="80"/>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c r="F19" s="15"/>
      <c r="G19" s="15"/>
      <c r="H19" s="15"/>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row>
    <row r="24" spans="1:11" x14ac:dyDescent="0.2">
      <c r="E24" s="80"/>
      <c r="F24" s="15"/>
      <c r="G24" s="15"/>
      <c r="H24" s="15"/>
      <c r="K24" t="s">
        <v>1226</v>
      </c>
    </row>
    <row r="25" spans="1:11" x14ac:dyDescent="0.2">
      <c r="E25" s="80"/>
      <c r="F25" s="15"/>
      <c r="G25" s="15"/>
      <c r="H25" s="15"/>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row>
    <row r="32" spans="1:11" x14ac:dyDescent="0.2">
      <c r="E32" s="80"/>
      <c r="F32" s="15"/>
      <c r="G32" s="15"/>
      <c r="H32" s="15"/>
    </row>
    <row r="33" spans="5:9" x14ac:dyDescent="0.2">
      <c r="E33" s="80"/>
      <c r="F33" s="15"/>
      <c r="G33" s="15"/>
      <c r="H33" s="15"/>
      <c r="I33" s="17"/>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C00-000000000000}">
      <formula1>"Line,Clustered Bar,Stacked Bar,Bar,Horizontal Stacked Bar"</formula1>
    </dataValidation>
    <dataValidation type="list" allowBlank="1" showInputMessage="1" showErrorMessage="1" sqref="B2" xr:uid="{00000000-0002-0000-3C00-000001000000}">
      <formula1>"Table,Figure,Both"</formula1>
    </dataValidation>
    <dataValidation type="list" allowBlank="1" showInputMessage="1" showErrorMessage="1" sqref="B6 B15:B16" xr:uid="{00000000-0002-0000-3C00-000002000000}">
      <formula1>"True,False"</formula1>
    </dataValidation>
  </dataValidation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208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tbl-clrd-hosp-rande-aar</v>
      </c>
    </row>
    <row r="4" spans="1:17" x14ac:dyDescent="0.2">
      <c r="A4" s="16" t="s">
        <v>7</v>
      </c>
      <c r="B4" t="str">
        <f>IF($B$1="","",_xlfn.XLOOKUP($B$1,Master!$F$2:$F$321,Master!$H$2:$H$321,""))</f>
        <v>fig-clrd-hosp-rande-aar</v>
      </c>
      <c r="E4" s="8"/>
      <c r="F4" s="10" t="s">
        <v>1009</v>
      </c>
      <c r="G4" s="10" t="s">
        <v>979</v>
      </c>
      <c r="H4" s="10" t="s">
        <v>979</v>
      </c>
      <c r="I4" s="10" t="s">
        <v>979</v>
      </c>
      <c r="J4" s="10" t="s">
        <v>979</v>
      </c>
      <c r="K4" s="10" t="s">
        <v>979</v>
      </c>
      <c r="L4" s="10"/>
      <c r="M4" s="10"/>
      <c r="N4" s="10"/>
      <c r="O4" s="10"/>
      <c r="P4" s="10"/>
      <c r="Q4" s="10" t="s">
        <v>968</v>
      </c>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13.8</v>
      </c>
      <c r="H6" s="15">
        <v>11.7</v>
      </c>
      <c r="I6" s="15">
        <v>22.5</v>
      </c>
      <c r="J6" s="15">
        <v>2.9</v>
      </c>
      <c r="K6" s="15">
        <v>10.8</v>
      </c>
      <c r="L6" s="15"/>
      <c r="M6" s="15"/>
      <c r="N6" s="15"/>
      <c r="O6" s="15"/>
    </row>
    <row r="7" spans="1:17" ht="15.75" customHeight="1" x14ac:dyDescent="0.2">
      <c r="E7" s="80"/>
      <c r="F7" t="s">
        <v>1298</v>
      </c>
      <c r="G7" s="15">
        <v>12</v>
      </c>
      <c r="H7" s="15">
        <v>9.8000000000000007</v>
      </c>
      <c r="I7" s="15">
        <v>24</v>
      </c>
      <c r="J7" s="15">
        <v>4.0999999999999996</v>
      </c>
      <c r="K7" s="15">
        <v>9.9</v>
      </c>
      <c r="L7" s="15"/>
      <c r="M7" s="15"/>
      <c r="N7" s="15"/>
      <c r="O7" s="15"/>
    </row>
    <row r="8" spans="1:17" x14ac:dyDescent="0.2">
      <c r="E8" s="80"/>
      <c r="F8" t="s">
        <v>1299</v>
      </c>
      <c r="G8" s="15">
        <v>14.3</v>
      </c>
      <c r="H8" s="15">
        <v>9.1</v>
      </c>
      <c r="I8" s="15">
        <v>24.5</v>
      </c>
      <c r="J8" s="15">
        <v>4.4000000000000004</v>
      </c>
      <c r="K8" s="15">
        <v>16.600000000000001</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1722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1723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D00-000000000000}">
      <formula1>"Line,Clustered Bar,Stacked Bar,Bar,Horizontal Stacked Bar"</formula1>
    </dataValidation>
    <dataValidation type="list" allowBlank="1" showInputMessage="1" showErrorMessage="1" sqref="B2" xr:uid="{00000000-0002-0000-3D00-000001000000}">
      <formula1>"Table,Figure,Both"</formula1>
    </dataValidation>
    <dataValidation type="list" allowBlank="1" showInputMessage="1" showErrorMessage="1" sqref="B6 B15:B16" xr:uid="{00000000-0002-0000-3D00-000002000000}">
      <formula1>"True,False"</formula1>
    </dataValidation>
  </dataValidation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Q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12.5" bestFit="1" customWidth="1"/>
    <col min="16" max="16" width="22.33203125" bestFit="1" customWidth="1"/>
  </cols>
  <sheetData>
    <row r="1" spans="1:17" x14ac:dyDescent="0.2">
      <c r="A1" s="16" t="s">
        <v>1077</v>
      </c>
      <c r="B1" s="79" t="s">
        <v>211</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tbl-clrd-count-rate-age-rande-zip</v>
      </c>
    </row>
    <row r="4" spans="1:17" x14ac:dyDescent="0.2">
      <c r="A4" s="16" t="s">
        <v>7</v>
      </c>
      <c r="B4" t="str">
        <f>IF($B$1="","",_xlfn.XLOOKUP($B$1,Master!$F$2:$F$321,Master!$H$2:$H$321,""))</f>
        <v>fig-clrd-count-rate-age-rande-zip</v>
      </c>
      <c r="E4" s="8"/>
      <c r="F4" s="10" t="s">
        <v>968</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F5" s="85" t="s">
        <v>1391</v>
      </c>
      <c r="G5" s="81">
        <v>2020</v>
      </c>
      <c r="H5" s="80"/>
      <c r="I5" s="81">
        <v>2021</v>
      </c>
      <c r="J5" s="80"/>
      <c r="K5" s="81">
        <v>2022</v>
      </c>
      <c r="L5" s="80"/>
      <c r="M5" s="81">
        <v>2023</v>
      </c>
      <c r="N5" s="80"/>
      <c r="O5" s="81" t="s">
        <v>1271</v>
      </c>
      <c r="P5" s="80"/>
    </row>
    <row r="6" spans="1:17" ht="15" customHeight="1" x14ac:dyDescent="0.2">
      <c r="A6" t="s">
        <v>1088</v>
      </c>
      <c r="B6" t="b">
        <v>1</v>
      </c>
      <c r="E6" s="80"/>
      <c r="F6" s="85"/>
      <c r="G6" s="15" t="s">
        <v>1724</v>
      </c>
      <c r="H6" s="15" t="s">
        <v>1273</v>
      </c>
      <c r="I6" s="15" t="s">
        <v>1724</v>
      </c>
      <c r="J6" s="15" t="s">
        <v>1273</v>
      </c>
      <c r="K6" s="15" t="s">
        <v>1724</v>
      </c>
      <c r="L6" s="15" t="s">
        <v>1273</v>
      </c>
      <c r="M6" s="15" t="s">
        <v>1724</v>
      </c>
      <c r="N6" s="15" t="s">
        <v>1273</v>
      </c>
      <c r="O6" s="15" t="s">
        <v>1724</v>
      </c>
      <c r="P6" s="15" t="s">
        <v>1275</v>
      </c>
    </row>
    <row r="7" spans="1:17" ht="15.75" customHeight="1" x14ac:dyDescent="0.2">
      <c r="E7" s="80"/>
      <c r="F7" s="56" t="s">
        <v>1698</v>
      </c>
      <c r="G7" s="15">
        <v>155</v>
      </c>
      <c r="H7" s="15">
        <v>40.6</v>
      </c>
      <c r="I7" s="15">
        <v>117</v>
      </c>
      <c r="J7" s="15">
        <v>29.4</v>
      </c>
      <c r="K7" s="15">
        <v>122</v>
      </c>
      <c r="L7" s="15">
        <v>30.4</v>
      </c>
      <c r="M7" s="15">
        <v>99</v>
      </c>
      <c r="N7" s="15">
        <v>24.5</v>
      </c>
      <c r="O7" s="15">
        <v>493</v>
      </c>
      <c r="P7" s="15">
        <v>31.2</v>
      </c>
    </row>
    <row r="8" spans="1:17" x14ac:dyDescent="0.2">
      <c r="E8" s="80"/>
      <c r="F8" s="16" t="s">
        <v>1276</v>
      </c>
      <c r="G8" s="15"/>
      <c r="H8" s="15"/>
      <c r="I8" s="15"/>
      <c r="J8" s="15"/>
      <c r="K8" s="15"/>
      <c r="L8" s="15"/>
      <c r="M8" s="15"/>
      <c r="N8" s="15"/>
      <c r="O8" s="15"/>
      <c r="P8" s="15"/>
    </row>
    <row r="9" spans="1:17" x14ac:dyDescent="0.2">
      <c r="A9" s="83" t="s">
        <v>1098</v>
      </c>
      <c r="B9" s="80"/>
      <c r="E9" s="80"/>
      <c r="F9" s="49" t="s">
        <v>1277</v>
      </c>
      <c r="G9" s="15">
        <v>0</v>
      </c>
      <c r="H9" s="15">
        <v>0</v>
      </c>
      <c r="I9" s="15">
        <v>0</v>
      </c>
      <c r="J9" s="15">
        <v>0</v>
      </c>
      <c r="K9" s="15">
        <v>0</v>
      </c>
      <c r="L9" s="15">
        <v>0</v>
      </c>
      <c r="M9" s="15">
        <v>0</v>
      </c>
      <c r="N9" s="15">
        <v>0</v>
      </c>
      <c r="O9" s="15">
        <v>0</v>
      </c>
      <c r="P9" s="15">
        <v>0</v>
      </c>
    </row>
    <row r="10" spans="1:17" x14ac:dyDescent="0.2">
      <c r="A10" t="s">
        <v>1100</v>
      </c>
      <c r="E10" s="80"/>
      <c r="F10" s="49" t="s">
        <v>1699</v>
      </c>
      <c r="G10" s="15">
        <v>0</v>
      </c>
      <c r="H10" s="15">
        <v>0</v>
      </c>
      <c r="I10" s="15">
        <v>0</v>
      </c>
      <c r="J10" s="15">
        <v>0</v>
      </c>
      <c r="K10" s="15">
        <v>0</v>
      </c>
      <c r="L10" s="15">
        <v>0</v>
      </c>
      <c r="M10" s="15" t="s">
        <v>1031</v>
      </c>
      <c r="N10" s="15" t="s">
        <v>1031</v>
      </c>
      <c r="O10" s="15" t="s">
        <v>1031</v>
      </c>
      <c r="P10" s="15" t="s">
        <v>1031</v>
      </c>
    </row>
    <row r="11" spans="1:17" x14ac:dyDescent="0.2">
      <c r="A11" t="s">
        <v>1102</v>
      </c>
      <c r="E11" s="80"/>
      <c r="F11" s="49" t="s">
        <v>1700</v>
      </c>
      <c r="G11" s="15">
        <v>0</v>
      </c>
      <c r="H11" s="15">
        <v>0</v>
      </c>
      <c r="I11" s="15">
        <v>0</v>
      </c>
      <c r="J11" s="17">
        <v>0</v>
      </c>
      <c r="K11" s="17">
        <v>0</v>
      </c>
      <c r="L11" s="17">
        <v>0</v>
      </c>
      <c r="M11" s="17">
        <v>0</v>
      </c>
      <c r="N11" s="17">
        <v>0</v>
      </c>
      <c r="O11" s="15">
        <v>0</v>
      </c>
      <c r="P11" s="15">
        <v>0</v>
      </c>
    </row>
    <row r="12" spans="1:17" x14ac:dyDescent="0.2">
      <c r="A12" t="s">
        <v>1104</v>
      </c>
      <c r="E12" s="80"/>
      <c r="F12" s="55" t="s">
        <v>1701</v>
      </c>
      <c r="G12" s="17">
        <v>0</v>
      </c>
      <c r="H12" s="17">
        <v>0</v>
      </c>
      <c r="I12" s="15">
        <v>0</v>
      </c>
      <c r="J12" s="15">
        <v>0</v>
      </c>
      <c r="K12" s="15">
        <v>0</v>
      </c>
      <c r="L12" s="15">
        <v>0</v>
      </c>
      <c r="M12" s="15" t="s">
        <v>1031</v>
      </c>
      <c r="N12" s="15" t="s">
        <v>1031</v>
      </c>
      <c r="O12" s="15" t="s">
        <v>1031</v>
      </c>
      <c r="P12" s="15" t="s">
        <v>1031</v>
      </c>
    </row>
    <row r="13" spans="1:17" x14ac:dyDescent="0.2">
      <c r="A13" t="s">
        <v>1108</v>
      </c>
      <c r="E13" s="80"/>
      <c r="F13" s="49" t="s">
        <v>1702</v>
      </c>
      <c r="G13" s="15">
        <v>0</v>
      </c>
      <c r="H13" s="15">
        <v>0</v>
      </c>
      <c r="I13" s="15">
        <v>0</v>
      </c>
      <c r="J13" s="15">
        <v>0</v>
      </c>
      <c r="K13" s="15" t="s">
        <v>1031</v>
      </c>
      <c r="L13" s="15" t="s">
        <v>1031</v>
      </c>
      <c r="M13" s="15">
        <v>0</v>
      </c>
      <c r="N13" s="15">
        <v>0</v>
      </c>
      <c r="O13" s="15" t="s">
        <v>1031</v>
      </c>
      <c r="P13" s="15" t="s">
        <v>1031</v>
      </c>
    </row>
    <row r="14" spans="1:17" x14ac:dyDescent="0.2">
      <c r="A14" t="s">
        <v>1112</v>
      </c>
      <c r="E14" s="80"/>
      <c r="F14" s="49" t="s">
        <v>1703</v>
      </c>
      <c r="G14" s="15" t="s">
        <v>1031</v>
      </c>
      <c r="H14" s="15" t="s">
        <v>1031</v>
      </c>
      <c r="I14" s="15">
        <v>0</v>
      </c>
      <c r="J14" s="15">
        <v>0</v>
      </c>
      <c r="K14" s="15" t="s">
        <v>1031</v>
      </c>
      <c r="L14" s="15" t="s">
        <v>1031</v>
      </c>
      <c r="M14" s="15" t="s">
        <v>1031</v>
      </c>
      <c r="N14" s="15" t="s">
        <v>1031</v>
      </c>
      <c r="O14" s="15" t="s">
        <v>1031</v>
      </c>
      <c r="P14" s="15" t="s">
        <v>1031</v>
      </c>
    </row>
    <row r="15" spans="1:17" x14ac:dyDescent="0.2">
      <c r="A15" t="s">
        <v>1114</v>
      </c>
      <c r="E15" s="80"/>
      <c r="F15" s="49" t="s">
        <v>1704</v>
      </c>
      <c r="G15" s="15" t="s">
        <v>1031</v>
      </c>
      <c r="H15" s="15" t="s">
        <v>1031</v>
      </c>
      <c r="I15" s="15" t="s">
        <v>1031</v>
      </c>
      <c r="J15" s="15" t="s">
        <v>1031</v>
      </c>
      <c r="K15" s="15" t="s">
        <v>1031</v>
      </c>
      <c r="L15" s="15" t="s">
        <v>1031</v>
      </c>
      <c r="M15" s="15" t="s">
        <v>1031</v>
      </c>
      <c r="N15" s="15" t="s">
        <v>1031</v>
      </c>
      <c r="O15" s="15">
        <v>12</v>
      </c>
      <c r="P15" s="15">
        <v>5.7</v>
      </c>
    </row>
    <row r="16" spans="1:17" x14ac:dyDescent="0.2">
      <c r="A16" t="s">
        <v>1116</v>
      </c>
      <c r="E16" s="80"/>
      <c r="F16" s="49" t="s">
        <v>1705</v>
      </c>
      <c r="G16" s="15" t="s">
        <v>1031</v>
      </c>
      <c r="H16" s="15" t="s">
        <v>1031</v>
      </c>
      <c r="I16" s="15">
        <v>13</v>
      </c>
      <c r="J16" s="15">
        <v>25.3</v>
      </c>
      <c r="K16" s="15" t="s">
        <v>1031</v>
      </c>
      <c r="L16" s="15" t="s">
        <v>1031</v>
      </c>
      <c r="M16" s="15" t="s">
        <v>1031</v>
      </c>
      <c r="N16" s="15" t="s">
        <v>1031</v>
      </c>
      <c r="O16" s="15">
        <v>38</v>
      </c>
      <c r="P16" s="15">
        <v>18.7</v>
      </c>
    </row>
    <row r="17" spans="1:16" x14ac:dyDescent="0.2">
      <c r="E17" s="80"/>
      <c r="F17" s="49" t="s">
        <v>1706</v>
      </c>
      <c r="G17" s="15">
        <v>30</v>
      </c>
      <c r="H17" s="15">
        <v>95.1</v>
      </c>
      <c r="I17" s="15">
        <v>28</v>
      </c>
      <c r="J17" s="15">
        <v>83.7</v>
      </c>
      <c r="K17" s="15">
        <v>22</v>
      </c>
      <c r="L17" s="15">
        <v>65</v>
      </c>
      <c r="M17" s="15">
        <v>24</v>
      </c>
      <c r="N17" s="15">
        <v>68.900000000000006</v>
      </c>
      <c r="O17" s="15">
        <v>104</v>
      </c>
      <c r="P17" s="15">
        <v>78.2</v>
      </c>
    </row>
    <row r="18" spans="1:16" x14ac:dyDescent="0.2">
      <c r="A18" s="83" t="s">
        <v>1119</v>
      </c>
      <c r="B18" s="80"/>
      <c r="E18" s="80"/>
      <c r="F18" s="49" t="s">
        <v>1707</v>
      </c>
      <c r="G18" s="15">
        <v>50</v>
      </c>
      <c r="H18" s="15">
        <v>339.1</v>
      </c>
      <c r="I18" s="15">
        <v>41</v>
      </c>
      <c r="J18" s="15">
        <v>268.7</v>
      </c>
      <c r="K18" s="15">
        <v>44</v>
      </c>
      <c r="L18" s="15">
        <v>277.7</v>
      </c>
      <c r="M18" s="15">
        <v>31</v>
      </c>
      <c r="N18" s="15">
        <v>189.1</v>
      </c>
      <c r="O18" s="15">
        <v>166</v>
      </c>
      <c r="P18" s="15">
        <v>268.60000000000002</v>
      </c>
    </row>
    <row r="19" spans="1:16" x14ac:dyDescent="0.2">
      <c r="A19" t="s">
        <v>1121</v>
      </c>
      <c r="B19" t="s">
        <v>1287</v>
      </c>
      <c r="E19" s="80"/>
      <c r="F19" s="49" t="s">
        <v>1288</v>
      </c>
      <c r="G19" s="15">
        <v>60</v>
      </c>
      <c r="H19" s="15">
        <v>839.3</v>
      </c>
      <c r="I19" s="15">
        <v>34</v>
      </c>
      <c r="J19" s="15">
        <v>499</v>
      </c>
      <c r="K19" s="15">
        <v>43</v>
      </c>
      <c r="L19" s="15">
        <v>612.5</v>
      </c>
      <c r="M19" s="15">
        <v>28</v>
      </c>
      <c r="N19" s="15">
        <v>417.3</v>
      </c>
      <c r="O19" s="15">
        <v>165</v>
      </c>
      <c r="P19" s="15">
        <v>592.1</v>
      </c>
    </row>
    <row r="20" spans="1:16" x14ac:dyDescent="0.2">
      <c r="E20" s="80"/>
      <c r="F20" s="25" t="s">
        <v>1289</v>
      </c>
      <c r="G20" s="15"/>
      <c r="H20" s="15"/>
      <c r="I20" s="15"/>
      <c r="J20" s="15"/>
      <c r="K20" s="15"/>
      <c r="L20" s="15"/>
      <c r="M20" s="15"/>
      <c r="N20" s="15"/>
      <c r="O20" s="15"/>
      <c r="P20" s="15"/>
    </row>
    <row r="21" spans="1:16" x14ac:dyDescent="0.2">
      <c r="A21" s="81" t="s">
        <v>1125</v>
      </c>
      <c r="B21" s="80"/>
      <c r="E21" s="80"/>
      <c r="F21" s="47" t="s">
        <v>1290</v>
      </c>
      <c r="G21" s="15">
        <v>142</v>
      </c>
      <c r="H21" s="15">
        <v>58.9</v>
      </c>
      <c r="I21" s="15">
        <v>102</v>
      </c>
      <c r="J21" s="15">
        <v>41.1</v>
      </c>
      <c r="K21" s="15">
        <v>104</v>
      </c>
      <c r="L21" s="15">
        <v>42.9</v>
      </c>
      <c r="M21" s="15">
        <v>87</v>
      </c>
      <c r="N21" s="15">
        <v>36.4</v>
      </c>
      <c r="O21" s="15">
        <v>435</v>
      </c>
      <c r="P21" s="15">
        <v>44.8</v>
      </c>
    </row>
    <row r="22" spans="1:16" x14ac:dyDescent="0.2">
      <c r="A22" t="s">
        <v>1135</v>
      </c>
      <c r="B22" t="s">
        <v>1725</v>
      </c>
      <c r="E22" s="80"/>
      <c r="F22" s="47" t="s">
        <v>1292</v>
      </c>
      <c r="G22" s="15" t="s">
        <v>1031</v>
      </c>
      <c r="H22" s="15" t="s">
        <v>1031</v>
      </c>
      <c r="I22" s="15" t="s">
        <v>1031</v>
      </c>
      <c r="J22" s="15" t="s">
        <v>1031</v>
      </c>
      <c r="K22" s="15">
        <v>10</v>
      </c>
      <c r="L22" s="15">
        <v>23.8</v>
      </c>
      <c r="M22" s="15" t="s">
        <v>1031</v>
      </c>
      <c r="N22" s="15" t="s">
        <v>1031</v>
      </c>
      <c r="O22" s="15">
        <v>26</v>
      </c>
      <c r="P22" s="15">
        <v>16</v>
      </c>
    </row>
    <row r="23" spans="1:16" x14ac:dyDescent="0.2">
      <c r="E23" s="80"/>
      <c r="F23" s="47" t="s">
        <v>1293</v>
      </c>
      <c r="G23" s="15" t="s">
        <v>1031</v>
      </c>
      <c r="H23" s="15" t="s">
        <v>1031</v>
      </c>
      <c r="I23" s="15" t="s">
        <v>1031</v>
      </c>
      <c r="J23" s="15" t="s">
        <v>1031</v>
      </c>
      <c r="K23" s="15" t="s">
        <v>1031</v>
      </c>
      <c r="L23" s="15" t="s">
        <v>1031</v>
      </c>
      <c r="M23" s="15" t="s">
        <v>1031</v>
      </c>
      <c r="N23" s="15" t="s">
        <v>1031</v>
      </c>
      <c r="O23" s="15">
        <v>22</v>
      </c>
      <c r="P23" s="15">
        <v>6.3</v>
      </c>
    </row>
    <row r="24" spans="1:16" x14ac:dyDescent="0.2">
      <c r="E24" s="80"/>
      <c r="F24" s="47" t="s">
        <v>1015</v>
      </c>
      <c r="G24" s="15" t="s">
        <v>1031</v>
      </c>
      <c r="H24" s="15" t="s">
        <v>1031</v>
      </c>
      <c r="I24" s="15" t="s">
        <v>1031</v>
      </c>
      <c r="J24" s="15" t="s">
        <v>1031</v>
      </c>
      <c r="K24" s="15" t="s">
        <v>1031</v>
      </c>
      <c r="L24" s="15" t="s">
        <v>1031</v>
      </c>
      <c r="M24" s="15" t="s">
        <v>1031</v>
      </c>
      <c r="N24" s="15" t="s">
        <v>1031</v>
      </c>
      <c r="O24" s="15" t="s">
        <v>1031</v>
      </c>
      <c r="P24" s="15" t="s">
        <v>1031</v>
      </c>
    </row>
    <row r="25" spans="1:16" x14ac:dyDescent="0.2">
      <c r="E25" s="80"/>
      <c r="F25" s="25" t="s">
        <v>1294</v>
      </c>
      <c r="G25" s="15"/>
      <c r="H25" s="15"/>
      <c r="I25" s="15"/>
      <c r="J25" s="15"/>
      <c r="K25" s="15"/>
      <c r="L25" s="15"/>
      <c r="M25" s="15"/>
      <c r="N25" s="15"/>
      <c r="O25" s="15"/>
      <c r="P25" s="15"/>
    </row>
    <row r="26" spans="1:16" x14ac:dyDescent="0.2">
      <c r="E26" s="80"/>
      <c r="F26" s="47">
        <v>10940</v>
      </c>
      <c r="G26" s="15">
        <v>23</v>
      </c>
      <c r="H26" s="15">
        <v>46.5</v>
      </c>
      <c r="I26" s="15">
        <v>12</v>
      </c>
      <c r="J26" s="15">
        <v>23.6</v>
      </c>
      <c r="K26" s="15">
        <v>19</v>
      </c>
      <c r="L26" s="15">
        <v>36.6</v>
      </c>
      <c r="M26" s="15">
        <v>12</v>
      </c>
      <c r="N26" s="15">
        <v>22.6</v>
      </c>
      <c r="O26" s="15">
        <v>66</v>
      </c>
      <c r="P26" s="15">
        <v>32.299999999999997</v>
      </c>
    </row>
    <row r="27" spans="1:16" x14ac:dyDescent="0.2">
      <c r="A27" s="81"/>
      <c r="B27" s="80"/>
      <c r="E27" s="80"/>
      <c r="F27" s="47">
        <v>10950</v>
      </c>
      <c r="G27" s="15">
        <v>14</v>
      </c>
      <c r="H27" s="15">
        <v>104.6</v>
      </c>
      <c r="I27" s="15" t="s">
        <v>1031</v>
      </c>
      <c r="J27" s="15" t="s">
        <v>1031</v>
      </c>
      <c r="K27" s="15" t="s">
        <v>1031</v>
      </c>
      <c r="L27" s="15" t="s">
        <v>1031</v>
      </c>
      <c r="M27" s="15" t="s">
        <v>1031</v>
      </c>
      <c r="N27" s="15" t="s">
        <v>1031</v>
      </c>
      <c r="O27" s="15">
        <v>30</v>
      </c>
      <c r="P27" s="15">
        <v>53.6</v>
      </c>
    </row>
    <row r="28" spans="1:16" x14ac:dyDescent="0.2">
      <c r="E28" s="80"/>
      <c r="F28" s="47">
        <v>12550</v>
      </c>
      <c r="G28" s="15">
        <v>16</v>
      </c>
      <c r="H28" s="15">
        <v>60</v>
      </c>
      <c r="I28" s="15">
        <v>20</v>
      </c>
      <c r="J28" s="15">
        <v>74.599999999999994</v>
      </c>
      <c r="K28" s="15">
        <v>14</v>
      </c>
      <c r="L28" s="15">
        <v>51.1</v>
      </c>
      <c r="M28" s="15" t="s">
        <v>1031</v>
      </c>
      <c r="N28" s="15" t="s">
        <v>1031</v>
      </c>
      <c r="O28" s="15">
        <v>58</v>
      </c>
      <c r="P28" s="15">
        <v>53.7</v>
      </c>
    </row>
    <row r="29" spans="1:16" x14ac:dyDescent="0.2">
      <c r="E29" s="80"/>
      <c r="F29" s="47">
        <v>12771</v>
      </c>
      <c r="G29" s="15" t="s">
        <v>1031</v>
      </c>
      <c r="H29" s="15" t="s">
        <v>1031</v>
      </c>
      <c r="I29" s="15" t="s">
        <v>1031</v>
      </c>
      <c r="J29" s="15" t="s">
        <v>1031</v>
      </c>
      <c r="K29" s="15">
        <v>12</v>
      </c>
      <c r="L29" s="15">
        <v>83</v>
      </c>
      <c r="M29" s="15" t="s">
        <v>1031</v>
      </c>
      <c r="N29" s="15" t="s">
        <v>1031</v>
      </c>
      <c r="O29" s="15">
        <v>39</v>
      </c>
      <c r="P29" s="15">
        <v>67.2</v>
      </c>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3">
    <mergeCell ref="B1:O1"/>
    <mergeCell ref="A21:B21"/>
    <mergeCell ref="E5:E57"/>
    <mergeCell ref="O5:P5"/>
    <mergeCell ref="A9:B9"/>
    <mergeCell ref="A5:B5"/>
    <mergeCell ref="G5:H5"/>
    <mergeCell ref="K5:L5"/>
    <mergeCell ref="I5:J5"/>
    <mergeCell ref="M5:N5"/>
    <mergeCell ref="A18:B18"/>
    <mergeCell ref="A27:B27"/>
    <mergeCell ref="F5:F6"/>
  </mergeCells>
  <dataValidations count="3">
    <dataValidation type="list" allowBlank="1" showInputMessage="1" showErrorMessage="1" sqref="B10" xr:uid="{00000000-0002-0000-3E00-000000000000}">
      <formula1>"Line,Clustered Bar,Stacked Bar,Bar,Horizontal Stacked Bar"</formula1>
    </dataValidation>
    <dataValidation type="list" allowBlank="1" showInputMessage="1" showErrorMessage="1" sqref="B2" xr:uid="{00000000-0002-0000-3E00-000001000000}">
      <formula1>"Table,Figure,Both"</formula1>
    </dataValidation>
    <dataValidation type="list" allowBlank="1" showInputMessage="1" showErrorMessage="1" sqref="B6 B15:B16" xr:uid="{00000000-0002-0000-3E00-000002000000}">
      <formula1>"True,False"</formula1>
    </dataValidation>
  </dataValidation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214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tbl-clrd-mortal-aar</v>
      </c>
    </row>
    <row r="4" spans="1:17" x14ac:dyDescent="0.2">
      <c r="A4" s="16" t="s">
        <v>7</v>
      </c>
      <c r="B4" t="str">
        <f>IF($B$1="","",_xlfn.XLOOKUP($B$1,Master!$F$2:$F$321,Master!$H$2:$H$321,""))</f>
        <v>fig-clrd-mortal-aar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37.9</v>
      </c>
      <c r="H6" s="15">
        <v>26.5</v>
      </c>
      <c r="I6" s="15">
        <v>29</v>
      </c>
      <c r="J6" s="15">
        <v>22.9</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1726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F00-000000000000}">
      <formula1>"Line,Clustered Bar,Stacked Bar,Bar,Horizontal Stacked Bar"</formula1>
    </dataValidation>
    <dataValidation type="list" allowBlank="1" showInputMessage="1" showErrorMessage="1" sqref="B2" xr:uid="{00000000-0002-0000-3F00-000001000000}">
      <formula1>"Table,Figure,Both"</formula1>
    </dataValidation>
    <dataValidation type="list" allowBlank="1" showInputMessage="1" showErrorMessage="1" sqref="B6 B15:B16" xr:uid="{00000000-0002-0000-3F00-000002000000}">
      <formula1>"True,False"</formula1>
    </dataValidation>
  </dataValidation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217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tbl-clrd-mortal-sex-aar</v>
      </c>
    </row>
    <row r="4" spans="1:17" x14ac:dyDescent="0.2">
      <c r="A4" s="16" t="s">
        <v>7</v>
      </c>
      <c r="B4" t="str">
        <f>IF($B$1="","",_xlfn.XLOOKUP($B$1,Master!$F$2:$F$321,Master!$H$2:$H$321,""))</f>
        <v>fig-clrd-mortal-sex-aar</v>
      </c>
      <c r="E4" s="8"/>
      <c r="F4" s="10" t="s">
        <v>968</v>
      </c>
      <c r="G4" s="10" t="s">
        <v>968</v>
      </c>
      <c r="H4" s="10" t="s">
        <v>968</v>
      </c>
      <c r="I4" s="10" t="s">
        <v>968</v>
      </c>
      <c r="J4" s="10" t="s">
        <v>968</v>
      </c>
      <c r="K4" s="10" t="s">
        <v>968</v>
      </c>
      <c r="L4" s="10" t="s">
        <v>968</v>
      </c>
      <c r="M4" s="10" t="s">
        <v>968</v>
      </c>
      <c r="N4" s="10" t="s">
        <v>968</v>
      </c>
      <c r="O4" s="10" t="s">
        <v>968</v>
      </c>
      <c r="P4" s="10" t="s">
        <v>968</v>
      </c>
      <c r="Q4" s="10" t="s">
        <v>968</v>
      </c>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40</v>
      </c>
      <c r="H6" s="15">
        <v>33</v>
      </c>
      <c r="I6" s="15">
        <v>29</v>
      </c>
      <c r="J6" s="15">
        <v>25.9</v>
      </c>
      <c r="K6" s="15"/>
      <c r="L6" s="15"/>
      <c r="M6" s="15"/>
      <c r="N6" s="15"/>
      <c r="O6" s="15"/>
    </row>
    <row r="7" spans="1:17" ht="15.75" customHeight="1" x14ac:dyDescent="0.2">
      <c r="E7" s="80"/>
      <c r="F7" t="s">
        <v>1306</v>
      </c>
      <c r="G7" s="15">
        <v>37</v>
      </c>
      <c r="H7" s="15">
        <v>24.2</v>
      </c>
      <c r="I7" s="15">
        <v>29.5</v>
      </c>
      <c r="J7" s="15">
        <v>21.5</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1727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000-000000000000}">
      <formula1>"Line,Clustered Bar,Stacked Bar,Bar,Horizontal Stacked Bar"</formula1>
    </dataValidation>
    <dataValidation type="list" allowBlank="1" showInputMessage="1" showErrorMessage="1" sqref="B2" xr:uid="{00000000-0002-0000-4000-000001000000}">
      <formula1>"Table,Figure,Both"</formula1>
    </dataValidation>
    <dataValidation type="list" allowBlank="1" showInputMessage="1" showErrorMessage="1" sqref="B6 B15:B16" xr:uid="{00000000-0002-0000-4000-000002000000}">
      <formula1>"True,False"</formula1>
    </dataValidation>
  </dataValidation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tbl-asthma-hosp-rande-aar</v>
      </c>
    </row>
    <row r="4" spans="1:17" x14ac:dyDescent="0.2">
      <c r="A4" s="16" t="s">
        <v>7</v>
      </c>
      <c r="B4" t="str">
        <f>IF($B$1="","",_xlfn.XLOOKUP($B$1,Master!$F$2:$F$321,Master!$H$2:$H$321,""))</f>
        <v>fig-asthma-hosp-rande-aar</v>
      </c>
      <c r="E4" s="8"/>
      <c r="F4" s="10" t="s">
        <v>968</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5.0999999999999996</v>
      </c>
      <c r="H6" s="15">
        <v>3.4</v>
      </c>
      <c r="I6" s="15">
        <v>10.8</v>
      </c>
      <c r="J6" s="15" t="s">
        <v>1728</v>
      </c>
      <c r="K6" s="15">
        <v>5.0999999999999996</v>
      </c>
      <c r="L6" s="15"/>
      <c r="M6" s="15"/>
      <c r="N6" s="15"/>
      <c r="O6" s="15"/>
    </row>
    <row r="7" spans="1:17" ht="15.75" customHeight="1" x14ac:dyDescent="0.2">
      <c r="E7" s="80"/>
      <c r="F7" t="s">
        <v>1298</v>
      </c>
      <c r="G7" s="15">
        <v>4.2</v>
      </c>
      <c r="H7" s="15">
        <v>2.4</v>
      </c>
      <c r="I7" s="15">
        <v>11.9</v>
      </c>
      <c r="J7" s="15">
        <v>2.4</v>
      </c>
      <c r="K7" s="15">
        <v>5.4</v>
      </c>
      <c r="L7" s="15"/>
      <c r="M7" s="15"/>
      <c r="N7" s="15"/>
      <c r="O7" s="15"/>
    </row>
    <row r="8" spans="1:17" x14ac:dyDescent="0.2">
      <c r="E8" s="80"/>
      <c r="F8" t="s">
        <v>1299</v>
      </c>
      <c r="G8" s="15">
        <v>6.6</v>
      </c>
      <c r="H8" s="15">
        <v>2.2999999999999998</v>
      </c>
      <c r="I8" s="15">
        <v>13.8</v>
      </c>
      <c r="J8" s="15">
        <v>2.4</v>
      </c>
      <c r="K8" s="15">
        <v>9.9</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1729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100-000000000000}">
      <formula1>"Line,Clustered Bar,Stacked Bar,Bar,Horizontal Stacked Bar"</formula1>
    </dataValidation>
    <dataValidation type="list" allowBlank="1" showInputMessage="1" showErrorMessage="1" sqref="B2" xr:uid="{00000000-0002-0000-4100-000001000000}">
      <formula1>"Table,Figure,Both"</formula1>
    </dataValidation>
    <dataValidation type="list" allowBlank="1" showInputMessage="1" showErrorMessage="1" sqref="B6 B15:B16" xr:uid="{00000000-0002-0000-4100-000002000000}">
      <formula1>"True,False"</formula1>
    </dataValidation>
  </dataValidation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tbl-asthma-hosp-0to17-rande-aar</v>
      </c>
    </row>
    <row r="4" spans="1:17" x14ac:dyDescent="0.2">
      <c r="A4" s="16" t="s">
        <v>7</v>
      </c>
      <c r="B4" t="str">
        <f>IF($B$1="","",_xlfn.XLOOKUP($B$1,Master!$F$2:$F$321,Master!$H$2:$H$321,""))</f>
        <v>fig-asthma-hosp-0to17-rande-aar</v>
      </c>
      <c r="E4" s="8"/>
      <c r="F4" s="10" t="s">
        <v>968</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9.5</v>
      </c>
      <c r="H6" s="15">
        <v>6.5</v>
      </c>
      <c r="I6" s="15">
        <v>17.899999999999999</v>
      </c>
      <c r="J6" s="15" t="s">
        <v>1031</v>
      </c>
      <c r="K6" s="15">
        <v>8.6</v>
      </c>
      <c r="L6" s="15"/>
      <c r="M6" s="15"/>
      <c r="N6" s="15"/>
      <c r="O6" s="15"/>
    </row>
    <row r="7" spans="1:17" ht="15.75" customHeight="1" x14ac:dyDescent="0.2">
      <c r="E7" s="80"/>
      <c r="F7" t="s">
        <v>1298</v>
      </c>
      <c r="G7" s="15">
        <v>8.5</v>
      </c>
      <c r="H7" s="15">
        <v>4.5999999999999996</v>
      </c>
      <c r="I7" s="15">
        <v>22.2</v>
      </c>
      <c r="J7" s="15">
        <v>5.4</v>
      </c>
      <c r="K7" s="15">
        <v>9.1999999999999993</v>
      </c>
      <c r="L7" s="15"/>
      <c r="M7" s="15"/>
      <c r="N7" s="15"/>
      <c r="O7" s="15"/>
    </row>
    <row r="8" spans="1:17" x14ac:dyDescent="0.2">
      <c r="E8" s="80"/>
      <c r="F8" t="s">
        <v>1299</v>
      </c>
      <c r="G8" s="15">
        <v>13.4</v>
      </c>
      <c r="H8" s="15">
        <v>4.5</v>
      </c>
      <c r="I8" s="15">
        <v>26.7</v>
      </c>
      <c r="J8" s="15">
        <v>5.4</v>
      </c>
      <c r="K8" s="15">
        <v>16.100000000000001</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1729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200-000000000000}">
      <formula1>"Line,Clustered Bar,Stacked Bar,Bar,Horizontal Stacked Bar"</formula1>
    </dataValidation>
    <dataValidation type="list" allowBlank="1" showInputMessage="1" showErrorMessage="1" sqref="B2" xr:uid="{00000000-0002-0000-4200-000001000000}">
      <formula1>"Table,Figure,Both"</formula1>
    </dataValidation>
    <dataValidation type="list" allowBlank="1" showInputMessage="1" showErrorMessage="1" sqref="B6 B15:B16" xr:uid="{00000000-0002-0000-4200-000002000000}">
      <formula1>"True,False"</formula1>
    </dataValidation>
  </dataValidation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tbl-ppasthma-2to17-crude</v>
      </c>
    </row>
    <row r="4" spans="1:17" x14ac:dyDescent="0.2">
      <c r="A4" s="16" t="s">
        <v>7</v>
      </c>
      <c r="B4" t="str">
        <f>IF($B$1="","",_xlfn.XLOOKUP($B$1,Master!$F$2:$F$321,Master!$H$2:$H$321,""))</f>
        <v>fig-ppasthma-2to17-crude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1297</v>
      </c>
      <c r="G6" s="15">
        <v>5.6</v>
      </c>
      <c r="H6" s="15">
        <v>9.4</v>
      </c>
      <c r="I6" s="15">
        <v>9.5</v>
      </c>
      <c r="J6" s="15">
        <v>7.1</v>
      </c>
      <c r="K6" s="15"/>
      <c r="L6" s="15"/>
      <c r="M6" s="15"/>
      <c r="N6" s="15"/>
      <c r="O6" s="15"/>
    </row>
    <row r="7" spans="1:17" ht="15.75" customHeight="1" x14ac:dyDescent="0.2">
      <c r="E7" s="80"/>
      <c r="F7" t="s">
        <v>1645</v>
      </c>
      <c r="G7" s="15">
        <v>5.9</v>
      </c>
      <c r="H7" s="15">
        <v>10.3</v>
      </c>
      <c r="I7" s="15">
        <v>10.199999999999999</v>
      </c>
      <c r="J7" s="15">
        <v>9.3000000000000007</v>
      </c>
      <c r="K7" s="15"/>
      <c r="L7" s="15"/>
      <c r="M7" s="15"/>
      <c r="N7" s="15"/>
      <c r="O7" s="15"/>
    </row>
    <row r="8" spans="1:17" x14ac:dyDescent="0.2">
      <c r="E8" s="80"/>
      <c r="F8" t="s">
        <v>1298</v>
      </c>
      <c r="G8" s="15">
        <v>6.5</v>
      </c>
      <c r="H8" s="15">
        <v>10</v>
      </c>
      <c r="I8" s="15">
        <v>10.1</v>
      </c>
      <c r="J8" s="15">
        <v>9.9</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1732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300-000000000000}">
      <formula1>"Line,Clustered Bar,Stacked Bar,Bar,Horizontal Stacked Bar"</formula1>
    </dataValidation>
    <dataValidation type="list" allowBlank="1" showInputMessage="1" showErrorMessage="1" sqref="B2" xr:uid="{00000000-0002-0000-4300-000001000000}">
      <formula1>"Table,Figure,Both"</formula1>
    </dataValidation>
    <dataValidation type="list" allowBlank="1" showInputMessage="1" showErrorMessage="1" sqref="B6 B15:B16" xr:uid="{00000000-0002-0000-4300-000002000000}">
      <formula1>"True,False"</formula1>
    </dataValidation>
  </dataValidation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tbl-pppneumonia-adult-aar</v>
      </c>
    </row>
    <row r="4" spans="1:17" x14ac:dyDescent="0.2">
      <c r="A4" s="16" t="s">
        <v>7</v>
      </c>
      <c r="B4" t="str">
        <f>IF($B$1="","",_xlfn.XLOOKUP($B$1,Master!$F$2:$F$321,Master!$H$2:$H$321,""))</f>
        <v>fig-pppneumonia-adult-aar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1297</v>
      </c>
      <c r="G6" s="15">
        <v>12.2</v>
      </c>
      <c r="H6" s="15">
        <v>13.9</v>
      </c>
      <c r="I6" s="15">
        <v>15.7</v>
      </c>
      <c r="J6" s="15">
        <v>17.399999999999999</v>
      </c>
      <c r="K6" s="15"/>
      <c r="L6" s="15"/>
      <c r="M6" s="15"/>
      <c r="N6" s="15"/>
      <c r="O6" s="15"/>
    </row>
    <row r="7" spans="1:17" ht="15.75" customHeight="1" x14ac:dyDescent="0.2">
      <c r="E7" s="80"/>
      <c r="F7" t="s">
        <v>1645</v>
      </c>
      <c r="G7" s="15">
        <v>7.9</v>
      </c>
      <c r="H7" s="15">
        <v>8.6</v>
      </c>
      <c r="I7" s="15">
        <v>10.4</v>
      </c>
      <c r="J7" s="15">
        <v>10.6</v>
      </c>
      <c r="K7" s="15"/>
      <c r="L7" s="15"/>
      <c r="M7" s="15"/>
      <c r="N7" s="15"/>
      <c r="O7" s="15"/>
    </row>
    <row r="8" spans="1:17" x14ac:dyDescent="0.2">
      <c r="E8" s="80"/>
      <c r="F8" t="s">
        <v>1298</v>
      </c>
      <c r="G8" s="15">
        <v>8.8000000000000007</v>
      </c>
      <c r="H8" s="15">
        <v>9.4</v>
      </c>
      <c r="I8" s="15">
        <v>11.2</v>
      </c>
      <c r="J8" s="15">
        <v>11.3</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1732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400-000000000000}">
      <formula1>"Line,Clustered Bar,Stacked Bar,Bar,Horizontal Stacked Bar"</formula1>
    </dataValidation>
    <dataValidation type="list" allowBlank="1" showInputMessage="1" showErrorMessage="1" sqref="B2" xr:uid="{00000000-0002-0000-4400-000001000000}">
      <formula1>"Table,Figure,Both"</formula1>
    </dataValidation>
    <dataValidation type="list" allowBlank="1" showInputMessage="1" showErrorMessage="1" sqref="B6 B15:B16" xr:uid="{00000000-0002-0000-4400-000002000000}">
      <formula1>"True,False"</formula1>
    </dataValidation>
  </dataValidation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U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style="15" bestFit="1" customWidth="1"/>
    <col min="8" max="8" width="8.33203125" style="15" bestFit="1" customWidth="1"/>
    <col min="9" max="9" width="8.83203125" style="15" bestFit="1" customWidth="1"/>
    <col min="10" max="10" width="9" style="15" bestFit="1" customWidth="1"/>
    <col min="11" max="11" width="8.83203125" style="15" bestFit="1" customWidth="1"/>
    <col min="12" max="12" width="8.33203125" style="15" bestFit="1" customWidth="1"/>
    <col min="13" max="13" width="12.1640625" style="15" bestFit="1" customWidth="1"/>
    <col min="14" max="14" width="12.33203125" style="15" bestFit="1" customWidth="1"/>
    <col min="15" max="16" width="12.5" style="15" bestFit="1" customWidth="1"/>
  </cols>
  <sheetData>
    <row r="1" spans="1:21" x14ac:dyDescent="0.2">
      <c r="A1" s="16" t="s">
        <v>1077</v>
      </c>
      <c r="B1" s="79" t="s">
        <v>232</v>
      </c>
      <c r="C1" s="80"/>
      <c r="D1" s="80"/>
      <c r="E1" s="80"/>
      <c r="F1" s="80"/>
      <c r="G1" s="81"/>
      <c r="H1" s="81"/>
      <c r="I1" s="81"/>
      <c r="J1" s="81"/>
      <c r="K1" s="81"/>
      <c r="L1" s="81"/>
      <c r="M1" s="81"/>
      <c r="N1" s="81"/>
      <c r="O1" s="81"/>
    </row>
    <row r="2" spans="1:21" x14ac:dyDescent="0.2">
      <c r="A2" s="16" t="s">
        <v>1078</v>
      </c>
      <c r="B2" t="s">
        <v>9</v>
      </c>
    </row>
    <row r="3" spans="1:21" x14ac:dyDescent="0.2">
      <c r="A3" s="16" t="s">
        <v>1080</v>
      </c>
      <c r="B3" t="str">
        <f>IF($B$1="","",_xlfn.XLOOKUP($B$1,Master!$F$2:$F$321,Master!$G$2:$G$321,""))</f>
        <v>tbl-pneumoniaflu-count-rate-age-rande-zip</v>
      </c>
    </row>
    <row r="4" spans="1:21" x14ac:dyDescent="0.2">
      <c r="A4" s="16" t="s">
        <v>7</v>
      </c>
      <c r="B4" t="str">
        <f>IF($B$1="","",_xlfn.XLOOKUP($B$1,Master!$F$2:$F$321,Master!$H$2:$H$321,""))</f>
        <v>fig-pneumoniaflu-count-rate-age-rande-zip</v>
      </c>
      <c r="E4" s="8"/>
      <c r="F4" s="10" t="s">
        <v>968</v>
      </c>
      <c r="G4" s="51" t="s">
        <v>968</v>
      </c>
      <c r="H4" s="51" t="s">
        <v>979</v>
      </c>
      <c r="I4" s="51" t="s">
        <v>968</v>
      </c>
      <c r="J4" s="51" t="s">
        <v>979</v>
      </c>
      <c r="K4" s="51" t="s">
        <v>968</v>
      </c>
      <c r="L4" s="51" t="s">
        <v>979</v>
      </c>
      <c r="M4" s="51" t="s">
        <v>968</v>
      </c>
      <c r="N4" s="51" t="s">
        <v>979</v>
      </c>
      <c r="O4" s="51" t="s">
        <v>968</v>
      </c>
      <c r="P4" s="51" t="s">
        <v>979</v>
      </c>
      <c r="Q4" s="10"/>
    </row>
    <row r="5" spans="1:21" x14ac:dyDescent="0.2">
      <c r="A5" s="83" t="s">
        <v>1081</v>
      </c>
      <c r="B5" s="80"/>
      <c r="E5" s="82" t="s">
        <v>1082</v>
      </c>
      <c r="F5" s="85" t="s">
        <v>1391</v>
      </c>
      <c r="G5" s="81">
        <v>2020</v>
      </c>
      <c r="H5" s="81"/>
      <c r="I5" s="81">
        <v>2021</v>
      </c>
      <c r="J5" s="81"/>
      <c r="K5" s="81">
        <v>2022</v>
      </c>
      <c r="L5" s="81"/>
      <c r="M5" s="81">
        <v>2023</v>
      </c>
      <c r="N5" s="81"/>
      <c r="O5" s="81" t="s">
        <v>1271</v>
      </c>
      <c r="P5" s="81"/>
    </row>
    <row r="6" spans="1:21" ht="15" customHeight="1" x14ac:dyDescent="0.2">
      <c r="A6" t="s">
        <v>1088</v>
      </c>
      <c r="B6" t="b">
        <v>1</v>
      </c>
      <c r="E6" s="80"/>
      <c r="F6" s="85"/>
      <c r="G6" s="15" t="s">
        <v>1724</v>
      </c>
      <c r="H6" s="15" t="s">
        <v>1273</v>
      </c>
      <c r="I6" s="15" t="s">
        <v>1724</v>
      </c>
      <c r="J6" s="15" t="s">
        <v>1273</v>
      </c>
      <c r="K6" s="15" t="s">
        <v>1724</v>
      </c>
      <c r="L6" s="15" t="s">
        <v>1273</v>
      </c>
      <c r="M6" s="15" t="s">
        <v>1724</v>
      </c>
      <c r="N6" s="15" t="s">
        <v>1273</v>
      </c>
      <c r="O6" s="15" t="s">
        <v>1724</v>
      </c>
      <c r="P6" s="15" t="s">
        <v>1275</v>
      </c>
    </row>
    <row r="7" spans="1:21" ht="15.75" customHeight="1" x14ac:dyDescent="0.2">
      <c r="E7" s="80"/>
      <c r="F7" s="56" t="s">
        <v>1698</v>
      </c>
      <c r="G7" s="15">
        <v>68</v>
      </c>
      <c r="H7" s="15">
        <v>17.8</v>
      </c>
      <c r="I7" s="15">
        <v>39</v>
      </c>
      <c r="J7" s="15">
        <v>9.8000000000000007</v>
      </c>
      <c r="K7" s="15">
        <v>65</v>
      </c>
      <c r="L7" s="15">
        <v>16.2</v>
      </c>
      <c r="M7" s="15">
        <v>73</v>
      </c>
      <c r="N7" s="15">
        <v>18.100000000000001</v>
      </c>
      <c r="O7" s="15">
        <v>245</v>
      </c>
      <c r="P7" s="15">
        <v>15.5</v>
      </c>
    </row>
    <row r="8" spans="1:21" x14ac:dyDescent="0.2">
      <c r="E8" s="80"/>
      <c r="F8" s="16" t="s">
        <v>1276</v>
      </c>
    </row>
    <row r="9" spans="1:21" x14ac:dyDescent="0.2">
      <c r="A9" s="83" t="s">
        <v>1098</v>
      </c>
      <c r="B9" s="80"/>
      <c r="E9" s="80"/>
      <c r="F9" s="49" t="s">
        <v>1277</v>
      </c>
      <c r="G9" s="15" t="s">
        <v>1031</v>
      </c>
      <c r="H9" s="15">
        <v>0</v>
      </c>
      <c r="I9" s="15">
        <v>0</v>
      </c>
      <c r="J9" s="15">
        <v>0</v>
      </c>
      <c r="K9" s="15">
        <v>0</v>
      </c>
      <c r="L9" s="15">
        <v>0</v>
      </c>
      <c r="M9" s="15">
        <v>0</v>
      </c>
      <c r="N9" s="15">
        <v>0</v>
      </c>
      <c r="O9" s="15">
        <v>0</v>
      </c>
      <c r="P9" s="15">
        <v>0</v>
      </c>
      <c r="U9" s="45"/>
    </row>
    <row r="10" spans="1:21" x14ac:dyDescent="0.2">
      <c r="A10" t="s">
        <v>1100</v>
      </c>
      <c r="E10" s="80"/>
      <c r="F10" s="49" t="s">
        <v>1699</v>
      </c>
      <c r="G10" s="15" t="s">
        <v>1031</v>
      </c>
      <c r="H10" s="15" t="s">
        <v>1031</v>
      </c>
      <c r="I10" s="15">
        <v>0</v>
      </c>
      <c r="J10" s="15">
        <v>0</v>
      </c>
      <c r="K10" s="15">
        <v>0</v>
      </c>
      <c r="L10" s="15">
        <v>0</v>
      </c>
      <c r="M10" s="15">
        <v>0</v>
      </c>
      <c r="N10" s="15">
        <v>0</v>
      </c>
      <c r="O10" s="15" t="s">
        <v>1031</v>
      </c>
      <c r="P10" s="15" t="s">
        <v>1031</v>
      </c>
      <c r="U10" s="45"/>
    </row>
    <row r="11" spans="1:21" x14ac:dyDescent="0.2">
      <c r="A11" t="s">
        <v>1102</v>
      </c>
      <c r="E11" s="80"/>
      <c r="F11" s="49" t="s">
        <v>1700</v>
      </c>
      <c r="G11" s="15">
        <v>0</v>
      </c>
      <c r="H11" s="15">
        <v>0</v>
      </c>
      <c r="I11" s="15">
        <v>0</v>
      </c>
      <c r="J11" s="15">
        <v>0</v>
      </c>
      <c r="K11" s="15">
        <v>0</v>
      </c>
      <c r="L11" s="15">
        <v>0</v>
      </c>
      <c r="M11" s="15">
        <v>0</v>
      </c>
      <c r="N11" s="15">
        <v>0</v>
      </c>
      <c r="O11" s="15">
        <v>0</v>
      </c>
      <c r="P11" s="15">
        <v>0</v>
      </c>
    </row>
    <row r="12" spans="1:21" x14ac:dyDescent="0.2">
      <c r="A12" t="s">
        <v>1104</v>
      </c>
      <c r="E12" s="80"/>
      <c r="F12" s="55" t="s">
        <v>1701</v>
      </c>
      <c r="G12" s="15">
        <v>0</v>
      </c>
      <c r="H12" s="15">
        <v>0</v>
      </c>
      <c r="I12" s="15">
        <v>0</v>
      </c>
      <c r="J12" s="15">
        <v>0</v>
      </c>
      <c r="K12" s="15">
        <v>0</v>
      </c>
      <c r="L12" s="15">
        <v>0</v>
      </c>
      <c r="M12" s="15">
        <v>0</v>
      </c>
      <c r="N12" s="15">
        <v>0</v>
      </c>
      <c r="O12" s="15">
        <v>0</v>
      </c>
      <c r="P12" s="15">
        <v>0</v>
      </c>
    </row>
    <row r="13" spans="1:21" x14ac:dyDescent="0.2">
      <c r="A13" t="s">
        <v>1108</v>
      </c>
      <c r="E13" s="80"/>
      <c r="F13" s="49" t="s">
        <v>1702</v>
      </c>
      <c r="G13" s="15">
        <v>0</v>
      </c>
      <c r="H13" s="15">
        <v>0</v>
      </c>
      <c r="I13" s="15">
        <v>0</v>
      </c>
      <c r="J13" s="15">
        <v>0</v>
      </c>
      <c r="K13" s="15" t="s">
        <v>1031</v>
      </c>
      <c r="L13" s="15" t="s">
        <v>1031</v>
      </c>
      <c r="M13" s="15">
        <v>0</v>
      </c>
      <c r="N13" s="15">
        <v>0</v>
      </c>
      <c r="O13" s="15" t="s">
        <v>1031</v>
      </c>
      <c r="P13" s="15" t="s">
        <v>1031</v>
      </c>
    </row>
    <row r="14" spans="1:21" x14ac:dyDescent="0.2">
      <c r="A14" t="s">
        <v>1112</v>
      </c>
      <c r="E14" s="80"/>
      <c r="F14" s="49" t="s">
        <v>1703</v>
      </c>
      <c r="G14" s="15">
        <v>0</v>
      </c>
      <c r="H14" s="15">
        <v>0</v>
      </c>
      <c r="I14" s="15" t="s">
        <v>1031</v>
      </c>
      <c r="J14" s="15" t="s">
        <v>1031</v>
      </c>
      <c r="K14" s="15" t="s">
        <v>1031</v>
      </c>
      <c r="L14" s="15" t="s">
        <v>1031</v>
      </c>
      <c r="M14" s="15" t="s">
        <v>1031</v>
      </c>
      <c r="N14" s="15" t="s">
        <v>1031</v>
      </c>
      <c r="O14" s="15" t="s">
        <v>1031</v>
      </c>
      <c r="P14" s="15" t="s">
        <v>1031</v>
      </c>
    </row>
    <row r="15" spans="1:21" x14ac:dyDescent="0.2">
      <c r="A15" t="s">
        <v>1114</v>
      </c>
      <c r="E15" s="80"/>
      <c r="F15" s="49" t="s">
        <v>1704</v>
      </c>
      <c r="G15" s="15" t="s">
        <v>1031</v>
      </c>
      <c r="H15" s="15" t="s">
        <v>1031</v>
      </c>
      <c r="I15" s="15">
        <v>0</v>
      </c>
      <c r="J15" s="15">
        <v>0</v>
      </c>
      <c r="K15" s="15" t="s">
        <v>1031</v>
      </c>
      <c r="L15" s="15" t="s">
        <v>1031</v>
      </c>
      <c r="M15" s="15" t="s">
        <v>1031</v>
      </c>
      <c r="N15" s="15" t="s">
        <v>1031</v>
      </c>
      <c r="O15" s="15" t="s">
        <v>1031</v>
      </c>
      <c r="P15" s="15" t="s">
        <v>1031</v>
      </c>
    </row>
    <row r="16" spans="1:21" x14ac:dyDescent="0.2">
      <c r="A16" t="s">
        <v>1116</v>
      </c>
      <c r="E16" s="80"/>
      <c r="F16" s="49" t="s">
        <v>1705</v>
      </c>
      <c r="G16" s="15" t="s">
        <v>1031</v>
      </c>
      <c r="H16" s="15" t="s">
        <v>1031</v>
      </c>
      <c r="I16" s="15" t="s">
        <v>1031</v>
      </c>
      <c r="J16" s="15" t="s">
        <v>1031</v>
      </c>
      <c r="K16" s="15" t="s">
        <v>1031</v>
      </c>
      <c r="L16" s="15" t="s">
        <v>1031</v>
      </c>
      <c r="M16" s="15" t="s">
        <v>1031</v>
      </c>
      <c r="N16" s="15" t="s">
        <v>1031</v>
      </c>
      <c r="O16" s="15">
        <v>21</v>
      </c>
      <c r="P16" s="15">
        <v>10.3</v>
      </c>
    </row>
    <row r="17" spans="1:16" x14ac:dyDescent="0.2">
      <c r="E17" s="80"/>
      <c r="F17" s="49" t="s">
        <v>1706</v>
      </c>
      <c r="G17" s="15">
        <v>14</v>
      </c>
      <c r="H17" s="15">
        <v>44.4</v>
      </c>
      <c r="I17" s="15" t="s">
        <v>1031</v>
      </c>
      <c r="J17" s="15" t="s">
        <v>1031</v>
      </c>
      <c r="K17" s="15">
        <v>16</v>
      </c>
      <c r="L17" s="15">
        <v>47.3</v>
      </c>
      <c r="M17" s="15" t="s">
        <v>1031</v>
      </c>
      <c r="N17" s="15" t="s">
        <v>1031</v>
      </c>
      <c r="O17" s="15">
        <v>44</v>
      </c>
      <c r="P17" s="15">
        <v>33.1</v>
      </c>
    </row>
    <row r="18" spans="1:16" x14ac:dyDescent="0.2">
      <c r="A18" s="83" t="s">
        <v>1119</v>
      </c>
      <c r="B18" s="80"/>
      <c r="E18" s="80"/>
      <c r="F18" s="49" t="s">
        <v>1707</v>
      </c>
      <c r="G18" s="15">
        <v>23</v>
      </c>
      <c r="H18" s="15">
        <v>156</v>
      </c>
      <c r="I18" s="15">
        <v>13</v>
      </c>
      <c r="J18" s="15">
        <v>85.2</v>
      </c>
      <c r="K18" s="15">
        <v>21</v>
      </c>
      <c r="L18" s="15">
        <v>132.5</v>
      </c>
      <c r="M18" s="15">
        <v>26</v>
      </c>
      <c r="N18" s="15">
        <v>158.6</v>
      </c>
      <c r="O18" s="15">
        <v>83</v>
      </c>
      <c r="P18" s="15">
        <v>133.1</v>
      </c>
    </row>
    <row r="19" spans="1:16" x14ac:dyDescent="0.2">
      <c r="A19" t="s">
        <v>1121</v>
      </c>
      <c r="B19" t="s">
        <v>1287</v>
      </c>
      <c r="E19" s="80"/>
      <c r="F19" s="49" t="s">
        <v>1288</v>
      </c>
      <c r="G19" s="15">
        <v>23</v>
      </c>
      <c r="H19" s="15">
        <v>321.7</v>
      </c>
      <c r="I19" s="15">
        <v>13</v>
      </c>
      <c r="J19" s="15">
        <v>190.8</v>
      </c>
      <c r="K19" s="15">
        <v>18</v>
      </c>
      <c r="L19" s="15">
        <v>256.39999999999998</v>
      </c>
      <c r="M19" s="15">
        <v>29</v>
      </c>
      <c r="N19" s="15">
        <v>432.3</v>
      </c>
      <c r="O19" s="15">
        <v>83</v>
      </c>
      <c r="P19" s="15">
        <v>300.3</v>
      </c>
    </row>
    <row r="20" spans="1:16" x14ac:dyDescent="0.2">
      <c r="E20" s="80"/>
      <c r="F20" s="25" t="s">
        <v>1289</v>
      </c>
    </row>
    <row r="21" spans="1:16" x14ac:dyDescent="0.2">
      <c r="A21" s="81" t="s">
        <v>1125</v>
      </c>
      <c r="B21" s="80"/>
      <c r="E21" s="80"/>
      <c r="F21" s="47" t="s">
        <v>1290</v>
      </c>
      <c r="G21" s="15">
        <v>56</v>
      </c>
      <c r="H21" s="15">
        <v>23.2</v>
      </c>
      <c r="I21" s="15">
        <v>31</v>
      </c>
      <c r="J21" s="15">
        <v>12.5</v>
      </c>
      <c r="K21" s="15">
        <v>50</v>
      </c>
      <c r="L21" s="15">
        <v>20.6</v>
      </c>
      <c r="M21" s="15">
        <v>59</v>
      </c>
      <c r="N21" s="15">
        <v>24.7</v>
      </c>
      <c r="O21" s="15">
        <v>196</v>
      </c>
      <c r="P21" s="15">
        <v>20.2</v>
      </c>
    </row>
    <row r="22" spans="1:16" x14ac:dyDescent="0.2">
      <c r="A22" t="s">
        <v>1135</v>
      </c>
      <c r="B22" t="s">
        <v>1735</v>
      </c>
      <c r="E22" s="80"/>
      <c r="F22" s="47" t="s">
        <v>1292</v>
      </c>
      <c r="G22" s="15" t="s">
        <v>1031</v>
      </c>
      <c r="H22" s="15" t="s">
        <v>1031</v>
      </c>
      <c r="I22" s="15" t="s">
        <v>1031</v>
      </c>
      <c r="J22" s="15" t="s">
        <v>1031</v>
      </c>
      <c r="K22" s="15" t="s">
        <v>1031</v>
      </c>
      <c r="L22" s="15" t="s">
        <v>1031</v>
      </c>
      <c r="M22" s="15" t="s">
        <v>1031</v>
      </c>
      <c r="N22" s="15" t="s">
        <v>1031</v>
      </c>
      <c r="O22" s="15">
        <v>18</v>
      </c>
      <c r="P22" s="15">
        <v>11</v>
      </c>
    </row>
    <row r="23" spans="1:16" x14ac:dyDescent="0.2">
      <c r="E23" s="80"/>
      <c r="F23" s="47" t="s">
        <v>1293</v>
      </c>
      <c r="G23" s="15" t="s">
        <v>1031</v>
      </c>
      <c r="H23" s="15" t="s">
        <v>1031</v>
      </c>
      <c r="I23" s="15" t="s">
        <v>1031</v>
      </c>
      <c r="J23" s="15" t="s">
        <v>1031</v>
      </c>
      <c r="K23" s="15" t="s">
        <v>1031</v>
      </c>
      <c r="L23" s="15" t="s">
        <v>1031</v>
      </c>
      <c r="M23" s="15" t="s">
        <v>1031</v>
      </c>
      <c r="N23" s="15" t="s">
        <v>1031</v>
      </c>
      <c r="O23" s="15">
        <v>26</v>
      </c>
      <c r="P23" s="15">
        <v>7.5</v>
      </c>
    </row>
    <row r="24" spans="1:16" x14ac:dyDescent="0.2">
      <c r="E24" s="80"/>
      <c r="F24" s="47" t="s">
        <v>1015</v>
      </c>
      <c r="G24" s="15" t="s">
        <v>1031</v>
      </c>
      <c r="H24" s="15" t="s">
        <v>1031</v>
      </c>
      <c r="I24" s="15" t="s">
        <v>1031</v>
      </c>
      <c r="J24" s="15" t="s">
        <v>1031</v>
      </c>
      <c r="K24" s="15" t="s">
        <v>1031</v>
      </c>
      <c r="L24" s="15" t="s">
        <v>1031</v>
      </c>
      <c r="M24" s="15" t="s">
        <v>1031</v>
      </c>
      <c r="N24" s="15" t="s">
        <v>1031</v>
      </c>
      <c r="O24" s="15" t="s">
        <v>1031</v>
      </c>
      <c r="P24" s="15" t="s">
        <v>1031</v>
      </c>
    </row>
    <row r="25" spans="1:16" x14ac:dyDescent="0.2">
      <c r="E25" s="80"/>
      <c r="F25" s="25" t="s">
        <v>1294</v>
      </c>
    </row>
    <row r="26" spans="1:16" x14ac:dyDescent="0.2">
      <c r="E26" s="80"/>
      <c r="F26" s="47">
        <v>10940</v>
      </c>
      <c r="G26" s="15" t="s">
        <v>1031</v>
      </c>
      <c r="H26" s="15" t="s">
        <v>1031</v>
      </c>
      <c r="I26" s="15" t="s">
        <v>1031</v>
      </c>
      <c r="J26" s="15" t="s">
        <v>1031</v>
      </c>
      <c r="K26" s="15" t="s">
        <v>1031</v>
      </c>
      <c r="L26" s="15" t="s">
        <v>1031</v>
      </c>
      <c r="M26" s="15">
        <v>11</v>
      </c>
      <c r="N26" s="15">
        <v>20.7</v>
      </c>
      <c r="O26" s="15">
        <v>38</v>
      </c>
      <c r="P26" s="15">
        <v>18.5</v>
      </c>
    </row>
    <row r="27" spans="1:16" x14ac:dyDescent="0.2">
      <c r="A27" s="81"/>
      <c r="B27" s="80"/>
      <c r="E27" s="80"/>
      <c r="F27" s="47">
        <v>10950</v>
      </c>
      <c r="G27" s="15" t="s">
        <v>1031</v>
      </c>
      <c r="H27" s="15" t="s">
        <v>1031</v>
      </c>
      <c r="I27" s="15" t="s">
        <v>1031</v>
      </c>
      <c r="J27" s="15" t="s">
        <v>1031</v>
      </c>
      <c r="K27" s="15" t="s">
        <v>1031</v>
      </c>
      <c r="L27" s="15" t="s">
        <v>1031</v>
      </c>
      <c r="M27" s="15" t="s">
        <v>1031</v>
      </c>
      <c r="N27" s="15" t="s">
        <v>1031</v>
      </c>
      <c r="O27" s="15">
        <v>17</v>
      </c>
      <c r="P27" s="15">
        <v>29.8</v>
      </c>
    </row>
    <row r="28" spans="1:16" x14ac:dyDescent="0.2">
      <c r="E28" s="80"/>
      <c r="F28" s="47">
        <v>12550</v>
      </c>
      <c r="G28" s="15" t="s">
        <v>1031</v>
      </c>
      <c r="H28" s="15" t="s">
        <v>1031</v>
      </c>
      <c r="I28" s="15" t="s">
        <v>1031</v>
      </c>
      <c r="J28" s="15" t="s">
        <v>1031</v>
      </c>
      <c r="K28" s="15">
        <v>14</v>
      </c>
      <c r="L28" s="15">
        <v>51.1</v>
      </c>
      <c r="M28" s="15" t="s">
        <v>1031</v>
      </c>
      <c r="N28" s="15" t="s">
        <v>1031</v>
      </c>
      <c r="O28" s="15">
        <v>35</v>
      </c>
      <c r="P28" s="15">
        <v>32.200000000000003</v>
      </c>
    </row>
    <row r="29" spans="1:16" x14ac:dyDescent="0.2">
      <c r="E29" s="80"/>
      <c r="F29" s="47">
        <v>12771</v>
      </c>
      <c r="G29" s="15" t="s">
        <v>1031</v>
      </c>
      <c r="H29" s="15" t="s">
        <v>1031</v>
      </c>
      <c r="I29" s="15" t="s">
        <v>1031</v>
      </c>
      <c r="J29" s="15" t="s">
        <v>1031</v>
      </c>
      <c r="K29" s="15" t="s">
        <v>1031</v>
      </c>
      <c r="L29" s="15" t="s">
        <v>1031</v>
      </c>
      <c r="M29" s="15" t="s">
        <v>1031</v>
      </c>
      <c r="N29" s="15" t="s">
        <v>1031</v>
      </c>
      <c r="O29" s="15">
        <v>14</v>
      </c>
      <c r="P29" s="15">
        <v>24.3</v>
      </c>
    </row>
    <row r="30" spans="1:16" x14ac:dyDescent="0.2">
      <c r="E30" s="80"/>
      <c r="F30" s="15"/>
    </row>
    <row r="31" spans="1:16" x14ac:dyDescent="0.2">
      <c r="E31" s="80"/>
      <c r="F31" s="15"/>
    </row>
    <row r="32" spans="1:16" x14ac:dyDescent="0.2">
      <c r="E32" s="80"/>
    </row>
    <row r="33" spans="5:9" x14ac:dyDescent="0.2">
      <c r="E33" s="80"/>
      <c r="F33" s="15"/>
    </row>
    <row r="34" spans="5:9" x14ac:dyDescent="0.2">
      <c r="E34" s="80"/>
      <c r="F34" s="15"/>
      <c r="I34" s="17"/>
    </row>
    <row r="35" spans="5:9" x14ac:dyDescent="0.2">
      <c r="E35" s="80"/>
      <c r="F35" s="15"/>
      <c r="I35" s="17"/>
    </row>
    <row r="36" spans="5:9" x14ac:dyDescent="0.2">
      <c r="E36" s="80"/>
      <c r="F36" s="15"/>
      <c r="I36" s="17"/>
    </row>
    <row r="37" spans="5:9" x14ac:dyDescent="0.2">
      <c r="E37" s="80"/>
      <c r="F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3">
    <mergeCell ref="B1:O1"/>
    <mergeCell ref="A21:B21"/>
    <mergeCell ref="E5:E57"/>
    <mergeCell ref="O5:P5"/>
    <mergeCell ref="A9:B9"/>
    <mergeCell ref="A5:B5"/>
    <mergeCell ref="G5:H5"/>
    <mergeCell ref="K5:L5"/>
    <mergeCell ref="I5:J5"/>
    <mergeCell ref="M5:N5"/>
    <mergeCell ref="A18:B18"/>
    <mergeCell ref="A27:B27"/>
    <mergeCell ref="F5:F6"/>
  </mergeCells>
  <dataValidations count="3">
    <dataValidation type="list" allowBlank="1" showInputMessage="1" showErrorMessage="1" sqref="B10" xr:uid="{00000000-0002-0000-4500-000000000000}">
      <formula1>"Line,Clustered Bar,Stacked Bar,Bar,Horizontal Stacked Bar"</formula1>
    </dataValidation>
    <dataValidation type="list" allowBlank="1" showInputMessage="1" showErrorMessage="1" sqref="B2" xr:uid="{00000000-0002-0000-4500-000001000000}">
      <formula1>"Table,Figure,Both"</formula1>
    </dataValidation>
    <dataValidation type="list" allowBlank="1" showInputMessage="1" showErrorMessage="1" sqref="B6 B15:B16" xr:uid="{00000000-0002-0000-4500-000002000000}">
      <formula1>"True,False"</formula1>
    </dataValidation>
  </dataValidation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235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tbl-pneumoniaflu-mortal-aar</v>
      </c>
    </row>
    <row r="4" spans="1:17" x14ac:dyDescent="0.2">
      <c r="A4" s="16" t="s">
        <v>7</v>
      </c>
      <c r="B4" t="str">
        <f>IF($B$1="","",_xlfn.XLOOKUP($B$1,Master!$F$2:$F$321,Master!$H$2:$H$321,""))</f>
        <v>fig-pneumoniaflu-mortal-aar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16.8</v>
      </c>
      <c r="H6" s="15">
        <v>9.3000000000000007</v>
      </c>
      <c r="I6" s="15">
        <v>15</v>
      </c>
      <c r="J6" s="15">
        <v>17.399999999999999</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600-000000000000}">
      <formula1>"Line,Clustered Bar,Stacked Bar,Bar,Horizontal Stacked Bar"</formula1>
    </dataValidation>
    <dataValidation type="list" allowBlank="1" showInputMessage="1" showErrorMessage="1" sqref="B2" xr:uid="{00000000-0002-0000-4600-000001000000}">
      <formula1>"Table,Figure,Both"</formula1>
    </dataValidation>
    <dataValidation type="list" allowBlank="1" showInputMessage="1" showErrorMessage="1" sqref="B6 B15:B16" xr:uid="{00000000-0002-0000-4600-000002000000}">
      <formula1>"True,False"</formula1>
    </dataValidation>
  </dataValidation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238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tbl-pneumoniaflu-mortal-sex-aar</v>
      </c>
    </row>
    <row r="4" spans="1:17" x14ac:dyDescent="0.2">
      <c r="A4" s="16" t="s">
        <v>7</v>
      </c>
      <c r="B4" t="str">
        <f>IF($B$1="","",_xlfn.XLOOKUP($B$1,Master!$F$2:$F$321,Master!$H$2:$H$321,""))</f>
        <v>fig-pneumoniaflu-mortal-sex-aar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23.3</v>
      </c>
      <c r="H6" s="15">
        <v>9.4</v>
      </c>
      <c r="I6" s="15">
        <v>23.9</v>
      </c>
      <c r="J6" s="15">
        <v>21.7</v>
      </c>
      <c r="K6" s="15"/>
      <c r="L6" s="15"/>
      <c r="M6" s="15"/>
      <c r="N6" s="15"/>
      <c r="O6" s="15"/>
    </row>
    <row r="7" spans="1:17" ht="15.75" customHeight="1" x14ac:dyDescent="0.2">
      <c r="E7" s="80"/>
      <c r="F7" t="s">
        <v>1306</v>
      </c>
      <c r="G7" s="15">
        <v>12.3</v>
      </c>
      <c r="H7" s="15">
        <v>8.8000000000000007</v>
      </c>
      <c r="I7" s="15">
        <v>9.6</v>
      </c>
      <c r="J7" s="15">
        <v>14.1</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700-000000000000}">
      <formula1>"Line,Clustered Bar,Stacked Bar,Bar,Horizontal Stacked Bar"</formula1>
    </dataValidation>
    <dataValidation type="list" allowBlank="1" showInputMessage="1" showErrorMessage="1" sqref="B2" xr:uid="{00000000-0002-0000-4700-000001000000}">
      <formula1>"Table,Figure,Both"</formula1>
    </dataValidation>
    <dataValidation type="list" allowBlank="1" showInputMessage="1" showErrorMessage="1" sqref="B6 B15:B16" xr:uid="{00000000-0002-0000-4700-000002000000}">
      <formula1>"True,False"</formula1>
    </dataValidation>
  </dataValidation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8.83203125" bestFit="1" customWidth="1"/>
    <col min="8" max="8" width="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241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tbl-dm-anydx-hosp-rande-aar</v>
      </c>
    </row>
    <row r="4" spans="1:17" x14ac:dyDescent="0.2">
      <c r="A4" s="16" t="s">
        <v>7</v>
      </c>
      <c r="B4" t="str">
        <f>IF($B$1="","",_xlfn.XLOOKUP($B$1,Master!$F$2:$F$321,Master!$H$2:$H$321,""))</f>
        <v>fig-dm-anydx-hosp-rande-aar</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1289</v>
      </c>
      <c r="G5" t="s">
        <v>1297</v>
      </c>
      <c r="H5" t="s">
        <v>1298</v>
      </c>
      <c r="I5" t="s">
        <v>1299</v>
      </c>
    </row>
    <row r="6" spans="1:17" ht="15" customHeight="1" x14ac:dyDescent="0.2">
      <c r="A6" t="s">
        <v>1088</v>
      </c>
      <c r="B6" t="b">
        <v>0</v>
      </c>
      <c r="E6" s="80"/>
      <c r="F6" t="s">
        <v>1089</v>
      </c>
      <c r="G6" s="15">
        <v>195.4</v>
      </c>
      <c r="H6" s="15">
        <v>176.6</v>
      </c>
      <c r="I6" s="15">
        <v>196.6</v>
      </c>
      <c r="J6" s="15"/>
      <c r="K6" s="15"/>
      <c r="L6" s="15"/>
      <c r="M6" s="15"/>
      <c r="N6" s="15"/>
      <c r="O6" s="15"/>
    </row>
    <row r="7" spans="1:17" ht="15.75" customHeight="1" x14ac:dyDescent="0.2">
      <c r="E7" s="80"/>
      <c r="F7" t="s">
        <v>1290</v>
      </c>
      <c r="G7" s="15">
        <v>157.19999999999999</v>
      </c>
      <c r="H7" s="15">
        <v>145.5</v>
      </c>
      <c r="I7" s="15">
        <v>136.30000000000001</v>
      </c>
      <c r="J7" s="15"/>
      <c r="K7" s="15"/>
      <c r="L7" s="15"/>
      <c r="M7" s="15"/>
      <c r="N7" s="15"/>
      <c r="O7" s="15"/>
    </row>
    <row r="8" spans="1:17" x14ac:dyDescent="0.2">
      <c r="E8" s="80"/>
      <c r="F8" t="s">
        <v>1292</v>
      </c>
      <c r="G8" s="15">
        <v>298.3</v>
      </c>
      <c r="H8" s="15">
        <v>334.5</v>
      </c>
      <c r="I8" s="15">
        <v>295.3</v>
      </c>
      <c r="J8" s="15"/>
      <c r="K8" s="15"/>
      <c r="L8" s="15"/>
      <c r="M8" s="15"/>
      <c r="N8" s="15"/>
      <c r="O8" s="15"/>
    </row>
    <row r="9" spans="1:17" x14ac:dyDescent="0.2">
      <c r="A9" s="83" t="s">
        <v>1098</v>
      </c>
      <c r="B9" s="80"/>
      <c r="E9" s="80"/>
      <c r="F9" t="s">
        <v>1296</v>
      </c>
      <c r="G9" s="15">
        <v>91.1</v>
      </c>
      <c r="H9" s="15">
        <v>112</v>
      </c>
      <c r="I9" s="15">
        <v>110.2</v>
      </c>
      <c r="J9" s="15"/>
      <c r="K9" s="15"/>
      <c r="L9" s="15"/>
      <c r="M9" s="15"/>
      <c r="N9" s="15"/>
      <c r="O9" s="15"/>
    </row>
    <row r="10" spans="1:17" x14ac:dyDescent="0.2">
      <c r="A10" t="s">
        <v>1100</v>
      </c>
      <c r="B10" t="s">
        <v>1300</v>
      </c>
      <c r="E10" s="80"/>
      <c r="F10" t="s">
        <v>1293</v>
      </c>
      <c r="G10" s="15">
        <v>185.6</v>
      </c>
      <c r="H10">
        <v>183.9</v>
      </c>
      <c r="I10">
        <v>233.8</v>
      </c>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1737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800-000000000000}">
      <formula1>"Line,Clustered Bar,Stacked Bar,Bar,Horizontal Stacked Bar"</formula1>
    </dataValidation>
    <dataValidation type="list" allowBlank="1" showInputMessage="1" showErrorMessage="1" sqref="B2" xr:uid="{00000000-0002-0000-4800-000001000000}">
      <formula1>"Table,Figure,Both"</formula1>
    </dataValidation>
    <dataValidation type="list" allowBlank="1" showInputMessage="1" showErrorMessage="1" sqref="B6 B15:B16" xr:uid="{00000000-0002-0000-4800-000002000000}">
      <formula1>"True,False"</formula1>
    </dataValidation>
  </dataValidation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33"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244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tbl-dm-primarydx-hosp-rande-aar</v>
      </c>
    </row>
    <row r="4" spans="1:17" x14ac:dyDescent="0.2">
      <c r="A4" s="16" t="s">
        <v>7</v>
      </c>
      <c r="B4" t="str">
        <f>IF($B$1="","",_xlfn.XLOOKUP($B$1,Master!$F$2:$F$321,Master!$H$2:$H$321,""))</f>
        <v>fig-dm-primarydx-hosp-rande-aar</v>
      </c>
      <c r="E4" s="8"/>
      <c r="F4" s="10" t="s">
        <v>968</v>
      </c>
      <c r="G4" s="10" t="s">
        <v>979</v>
      </c>
      <c r="H4" s="10" t="s">
        <v>979</v>
      </c>
      <c r="I4" s="10" t="s">
        <v>979</v>
      </c>
      <c r="J4" s="10"/>
      <c r="K4" s="10"/>
      <c r="L4" s="10"/>
      <c r="M4" s="10"/>
      <c r="N4" s="10"/>
      <c r="O4" s="10"/>
      <c r="P4" s="10"/>
      <c r="Q4" s="10"/>
    </row>
    <row r="5" spans="1:17" x14ac:dyDescent="0.2">
      <c r="A5" s="83" t="s">
        <v>1081</v>
      </c>
      <c r="B5" s="80"/>
      <c r="E5" s="82" t="s">
        <v>1082</v>
      </c>
      <c r="F5" t="s">
        <v>1289</v>
      </c>
      <c r="G5" t="s">
        <v>1297</v>
      </c>
      <c r="H5" t="s">
        <v>1298</v>
      </c>
      <c r="I5" t="s">
        <v>1299</v>
      </c>
    </row>
    <row r="6" spans="1:17" ht="15" customHeight="1" x14ac:dyDescent="0.2">
      <c r="A6" t="s">
        <v>1088</v>
      </c>
      <c r="B6" t="b">
        <v>0</v>
      </c>
      <c r="E6" s="80"/>
      <c r="F6" t="s">
        <v>1089</v>
      </c>
      <c r="G6" s="15">
        <v>16.100000000000001</v>
      </c>
      <c r="H6" s="15">
        <v>15.7</v>
      </c>
      <c r="I6" s="15">
        <v>17.600000000000001</v>
      </c>
      <c r="J6" s="15"/>
      <c r="K6" s="15"/>
      <c r="L6" s="15"/>
      <c r="M6" s="15"/>
      <c r="N6" s="15"/>
      <c r="O6" s="15"/>
    </row>
    <row r="7" spans="1:17" ht="15.75" customHeight="1" x14ac:dyDescent="0.2">
      <c r="E7" s="80"/>
      <c r="F7" t="s">
        <v>1290</v>
      </c>
      <c r="G7" s="15">
        <v>12.7</v>
      </c>
      <c r="H7" s="15">
        <v>12.3</v>
      </c>
      <c r="I7" s="15">
        <v>11.1</v>
      </c>
      <c r="J7" s="15"/>
      <c r="K7" s="15"/>
      <c r="L7" s="15"/>
      <c r="M7" s="15"/>
      <c r="N7" s="15"/>
      <c r="O7" s="15"/>
    </row>
    <row r="8" spans="1:17" x14ac:dyDescent="0.2">
      <c r="E8" s="80"/>
      <c r="F8" t="s">
        <v>1292</v>
      </c>
      <c r="G8" s="15">
        <v>27.1</v>
      </c>
      <c r="H8" s="15">
        <v>38.4</v>
      </c>
      <c r="I8" s="15">
        <v>33.4</v>
      </c>
      <c r="J8" s="15"/>
      <c r="K8" s="15"/>
      <c r="L8" s="15"/>
      <c r="M8" s="15"/>
      <c r="N8" s="15"/>
      <c r="O8" s="15"/>
    </row>
    <row r="9" spans="1:17" x14ac:dyDescent="0.2">
      <c r="A9" s="83" t="s">
        <v>1098</v>
      </c>
      <c r="B9" s="80"/>
      <c r="E9" s="80"/>
      <c r="F9" t="s">
        <v>1296</v>
      </c>
      <c r="G9" s="15">
        <v>6.5</v>
      </c>
      <c r="H9" s="15">
        <v>5</v>
      </c>
      <c r="I9" s="15">
        <v>5</v>
      </c>
      <c r="J9" s="15"/>
      <c r="K9" s="15"/>
      <c r="L9" s="15"/>
      <c r="M9" s="15"/>
      <c r="N9" s="15"/>
      <c r="O9" s="15"/>
    </row>
    <row r="10" spans="1:17" x14ac:dyDescent="0.2">
      <c r="A10" t="s">
        <v>1100</v>
      </c>
      <c r="B10" t="s">
        <v>1300</v>
      </c>
      <c r="E10" s="80"/>
      <c r="F10" t="s">
        <v>1293</v>
      </c>
      <c r="G10" s="15">
        <v>14.6</v>
      </c>
      <c r="H10">
        <v>16.399999999999999</v>
      </c>
      <c r="I10">
        <v>21.7</v>
      </c>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1737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1739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900-000000000000}">
      <formula1>"Line,Clustered Bar,Stacked Bar,Bar,Horizontal Stacked Bar"</formula1>
    </dataValidation>
    <dataValidation type="list" allowBlank="1" showInputMessage="1" showErrorMessage="1" sqref="B2" xr:uid="{00000000-0002-0000-4900-000001000000}">
      <formula1>"Table,Figure,Both"</formula1>
    </dataValidation>
    <dataValidation type="list" allowBlank="1" showInputMessage="1" showErrorMessage="1" sqref="B6 B15:B16" xr:uid="{00000000-0002-0000-4900-000002000000}">
      <formula1>"True,False"</formula1>
    </dataValidation>
  </dataValidation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Q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247</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tbl-dm-count-rate-age-rande-zip</v>
      </c>
    </row>
    <row r="4" spans="1:17" x14ac:dyDescent="0.2">
      <c r="A4" s="16" t="s">
        <v>7</v>
      </c>
      <c r="B4" t="str">
        <f>IF($B$1="","",_xlfn.XLOOKUP($B$1,Master!$F$2:$F$321,Master!$H$2:$H$321,""))</f>
        <v>fig-dm-count-rate-age-rande-zip</v>
      </c>
      <c r="E4" s="8"/>
      <c r="F4" s="10" t="s">
        <v>1009</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F5" s="85" t="s">
        <v>1391</v>
      </c>
      <c r="G5" s="81">
        <v>2020</v>
      </c>
      <c r="H5" s="80"/>
      <c r="I5" s="81">
        <v>2021</v>
      </c>
      <c r="J5" s="80"/>
      <c r="K5" s="81">
        <v>2022</v>
      </c>
      <c r="L5" s="80"/>
      <c r="M5" s="81">
        <v>2023</v>
      </c>
      <c r="N5" s="80"/>
      <c r="O5" s="81" t="s">
        <v>1271</v>
      </c>
      <c r="P5" s="80"/>
    </row>
    <row r="6" spans="1:17" ht="15" customHeight="1" x14ac:dyDescent="0.2">
      <c r="A6" t="s">
        <v>1088</v>
      </c>
      <c r="B6" t="b">
        <v>1</v>
      </c>
      <c r="E6" s="80"/>
      <c r="F6" s="85"/>
      <c r="G6" s="15" t="s">
        <v>1724</v>
      </c>
      <c r="H6" s="15" t="s">
        <v>1273</v>
      </c>
      <c r="I6" s="15" t="s">
        <v>1724</v>
      </c>
      <c r="J6" s="15" t="s">
        <v>1273</v>
      </c>
      <c r="K6" s="15" t="s">
        <v>1724</v>
      </c>
      <c r="L6" s="15" t="s">
        <v>1273</v>
      </c>
      <c r="M6" s="15" t="s">
        <v>1724</v>
      </c>
      <c r="N6" s="15" t="s">
        <v>1273</v>
      </c>
      <c r="O6" s="15" t="s">
        <v>1724</v>
      </c>
      <c r="P6" s="15" t="s">
        <v>1275</v>
      </c>
    </row>
    <row r="7" spans="1:17" ht="15.75" customHeight="1" x14ac:dyDescent="0.2">
      <c r="E7" s="80"/>
      <c r="F7" s="56" t="s">
        <v>1698</v>
      </c>
      <c r="G7" s="15">
        <v>87</v>
      </c>
      <c r="H7" s="15">
        <v>22.8</v>
      </c>
      <c r="I7" s="15">
        <v>70</v>
      </c>
      <c r="J7" s="15">
        <v>17.600000000000001</v>
      </c>
      <c r="K7" s="15">
        <v>75</v>
      </c>
      <c r="L7" s="15">
        <v>18.7</v>
      </c>
      <c r="M7" s="15">
        <v>69</v>
      </c>
      <c r="N7" s="15">
        <v>17.100000000000001</v>
      </c>
      <c r="O7" s="15">
        <v>301</v>
      </c>
      <c r="P7" s="15">
        <v>19</v>
      </c>
    </row>
    <row r="8" spans="1:17" x14ac:dyDescent="0.2">
      <c r="E8" s="80"/>
      <c r="F8" s="85" t="s">
        <v>1276</v>
      </c>
      <c r="G8" s="80"/>
      <c r="H8" s="80"/>
      <c r="I8" s="80"/>
      <c r="J8" s="80"/>
      <c r="K8" s="80"/>
      <c r="L8" s="80"/>
      <c r="M8" s="80"/>
      <c r="N8" s="80"/>
      <c r="O8" s="80"/>
      <c r="P8" s="80"/>
    </row>
    <row r="9" spans="1:17" x14ac:dyDescent="0.2">
      <c r="A9" s="83" t="s">
        <v>1098</v>
      </c>
      <c r="B9" s="80"/>
      <c r="E9" s="80"/>
      <c r="F9" s="49" t="s">
        <v>1277</v>
      </c>
      <c r="G9" s="15">
        <v>0</v>
      </c>
      <c r="H9" s="15">
        <v>0</v>
      </c>
      <c r="I9" s="15">
        <v>0</v>
      </c>
      <c r="J9" s="15">
        <v>0</v>
      </c>
      <c r="K9" s="15">
        <v>0</v>
      </c>
      <c r="L9" s="15">
        <v>0</v>
      </c>
      <c r="M9" s="15">
        <v>0</v>
      </c>
      <c r="N9" s="15">
        <v>0</v>
      </c>
      <c r="O9" s="15">
        <v>0</v>
      </c>
      <c r="P9">
        <v>0</v>
      </c>
    </row>
    <row r="10" spans="1:17" x14ac:dyDescent="0.2">
      <c r="A10" t="s">
        <v>1100</v>
      </c>
      <c r="E10" s="80"/>
      <c r="F10" s="49" t="s">
        <v>1699</v>
      </c>
      <c r="G10" s="15">
        <v>0</v>
      </c>
      <c r="H10" s="15">
        <v>0</v>
      </c>
      <c r="I10" s="15">
        <v>0</v>
      </c>
      <c r="J10" s="15">
        <v>0</v>
      </c>
      <c r="K10" s="15">
        <v>0</v>
      </c>
      <c r="L10" s="15">
        <v>0</v>
      </c>
      <c r="M10" s="15">
        <v>0</v>
      </c>
      <c r="N10" s="15">
        <v>0</v>
      </c>
      <c r="O10" s="15">
        <v>0</v>
      </c>
      <c r="P10">
        <v>0</v>
      </c>
    </row>
    <row r="11" spans="1:17" x14ac:dyDescent="0.2">
      <c r="A11" t="s">
        <v>1102</v>
      </c>
      <c r="E11" s="80"/>
      <c r="F11" s="49" t="s">
        <v>1700</v>
      </c>
      <c r="G11" s="15">
        <v>0</v>
      </c>
      <c r="H11" s="15">
        <v>0</v>
      </c>
      <c r="I11" s="17">
        <v>0</v>
      </c>
      <c r="J11" s="17">
        <v>0</v>
      </c>
      <c r="K11" s="17">
        <v>0</v>
      </c>
      <c r="L11" s="17">
        <v>0</v>
      </c>
      <c r="M11" s="17">
        <v>0</v>
      </c>
      <c r="N11" s="15">
        <v>0</v>
      </c>
      <c r="O11" s="15">
        <v>0</v>
      </c>
      <c r="P11">
        <v>0</v>
      </c>
    </row>
    <row r="12" spans="1:17" x14ac:dyDescent="0.2">
      <c r="A12" t="s">
        <v>1104</v>
      </c>
      <c r="E12" s="80"/>
      <c r="F12" s="55" t="s">
        <v>1701</v>
      </c>
      <c r="G12" s="17">
        <v>0</v>
      </c>
      <c r="H12" s="15">
        <v>0</v>
      </c>
      <c r="I12" s="15">
        <v>0</v>
      </c>
      <c r="J12" s="15">
        <v>0</v>
      </c>
      <c r="K12" s="15">
        <v>0</v>
      </c>
      <c r="L12" s="15">
        <v>0</v>
      </c>
      <c r="M12" s="15">
        <v>0</v>
      </c>
      <c r="N12" s="15">
        <v>0</v>
      </c>
      <c r="O12" s="15">
        <v>0</v>
      </c>
      <c r="P12">
        <v>0</v>
      </c>
    </row>
    <row r="13" spans="1:17" x14ac:dyDescent="0.2">
      <c r="A13" t="s">
        <v>1108</v>
      </c>
      <c r="E13" s="80"/>
      <c r="F13" s="49" t="s">
        <v>1702</v>
      </c>
      <c r="G13" s="15" t="s">
        <v>1031</v>
      </c>
      <c r="H13" s="15" t="s">
        <v>1031</v>
      </c>
      <c r="I13" s="15" t="s">
        <v>1031</v>
      </c>
      <c r="J13" s="15" t="s">
        <v>1031</v>
      </c>
      <c r="K13" s="15">
        <v>0</v>
      </c>
      <c r="L13" s="15">
        <v>0</v>
      </c>
      <c r="M13" s="15" t="s">
        <v>1031</v>
      </c>
      <c r="N13" s="15" t="s">
        <v>1031</v>
      </c>
      <c r="O13" s="15" t="s">
        <v>1031</v>
      </c>
      <c r="P13" t="s">
        <v>1031</v>
      </c>
    </row>
    <row r="14" spans="1:17" x14ac:dyDescent="0.2">
      <c r="A14" t="s">
        <v>1112</v>
      </c>
      <c r="E14" s="80"/>
      <c r="F14" s="49" t="s">
        <v>1703</v>
      </c>
      <c r="G14" s="15" t="s">
        <v>1031</v>
      </c>
      <c r="H14" s="15" t="s">
        <v>1031</v>
      </c>
      <c r="I14" s="15" t="s">
        <v>1031</v>
      </c>
      <c r="J14" s="15" t="s">
        <v>1031</v>
      </c>
      <c r="K14" s="15" t="s">
        <v>1031</v>
      </c>
      <c r="L14" s="15" t="s">
        <v>1031</v>
      </c>
      <c r="M14" s="15" t="s">
        <v>1031</v>
      </c>
      <c r="N14" s="15" t="s">
        <v>1031</v>
      </c>
      <c r="O14" s="15" t="s">
        <v>1031</v>
      </c>
      <c r="P14" t="s">
        <v>1031</v>
      </c>
    </row>
    <row r="15" spans="1:17" x14ac:dyDescent="0.2">
      <c r="A15" t="s">
        <v>1114</v>
      </c>
      <c r="E15" s="80"/>
      <c r="F15" s="49" t="s">
        <v>1704</v>
      </c>
      <c r="G15" s="15" t="s">
        <v>1031</v>
      </c>
      <c r="H15" s="15" t="s">
        <v>1031</v>
      </c>
      <c r="I15" s="15" t="s">
        <v>1031</v>
      </c>
      <c r="J15" s="15" t="s">
        <v>1031</v>
      </c>
      <c r="K15" s="15" t="s">
        <v>1031</v>
      </c>
      <c r="L15" s="15" t="s">
        <v>1031</v>
      </c>
      <c r="M15" s="15" t="s">
        <v>1031</v>
      </c>
      <c r="N15" s="15" t="s">
        <v>1031</v>
      </c>
      <c r="O15" s="15">
        <v>15</v>
      </c>
      <c r="P15">
        <v>7.1</v>
      </c>
    </row>
    <row r="16" spans="1:17" x14ac:dyDescent="0.2">
      <c r="A16" t="s">
        <v>1116</v>
      </c>
      <c r="E16" s="80"/>
      <c r="F16" s="49" t="s">
        <v>1705</v>
      </c>
      <c r="G16" s="15">
        <v>15</v>
      </c>
      <c r="H16" s="15">
        <v>30.8</v>
      </c>
      <c r="I16" s="15">
        <v>14</v>
      </c>
      <c r="J16" s="15">
        <v>27.2</v>
      </c>
      <c r="K16" s="15">
        <v>12</v>
      </c>
      <c r="L16" s="15">
        <v>23.4</v>
      </c>
      <c r="M16" s="15">
        <v>8</v>
      </c>
      <c r="N16" s="15">
        <v>15.5</v>
      </c>
      <c r="O16" s="15">
        <v>49</v>
      </c>
      <c r="P16">
        <v>24.3</v>
      </c>
    </row>
    <row r="17" spans="1:16" x14ac:dyDescent="0.2">
      <c r="E17" s="80"/>
      <c r="F17" s="49" t="s">
        <v>1706</v>
      </c>
      <c r="G17" s="15">
        <v>26</v>
      </c>
      <c r="H17" s="15">
        <v>82.5</v>
      </c>
      <c r="I17" s="15">
        <v>13</v>
      </c>
      <c r="J17" s="15">
        <v>38.799999999999997</v>
      </c>
      <c r="K17" s="15">
        <v>22</v>
      </c>
      <c r="L17" s="15">
        <v>65</v>
      </c>
      <c r="M17" s="15">
        <v>22</v>
      </c>
      <c r="N17" s="15">
        <v>63.1</v>
      </c>
      <c r="O17" s="15">
        <v>83</v>
      </c>
      <c r="P17">
        <v>62.4</v>
      </c>
    </row>
    <row r="18" spans="1:16" x14ac:dyDescent="0.2">
      <c r="A18" s="83" t="s">
        <v>1119</v>
      </c>
      <c r="B18" s="80"/>
      <c r="E18" s="80"/>
      <c r="F18" s="49" t="s">
        <v>1707</v>
      </c>
      <c r="G18" s="15">
        <v>18</v>
      </c>
      <c r="H18" s="15">
        <v>122.1</v>
      </c>
      <c r="I18" s="15">
        <v>20</v>
      </c>
      <c r="J18" s="15">
        <v>131.1</v>
      </c>
      <c r="K18" s="15">
        <v>18</v>
      </c>
      <c r="L18" s="15">
        <v>113.6</v>
      </c>
      <c r="M18" s="15">
        <v>14</v>
      </c>
      <c r="N18" s="15">
        <v>85.4</v>
      </c>
      <c r="O18" s="15">
        <v>70</v>
      </c>
      <c r="P18">
        <v>113</v>
      </c>
    </row>
    <row r="19" spans="1:16" x14ac:dyDescent="0.2">
      <c r="A19" t="s">
        <v>1121</v>
      </c>
      <c r="E19" s="80"/>
      <c r="F19" s="49" t="s">
        <v>1288</v>
      </c>
      <c r="G19" s="15">
        <v>25</v>
      </c>
      <c r="H19" s="15">
        <v>349.7</v>
      </c>
      <c r="I19" s="15">
        <v>14</v>
      </c>
      <c r="J19" s="15">
        <v>205.5</v>
      </c>
      <c r="K19" s="15">
        <v>15</v>
      </c>
      <c r="L19" s="15">
        <v>213.7</v>
      </c>
      <c r="M19" s="15">
        <v>18</v>
      </c>
      <c r="N19" s="15">
        <v>268.3</v>
      </c>
      <c r="O19" s="15">
        <v>72</v>
      </c>
      <c r="P19">
        <v>259.3</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59</v>
      </c>
      <c r="H21" s="15">
        <v>24.5</v>
      </c>
      <c r="I21" s="15">
        <v>49</v>
      </c>
      <c r="J21" s="15">
        <v>19.8</v>
      </c>
      <c r="K21" s="15">
        <v>52</v>
      </c>
      <c r="L21" s="15">
        <v>21.4</v>
      </c>
      <c r="M21" s="15">
        <v>54</v>
      </c>
      <c r="N21" s="15">
        <v>22.6</v>
      </c>
      <c r="O21" s="15">
        <v>214</v>
      </c>
      <c r="P21">
        <v>22.1</v>
      </c>
    </row>
    <row r="22" spans="1:16" x14ac:dyDescent="0.2">
      <c r="A22" t="s">
        <v>1135</v>
      </c>
      <c r="E22" s="80"/>
      <c r="F22" s="47" t="s">
        <v>1292</v>
      </c>
      <c r="G22" s="15" t="s">
        <v>1031</v>
      </c>
      <c r="H22" s="15" t="s">
        <v>1031</v>
      </c>
      <c r="I22" s="15">
        <v>11</v>
      </c>
      <c r="J22" s="15">
        <v>27.7</v>
      </c>
      <c r="K22" s="15">
        <v>14</v>
      </c>
      <c r="L22" s="15">
        <v>33.4</v>
      </c>
      <c r="M22" s="15" t="s">
        <v>1031</v>
      </c>
      <c r="N22" s="15" t="s">
        <v>1031</v>
      </c>
      <c r="O22" s="15">
        <v>38</v>
      </c>
      <c r="P22">
        <v>23.4</v>
      </c>
    </row>
    <row r="23" spans="1:16" x14ac:dyDescent="0.2">
      <c r="E23" s="80"/>
      <c r="F23" s="47" t="s">
        <v>1293</v>
      </c>
      <c r="G23" s="15">
        <v>20</v>
      </c>
      <c r="H23" s="15">
        <v>24.9</v>
      </c>
      <c r="I23" s="15" t="s">
        <v>1031</v>
      </c>
      <c r="J23" s="15" t="s">
        <v>1031</v>
      </c>
      <c r="K23" s="15" t="s">
        <v>1031</v>
      </c>
      <c r="L23" s="15" t="s">
        <v>1031</v>
      </c>
      <c r="M23" s="15" t="s">
        <v>1031</v>
      </c>
      <c r="N23" s="15" t="s">
        <v>1031</v>
      </c>
      <c r="O23" s="15">
        <v>46</v>
      </c>
      <c r="P23">
        <v>13.5</v>
      </c>
    </row>
    <row r="24" spans="1:16" x14ac:dyDescent="0.2">
      <c r="E24" s="80"/>
      <c r="F24" s="47" t="s">
        <v>1015</v>
      </c>
      <c r="G24" s="15">
        <v>15</v>
      </c>
      <c r="H24" s="15">
        <v>67.599999999999994</v>
      </c>
      <c r="I24" s="15">
        <v>27</v>
      </c>
      <c r="J24" s="15">
        <v>106.7</v>
      </c>
      <c r="K24" s="15">
        <v>48</v>
      </c>
      <c r="L24" s="15">
        <v>176.7</v>
      </c>
      <c r="M24" s="15">
        <v>24</v>
      </c>
      <c r="N24" s="15">
        <v>84</v>
      </c>
      <c r="O24" s="15">
        <v>114</v>
      </c>
      <c r="P24">
        <v>108.8</v>
      </c>
    </row>
    <row r="25" spans="1:16" x14ac:dyDescent="0.2">
      <c r="E25" s="80"/>
      <c r="F25" s="91" t="s">
        <v>1294</v>
      </c>
      <c r="G25" s="80"/>
      <c r="H25" s="80"/>
      <c r="I25" s="80"/>
      <c r="J25" s="80"/>
      <c r="K25" s="80"/>
      <c r="L25" s="80"/>
      <c r="M25" s="80"/>
      <c r="N25" s="80"/>
      <c r="O25" s="80"/>
      <c r="P25" s="80"/>
    </row>
    <row r="26" spans="1:16" x14ac:dyDescent="0.2">
      <c r="E26" s="80"/>
      <c r="F26" s="47">
        <v>10940</v>
      </c>
      <c r="G26" s="15">
        <v>15</v>
      </c>
      <c r="H26" s="15">
        <v>30.3</v>
      </c>
      <c r="I26" s="15">
        <v>21</v>
      </c>
      <c r="J26" s="15">
        <v>41.2</v>
      </c>
      <c r="K26" s="15">
        <v>20</v>
      </c>
      <c r="L26" s="15">
        <v>38.6</v>
      </c>
      <c r="M26" s="15" t="s">
        <v>1031</v>
      </c>
      <c r="N26" s="15" t="s">
        <v>1031</v>
      </c>
      <c r="O26" s="15">
        <v>65</v>
      </c>
      <c r="P26">
        <v>31.8</v>
      </c>
    </row>
    <row r="27" spans="1:16" x14ac:dyDescent="0.2">
      <c r="A27" s="81"/>
      <c r="B27" s="80"/>
      <c r="E27" s="80"/>
      <c r="F27" s="47">
        <v>10950</v>
      </c>
      <c r="G27" s="15" t="s">
        <v>1031</v>
      </c>
      <c r="H27" s="15" t="s">
        <v>1031</v>
      </c>
      <c r="I27" s="15" t="s">
        <v>1031</v>
      </c>
      <c r="J27" s="15" t="s">
        <v>1031</v>
      </c>
      <c r="K27" s="15" t="s">
        <v>1031</v>
      </c>
      <c r="L27" s="15" t="s">
        <v>1031</v>
      </c>
      <c r="M27" s="15" t="s">
        <v>1031</v>
      </c>
      <c r="N27" s="15" t="s">
        <v>1031</v>
      </c>
      <c r="O27" s="15" t="s">
        <v>1031</v>
      </c>
      <c r="P27" t="s">
        <v>1031</v>
      </c>
    </row>
    <row r="28" spans="1:16" x14ac:dyDescent="0.2">
      <c r="E28" s="80"/>
      <c r="F28" s="47">
        <v>12550</v>
      </c>
      <c r="G28" s="15" t="s">
        <v>1031</v>
      </c>
      <c r="H28" s="15" t="s">
        <v>1031</v>
      </c>
      <c r="I28" s="15" t="s">
        <v>1031</v>
      </c>
      <c r="J28" s="15" t="s">
        <v>1031</v>
      </c>
      <c r="K28" s="15">
        <v>13</v>
      </c>
      <c r="L28" s="15">
        <v>47.4</v>
      </c>
      <c r="M28" s="15" t="s">
        <v>1031</v>
      </c>
      <c r="N28" s="15" t="s">
        <v>1031</v>
      </c>
      <c r="O28" s="15">
        <v>38</v>
      </c>
      <c r="P28">
        <v>35</v>
      </c>
    </row>
    <row r="29" spans="1:16" x14ac:dyDescent="0.2">
      <c r="E29" s="80"/>
      <c r="F29" s="47">
        <v>12771</v>
      </c>
      <c r="G29" s="15" t="s">
        <v>1031</v>
      </c>
      <c r="H29" s="15" t="s">
        <v>1031</v>
      </c>
      <c r="I29" s="15" t="s">
        <v>1031</v>
      </c>
      <c r="J29" s="15" t="s">
        <v>1031</v>
      </c>
      <c r="K29" s="15" t="s">
        <v>1031</v>
      </c>
      <c r="L29" s="15" t="s">
        <v>1031</v>
      </c>
      <c r="M29" s="15" t="s">
        <v>1031</v>
      </c>
      <c r="N29" s="15" t="s">
        <v>1031</v>
      </c>
      <c r="O29" s="15">
        <v>19</v>
      </c>
      <c r="P29">
        <v>32.9</v>
      </c>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K5:L5"/>
    <mergeCell ref="I5:J5"/>
    <mergeCell ref="F20:P20"/>
    <mergeCell ref="M5:N5"/>
    <mergeCell ref="F25:P25"/>
    <mergeCell ref="A18:B18"/>
    <mergeCell ref="A27:B27"/>
    <mergeCell ref="F5:F6"/>
  </mergeCells>
  <dataValidations count="3">
    <dataValidation type="list" allowBlank="1" showInputMessage="1" showErrorMessage="1" sqref="B10" xr:uid="{00000000-0002-0000-4A00-000000000000}">
      <formula1>"Line,Clustered Bar,Stacked Bar,Bar,Horizontal Stacked Bar"</formula1>
    </dataValidation>
    <dataValidation type="list" allowBlank="1" showInputMessage="1" showErrorMessage="1" sqref="B2" xr:uid="{00000000-0002-0000-4A00-000001000000}">
      <formula1>"Table,Figure,Both"</formula1>
    </dataValidation>
    <dataValidation type="list" allowBlank="1" showInputMessage="1" showErrorMessage="1" sqref="B6 B15:B16" xr:uid="{00000000-0002-0000-4A00-000002000000}">
      <formula1>"True,False"</formula1>
    </dataValidation>
  </dataValidation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250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tbl-dm-mortal-aar</v>
      </c>
    </row>
    <row r="4" spans="1:17" x14ac:dyDescent="0.2">
      <c r="A4" s="16" t="s">
        <v>7</v>
      </c>
      <c r="B4" t="str">
        <f>IF($B$1="","",_xlfn.XLOOKUP($B$1,Master!$F$2:$F$321,Master!$H$2:$H$321,""))</f>
        <v>fig-dm-mortal-aar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19.899999999999999</v>
      </c>
      <c r="H6" s="15">
        <v>16.5</v>
      </c>
      <c r="I6" s="15">
        <v>17</v>
      </c>
      <c r="J6" s="15">
        <v>15.5</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1740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B00-000000000000}">
      <formula1>"Line,Clustered Bar,Stacked Bar,Bar,Horizontal Stacked Bar"</formula1>
    </dataValidation>
    <dataValidation type="list" allowBlank="1" showInputMessage="1" showErrorMessage="1" sqref="B2" xr:uid="{00000000-0002-0000-4B00-000001000000}">
      <formula1>"Table,Figure,Both"</formula1>
    </dataValidation>
    <dataValidation type="list" allowBlank="1" showInputMessage="1" showErrorMessage="1" sqref="B6 B15:B16" xr:uid="{00000000-0002-0000-4B00-000002000000}">
      <formula1>"True,False"</formula1>
    </dataValidation>
  </dataValidation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253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tbl-dm-mortal-sex-aar</v>
      </c>
    </row>
    <row r="4" spans="1:17" x14ac:dyDescent="0.2">
      <c r="A4" s="16" t="s">
        <v>7</v>
      </c>
      <c r="B4" t="str">
        <f>IF($B$1="","",_xlfn.XLOOKUP($B$1,Master!$F$2:$F$321,Master!$H$2:$H$321,""))</f>
        <v>fig-dm-mortal-sex-aar</v>
      </c>
      <c r="E4" s="8"/>
      <c r="F4" s="10" t="s">
        <v>968</v>
      </c>
      <c r="G4" s="10" t="s">
        <v>968</v>
      </c>
      <c r="H4" s="10" t="s">
        <v>968</v>
      </c>
      <c r="I4" s="10" t="s">
        <v>968</v>
      </c>
      <c r="J4" s="10" t="s">
        <v>968</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24.8</v>
      </c>
      <c r="H6" s="15">
        <v>20.5</v>
      </c>
      <c r="I6" s="15">
        <v>22.9</v>
      </c>
      <c r="J6" s="15">
        <v>13.9</v>
      </c>
      <c r="K6" s="15"/>
      <c r="L6" s="15"/>
      <c r="M6" s="15"/>
      <c r="N6" s="15"/>
      <c r="O6" s="15"/>
    </row>
    <row r="7" spans="1:17" ht="15.75" customHeight="1" x14ac:dyDescent="0.2">
      <c r="E7" s="80"/>
      <c r="F7" t="s">
        <v>1306</v>
      </c>
      <c r="G7" s="15">
        <v>16</v>
      </c>
      <c r="H7" s="15">
        <v>13.5</v>
      </c>
      <c r="I7" s="15">
        <v>12.2</v>
      </c>
      <c r="J7" s="15">
        <v>17.2</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1740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C00-000000000000}">
      <formula1>"Line,Clustered Bar,Stacked Bar,Bar,Horizontal Stacked Bar"</formula1>
    </dataValidation>
    <dataValidation type="list" allowBlank="1" showInputMessage="1" showErrorMessage="1" sqref="B2" xr:uid="{00000000-0002-0000-4C00-000001000000}">
      <formula1>"Table,Figure,Both"</formula1>
    </dataValidation>
    <dataValidation type="list" allowBlank="1" showInputMessage="1" showErrorMessage="1" sqref="B6 B15:B16" xr:uid="{00000000-0002-0000-4C00-000002000000}">
      <formula1>"True,False"</formula1>
    </dataValidation>
  </dataValidation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Q57"/>
  <sheetViews>
    <sheetView workbookViewId="0">
      <selection activeCell="O27" sqref="O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256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tbl-overweight-obese-adult</v>
      </c>
    </row>
    <row r="4" spans="1:17" x14ac:dyDescent="0.2">
      <c r="A4" s="16" t="s">
        <v>7</v>
      </c>
      <c r="B4" t="str">
        <f>IF($B$1="","",_xlfn.XLOOKUP($B$1,Master!$F$2:$F$321,Master!$H$2:$H$321,""))</f>
        <v>fig-overweight-obese-adult</v>
      </c>
      <c r="E4" s="8"/>
      <c r="F4" s="10" t="s">
        <v>1009</v>
      </c>
      <c r="G4" s="10" t="s">
        <v>979</v>
      </c>
      <c r="H4" s="10" t="s">
        <v>979</v>
      </c>
      <c r="I4" s="10" t="s">
        <v>979</v>
      </c>
      <c r="J4" s="10" t="s">
        <v>979</v>
      </c>
      <c r="K4" s="10" t="s">
        <v>979</v>
      </c>
      <c r="L4" s="10" t="s">
        <v>979</v>
      </c>
      <c r="M4" s="10" t="s">
        <v>979</v>
      </c>
      <c r="N4" s="10" t="s">
        <v>979</v>
      </c>
      <c r="O4" s="10" t="s">
        <v>979</v>
      </c>
      <c r="P4" s="10"/>
      <c r="Q4" s="10"/>
    </row>
    <row r="5" spans="1:17" x14ac:dyDescent="0.2">
      <c r="A5" s="83" t="s">
        <v>1081</v>
      </c>
      <c r="B5" s="80"/>
      <c r="E5" s="82" t="s">
        <v>1082</v>
      </c>
      <c r="F5" t="s">
        <v>1303</v>
      </c>
      <c r="G5" t="s">
        <v>1741</v>
      </c>
      <c r="H5" t="s">
        <v>1297</v>
      </c>
      <c r="I5" t="s">
        <v>1742</v>
      </c>
      <c r="J5" t="s">
        <v>1743</v>
      </c>
      <c r="K5" t="s">
        <v>1744</v>
      </c>
      <c r="L5" t="s">
        <v>1745</v>
      </c>
      <c r="M5" t="s">
        <v>1746</v>
      </c>
      <c r="N5" t="s">
        <v>1298</v>
      </c>
      <c r="O5" t="s">
        <v>1299</v>
      </c>
    </row>
    <row r="6" spans="1:17" ht="15" customHeight="1" x14ac:dyDescent="0.2">
      <c r="A6" t="s">
        <v>1088</v>
      </c>
      <c r="B6" t="b">
        <v>0</v>
      </c>
      <c r="E6" s="80"/>
      <c r="F6" t="s">
        <v>1747</v>
      </c>
      <c r="G6" s="15">
        <v>63.7</v>
      </c>
      <c r="H6" s="15">
        <v>67.599999999999994</v>
      </c>
      <c r="I6" s="15">
        <v>59</v>
      </c>
      <c r="J6" s="15">
        <v>64.2</v>
      </c>
      <c r="K6" s="15">
        <v>63</v>
      </c>
      <c r="L6" s="15">
        <v>59.9</v>
      </c>
      <c r="M6" s="15">
        <v>58.2</v>
      </c>
      <c r="N6" s="15">
        <v>62.3</v>
      </c>
      <c r="O6" s="15">
        <v>62.3</v>
      </c>
    </row>
    <row r="7" spans="1:17" ht="15.75" customHeight="1" x14ac:dyDescent="0.2">
      <c r="E7" s="80"/>
      <c r="F7">
        <v>2016</v>
      </c>
      <c r="G7" s="15">
        <v>61.2</v>
      </c>
      <c r="H7" s="15">
        <v>69.599999999999994</v>
      </c>
      <c r="I7" s="15">
        <v>52.5</v>
      </c>
      <c r="J7" s="15">
        <v>55.6</v>
      </c>
      <c r="K7" s="15">
        <v>64.599999999999994</v>
      </c>
      <c r="L7" s="15">
        <v>64.400000000000006</v>
      </c>
      <c r="M7" s="15">
        <v>56.2</v>
      </c>
      <c r="N7" s="15">
        <v>63.6</v>
      </c>
      <c r="O7" s="15">
        <v>63.6</v>
      </c>
    </row>
    <row r="8" spans="1:17" x14ac:dyDescent="0.2">
      <c r="E8" s="80"/>
      <c r="F8">
        <v>2018</v>
      </c>
      <c r="G8" s="15">
        <v>61.6</v>
      </c>
      <c r="H8" s="15">
        <v>64.7</v>
      </c>
      <c r="I8" s="15">
        <v>63.7</v>
      </c>
      <c r="J8" s="15">
        <v>59.4</v>
      </c>
      <c r="K8" s="15">
        <v>69.900000000000006</v>
      </c>
      <c r="L8" s="15">
        <v>63.2</v>
      </c>
      <c r="M8" s="15">
        <v>59.7</v>
      </c>
      <c r="N8" s="15">
        <v>64.400000000000006</v>
      </c>
      <c r="O8" s="15">
        <v>64.400000000000006</v>
      </c>
    </row>
    <row r="9" spans="1:17" x14ac:dyDescent="0.2">
      <c r="A9" s="83" t="s">
        <v>1098</v>
      </c>
      <c r="B9" s="80"/>
      <c r="E9" s="80"/>
      <c r="F9">
        <v>2021</v>
      </c>
      <c r="G9" s="15">
        <v>67.099999999999994</v>
      </c>
      <c r="H9" s="15">
        <v>75.099999999999994</v>
      </c>
      <c r="I9" s="15">
        <v>65.099999999999994</v>
      </c>
      <c r="J9" s="15">
        <v>62.5</v>
      </c>
      <c r="K9" s="15">
        <v>64.900000000000006</v>
      </c>
      <c r="L9" s="15">
        <v>62.5</v>
      </c>
      <c r="M9" s="15">
        <v>59.4</v>
      </c>
      <c r="N9" s="15">
        <v>66.7</v>
      </c>
      <c r="O9" s="15">
        <v>66.7</v>
      </c>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1748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1749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D00-000000000000}">
      <formula1>"Line,Clustered Bar,Stacked Bar,Bar,Horizontal Stacked Bar"</formula1>
    </dataValidation>
    <dataValidation type="list" allowBlank="1" showInputMessage="1" showErrorMessage="1" sqref="B2" xr:uid="{00000000-0002-0000-4D00-000001000000}">
      <formula1>"Table,Figure,Both"</formula1>
    </dataValidation>
    <dataValidation type="list" allowBlank="1" showInputMessage="1" showErrorMessage="1" sqref="B6 B15:B16" xr:uid="{00000000-0002-0000-4D00-000002000000}">
      <formula1>"True,False"</formula1>
    </dataValidation>
  </dataValidation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259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tbl-obese-adult</v>
      </c>
    </row>
    <row r="4" spans="1:17" x14ac:dyDescent="0.2">
      <c r="A4" s="16" t="s">
        <v>7</v>
      </c>
      <c r="B4" t="str">
        <f>IF($B$1="","",_xlfn.XLOOKUP($B$1,Master!$F$2:$F$321,Master!$H$2:$H$321,""))</f>
        <v>fig-obese-adult</v>
      </c>
      <c r="E4" s="8"/>
      <c r="F4" s="10" t="s">
        <v>1009</v>
      </c>
      <c r="G4" s="10" t="s">
        <v>979</v>
      </c>
      <c r="H4" s="10" t="s">
        <v>979</v>
      </c>
      <c r="I4" s="10" t="s">
        <v>979</v>
      </c>
      <c r="J4" s="10" t="s">
        <v>979</v>
      </c>
      <c r="K4" s="10" t="s">
        <v>979</v>
      </c>
      <c r="L4" s="10" t="s">
        <v>979</v>
      </c>
      <c r="M4" s="10" t="s">
        <v>979</v>
      </c>
      <c r="N4" s="10" t="s">
        <v>979</v>
      </c>
      <c r="O4" s="10" t="s">
        <v>979</v>
      </c>
      <c r="P4" s="10"/>
      <c r="Q4" s="10"/>
    </row>
    <row r="5" spans="1:17" x14ac:dyDescent="0.2">
      <c r="A5" s="83" t="s">
        <v>1081</v>
      </c>
      <c r="B5" s="80"/>
      <c r="E5" s="82" t="s">
        <v>1082</v>
      </c>
      <c r="F5" t="s">
        <v>1303</v>
      </c>
      <c r="G5" t="s">
        <v>1741</v>
      </c>
      <c r="H5" t="s">
        <v>1297</v>
      </c>
      <c r="I5" t="s">
        <v>1742</v>
      </c>
      <c r="J5" t="s">
        <v>1743</v>
      </c>
      <c r="K5" t="s">
        <v>1744</v>
      </c>
      <c r="L5" t="s">
        <v>1745</v>
      </c>
      <c r="M5" t="s">
        <v>1746</v>
      </c>
      <c r="N5" t="s">
        <v>1298</v>
      </c>
      <c r="O5" t="s">
        <v>1299</v>
      </c>
    </row>
    <row r="6" spans="1:17" ht="15" customHeight="1" x14ac:dyDescent="0.2">
      <c r="A6" t="s">
        <v>1088</v>
      </c>
      <c r="B6" t="b">
        <v>0</v>
      </c>
      <c r="E6" s="80"/>
      <c r="F6" t="s">
        <v>1747</v>
      </c>
      <c r="G6" s="15">
        <v>25.5</v>
      </c>
      <c r="H6" s="15">
        <v>32.5</v>
      </c>
      <c r="I6" s="15">
        <v>20.5</v>
      </c>
      <c r="J6" s="15">
        <v>23.1</v>
      </c>
      <c r="K6" s="15">
        <v>27.7</v>
      </c>
      <c r="L6" s="15">
        <v>26.4</v>
      </c>
      <c r="M6" s="15">
        <v>21</v>
      </c>
      <c r="N6" s="15" t="s">
        <v>1210</v>
      </c>
      <c r="O6" s="15">
        <v>27.4</v>
      </c>
    </row>
    <row r="7" spans="1:17" ht="15.75" customHeight="1" x14ac:dyDescent="0.2">
      <c r="E7" s="80"/>
      <c r="F7">
        <v>2016</v>
      </c>
      <c r="G7" s="15">
        <v>27</v>
      </c>
      <c r="H7" s="15">
        <v>29.7</v>
      </c>
      <c r="I7" s="15">
        <v>19.2</v>
      </c>
      <c r="J7" s="15">
        <v>20.7</v>
      </c>
      <c r="K7" s="15">
        <v>32.9</v>
      </c>
      <c r="L7" s="15">
        <v>31.8</v>
      </c>
      <c r="M7" s="15">
        <v>17.7</v>
      </c>
      <c r="N7" s="15">
        <v>23.1</v>
      </c>
      <c r="O7" s="15">
        <v>27.5</v>
      </c>
    </row>
    <row r="8" spans="1:17" x14ac:dyDescent="0.2">
      <c r="E8" s="80"/>
      <c r="F8">
        <v>2018</v>
      </c>
      <c r="G8" s="15">
        <v>27.4</v>
      </c>
      <c r="H8" s="15">
        <v>24.3</v>
      </c>
      <c r="I8" s="15">
        <v>27.8</v>
      </c>
      <c r="J8" s="15">
        <v>27</v>
      </c>
      <c r="K8" s="15">
        <v>38.9</v>
      </c>
      <c r="L8" s="15">
        <v>28</v>
      </c>
      <c r="M8" s="15">
        <v>24.1</v>
      </c>
      <c r="N8" s="15">
        <v>25.3</v>
      </c>
      <c r="O8" s="15">
        <v>29.7</v>
      </c>
    </row>
    <row r="9" spans="1:17" x14ac:dyDescent="0.2">
      <c r="A9" s="83" t="s">
        <v>1098</v>
      </c>
      <c r="B9" s="80"/>
      <c r="E9" s="80"/>
      <c r="F9">
        <v>2021</v>
      </c>
      <c r="G9" s="15">
        <v>31.4</v>
      </c>
      <c r="H9" s="15">
        <v>38.5</v>
      </c>
      <c r="I9" s="15">
        <v>31.6</v>
      </c>
      <c r="J9" s="15">
        <v>23.1</v>
      </c>
      <c r="K9" s="15">
        <v>33.299999999999997</v>
      </c>
      <c r="L9" s="15">
        <v>32.299999999999997</v>
      </c>
      <c r="M9" s="15">
        <v>26.5</v>
      </c>
      <c r="N9" s="15">
        <v>29.8</v>
      </c>
      <c r="O9" s="15">
        <v>32.1</v>
      </c>
    </row>
    <row r="10" spans="1:17" x14ac:dyDescent="0.2">
      <c r="A10" t="s">
        <v>1100</v>
      </c>
      <c r="B10" t="s">
        <v>1300</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1748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1750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E00-000000000000}">
      <formula1>"Line,Clustered Bar,Stacked Bar,Bar,Horizontal Stacked Bar"</formula1>
    </dataValidation>
    <dataValidation type="list" allowBlank="1" showInputMessage="1" showErrorMessage="1" sqref="B2" xr:uid="{00000000-0002-0000-4E00-000001000000}">
      <formula1>"Table,Figure,Both"</formula1>
    </dataValidation>
    <dataValidation type="list" allowBlank="1" showInputMessage="1" showErrorMessage="1" sqref="B6 B15:B16" xr:uid="{00000000-0002-0000-4E00-000002000000}">
      <formula1>"True,False"</formula1>
    </dataValidation>
  </dataValidation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Q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265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tbl-liverdz-count-rate-age-rande-zip</v>
      </c>
    </row>
    <row r="4" spans="1:17" x14ac:dyDescent="0.2">
      <c r="A4" s="16" t="s">
        <v>7</v>
      </c>
      <c r="B4" t="str">
        <f>IF($B$1="","",_xlfn.XLOOKUP($B$1,Master!$F$2:$F$321,Master!$H$2:$H$321,""))</f>
        <v>fig-liverdz-count-rate-age-rande-zip</v>
      </c>
      <c r="E4" s="8"/>
      <c r="F4" s="10" t="s">
        <v>968</v>
      </c>
      <c r="G4" s="10" t="s">
        <v>968</v>
      </c>
      <c r="H4" s="10" t="s">
        <v>968</v>
      </c>
      <c r="I4" s="10" t="s">
        <v>968</v>
      </c>
      <c r="J4" s="10" t="s">
        <v>968</v>
      </c>
      <c r="K4" s="10" t="s">
        <v>968</v>
      </c>
      <c r="L4" s="10" t="s">
        <v>968</v>
      </c>
      <c r="M4" s="10" t="s">
        <v>968</v>
      </c>
      <c r="N4" s="10" t="s">
        <v>968</v>
      </c>
      <c r="O4" s="10" t="s">
        <v>968</v>
      </c>
      <c r="P4" s="10" t="s">
        <v>968</v>
      </c>
      <c r="Q4" s="10"/>
    </row>
    <row r="5" spans="1:17" x14ac:dyDescent="0.2">
      <c r="A5" s="83" t="s">
        <v>1081</v>
      </c>
      <c r="B5" s="80"/>
      <c r="E5" s="82" t="s">
        <v>1082</v>
      </c>
      <c r="F5" s="85" t="s">
        <v>1391</v>
      </c>
      <c r="G5" s="81">
        <v>2020</v>
      </c>
      <c r="H5" s="80"/>
      <c r="I5" s="81">
        <v>2021</v>
      </c>
      <c r="J5" s="80"/>
      <c r="K5" s="81">
        <v>2022</v>
      </c>
      <c r="L5" s="80"/>
      <c r="M5" s="81">
        <v>2023</v>
      </c>
      <c r="N5" s="80"/>
      <c r="O5" s="81" t="s">
        <v>1271</v>
      </c>
      <c r="P5" s="80"/>
    </row>
    <row r="6" spans="1:17" ht="15" customHeight="1" x14ac:dyDescent="0.2">
      <c r="A6" t="s">
        <v>1088</v>
      </c>
      <c r="B6" t="b">
        <v>1</v>
      </c>
      <c r="E6" s="80"/>
      <c r="F6" s="85"/>
      <c r="G6" s="15" t="s">
        <v>1724</v>
      </c>
      <c r="H6" s="15" t="s">
        <v>1273</v>
      </c>
      <c r="I6" s="15" t="s">
        <v>1724</v>
      </c>
      <c r="J6" s="15" t="s">
        <v>1273</v>
      </c>
      <c r="K6" s="15" t="s">
        <v>1724</v>
      </c>
      <c r="L6" s="15" t="s">
        <v>1273</v>
      </c>
      <c r="M6" s="15" t="s">
        <v>1724</v>
      </c>
      <c r="N6" s="15" t="s">
        <v>1273</v>
      </c>
      <c r="O6" s="15" t="s">
        <v>1724</v>
      </c>
      <c r="P6" s="15" t="s">
        <v>1275</v>
      </c>
    </row>
    <row r="7" spans="1:17" ht="15.75" customHeight="1" x14ac:dyDescent="0.2">
      <c r="E7" s="80"/>
      <c r="F7" s="56" t="s">
        <v>1096</v>
      </c>
      <c r="G7" s="15">
        <v>27</v>
      </c>
      <c r="H7" s="15">
        <v>7.1</v>
      </c>
      <c r="I7" s="15">
        <v>36</v>
      </c>
      <c r="J7" s="15">
        <v>9</v>
      </c>
      <c r="K7" s="15">
        <v>33</v>
      </c>
      <c r="L7" s="15">
        <v>8.1999999999999993</v>
      </c>
      <c r="M7" s="15">
        <v>27</v>
      </c>
      <c r="N7" s="15">
        <v>6.7</v>
      </c>
      <c r="O7" s="15">
        <v>123</v>
      </c>
      <c r="P7">
        <v>7.8</v>
      </c>
    </row>
    <row r="8" spans="1:17" x14ac:dyDescent="0.2">
      <c r="E8" s="80"/>
      <c r="F8" s="91" t="s">
        <v>1276</v>
      </c>
      <c r="G8" s="80"/>
      <c r="H8" s="80"/>
      <c r="I8" s="80"/>
      <c r="J8" s="80"/>
      <c r="K8" s="80"/>
      <c r="L8" s="80"/>
      <c r="M8" s="80"/>
      <c r="N8" s="80"/>
      <c r="O8" s="80"/>
      <c r="P8" s="80"/>
    </row>
    <row r="9" spans="1:17" x14ac:dyDescent="0.2">
      <c r="A9" s="83" t="s">
        <v>1098</v>
      </c>
      <c r="B9" s="80"/>
      <c r="E9" s="80"/>
      <c r="F9" s="49" t="s">
        <v>1277</v>
      </c>
      <c r="G9" s="15">
        <v>0</v>
      </c>
      <c r="H9" s="15">
        <v>0</v>
      </c>
      <c r="I9" s="15">
        <v>0</v>
      </c>
      <c r="J9" s="15">
        <v>0</v>
      </c>
      <c r="K9" s="15">
        <v>0</v>
      </c>
      <c r="L9" s="15">
        <v>0</v>
      </c>
      <c r="M9" s="15">
        <v>0</v>
      </c>
      <c r="N9" s="15">
        <v>0</v>
      </c>
      <c r="O9" s="15">
        <v>0</v>
      </c>
      <c r="P9">
        <v>0</v>
      </c>
    </row>
    <row r="10" spans="1:17" x14ac:dyDescent="0.2">
      <c r="A10" t="s">
        <v>1100</v>
      </c>
      <c r="B10" t="s">
        <v>1304</v>
      </c>
      <c r="E10" s="80"/>
      <c r="F10" s="49" t="s">
        <v>1278</v>
      </c>
      <c r="G10" s="15">
        <v>0</v>
      </c>
      <c r="H10" s="15">
        <v>0</v>
      </c>
      <c r="I10" s="15">
        <v>0</v>
      </c>
      <c r="J10" s="15">
        <v>0</v>
      </c>
      <c r="K10" s="15">
        <v>0</v>
      </c>
      <c r="L10" s="15">
        <v>0</v>
      </c>
      <c r="M10" s="15">
        <v>0</v>
      </c>
      <c r="N10" s="15">
        <v>0</v>
      </c>
      <c r="O10" s="15">
        <v>0</v>
      </c>
      <c r="P10">
        <v>0</v>
      </c>
    </row>
    <row r="11" spans="1:17" x14ac:dyDescent="0.2">
      <c r="A11" t="s">
        <v>1102</v>
      </c>
      <c r="B11" t="s">
        <v>1709</v>
      </c>
      <c r="E11" s="80"/>
      <c r="F11" s="49" t="s">
        <v>1279</v>
      </c>
      <c r="G11" s="15">
        <v>0</v>
      </c>
      <c r="H11" s="15">
        <v>0</v>
      </c>
      <c r="I11" s="15">
        <v>0</v>
      </c>
      <c r="J11" s="15">
        <v>0</v>
      </c>
      <c r="K11" s="15">
        <v>0</v>
      </c>
      <c r="L11" s="15">
        <v>0</v>
      </c>
      <c r="M11" s="15">
        <v>0</v>
      </c>
      <c r="N11" s="15">
        <v>0</v>
      </c>
      <c r="O11" s="15">
        <v>0</v>
      </c>
      <c r="P11">
        <v>0</v>
      </c>
    </row>
    <row r="12" spans="1:17" x14ac:dyDescent="0.2">
      <c r="A12" t="s">
        <v>1104</v>
      </c>
      <c r="E12" s="80"/>
      <c r="F12" s="55" t="s">
        <v>1280</v>
      </c>
      <c r="G12" s="15">
        <v>0</v>
      </c>
      <c r="H12" s="15">
        <v>0</v>
      </c>
      <c r="I12" s="15">
        <v>0</v>
      </c>
      <c r="J12" s="15">
        <v>0</v>
      </c>
      <c r="K12" s="15">
        <v>0</v>
      </c>
      <c r="L12" s="15">
        <v>0</v>
      </c>
      <c r="M12" s="15">
        <v>0</v>
      </c>
      <c r="N12" s="15">
        <v>0</v>
      </c>
      <c r="O12" s="15">
        <v>0</v>
      </c>
      <c r="P12">
        <v>0</v>
      </c>
    </row>
    <row r="13" spans="1:17" x14ac:dyDescent="0.2">
      <c r="A13" t="s">
        <v>1108</v>
      </c>
      <c r="E13" s="80"/>
      <c r="F13" s="49" t="s">
        <v>1281</v>
      </c>
      <c r="G13" s="15" t="s">
        <v>1031</v>
      </c>
      <c r="H13" s="15" t="s">
        <v>1031</v>
      </c>
      <c r="I13" s="15" t="s">
        <v>1031</v>
      </c>
      <c r="J13" s="15" t="s">
        <v>1031</v>
      </c>
      <c r="K13" s="15">
        <v>0</v>
      </c>
      <c r="L13" s="15">
        <v>0</v>
      </c>
      <c r="M13" s="15" t="s">
        <v>1031</v>
      </c>
      <c r="N13" s="15" t="s">
        <v>1031</v>
      </c>
      <c r="O13" s="15" t="s">
        <v>1031</v>
      </c>
      <c r="P13" t="s">
        <v>1031</v>
      </c>
    </row>
    <row r="14" spans="1:17" x14ac:dyDescent="0.2">
      <c r="A14" t="s">
        <v>1112</v>
      </c>
      <c r="E14" s="80"/>
      <c r="F14" s="49" t="s">
        <v>1282</v>
      </c>
      <c r="G14" s="15" t="s">
        <v>1031</v>
      </c>
      <c r="H14" s="15" t="s">
        <v>1031</v>
      </c>
      <c r="I14" s="15" t="s">
        <v>1031</v>
      </c>
      <c r="J14" s="15" t="s">
        <v>1031</v>
      </c>
      <c r="K14" s="15" t="s">
        <v>1031</v>
      </c>
      <c r="L14" s="15" t="s">
        <v>1031</v>
      </c>
      <c r="M14" s="15" t="s">
        <v>1031</v>
      </c>
      <c r="N14" s="15" t="s">
        <v>1031</v>
      </c>
      <c r="O14" s="15" t="s">
        <v>1031</v>
      </c>
      <c r="P14" t="s">
        <v>1031</v>
      </c>
    </row>
    <row r="15" spans="1:17" x14ac:dyDescent="0.2">
      <c r="A15" t="s">
        <v>1114</v>
      </c>
      <c r="B15" t="b">
        <v>1</v>
      </c>
      <c r="E15" s="80"/>
      <c r="F15" s="49" t="s">
        <v>1283</v>
      </c>
      <c r="G15" s="15" t="s">
        <v>1031</v>
      </c>
      <c r="H15" s="15" t="s">
        <v>1031</v>
      </c>
      <c r="I15" s="15" t="s">
        <v>1031</v>
      </c>
      <c r="J15" s="15" t="s">
        <v>1031</v>
      </c>
      <c r="K15" s="15" t="s">
        <v>1031</v>
      </c>
      <c r="L15" s="15" t="s">
        <v>1031</v>
      </c>
      <c r="M15" s="15" t="s">
        <v>1031</v>
      </c>
      <c r="N15" s="15" t="s">
        <v>1031</v>
      </c>
      <c r="O15" s="15">
        <v>22</v>
      </c>
      <c r="P15">
        <v>10.4</v>
      </c>
    </row>
    <row r="16" spans="1:17" x14ac:dyDescent="0.2">
      <c r="A16" t="s">
        <v>1116</v>
      </c>
      <c r="B16" t="b">
        <v>1</v>
      </c>
      <c r="E16" s="80"/>
      <c r="F16" s="49" t="s">
        <v>1284</v>
      </c>
      <c r="G16" s="15" t="s">
        <v>1031</v>
      </c>
      <c r="H16" s="15" t="s">
        <v>1031</v>
      </c>
      <c r="I16" s="15">
        <v>11</v>
      </c>
      <c r="J16" s="15">
        <v>21.4</v>
      </c>
      <c r="K16" s="15">
        <v>13</v>
      </c>
      <c r="L16" s="15">
        <v>25.4</v>
      </c>
      <c r="M16" s="15">
        <v>10</v>
      </c>
      <c r="N16" s="15">
        <v>19.399999999999999</v>
      </c>
      <c r="O16" s="15">
        <v>41</v>
      </c>
      <c r="P16">
        <v>20.100000000000001</v>
      </c>
    </row>
    <row r="17" spans="1:16" x14ac:dyDescent="0.2">
      <c r="E17" s="80"/>
      <c r="F17" s="49" t="s">
        <v>1285</v>
      </c>
      <c r="G17" s="15" t="s">
        <v>1031</v>
      </c>
      <c r="H17" s="15" t="s">
        <v>1031</v>
      </c>
      <c r="I17" s="15" t="s">
        <v>1031</v>
      </c>
      <c r="J17" s="15" t="s">
        <v>1031</v>
      </c>
      <c r="K17" s="15" t="s">
        <v>1031</v>
      </c>
      <c r="L17" s="15" t="s">
        <v>1031</v>
      </c>
      <c r="M17" s="15" t="s">
        <v>1031</v>
      </c>
      <c r="N17" s="15" t="s">
        <v>1031</v>
      </c>
      <c r="O17" s="15">
        <v>28</v>
      </c>
      <c r="P17">
        <v>20.8</v>
      </c>
    </row>
    <row r="18" spans="1:16" x14ac:dyDescent="0.2">
      <c r="A18" s="83" t="s">
        <v>1119</v>
      </c>
      <c r="B18" s="80"/>
      <c r="E18" s="80"/>
      <c r="F18" s="49" t="s">
        <v>1286</v>
      </c>
      <c r="G18" s="15" t="s">
        <v>1031</v>
      </c>
      <c r="H18" s="15" t="s">
        <v>1031</v>
      </c>
      <c r="I18" s="15" t="s">
        <v>1031</v>
      </c>
      <c r="J18" s="15" t="s">
        <v>1031</v>
      </c>
      <c r="K18" s="15" t="s">
        <v>1031</v>
      </c>
      <c r="L18" s="15" t="s">
        <v>1031</v>
      </c>
      <c r="M18" s="15" t="s">
        <v>1031</v>
      </c>
      <c r="N18" s="15" t="s">
        <v>1031</v>
      </c>
      <c r="O18" s="15">
        <v>14</v>
      </c>
      <c r="P18">
        <v>22.6</v>
      </c>
    </row>
    <row r="19" spans="1:16" x14ac:dyDescent="0.2">
      <c r="A19" t="s">
        <v>1121</v>
      </c>
      <c r="B19" t="s">
        <v>1287</v>
      </c>
      <c r="E19" s="80"/>
      <c r="F19" s="49" t="s">
        <v>1288</v>
      </c>
      <c r="G19" s="15" t="s">
        <v>1031</v>
      </c>
      <c r="H19" s="15" t="s">
        <v>1031</v>
      </c>
      <c r="I19" s="15" t="s">
        <v>1031</v>
      </c>
      <c r="J19" s="15" t="s">
        <v>1031</v>
      </c>
      <c r="K19" s="15" t="s">
        <v>1031</v>
      </c>
      <c r="L19" s="15" t="s">
        <v>1031</v>
      </c>
      <c r="M19" s="15" t="s">
        <v>1031</v>
      </c>
      <c r="N19" s="15" t="s">
        <v>1031</v>
      </c>
      <c r="O19" s="15" t="s">
        <v>1031</v>
      </c>
      <c r="P19" t="s">
        <v>1031</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59</v>
      </c>
      <c r="H21" s="15">
        <v>24.5</v>
      </c>
      <c r="I21" s="15">
        <v>49</v>
      </c>
      <c r="J21" s="15">
        <v>19.8</v>
      </c>
      <c r="K21" s="15">
        <v>52</v>
      </c>
      <c r="L21" s="15">
        <v>21.4</v>
      </c>
      <c r="M21" s="15">
        <v>54</v>
      </c>
      <c r="N21" s="15">
        <v>22.6</v>
      </c>
      <c r="O21" s="15">
        <v>214</v>
      </c>
      <c r="P21">
        <v>22.1</v>
      </c>
    </row>
    <row r="22" spans="1:16" x14ac:dyDescent="0.2">
      <c r="A22" t="s">
        <v>1135</v>
      </c>
      <c r="B22" t="s">
        <v>1751</v>
      </c>
      <c r="E22" s="80"/>
      <c r="F22" s="47" t="s">
        <v>1292</v>
      </c>
      <c r="G22" s="15" t="s">
        <v>1031</v>
      </c>
      <c r="H22" s="15" t="s">
        <v>1031</v>
      </c>
      <c r="I22" s="15">
        <v>11</v>
      </c>
      <c r="J22" s="15">
        <v>27.7</v>
      </c>
      <c r="K22" s="15">
        <v>14</v>
      </c>
      <c r="L22" s="15">
        <v>33.4</v>
      </c>
      <c r="M22" s="15" t="s">
        <v>1031</v>
      </c>
      <c r="N22" s="15" t="s">
        <v>1031</v>
      </c>
      <c r="O22" s="15">
        <v>38</v>
      </c>
      <c r="P22">
        <v>23.4</v>
      </c>
    </row>
    <row r="23" spans="1:16" x14ac:dyDescent="0.2">
      <c r="E23" s="80"/>
      <c r="F23" s="47" t="s">
        <v>1293</v>
      </c>
      <c r="G23" s="15">
        <v>20</v>
      </c>
      <c r="H23" s="15">
        <v>24.9</v>
      </c>
      <c r="I23" s="15" t="s">
        <v>1031</v>
      </c>
      <c r="J23" s="15" t="s">
        <v>1031</v>
      </c>
      <c r="K23" s="15" t="s">
        <v>1031</v>
      </c>
      <c r="L23" s="15" t="s">
        <v>1031</v>
      </c>
      <c r="M23" s="15" t="s">
        <v>1031</v>
      </c>
      <c r="N23" s="15" t="s">
        <v>1031</v>
      </c>
      <c r="O23" s="15">
        <v>46</v>
      </c>
      <c r="P23">
        <v>13.5</v>
      </c>
    </row>
    <row r="24" spans="1:16" x14ac:dyDescent="0.2">
      <c r="E24" s="80"/>
      <c r="F24" s="47" t="s">
        <v>1015</v>
      </c>
      <c r="G24" s="15">
        <v>15</v>
      </c>
      <c r="H24" s="15">
        <v>67.599999999999994</v>
      </c>
      <c r="I24" s="15">
        <v>27</v>
      </c>
      <c r="J24" s="15">
        <v>106.7</v>
      </c>
      <c r="K24" s="15">
        <v>48</v>
      </c>
      <c r="L24" s="15">
        <v>176.7</v>
      </c>
      <c r="M24" s="15">
        <v>24</v>
      </c>
      <c r="N24" s="15">
        <v>84</v>
      </c>
      <c r="O24" s="15">
        <v>114</v>
      </c>
      <c r="P24">
        <v>108.8</v>
      </c>
    </row>
    <row r="25" spans="1:16" x14ac:dyDescent="0.2">
      <c r="E25" s="80"/>
      <c r="F25" s="91" t="s">
        <v>1752</v>
      </c>
      <c r="G25" s="80"/>
      <c r="H25" s="80"/>
      <c r="I25" s="80"/>
      <c r="J25" s="80"/>
      <c r="K25" s="80"/>
      <c r="L25" s="80"/>
      <c r="M25" s="80"/>
      <c r="N25" s="80"/>
      <c r="O25" s="80"/>
      <c r="P25" s="80"/>
    </row>
    <row r="26" spans="1:16" x14ac:dyDescent="0.2">
      <c r="E26" s="80"/>
      <c r="F26" s="47">
        <v>10940</v>
      </c>
      <c r="G26" s="15">
        <v>21</v>
      </c>
      <c r="H26" s="15">
        <v>42.5</v>
      </c>
      <c r="I26" s="15">
        <v>31</v>
      </c>
      <c r="J26" s="15">
        <v>60.9</v>
      </c>
      <c r="K26" s="15">
        <v>31</v>
      </c>
      <c r="L26" s="15">
        <v>59.8</v>
      </c>
      <c r="M26" s="15">
        <v>21</v>
      </c>
      <c r="N26" s="15">
        <v>39.5</v>
      </c>
      <c r="O26" s="15">
        <v>104</v>
      </c>
      <c r="P26">
        <v>50.7</v>
      </c>
    </row>
    <row r="27" spans="1:16" x14ac:dyDescent="0.2">
      <c r="A27" s="81"/>
      <c r="B27" s="80"/>
      <c r="E27" s="80"/>
      <c r="F27" s="47">
        <v>10950</v>
      </c>
      <c r="G27" s="15" t="s">
        <v>1031</v>
      </c>
      <c r="H27" s="15" t="s">
        <v>1031</v>
      </c>
      <c r="I27" s="15" t="s">
        <v>1031</v>
      </c>
      <c r="J27" s="15" t="s">
        <v>1031</v>
      </c>
      <c r="K27" s="15">
        <v>0</v>
      </c>
      <c r="L27" s="15">
        <v>0</v>
      </c>
      <c r="M27" s="15" t="s">
        <v>1031</v>
      </c>
      <c r="N27" s="15" t="s">
        <v>1031</v>
      </c>
      <c r="O27" s="15" t="s">
        <v>1031</v>
      </c>
      <c r="P27" t="s">
        <v>1031</v>
      </c>
    </row>
    <row r="28" spans="1:16" x14ac:dyDescent="0.2">
      <c r="E28" s="80"/>
      <c r="F28" s="47">
        <v>12550</v>
      </c>
      <c r="G28" s="15" t="s">
        <v>1031</v>
      </c>
      <c r="H28" s="15" t="s">
        <v>1031</v>
      </c>
      <c r="I28" s="15" t="s">
        <v>1031</v>
      </c>
      <c r="J28" s="15" t="s">
        <v>1031</v>
      </c>
      <c r="K28" s="15" t="s">
        <v>1031</v>
      </c>
      <c r="L28" s="15" t="s">
        <v>1031</v>
      </c>
      <c r="M28" s="15" t="s">
        <v>1031</v>
      </c>
      <c r="N28" s="15" t="s">
        <v>1031</v>
      </c>
      <c r="O28" s="15">
        <v>11</v>
      </c>
      <c r="P28">
        <v>10.199999999999999</v>
      </c>
    </row>
    <row r="29" spans="1:16" x14ac:dyDescent="0.2">
      <c r="E29" s="80"/>
      <c r="F29" s="47">
        <v>12771</v>
      </c>
      <c r="G29" s="15" t="s">
        <v>1031</v>
      </c>
      <c r="H29" s="15" t="s">
        <v>1031</v>
      </c>
      <c r="I29" s="15">
        <v>0</v>
      </c>
      <c r="J29" s="15">
        <v>0</v>
      </c>
      <c r="K29" s="15">
        <v>0</v>
      </c>
      <c r="L29" s="15">
        <v>0</v>
      </c>
      <c r="M29" s="15" t="s">
        <v>1031</v>
      </c>
      <c r="N29" s="15" t="s">
        <v>1031</v>
      </c>
      <c r="O29" s="15" t="s">
        <v>1031</v>
      </c>
      <c r="P29" t="s">
        <v>1031</v>
      </c>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K5:L5"/>
    <mergeCell ref="I5:J5"/>
    <mergeCell ref="F20:P20"/>
    <mergeCell ref="M5:N5"/>
    <mergeCell ref="F25:P25"/>
    <mergeCell ref="A18:B18"/>
    <mergeCell ref="A27:B27"/>
    <mergeCell ref="F5:F6"/>
  </mergeCells>
  <dataValidations count="3">
    <dataValidation type="list" allowBlank="1" showInputMessage="1" showErrorMessage="1" sqref="B10" xr:uid="{00000000-0002-0000-4F00-000000000000}">
      <formula1>"Line,Clustered Bar,Stacked Bar,Bar,Horizontal Stacked Bar"</formula1>
    </dataValidation>
    <dataValidation type="list" allowBlank="1" showInputMessage="1" showErrorMessage="1" sqref="B2" xr:uid="{00000000-0002-0000-4F00-000001000000}">
      <formula1>"Table,Figure,Both"</formula1>
    </dataValidation>
    <dataValidation type="list" allowBlank="1" showInputMessage="1" showErrorMessage="1" sqref="B6 B15:B16" xr:uid="{00000000-0002-0000-4F00-000002000000}">
      <formula1>"True,False"</formula1>
    </dataValidation>
  </dataValidation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Q57"/>
  <sheetViews>
    <sheetView workbookViewId="0">
      <selection activeCell="H24" sqref="H2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268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tbl-liverdz-mortal-aar</v>
      </c>
    </row>
    <row r="4" spans="1:17" x14ac:dyDescent="0.2">
      <c r="A4" s="16" t="s">
        <v>7</v>
      </c>
      <c r="B4" t="str">
        <f>IF($B$1="","",_xlfn.XLOOKUP($B$1,Master!$F$2:$F$321,Master!$H$2:$H$321,""))</f>
        <v>fig-liverdz-mortal-aar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6.5</v>
      </c>
      <c r="H6" s="15">
        <v>8.5</v>
      </c>
      <c r="I6" s="15">
        <v>7</v>
      </c>
      <c r="J6" s="15">
        <v>5.8</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1753</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1754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000-000000000000}">
      <formula1>"Line,Clustered Bar,Stacked Bar,Bar,Horizontal Stacked Bar"</formula1>
    </dataValidation>
    <dataValidation type="list" allowBlank="1" showInputMessage="1" showErrorMessage="1" sqref="B2" xr:uid="{00000000-0002-0000-5000-000001000000}">
      <formula1>"Table,Figure,Both"</formula1>
    </dataValidation>
    <dataValidation type="list" allowBlank="1" showInputMessage="1" showErrorMessage="1" sqref="B6 B15:B16" xr:uid="{00000000-0002-0000-5000-000002000000}">
      <formula1>"True,False"</formula1>
    </dataValidation>
  </dataValidation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271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tbl-liverdz-mortal-sex-aar</v>
      </c>
    </row>
    <row r="4" spans="1:17" x14ac:dyDescent="0.2">
      <c r="A4" s="16" t="s">
        <v>7</v>
      </c>
      <c r="B4" t="str">
        <f>IF($B$1="","",_xlfn.XLOOKUP($B$1,Master!$F$2:$F$321,Master!$H$2:$H$321,""))</f>
        <v>fig-liverdz-mortal-sex-aar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12</v>
      </c>
      <c r="H6" s="15">
        <v>10.4</v>
      </c>
      <c r="I6" s="15">
        <v>10.4</v>
      </c>
      <c r="J6" s="15">
        <v>6.7</v>
      </c>
      <c r="K6" s="15"/>
      <c r="L6" s="15"/>
      <c r="M6" s="15"/>
      <c r="N6" s="15"/>
      <c r="O6" s="15"/>
    </row>
    <row r="7" spans="1:17" ht="15.75" customHeight="1" x14ac:dyDescent="0.2">
      <c r="E7" s="80"/>
      <c r="F7" t="s">
        <v>1306</v>
      </c>
      <c r="G7" s="15">
        <v>1.6</v>
      </c>
      <c r="H7" s="15">
        <v>6.4</v>
      </c>
      <c r="I7" s="15">
        <v>4.2</v>
      </c>
      <c r="J7" s="15">
        <v>4.5999999999999996</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1753</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1754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100-000000000000}">
      <formula1>"Line,Clustered Bar,Stacked Bar,Bar,Horizontal Stacked Bar"</formula1>
    </dataValidation>
    <dataValidation type="list" allowBlank="1" showInputMessage="1" showErrorMessage="1" sqref="B2" xr:uid="{00000000-0002-0000-5100-000001000000}">
      <formula1>"Table,Figure,Both"</formula1>
    </dataValidation>
    <dataValidation type="list" allowBlank="1" showInputMessage="1" showErrorMessage="1" sqref="B6 B15:B16" xr:uid="{00000000-0002-0000-5100-000002000000}">
      <formula1>"True,False"</formula1>
    </dataValidation>
  </dataValidation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Q57"/>
  <sheetViews>
    <sheetView workbookViewId="0">
      <selection activeCell="I24" sqref="I2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274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tbl-ckd-edvisit-aar</v>
      </c>
    </row>
    <row r="4" spans="1:17" x14ac:dyDescent="0.2">
      <c r="A4" s="16" t="s">
        <v>7</v>
      </c>
      <c r="B4" t="str">
        <f>IF($B$1="","",_xlfn.XLOOKUP($B$1,Master!$F$2:$F$321,Master!$H$2:$H$321,""))</f>
        <v>fig-ckd-edvisit-aar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2018</v>
      </c>
      <c r="H5">
        <v>2019</v>
      </c>
      <c r="I5">
        <v>2020</v>
      </c>
      <c r="J5">
        <v>2021</v>
      </c>
    </row>
    <row r="6" spans="1:17" ht="15" customHeight="1" x14ac:dyDescent="0.2">
      <c r="A6" t="s">
        <v>1088</v>
      </c>
      <c r="B6" t="b">
        <v>0</v>
      </c>
      <c r="E6" s="80"/>
      <c r="F6" t="s">
        <v>1297</v>
      </c>
      <c r="G6" s="15">
        <v>167.5</v>
      </c>
      <c r="H6" s="15">
        <v>167.2</v>
      </c>
      <c r="I6" s="15">
        <v>165.2</v>
      </c>
      <c r="J6" s="15">
        <v>157.30000000000001</v>
      </c>
      <c r="K6" s="15"/>
      <c r="L6" s="15"/>
      <c r="M6" s="15"/>
      <c r="N6" s="15"/>
      <c r="O6" s="15"/>
    </row>
    <row r="7" spans="1:17" ht="15.75" customHeight="1" x14ac:dyDescent="0.2">
      <c r="E7" s="80"/>
      <c r="F7" t="s">
        <v>1645</v>
      </c>
      <c r="G7" s="15">
        <v>114.1</v>
      </c>
      <c r="H7" s="15">
        <v>125.9</v>
      </c>
      <c r="I7" s="15">
        <v>110</v>
      </c>
      <c r="J7" s="15">
        <v>120.3</v>
      </c>
      <c r="K7" s="15"/>
      <c r="L7" s="15"/>
      <c r="M7" s="15"/>
      <c r="N7" s="15"/>
      <c r="O7" s="15"/>
    </row>
    <row r="8" spans="1:17" x14ac:dyDescent="0.2">
      <c r="E8" s="80"/>
      <c r="F8" t="s">
        <v>1298</v>
      </c>
      <c r="G8" s="15">
        <v>131.9</v>
      </c>
      <c r="H8" s="15">
        <v>141.19999999999999</v>
      </c>
      <c r="I8" s="15">
        <v>128.19999999999999</v>
      </c>
      <c r="J8" s="15">
        <v>137.30000000000001</v>
      </c>
      <c r="K8" s="15"/>
      <c r="L8" s="15"/>
      <c r="M8" s="15"/>
      <c r="N8" s="15"/>
      <c r="O8" s="15"/>
    </row>
    <row r="9" spans="1:17" x14ac:dyDescent="0.2">
      <c r="A9" s="83" t="s">
        <v>1098</v>
      </c>
      <c r="B9" s="80"/>
      <c r="E9" s="80"/>
      <c r="F9" t="s">
        <v>1299</v>
      </c>
      <c r="G9" s="15">
        <v>139.6</v>
      </c>
      <c r="H9" s="15">
        <v>152</v>
      </c>
      <c r="I9" s="15">
        <v>136.5</v>
      </c>
      <c r="J9" s="15">
        <v>143.30000000000001</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1755</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1756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200-000000000000}">
      <formula1>"Line,Clustered Bar,Stacked Bar,Bar,Horizontal Stacked Bar"</formula1>
    </dataValidation>
    <dataValidation type="list" allowBlank="1" showInputMessage="1" showErrorMessage="1" sqref="B2" xr:uid="{00000000-0002-0000-5200-000001000000}">
      <formula1>"Table,Figure,Both"</formula1>
    </dataValidation>
    <dataValidation type="list" allowBlank="1" showInputMessage="1" showErrorMessage="1" sqref="B6 B15:B16" xr:uid="{00000000-0002-0000-5200-000002000000}">
      <formula1>"True,False"</formula1>
    </dataValidation>
  </dataValidation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Q57"/>
  <sheetViews>
    <sheetView workbookViewId="0">
      <selection activeCell="J26" sqref="J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277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tbl-ckd-hosp-rate</v>
      </c>
    </row>
    <row r="4" spans="1:17" x14ac:dyDescent="0.2">
      <c r="A4" s="16" t="s">
        <v>7</v>
      </c>
      <c r="B4" t="str">
        <f>IF($B$1="","",_xlfn.XLOOKUP($B$1,Master!$F$2:$F$321,Master!$H$2:$H$321,""))</f>
        <v>fig-ckd-hosp-rate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2018</v>
      </c>
      <c r="H5">
        <v>2019</v>
      </c>
      <c r="I5">
        <v>2020</v>
      </c>
      <c r="J5">
        <v>2021</v>
      </c>
    </row>
    <row r="6" spans="1:17" ht="15" customHeight="1" x14ac:dyDescent="0.2">
      <c r="A6" t="s">
        <v>1088</v>
      </c>
      <c r="B6" t="b">
        <v>0</v>
      </c>
      <c r="E6" s="80"/>
      <c r="F6" t="s">
        <v>1297</v>
      </c>
      <c r="G6" s="15">
        <v>137</v>
      </c>
      <c r="H6" s="15">
        <v>135.6</v>
      </c>
      <c r="I6" s="15">
        <v>131.30000000000001</v>
      </c>
      <c r="J6" s="15">
        <v>122.5</v>
      </c>
      <c r="K6" s="15"/>
      <c r="L6" s="15"/>
      <c r="M6" s="15"/>
      <c r="N6" s="15"/>
      <c r="O6" s="15"/>
    </row>
    <row r="7" spans="1:17" ht="15.75" customHeight="1" x14ac:dyDescent="0.2">
      <c r="E7" s="80"/>
      <c r="F7" t="s">
        <v>1645</v>
      </c>
      <c r="G7" s="15">
        <v>104.1</v>
      </c>
      <c r="H7" s="15">
        <v>111.7</v>
      </c>
      <c r="I7" s="15">
        <v>97.8</v>
      </c>
      <c r="J7" s="15">
        <v>100.9</v>
      </c>
      <c r="K7" s="15"/>
      <c r="L7" s="15"/>
      <c r="M7" s="15"/>
      <c r="N7" s="15"/>
      <c r="O7" s="15"/>
    </row>
    <row r="8" spans="1:17" x14ac:dyDescent="0.2">
      <c r="E8" s="80"/>
      <c r="F8" t="s">
        <v>1298</v>
      </c>
      <c r="G8" s="15">
        <v>116.6</v>
      </c>
      <c r="H8" s="15">
        <v>121.3</v>
      </c>
      <c r="I8" s="15">
        <v>109.3</v>
      </c>
      <c r="J8" s="15">
        <v>113.9</v>
      </c>
      <c r="K8" s="15"/>
      <c r="L8" s="15"/>
      <c r="M8" s="15"/>
      <c r="N8" s="15"/>
      <c r="O8" s="15"/>
    </row>
    <row r="9" spans="1:17" x14ac:dyDescent="0.2">
      <c r="A9" s="83" t="s">
        <v>1098</v>
      </c>
      <c r="B9" s="80"/>
      <c r="E9" s="80"/>
      <c r="F9" t="s">
        <v>1299</v>
      </c>
      <c r="G9" s="15">
        <v>123.1</v>
      </c>
      <c r="H9" s="15">
        <v>128.9</v>
      </c>
      <c r="I9" s="15">
        <v>116.6</v>
      </c>
      <c r="J9" s="15">
        <v>119.3</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1755</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1756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300-000000000000}">
      <formula1>"Line,Clustered Bar,Stacked Bar,Bar,Horizontal Stacked Bar"</formula1>
    </dataValidation>
    <dataValidation type="list" allowBlank="1" showInputMessage="1" showErrorMessage="1" sqref="B2" xr:uid="{00000000-0002-0000-5300-000001000000}">
      <formula1>"Table,Figure,Both"</formula1>
    </dataValidation>
    <dataValidation type="list" allowBlank="1" showInputMessage="1" showErrorMessage="1" sqref="B6 B15:B16" xr:uid="{00000000-0002-0000-5300-000002000000}">
      <formula1>"True,False"</formula1>
    </dataValidation>
  </dataValidation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57"/>
  <sheetViews>
    <sheetView workbookViewId="0">
      <selection activeCell="J14" sqref="J1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10.66406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280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tbl-allsitesca-incidence-aar</v>
      </c>
    </row>
    <row r="4" spans="1:17" x14ac:dyDescent="0.2">
      <c r="A4" s="16" t="s">
        <v>7</v>
      </c>
      <c r="B4" t="str">
        <f>IF($B$1="","",_xlfn.XLOOKUP($B$1,Master!$F$2:$F$321,Master!$H$2:$H$321,""))</f>
        <v>fig-allsitesca-incidence-aar</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1757</v>
      </c>
      <c r="G6" s="15">
        <v>470.3</v>
      </c>
      <c r="H6" s="15">
        <v>499.1</v>
      </c>
      <c r="I6" s="15">
        <v>466.8</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400-000000000000}">
      <formula1>"Line,Clustered Bar,Stacked Bar,Bar,Horizontal Stacked Bar"</formula1>
    </dataValidation>
    <dataValidation type="list" allowBlank="1" showInputMessage="1" showErrorMessage="1" sqref="B2" xr:uid="{00000000-0002-0000-5400-000001000000}">
      <formula1>"Table,Figure,Both"</formula1>
    </dataValidation>
    <dataValidation type="list" allowBlank="1" showInputMessage="1" showErrorMessage="1" sqref="B6 B15:B16" xr:uid="{00000000-0002-0000-5400-000002000000}">
      <formula1>"True,False"</formula1>
    </dataValidation>
  </dataValidation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Q57"/>
  <sheetViews>
    <sheetView zoomScale="98" workbookViewId="0">
      <selection activeCell="I25" sqref="I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8.83203125" bestFit="1" customWidth="1"/>
    <col min="8" max="8" width="19" bestFit="1" customWidth="1"/>
    <col min="9" max="9" width="18.1640625" bestFit="1" customWidth="1"/>
    <col min="10" max="10" width="9" bestFit="1" customWidth="1"/>
    <col min="11" max="11" width="8.83203125" bestFit="1" customWidth="1"/>
    <col min="12" max="12" width="18.5" bestFit="1" customWidth="1"/>
    <col min="13" max="13" width="12.1640625" bestFit="1" customWidth="1"/>
    <col min="14" max="14" width="12.33203125" bestFit="1" customWidth="1"/>
    <col min="15" max="16" width="12.5" bestFit="1" customWidth="1"/>
  </cols>
  <sheetData>
    <row r="1" spans="1:17" x14ac:dyDescent="0.2">
      <c r="A1" s="16" t="s">
        <v>1077</v>
      </c>
      <c r="B1" s="79" t="s">
        <v>283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tbl-allsitesca-incidence-rande-aar</v>
      </c>
    </row>
    <row r="4" spans="1:17" x14ac:dyDescent="0.2">
      <c r="A4" s="16" t="s">
        <v>7</v>
      </c>
      <c r="B4" t="str">
        <f>IF($B$1="","",_xlfn.XLOOKUP($B$1,Master!$F$2:$F$321,Master!$H$2:$H$321,""))</f>
        <v>fig-allsitesca-incidence-rande-aar</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470.3</v>
      </c>
      <c r="H6" s="15">
        <v>497.8</v>
      </c>
      <c r="I6" s="15">
        <v>436.8</v>
      </c>
      <c r="J6" s="15" t="s">
        <v>1031</v>
      </c>
      <c r="K6" s="15">
        <v>298.7</v>
      </c>
      <c r="L6" s="15">
        <v>356</v>
      </c>
      <c r="M6" s="15"/>
      <c r="N6" s="15"/>
      <c r="O6" s="15"/>
    </row>
    <row r="7" spans="1:17" ht="15.75" customHeight="1" x14ac:dyDescent="0.2">
      <c r="E7" s="80"/>
      <c r="F7" t="s">
        <v>1298</v>
      </c>
      <c r="G7" s="15">
        <v>499.1</v>
      </c>
      <c r="H7" s="15">
        <v>517.1</v>
      </c>
      <c r="I7" s="15">
        <v>487.1</v>
      </c>
      <c r="J7" s="15">
        <v>448.8</v>
      </c>
      <c r="K7" s="15">
        <v>327.10000000000002</v>
      </c>
      <c r="L7" s="15">
        <v>361.8</v>
      </c>
      <c r="M7" s="15"/>
      <c r="N7" s="15"/>
      <c r="O7" s="15"/>
    </row>
    <row r="8" spans="1:17" x14ac:dyDescent="0.2">
      <c r="E8" s="80"/>
      <c r="F8" t="s">
        <v>1299</v>
      </c>
      <c r="G8" s="15">
        <v>466.8</v>
      </c>
      <c r="H8" s="15">
        <v>505.1</v>
      </c>
      <c r="I8" s="15">
        <v>441.6</v>
      </c>
      <c r="J8" s="15">
        <v>448.8</v>
      </c>
      <c r="K8" s="15">
        <v>341.8</v>
      </c>
      <c r="L8" s="15">
        <v>350.9</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1398</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500-000000000000}">
      <formula1>"Line,Clustered Bar,Stacked Bar,Bar,Horizontal Stacked Bar"</formula1>
    </dataValidation>
    <dataValidation type="list" allowBlank="1" showInputMessage="1" showErrorMessage="1" sqref="B2" xr:uid="{00000000-0002-0000-5500-000001000000}">
      <formula1>"Table,Figure,Both"</formula1>
    </dataValidation>
    <dataValidation type="list" allowBlank="1" showInputMessage="1" showErrorMessage="1" sqref="B6 B15:B16" xr:uid="{00000000-0002-0000-5500-000002000000}">
      <formula1>"True,False"</formula1>
    </dataValidation>
  </dataValidation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Q57"/>
  <sheetViews>
    <sheetView workbookViewId="0">
      <selection activeCell="F5" sqref="F5: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286</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tbl-neoplasm-count-rate-age-rande-zip</v>
      </c>
    </row>
    <row r="4" spans="1:17" x14ac:dyDescent="0.2">
      <c r="A4" s="16" t="s">
        <v>7</v>
      </c>
      <c r="B4" t="str">
        <f>IF($B$1="","",_xlfn.XLOOKUP($B$1,Master!$F$2:$F$321,Master!$H$2:$H$321,""))</f>
        <v>fig-neoplasm-count-rate-age-rande-zip</v>
      </c>
      <c r="E4" s="8"/>
      <c r="F4" s="10" t="s">
        <v>1009</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F5" s="85" t="s">
        <v>1391</v>
      </c>
      <c r="G5" s="81">
        <v>2020</v>
      </c>
      <c r="H5" s="80"/>
      <c r="I5" s="81">
        <v>2021</v>
      </c>
      <c r="J5" s="80"/>
      <c r="K5" s="81">
        <v>2022</v>
      </c>
      <c r="L5" s="80"/>
      <c r="M5" s="81">
        <v>2023</v>
      </c>
      <c r="N5" s="80"/>
      <c r="O5" s="81" t="s">
        <v>1271</v>
      </c>
      <c r="P5" s="80"/>
    </row>
    <row r="6" spans="1:17" ht="15" customHeight="1" x14ac:dyDescent="0.2">
      <c r="A6" t="s">
        <v>1088</v>
      </c>
      <c r="B6" t="b">
        <v>1</v>
      </c>
      <c r="E6" s="80"/>
      <c r="F6" s="85"/>
      <c r="G6" s="15" t="s">
        <v>1724</v>
      </c>
      <c r="H6" s="15" t="s">
        <v>1273</v>
      </c>
      <c r="I6" s="15" t="s">
        <v>1724</v>
      </c>
      <c r="J6" s="15" t="s">
        <v>1273</v>
      </c>
      <c r="K6" s="15" t="s">
        <v>1724</v>
      </c>
      <c r="L6" s="15" t="s">
        <v>1273</v>
      </c>
      <c r="M6" s="15" t="s">
        <v>1724</v>
      </c>
      <c r="N6" s="15" t="s">
        <v>1273</v>
      </c>
      <c r="O6" s="15" t="s">
        <v>1724</v>
      </c>
      <c r="P6" s="15" t="s">
        <v>1275</v>
      </c>
    </row>
    <row r="7" spans="1:17" ht="15.75" customHeight="1" x14ac:dyDescent="0.2">
      <c r="E7" s="80"/>
      <c r="F7" s="56" t="s">
        <v>1096</v>
      </c>
      <c r="G7" s="15">
        <v>601</v>
      </c>
      <c r="H7" s="15">
        <v>157.30000000000001</v>
      </c>
      <c r="I7" s="15">
        <v>596</v>
      </c>
      <c r="J7" s="15">
        <v>149.6</v>
      </c>
      <c r="K7" s="15">
        <v>561</v>
      </c>
      <c r="L7" s="15">
        <v>139.80000000000001</v>
      </c>
      <c r="M7" s="15">
        <v>624</v>
      </c>
      <c r="N7" s="15">
        <v>154.5</v>
      </c>
      <c r="O7" s="15">
        <v>2382</v>
      </c>
      <c r="P7">
        <v>150.30000000000001</v>
      </c>
    </row>
    <row r="8" spans="1:17" x14ac:dyDescent="0.2">
      <c r="E8" s="80"/>
      <c r="F8" s="91" t="s">
        <v>1276</v>
      </c>
      <c r="G8" s="80"/>
      <c r="H8" s="80"/>
      <c r="I8" s="80"/>
      <c r="J8" s="80"/>
      <c r="K8" s="80"/>
      <c r="L8" s="80"/>
      <c r="M8" s="80"/>
      <c r="N8" s="80"/>
      <c r="O8" s="80"/>
      <c r="P8" s="80"/>
    </row>
    <row r="9" spans="1:17" x14ac:dyDescent="0.2">
      <c r="A9" s="83" t="s">
        <v>1098</v>
      </c>
      <c r="B9" s="80"/>
      <c r="E9" s="80"/>
      <c r="F9" s="49" t="s">
        <v>1277</v>
      </c>
      <c r="G9" s="15">
        <v>0</v>
      </c>
      <c r="H9" s="15">
        <v>0</v>
      </c>
      <c r="I9" s="15">
        <v>0</v>
      </c>
      <c r="J9" s="15">
        <v>0</v>
      </c>
      <c r="K9" s="15">
        <v>0</v>
      </c>
      <c r="L9" s="15">
        <v>0</v>
      </c>
      <c r="M9" s="15">
        <v>0</v>
      </c>
      <c r="N9" s="15">
        <v>0</v>
      </c>
      <c r="O9">
        <v>0</v>
      </c>
      <c r="P9">
        <v>0</v>
      </c>
    </row>
    <row r="10" spans="1:17" x14ac:dyDescent="0.2">
      <c r="A10" t="s">
        <v>1100</v>
      </c>
      <c r="E10" s="80"/>
      <c r="F10" s="49" t="s">
        <v>1278</v>
      </c>
      <c r="G10" s="15">
        <v>0</v>
      </c>
      <c r="H10" s="15">
        <v>0</v>
      </c>
      <c r="I10" s="15">
        <v>0</v>
      </c>
      <c r="J10" s="15">
        <v>0</v>
      </c>
      <c r="K10" s="15">
        <v>0</v>
      </c>
      <c r="L10" s="15">
        <v>0</v>
      </c>
      <c r="M10" s="15" t="s">
        <v>1031</v>
      </c>
      <c r="N10" s="15" t="s">
        <v>1031</v>
      </c>
      <c r="O10" t="s">
        <v>1031</v>
      </c>
      <c r="P10" t="s">
        <v>1031</v>
      </c>
    </row>
    <row r="11" spans="1:17" x14ac:dyDescent="0.2">
      <c r="A11" t="s">
        <v>1102</v>
      </c>
      <c r="E11" s="80"/>
      <c r="F11" s="49" t="s">
        <v>1279</v>
      </c>
      <c r="G11" s="15" t="s">
        <v>1031</v>
      </c>
      <c r="H11" s="15" t="s">
        <v>1031</v>
      </c>
      <c r="I11" s="15">
        <v>0</v>
      </c>
      <c r="J11" s="15">
        <v>0</v>
      </c>
      <c r="K11" s="15" t="s">
        <v>1031</v>
      </c>
      <c r="L11" s="15" t="s">
        <v>1031</v>
      </c>
      <c r="M11" s="15">
        <v>0</v>
      </c>
      <c r="N11" s="15">
        <v>0</v>
      </c>
      <c r="O11" t="s">
        <v>1031</v>
      </c>
      <c r="P11" t="s">
        <v>1031</v>
      </c>
    </row>
    <row r="12" spans="1:17" x14ac:dyDescent="0.2">
      <c r="A12" t="s">
        <v>1104</v>
      </c>
      <c r="E12" s="80"/>
      <c r="F12" s="55" t="s">
        <v>1280</v>
      </c>
      <c r="G12" s="15" t="s">
        <v>1031</v>
      </c>
      <c r="H12" s="15" t="s">
        <v>1031</v>
      </c>
      <c r="I12" s="15">
        <v>0</v>
      </c>
      <c r="J12" s="15">
        <v>0</v>
      </c>
      <c r="K12" s="15">
        <v>0</v>
      </c>
      <c r="L12" s="15">
        <v>0</v>
      </c>
      <c r="M12" s="15" t="s">
        <v>1031</v>
      </c>
      <c r="N12" s="15" t="s">
        <v>1031</v>
      </c>
      <c r="O12" t="s">
        <v>1031</v>
      </c>
      <c r="P12" t="s">
        <v>1031</v>
      </c>
    </row>
    <row r="13" spans="1:17" x14ac:dyDescent="0.2">
      <c r="A13" t="s">
        <v>1108</v>
      </c>
      <c r="E13" s="80"/>
      <c r="F13" s="49" t="s">
        <v>1281</v>
      </c>
      <c r="G13" s="15" t="s">
        <v>1031</v>
      </c>
      <c r="H13" s="15" t="s">
        <v>1031</v>
      </c>
      <c r="I13" s="15" t="s">
        <v>1031</v>
      </c>
      <c r="J13" s="15" t="s">
        <v>1031</v>
      </c>
      <c r="K13" s="15" t="s">
        <v>1031</v>
      </c>
      <c r="L13" s="15" t="s">
        <v>1031</v>
      </c>
      <c r="M13" s="15" t="s">
        <v>1031</v>
      </c>
      <c r="N13" s="15" t="s">
        <v>1031</v>
      </c>
      <c r="O13" t="s">
        <v>1031</v>
      </c>
      <c r="P13" t="s">
        <v>1031</v>
      </c>
    </row>
    <row r="14" spans="1:17" x14ac:dyDescent="0.2">
      <c r="A14" t="s">
        <v>1112</v>
      </c>
      <c r="E14" s="80"/>
      <c r="F14" s="49" t="s">
        <v>1282</v>
      </c>
      <c r="G14" s="15" t="s">
        <v>1031</v>
      </c>
      <c r="H14" s="15" t="s">
        <v>1031</v>
      </c>
      <c r="I14" s="15" t="s">
        <v>1031</v>
      </c>
      <c r="J14" s="15" t="s">
        <v>1031</v>
      </c>
      <c r="K14" s="15" t="s">
        <v>1031</v>
      </c>
      <c r="L14" s="15" t="s">
        <v>1031</v>
      </c>
      <c r="M14" s="15" t="s">
        <v>1031</v>
      </c>
      <c r="N14" s="15" t="s">
        <v>1031</v>
      </c>
      <c r="O14">
        <v>28</v>
      </c>
      <c r="P14">
        <v>14.6</v>
      </c>
    </row>
    <row r="15" spans="1:17" x14ac:dyDescent="0.2">
      <c r="A15" t="s">
        <v>1114</v>
      </c>
      <c r="E15" s="80"/>
      <c r="F15" s="49" t="s">
        <v>1283</v>
      </c>
      <c r="G15" s="15">
        <v>37</v>
      </c>
      <c r="H15" s="15">
        <v>70.7</v>
      </c>
      <c r="I15" s="15">
        <v>32</v>
      </c>
      <c r="J15" s="15">
        <v>60</v>
      </c>
      <c r="K15" s="15">
        <v>28</v>
      </c>
      <c r="L15" s="15">
        <v>53.5</v>
      </c>
      <c r="M15" s="15">
        <v>43</v>
      </c>
      <c r="N15" s="15">
        <v>83.5</v>
      </c>
      <c r="O15">
        <v>140</v>
      </c>
      <c r="P15">
        <v>66.900000000000006</v>
      </c>
    </row>
    <row r="16" spans="1:17" x14ac:dyDescent="0.2">
      <c r="A16" t="s">
        <v>1116</v>
      </c>
      <c r="E16" s="80"/>
      <c r="F16" s="49" t="s">
        <v>1284</v>
      </c>
      <c r="G16" s="15">
        <v>122</v>
      </c>
      <c r="H16" s="15">
        <v>250.5</v>
      </c>
      <c r="I16" s="15">
        <v>109</v>
      </c>
      <c r="J16" s="15">
        <v>212.1</v>
      </c>
      <c r="K16" s="15">
        <v>98</v>
      </c>
      <c r="L16" s="15">
        <v>191.5</v>
      </c>
      <c r="M16" s="15">
        <v>103</v>
      </c>
      <c r="N16" s="15">
        <v>200</v>
      </c>
      <c r="O16">
        <v>432</v>
      </c>
      <c r="P16">
        <v>213.5</v>
      </c>
    </row>
    <row r="17" spans="1:16" x14ac:dyDescent="0.2">
      <c r="E17" s="80"/>
      <c r="F17" s="49" t="s">
        <v>1285</v>
      </c>
      <c r="G17" s="15">
        <v>150</v>
      </c>
      <c r="H17" s="15">
        <v>475.7</v>
      </c>
      <c r="I17" s="15">
        <v>175</v>
      </c>
      <c r="J17" s="15">
        <v>522.9</v>
      </c>
      <c r="K17" s="15">
        <v>179</v>
      </c>
      <c r="L17" s="15">
        <v>528.79999999999995</v>
      </c>
      <c r="M17" s="15">
        <v>185</v>
      </c>
      <c r="N17" s="15">
        <v>531</v>
      </c>
      <c r="O17">
        <v>689</v>
      </c>
      <c r="P17">
        <v>514.6</v>
      </c>
    </row>
    <row r="18" spans="1:16" x14ac:dyDescent="0.2">
      <c r="A18" s="83" t="s">
        <v>1119</v>
      </c>
      <c r="B18" s="80"/>
      <c r="E18" s="80"/>
      <c r="F18" s="49" t="s">
        <v>1286</v>
      </c>
      <c r="G18" s="15">
        <v>164</v>
      </c>
      <c r="H18" s="15">
        <v>1112.2</v>
      </c>
      <c r="I18" s="15">
        <v>156</v>
      </c>
      <c r="J18" s="15">
        <v>1022.3</v>
      </c>
      <c r="K18" s="15">
        <v>154</v>
      </c>
      <c r="L18" s="15">
        <v>972</v>
      </c>
      <c r="M18" s="15">
        <v>186</v>
      </c>
      <c r="N18" s="15">
        <v>1134.4000000000001</v>
      </c>
      <c r="O18">
        <v>660</v>
      </c>
      <c r="P18">
        <v>1060.2</v>
      </c>
    </row>
    <row r="19" spans="1:16" x14ac:dyDescent="0.2">
      <c r="A19" t="s">
        <v>1121</v>
      </c>
      <c r="B19" t="s">
        <v>1287</v>
      </c>
      <c r="E19" s="80"/>
      <c r="F19" s="49" t="s">
        <v>1288</v>
      </c>
      <c r="G19" s="15">
        <v>116</v>
      </c>
      <c r="H19" s="15">
        <v>1622.6</v>
      </c>
      <c r="I19" s="15">
        <v>116</v>
      </c>
      <c r="J19" s="15">
        <v>1702.6</v>
      </c>
      <c r="K19" s="15">
        <v>88</v>
      </c>
      <c r="L19" s="15">
        <v>1253.5999999999999</v>
      </c>
      <c r="M19" s="15">
        <v>96</v>
      </c>
      <c r="N19" s="15">
        <v>1430.9</v>
      </c>
      <c r="O19">
        <v>416</v>
      </c>
      <c r="P19">
        <v>1502.4</v>
      </c>
    </row>
    <row r="20" spans="1:16" x14ac:dyDescent="0.2">
      <c r="E20" s="80"/>
      <c r="F20" s="91" t="s">
        <v>1289</v>
      </c>
      <c r="G20" s="80"/>
      <c r="H20" s="80"/>
      <c r="I20" s="80"/>
      <c r="J20" s="80"/>
      <c r="K20" s="80"/>
      <c r="L20" s="80"/>
      <c r="M20" s="80"/>
      <c r="N20" s="80"/>
      <c r="O20" s="80"/>
      <c r="P20" s="80"/>
    </row>
    <row r="21" spans="1:16" x14ac:dyDescent="0.2">
      <c r="A21" s="81" t="s">
        <v>1125</v>
      </c>
      <c r="B21" s="80"/>
      <c r="E21" s="80"/>
      <c r="F21" s="47" t="s">
        <v>1290</v>
      </c>
      <c r="G21" s="15">
        <v>493</v>
      </c>
      <c r="H21" s="15">
        <v>204.4</v>
      </c>
      <c r="I21" s="15">
        <v>495</v>
      </c>
      <c r="J21" s="15">
        <v>199.7</v>
      </c>
      <c r="K21" s="15">
        <v>451</v>
      </c>
      <c r="L21" s="15">
        <v>185.9</v>
      </c>
      <c r="M21" s="15">
        <v>511</v>
      </c>
      <c r="N21" s="15">
        <v>213.6</v>
      </c>
      <c r="O21">
        <v>1950</v>
      </c>
      <c r="P21">
        <v>200.9</v>
      </c>
    </row>
    <row r="22" spans="1:16" x14ac:dyDescent="0.2">
      <c r="A22" t="s">
        <v>1135</v>
      </c>
      <c r="B22" t="s">
        <v>1764</v>
      </c>
      <c r="E22" s="80"/>
      <c r="F22" s="47" t="s">
        <v>1292</v>
      </c>
      <c r="G22" s="15">
        <v>46</v>
      </c>
      <c r="H22" s="15">
        <v>119.6</v>
      </c>
      <c r="I22" s="15">
        <v>40</v>
      </c>
      <c r="J22" s="15">
        <v>100.7</v>
      </c>
      <c r="K22" s="15">
        <v>38</v>
      </c>
      <c r="L22" s="15">
        <v>90.6</v>
      </c>
      <c r="M22" s="15">
        <v>54</v>
      </c>
      <c r="N22" s="15">
        <v>127.1</v>
      </c>
      <c r="O22">
        <v>178</v>
      </c>
      <c r="P22">
        <v>109.5</v>
      </c>
    </row>
    <row r="23" spans="1:16" x14ac:dyDescent="0.2">
      <c r="E23" s="80"/>
      <c r="F23" s="47" t="s">
        <v>1293</v>
      </c>
      <c r="G23" s="15">
        <v>50</v>
      </c>
      <c r="H23" s="15">
        <v>62.3</v>
      </c>
      <c r="I23" s="15">
        <v>48</v>
      </c>
      <c r="J23" s="15">
        <v>56.2</v>
      </c>
      <c r="K23" s="15">
        <v>52</v>
      </c>
      <c r="L23" s="15">
        <v>58.1</v>
      </c>
      <c r="M23" s="15">
        <v>39</v>
      </c>
      <c r="N23" s="15">
        <v>41.7</v>
      </c>
      <c r="O23">
        <v>189</v>
      </c>
      <c r="P23">
        <v>54.6</v>
      </c>
    </row>
    <row r="24" spans="1:16" x14ac:dyDescent="0.2">
      <c r="E24" s="80"/>
      <c r="F24" s="47" t="s">
        <v>1015</v>
      </c>
      <c r="G24" s="15">
        <v>12</v>
      </c>
      <c r="H24" s="15">
        <v>54.1</v>
      </c>
      <c r="I24" s="15">
        <v>13</v>
      </c>
      <c r="J24" s="15">
        <v>51.4</v>
      </c>
      <c r="K24" s="15">
        <v>20</v>
      </c>
      <c r="L24" s="15">
        <v>73.599999999999994</v>
      </c>
      <c r="M24" s="15">
        <v>20</v>
      </c>
      <c r="N24" s="15">
        <v>70</v>
      </c>
      <c r="O24">
        <v>65</v>
      </c>
      <c r="P24">
        <v>62.3</v>
      </c>
    </row>
    <row r="25" spans="1:16" x14ac:dyDescent="0.2">
      <c r="E25" s="80"/>
      <c r="F25" s="91" t="s">
        <v>1752</v>
      </c>
      <c r="G25" s="80"/>
      <c r="H25" s="80"/>
      <c r="I25" s="80"/>
      <c r="J25" s="80"/>
      <c r="K25" s="80"/>
      <c r="L25" s="80"/>
      <c r="M25" s="80"/>
      <c r="N25" s="80"/>
      <c r="O25" s="80"/>
      <c r="P25" s="80"/>
    </row>
    <row r="26" spans="1:16" x14ac:dyDescent="0.2">
      <c r="E26" s="80"/>
      <c r="F26" s="47">
        <v>10940</v>
      </c>
      <c r="G26" s="15">
        <v>85</v>
      </c>
      <c r="H26" s="15">
        <v>172</v>
      </c>
      <c r="I26" s="15">
        <v>75</v>
      </c>
      <c r="J26" s="15">
        <v>147.30000000000001</v>
      </c>
      <c r="K26" s="15">
        <v>82</v>
      </c>
      <c r="L26" s="15">
        <v>158.1</v>
      </c>
      <c r="M26" s="15">
        <v>80</v>
      </c>
      <c r="N26" s="15">
        <v>150.69999999999999</v>
      </c>
      <c r="O26">
        <v>322</v>
      </c>
      <c r="P26">
        <v>157</v>
      </c>
    </row>
    <row r="27" spans="1:16" x14ac:dyDescent="0.2">
      <c r="A27" s="81"/>
      <c r="B27" s="80"/>
      <c r="E27" s="80"/>
      <c r="F27" s="47">
        <v>10950</v>
      </c>
      <c r="G27" s="15">
        <v>41</v>
      </c>
      <c r="H27" s="15">
        <v>306.3</v>
      </c>
      <c r="I27" s="15">
        <v>32</v>
      </c>
      <c r="J27" s="15">
        <v>222</v>
      </c>
      <c r="K27" s="15">
        <v>37</v>
      </c>
      <c r="L27" s="15">
        <v>255.1</v>
      </c>
      <c r="M27" s="15">
        <v>32</v>
      </c>
      <c r="N27" s="15">
        <v>216.8</v>
      </c>
      <c r="O27">
        <v>142</v>
      </c>
      <c r="P27">
        <v>250.1</v>
      </c>
    </row>
    <row r="28" spans="1:16" x14ac:dyDescent="0.2">
      <c r="E28" s="80"/>
      <c r="F28" s="47">
        <v>12550</v>
      </c>
      <c r="G28" s="15">
        <v>80</v>
      </c>
      <c r="H28" s="15">
        <v>300</v>
      </c>
      <c r="I28" s="15">
        <v>79</v>
      </c>
      <c r="J28" s="15">
        <v>294.7</v>
      </c>
      <c r="K28" s="15">
        <v>67</v>
      </c>
      <c r="L28" s="15">
        <v>244.4</v>
      </c>
      <c r="M28" s="15">
        <v>79</v>
      </c>
      <c r="N28" s="15">
        <v>289.39999999999998</v>
      </c>
      <c r="O28">
        <v>305</v>
      </c>
      <c r="P28">
        <v>282.10000000000002</v>
      </c>
    </row>
    <row r="29" spans="1:16" x14ac:dyDescent="0.2">
      <c r="E29" s="80"/>
      <c r="F29" s="47">
        <v>12771</v>
      </c>
      <c r="G29" s="15">
        <v>31</v>
      </c>
      <c r="H29" s="15">
        <v>215.2</v>
      </c>
      <c r="I29" s="15">
        <v>30</v>
      </c>
      <c r="J29" s="15">
        <v>202.2</v>
      </c>
      <c r="K29" s="15">
        <v>27</v>
      </c>
      <c r="L29" s="15">
        <v>186.8</v>
      </c>
      <c r="M29" s="15">
        <v>37</v>
      </c>
      <c r="N29" s="15">
        <v>257.89999999999998</v>
      </c>
      <c r="O29">
        <v>125</v>
      </c>
      <c r="P29">
        <v>215</v>
      </c>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6">
    <mergeCell ref="B1:O1"/>
    <mergeCell ref="A21:B21"/>
    <mergeCell ref="F8:P8"/>
    <mergeCell ref="E5:E57"/>
    <mergeCell ref="O5:P5"/>
    <mergeCell ref="A9:B9"/>
    <mergeCell ref="A5:B5"/>
    <mergeCell ref="G5:H5"/>
    <mergeCell ref="K5:L5"/>
    <mergeCell ref="I5:J5"/>
    <mergeCell ref="F20:P20"/>
    <mergeCell ref="M5:N5"/>
    <mergeCell ref="F25:P25"/>
    <mergeCell ref="A18:B18"/>
    <mergeCell ref="A27:B27"/>
    <mergeCell ref="F5:F6"/>
  </mergeCells>
  <dataValidations count="3">
    <dataValidation type="list" allowBlank="1" showInputMessage="1" showErrorMessage="1" sqref="B10" xr:uid="{00000000-0002-0000-5600-000000000000}">
      <formula1>"Line,Clustered Bar,Stacked Bar,Bar,Horizontal Stacked Bar"</formula1>
    </dataValidation>
    <dataValidation type="list" allowBlank="1" showInputMessage="1" showErrorMessage="1" sqref="B2" xr:uid="{00000000-0002-0000-5600-000001000000}">
      <formula1>"Table,Figure,Both"</formula1>
    </dataValidation>
    <dataValidation type="list" allowBlank="1" showInputMessage="1" showErrorMessage="1" sqref="B6 B15:B16" xr:uid="{00000000-0002-0000-5600-000002000000}">
      <formula1>"True,False"</formula1>
    </dataValidation>
  </dataValidation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Q57"/>
  <sheetViews>
    <sheetView workbookViewId="0">
      <selection activeCell="F14" sqref="F1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289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tbl-neoplasm-mortal-aar</v>
      </c>
    </row>
    <row r="4" spans="1:17" x14ac:dyDescent="0.2">
      <c r="A4" s="16" t="s">
        <v>7</v>
      </c>
      <c r="B4" t="str">
        <f>IF($B$1="","",_xlfn.XLOOKUP($B$1,Master!$F$2:$F$321,Master!$H$2:$H$321,""))</f>
        <v>fig-neoplasm-mortal-aar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141.69999999999999</v>
      </c>
      <c r="H6" s="15">
        <v>136</v>
      </c>
      <c r="I6" s="15">
        <v>126.1</v>
      </c>
      <c r="J6" s="15">
        <v>140.1</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700-000000000000}">
      <formula1>"Line,Clustered Bar,Stacked Bar,Bar,Horizontal Stacked Bar"</formula1>
    </dataValidation>
    <dataValidation type="list" allowBlank="1" showInputMessage="1" showErrorMessage="1" sqref="B2" xr:uid="{00000000-0002-0000-5700-000001000000}">
      <formula1>"Table,Figure,Both"</formula1>
    </dataValidation>
    <dataValidation type="list" allowBlank="1" showInputMessage="1" showErrorMessage="1" sqref="B6 B15:B16" xr:uid="{00000000-0002-0000-5700-000002000000}">
      <formula1>"True,False"</formula1>
    </dataValidation>
  </dataValidation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Q57"/>
  <sheetViews>
    <sheetView workbookViewId="0">
      <selection activeCell="J26" sqref="J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292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tbl-neoplasm-mortal-rande</v>
      </c>
    </row>
    <row r="4" spans="1:17" x14ac:dyDescent="0.2">
      <c r="A4" s="16" t="s">
        <v>7</v>
      </c>
      <c r="B4" t="str">
        <f>IF($B$1="","",_xlfn.XLOOKUP($B$1,Master!$F$2:$F$321,Master!$H$2:$H$321,""))</f>
        <v>fig-neoplasm-mortal-rande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1289</v>
      </c>
      <c r="G5">
        <v>2020</v>
      </c>
      <c r="H5">
        <v>2021</v>
      </c>
      <c r="I5">
        <v>2022</v>
      </c>
      <c r="J5">
        <v>2023</v>
      </c>
    </row>
    <row r="6" spans="1:17" ht="15" customHeight="1" x14ac:dyDescent="0.2">
      <c r="A6" t="s">
        <v>1088</v>
      </c>
      <c r="B6" t="b">
        <v>0</v>
      </c>
      <c r="E6" s="80"/>
      <c r="F6" t="s">
        <v>1297</v>
      </c>
      <c r="G6" s="15">
        <v>157.30000000000001</v>
      </c>
      <c r="H6" s="15">
        <v>149.6</v>
      </c>
      <c r="I6" s="15">
        <v>139.80000000000001</v>
      </c>
      <c r="J6" s="15">
        <v>154.5</v>
      </c>
      <c r="K6" s="15"/>
      <c r="L6" s="15"/>
      <c r="M6" s="15"/>
      <c r="N6" s="15"/>
      <c r="O6" s="15"/>
    </row>
    <row r="7" spans="1:17" ht="15.75" customHeight="1" x14ac:dyDescent="0.2">
      <c r="E7" s="80"/>
      <c r="F7" s="47" t="s">
        <v>1290</v>
      </c>
      <c r="G7" s="15">
        <v>204.4</v>
      </c>
      <c r="H7" s="15">
        <v>199.7</v>
      </c>
      <c r="I7" s="15">
        <v>185.9</v>
      </c>
      <c r="J7" s="15">
        <v>213.6</v>
      </c>
      <c r="K7" s="15"/>
      <c r="L7" s="15"/>
      <c r="M7" s="15"/>
      <c r="N7" s="15"/>
      <c r="O7" s="15"/>
    </row>
    <row r="8" spans="1:17" x14ac:dyDescent="0.2">
      <c r="E8" s="80"/>
      <c r="F8" s="47" t="s">
        <v>1292</v>
      </c>
      <c r="G8" s="15">
        <v>119.6</v>
      </c>
      <c r="H8" s="15">
        <v>100.7</v>
      </c>
      <c r="I8" s="15">
        <v>90.6</v>
      </c>
      <c r="J8" s="15">
        <v>127.1</v>
      </c>
      <c r="K8" s="15"/>
      <c r="L8" s="15"/>
      <c r="M8" s="15"/>
      <c r="N8" s="15"/>
      <c r="O8" s="15"/>
    </row>
    <row r="9" spans="1:17" x14ac:dyDescent="0.2">
      <c r="A9" s="83" t="s">
        <v>1098</v>
      </c>
      <c r="B9" s="80"/>
      <c r="E9" s="80"/>
      <c r="F9" s="47" t="s">
        <v>1293</v>
      </c>
      <c r="G9" s="15">
        <v>62.3</v>
      </c>
      <c r="H9" s="15">
        <v>56.2</v>
      </c>
      <c r="I9" s="15">
        <v>58.1</v>
      </c>
      <c r="J9" s="15">
        <v>41.7</v>
      </c>
      <c r="K9" s="15"/>
      <c r="L9" s="15"/>
      <c r="M9" s="15"/>
      <c r="N9" s="15"/>
      <c r="O9" s="15"/>
    </row>
    <row r="10" spans="1:17" x14ac:dyDescent="0.2">
      <c r="A10" t="s">
        <v>1100</v>
      </c>
      <c r="B10" t="s">
        <v>1304</v>
      </c>
      <c r="E10" s="80"/>
      <c r="F10" s="47" t="s">
        <v>1015</v>
      </c>
      <c r="G10" s="15">
        <v>54.1</v>
      </c>
      <c r="H10">
        <v>51.4</v>
      </c>
      <c r="I10">
        <v>73.599999999999994</v>
      </c>
      <c r="J10">
        <v>70</v>
      </c>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800-000000000000}">
      <formula1>"Line,Clustered Bar,Stacked Bar,Bar,Horizontal Stacked Bar"</formula1>
    </dataValidation>
    <dataValidation type="list" allowBlank="1" showInputMessage="1" showErrorMessage="1" sqref="B2" xr:uid="{00000000-0002-0000-5800-000001000000}">
      <formula1>"Table,Figure,Both"</formula1>
    </dataValidation>
    <dataValidation type="list" allowBlank="1" showInputMessage="1" showErrorMessage="1" sqref="B6 B15:B16" xr:uid="{00000000-0002-0000-5800-000002000000}">
      <formula1>"True,False"</formula1>
    </dataValidation>
  </dataValidation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Q57"/>
  <sheetViews>
    <sheetView workbookViewId="0">
      <selection activeCell="F7" sqref="F7:F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295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tbl-neoplasm-mortal-zip</v>
      </c>
    </row>
    <row r="4" spans="1:17" x14ac:dyDescent="0.2">
      <c r="A4" s="16" t="s">
        <v>7</v>
      </c>
      <c r="B4" t="str">
        <f>IF($B$1="","",_xlfn.XLOOKUP($B$1,Master!$F$2:$F$321,Master!$H$2:$H$321,""))</f>
        <v>fig-neoplasm-mortal-zip</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1715</v>
      </c>
      <c r="G5">
        <v>2020</v>
      </c>
      <c r="H5">
        <v>2021</v>
      </c>
      <c r="I5">
        <v>2022</v>
      </c>
      <c r="J5">
        <v>2023</v>
      </c>
    </row>
    <row r="6" spans="1:17" ht="15" customHeight="1" x14ac:dyDescent="0.2">
      <c r="A6" t="s">
        <v>1088</v>
      </c>
      <c r="B6" t="b">
        <v>0</v>
      </c>
      <c r="E6" s="80"/>
      <c r="F6" t="s">
        <v>1297</v>
      </c>
      <c r="G6" s="15">
        <v>157.30000000000001</v>
      </c>
      <c r="H6" s="15">
        <v>149.6</v>
      </c>
      <c r="I6" s="15">
        <v>139.80000000000001</v>
      </c>
      <c r="J6" s="15">
        <v>154.5</v>
      </c>
      <c r="K6" s="15"/>
      <c r="L6" s="15"/>
      <c r="M6" s="15"/>
      <c r="N6" s="15"/>
      <c r="O6" s="15"/>
    </row>
    <row r="7" spans="1:17" ht="15.75" customHeight="1" x14ac:dyDescent="0.2">
      <c r="E7" s="80"/>
      <c r="F7" s="37">
        <v>10940</v>
      </c>
      <c r="G7" s="15">
        <v>172</v>
      </c>
      <c r="H7" s="15">
        <v>147.30000000000001</v>
      </c>
      <c r="I7" s="15">
        <v>158.1</v>
      </c>
      <c r="J7" s="15">
        <v>150.69999999999999</v>
      </c>
      <c r="K7" s="15"/>
      <c r="L7" s="15"/>
      <c r="M7" s="15"/>
      <c r="N7" s="15"/>
      <c r="O7" s="15"/>
    </row>
    <row r="8" spans="1:17" x14ac:dyDescent="0.2">
      <c r="E8" s="80"/>
      <c r="F8" s="37">
        <v>10950</v>
      </c>
      <c r="G8" s="15">
        <v>306.3</v>
      </c>
      <c r="H8" s="15">
        <v>222</v>
      </c>
      <c r="I8" s="15">
        <v>255.1</v>
      </c>
      <c r="J8" s="15">
        <v>216.8</v>
      </c>
      <c r="K8" s="15"/>
      <c r="L8" s="15"/>
      <c r="M8" s="15"/>
      <c r="N8" s="15"/>
      <c r="O8" s="15"/>
    </row>
    <row r="9" spans="1:17" x14ac:dyDescent="0.2">
      <c r="A9" s="83" t="s">
        <v>1098</v>
      </c>
      <c r="B9" s="80"/>
      <c r="E9" s="80"/>
      <c r="F9" s="37">
        <v>12550</v>
      </c>
      <c r="G9" s="15">
        <v>300</v>
      </c>
      <c r="H9" s="15">
        <v>294.7</v>
      </c>
      <c r="I9" s="15">
        <v>244.4</v>
      </c>
      <c r="J9" s="15">
        <v>289.39999999999998</v>
      </c>
      <c r="K9" s="15"/>
      <c r="L9" s="15"/>
      <c r="M9" s="15"/>
      <c r="N9" s="15"/>
      <c r="O9" s="15"/>
    </row>
    <row r="10" spans="1:17" x14ac:dyDescent="0.2">
      <c r="A10" t="s">
        <v>1100</v>
      </c>
      <c r="B10" t="s">
        <v>1304</v>
      </c>
      <c r="E10" s="80"/>
      <c r="F10" s="37">
        <v>12771</v>
      </c>
      <c r="G10" s="15">
        <v>215.2</v>
      </c>
      <c r="H10">
        <v>202.2</v>
      </c>
      <c r="I10">
        <v>186.8</v>
      </c>
      <c r="J10">
        <v>257.89999999999998</v>
      </c>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900-000000000000}">
      <formula1>"Line,Clustered Bar,Stacked Bar,Bar,Horizontal Stacked Bar"</formula1>
    </dataValidation>
    <dataValidation type="list" allowBlank="1" showInputMessage="1" showErrorMessage="1" sqref="B2" xr:uid="{00000000-0002-0000-5900-000001000000}">
      <formula1>"Table,Figure,Both"</formula1>
    </dataValidation>
    <dataValidation type="list" allowBlank="1" showInputMessage="1" showErrorMessage="1" sqref="B6 B15:B16" xr:uid="{00000000-0002-0000-5900-000002000000}">
      <formula1>"True,False"</formula1>
    </dataValidation>
  </dataValidation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298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tbl-neoplasm-mortal-sex-aar</v>
      </c>
    </row>
    <row r="4" spans="1:17" x14ac:dyDescent="0.2">
      <c r="A4" s="16" t="s">
        <v>7</v>
      </c>
      <c r="B4" t="str">
        <f>IF($B$1="","",_xlfn.XLOOKUP($B$1,Master!$F$2:$F$321,Master!$H$2:$H$321,""))</f>
        <v>fig-neoplasm-mortal-sex-aar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160.69999999999999</v>
      </c>
      <c r="H6" s="15">
        <v>147.19999999999999</v>
      </c>
      <c r="I6" s="15">
        <v>139.9</v>
      </c>
      <c r="J6" s="15">
        <v>159.6</v>
      </c>
      <c r="K6" s="15"/>
      <c r="L6" s="15"/>
      <c r="M6" s="15"/>
      <c r="N6" s="15"/>
      <c r="O6" s="15"/>
    </row>
    <row r="7" spans="1:17" ht="15.75" customHeight="1" x14ac:dyDescent="0.2">
      <c r="E7" s="80"/>
      <c r="F7" t="s">
        <v>1306</v>
      </c>
      <c r="G7" s="15">
        <v>131.5</v>
      </c>
      <c r="H7" s="15">
        <v>129.5</v>
      </c>
      <c r="I7" s="15">
        <v>118.1</v>
      </c>
      <c r="J7" s="15">
        <v>126.1</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A00-000000000000}">
      <formula1>"Line,Clustered Bar,Stacked Bar,Bar,Horizontal Stacked Bar"</formula1>
    </dataValidation>
    <dataValidation type="list" allowBlank="1" showInputMessage="1" showErrorMessage="1" sqref="B2" xr:uid="{00000000-0002-0000-5A00-000001000000}">
      <formula1>"Table,Figure,Both"</formula1>
    </dataValidation>
    <dataValidation type="list" allowBlank="1" showInputMessage="1" showErrorMessage="1" sqref="B6 B15:B16" xr:uid="{00000000-0002-0000-5A00-000002000000}">
      <formula1>"True,False"</formula1>
    </dataValidation>
  </dataValidation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Q57"/>
  <sheetViews>
    <sheetView workbookViewId="0">
      <selection activeCell="L31" sqref="L3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301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tbl-cancerall-mortal-aar-three</v>
      </c>
    </row>
    <row r="4" spans="1:17" x14ac:dyDescent="0.2">
      <c r="A4" s="16" t="s">
        <v>7</v>
      </c>
      <c r="B4" t="str">
        <f>IF($B$1="","",_xlfn.XLOOKUP($B$1,Master!$F$2:$F$321,Master!$H$2:$H$321,""))</f>
        <v>fig-cancerall-mortal-aar-three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196</v>
      </c>
      <c r="H6" s="15">
        <v>194.6</v>
      </c>
      <c r="I6" s="15">
        <v>183.3</v>
      </c>
      <c r="J6" s="15">
        <v>156.4</v>
      </c>
      <c r="K6" s="15"/>
      <c r="L6" s="15"/>
      <c r="M6" s="15"/>
      <c r="N6" s="15"/>
      <c r="O6" s="15"/>
    </row>
    <row r="7" spans="1:17" ht="15.75" customHeight="1" x14ac:dyDescent="0.2">
      <c r="E7" s="80"/>
      <c r="F7" t="s">
        <v>1645</v>
      </c>
      <c r="G7" s="15">
        <v>128.1</v>
      </c>
      <c r="H7" s="15">
        <v>135.1</v>
      </c>
      <c r="I7" s="15">
        <v>127.1</v>
      </c>
      <c r="J7" s="15">
        <v>117</v>
      </c>
      <c r="K7" s="15"/>
      <c r="L7" s="15"/>
      <c r="M7" s="15"/>
      <c r="N7" s="15"/>
      <c r="O7" s="15"/>
    </row>
    <row r="8" spans="1:17" x14ac:dyDescent="0.2">
      <c r="E8" s="80"/>
      <c r="F8" t="s">
        <v>1298</v>
      </c>
      <c r="G8" s="15">
        <v>146.80000000000001</v>
      </c>
      <c r="H8" s="15">
        <v>144.80000000000001</v>
      </c>
      <c r="I8" s="15">
        <v>138.6</v>
      </c>
      <c r="J8" s="15">
        <v>135.9</v>
      </c>
      <c r="K8" s="15"/>
      <c r="L8" s="15"/>
      <c r="M8" s="15"/>
      <c r="N8" s="15"/>
      <c r="O8" s="15"/>
    </row>
    <row r="9" spans="1:17" x14ac:dyDescent="0.2">
      <c r="A9" s="83" t="s">
        <v>1098</v>
      </c>
      <c r="B9" s="80"/>
      <c r="E9" s="80"/>
      <c r="F9" t="s">
        <v>1299</v>
      </c>
      <c r="G9" s="15">
        <v>138.9</v>
      </c>
      <c r="H9" s="15">
        <v>134.6</v>
      </c>
      <c r="I9" s="15">
        <v>129.5</v>
      </c>
      <c r="J9" s="15">
        <v>123.7</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B00-000000000000}">
      <formula1>"Line,Clustered Bar,Stacked Bar,Bar,Horizontal Stacked Bar"</formula1>
    </dataValidation>
    <dataValidation type="list" allowBlank="1" showInputMessage="1" showErrorMessage="1" sqref="B2" xr:uid="{00000000-0002-0000-5B00-000001000000}">
      <formula1>"Table,Figure,Both"</formula1>
    </dataValidation>
    <dataValidation type="list" allowBlank="1" showInputMessage="1" showErrorMessage="1" sqref="B6 B15:B16" xr:uid="{00000000-0002-0000-5B00-000002000000}">
      <formula1>"True,False"</formula1>
    </dataValidation>
  </dataValidation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Q57"/>
  <sheetViews>
    <sheetView workbookViewId="0">
      <selection activeCell="L21" sqref="L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304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tbl-cancerall-mortal-aar-five</v>
      </c>
    </row>
    <row r="4" spans="1:17" x14ac:dyDescent="0.2">
      <c r="A4" s="16" t="s">
        <v>7</v>
      </c>
      <c r="B4" t="str">
        <f>IF($B$1="","",_xlfn.XLOOKUP($B$1,Master!$F$2:$F$321,Master!$H$2:$H$321,""))</f>
        <v>fig-cancerall-mortal-aar-five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1757</v>
      </c>
      <c r="G6" s="15">
        <v>167.1</v>
      </c>
      <c r="H6" s="15">
        <v>138.6</v>
      </c>
      <c r="I6" s="15">
        <v>101.2</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C00-000000000000}">
      <formula1>"Line,Clustered Bar,Stacked Bar,Bar,Horizontal Stacked Bar"</formula1>
    </dataValidation>
    <dataValidation type="list" allowBlank="1" showInputMessage="1" showErrorMessage="1" sqref="B2" xr:uid="{00000000-0002-0000-5C00-000001000000}">
      <formula1>"Table,Figure,Both"</formula1>
    </dataValidation>
    <dataValidation type="list" allowBlank="1" showInputMessage="1" showErrorMessage="1" sqref="B6 B15:B16" xr:uid="{00000000-0002-0000-5C00-000002000000}">
      <formula1>"True,False"</formula1>
    </dataValidation>
  </dataValidation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Q57"/>
  <sheetViews>
    <sheetView workbookViewId="0">
      <selection activeCell="J24" sqref="J2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18.1640625" bestFit="1" customWidth="1"/>
    <col min="10" max="10" width="41.5" bestFit="1" customWidth="1"/>
    <col min="11" max="11" width="33" bestFit="1" customWidth="1"/>
    <col min="12" max="12" width="18.5" bestFit="1" customWidth="1"/>
    <col min="13" max="13" width="12.1640625" bestFit="1" customWidth="1"/>
    <col min="14" max="14" width="12.33203125" bestFit="1" customWidth="1"/>
    <col min="15" max="16" width="12.5" bestFit="1" customWidth="1"/>
  </cols>
  <sheetData>
    <row r="1" spans="1:17" x14ac:dyDescent="0.2">
      <c r="A1" s="16" t="s">
        <v>1077</v>
      </c>
      <c r="B1" s="79" t="s">
        <v>307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tbl-cancerall-incidence-rande-aar-five</v>
      </c>
    </row>
    <row r="4" spans="1:17" x14ac:dyDescent="0.2">
      <c r="A4" s="16" t="s">
        <v>7</v>
      </c>
      <c r="B4" t="str">
        <f>IF($B$1="","",_xlfn.XLOOKUP($B$1,Master!$F$2:$F$321,Master!$H$2:$H$321,""))</f>
        <v>fig-cancerall-incidence-rande-aar-five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167.1</v>
      </c>
      <c r="H6" s="15">
        <v>169.8</v>
      </c>
      <c r="I6" s="15">
        <v>189.2</v>
      </c>
      <c r="J6" s="15" t="s">
        <v>1031</v>
      </c>
      <c r="K6" s="15">
        <v>206.8</v>
      </c>
      <c r="L6" s="15">
        <v>114.6</v>
      </c>
      <c r="M6" s="15"/>
      <c r="N6" s="15"/>
      <c r="O6" s="15"/>
    </row>
    <row r="7" spans="1:17" ht="15.75" customHeight="1" x14ac:dyDescent="0.2">
      <c r="E7" s="80"/>
      <c r="F7" t="s">
        <v>1298</v>
      </c>
      <c r="G7" s="15">
        <v>138.6</v>
      </c>
      <c r="H7" s="15">
        <v>142.6</v>
      </c>
      <c r="I7" s="15">
        <v>150.5</v>
      </c>
      <c r="J7" s="15">
        <v>121.1</v>
      </c>
      <c r="K7" s="15">
        <v>81.2</v>
      </c>
      <c r="L7" s="15">
        <v>90</v>
      </c>
      <c r="M7" s="15"/>
      <c r="N7" s="15"/>
      <c r="O7" s="15"/>
    </row>
    <row r="8" spans="1:17" x14ac:dyDescent="0.2">
      <c r="E8" s="80"/>
      <c r="F8" t="s">
        <v>1299</v>
      </c>
      <c r="G8" s="15">
        <v>126.6</v>
      </c>
      <c r="H8" s="15">
        <v>134.30000000000001</v>
      </c>
      <c r="I8" s="15">
        <v>132.30000000000001</v>
      </c>
      <c r="J8" s="15">
        <v>121.1</v>
      </c>
      <c r="K8" s="15">
        <v>83.7</v>
      </c>
      <c r="L8" s="15">
        <v>94.1</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D00-000000000000}">
      <formula1>"Line,Clustered Bar,Stacked Bar,Bar,Horizontal Stacked Bar"</formula1>
    </dataValidation>
    <dataValidation type="list" allowBlank="1" showInputMessage="1" showErrorMessage="1" sqref="B2" xr:uid="{00000000-0002-0000-5D00-000001000000}">
      <formula1>"Table,Figure,Both"</formula1>
    </dataValidation>
    <dataValidation type="list" allowBlank="1" showInputMessage="1" showErrorMessage="1" sqref="B6 B15:B16" xr:uid="{00000000-0002-0000-5D00-000002000000}">
      <formula1>"True,False"</formula1>
    </dataValidation>
  </dataValidation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Q57"/>
  <sheetViews>
    <sheetView workbookViewId="0">
      <selection activeCell="F15" sqref="F1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310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tbl-lungbronchus-incidence-aar-single</v>
      </c>
    </row>
    <row r="4" spans="1:17" x14ac:dyDescent="0.2">
      <c r="A4" s="16" t="s">
        <v>7</v>
      </c>
      <c r="B4" t="str">
        <f>IF($B$1="","",_xlfn.XLOOKUP($B$1,Master!$F$2:$F$321,Master!$H$2:$H$321,""))</f>
        <v>fig-lungbronchus-incidence-aar-single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62.7</v>
      </c>
      <c r="H6" s="15">
        <v>62.5</v>
      </c>
      <c r="I6" s="15">
        <v>61.8</v>
      </c>
      <c r="J6" s="15">
        <v>59.8</v>
      </c>
      <c r="K6" s="15"/>
      <c r="L6" s="15"/>
      <c r="M6" s="15"/>
      <c r="N6" s="15"/>
      <c r="O6" s="15"/>
    </row>
    <row r="7" spans="1:17" ht="15.75" customHeight="1" x14ac:dyDescent="0.2">
      <c r="E7" s="80"/>
      <c r="F7" t="s">
        <v>1645</v>
      </c>
      <c r="G7" s="15">
        <v>54.7</v>
      </c>
      <c r="H7" s="15">
        <v>53.7</v>
      </c>
      <c r="I7" s="15">
        <v>52.3</v>
      </c>
      <c r="J7" s="15">
        <v>47</v>
      </c>
      <c r="K7" s="15"/>
      <c r="L7" s="15"/>
      <c r="M7" s="15"/>
      <c r="N7" s="15"/>
      <c r="O7" s="15"/>
    </row>
    <row r="8" spans="1:17" x14ac:dyDescent="0.2">
      <c r="E8" s="80"/>
      <c r="F8" t="s">
        <v>1298</v>
      </c>
      <c r="G8" s="15">
        <v>66.400000000000006</v>
      </c>
      <c r="H8" s="15">
        <v>64.2</v>
      </c>
      <c r="I8" s="15">
        <v>62.3</v>
      </c>
      <c r="J8" s="15">
        <v>55.5</v>
      </c>
      <c r="K8" s="15"/>
      <c r="L8" s="15"/>
      <c r="M8" s="15"/>
      <c r="N8" s="15"/>
      <c r="O8" s="15"/>
    </row>
    <row r="9" spans="1:17" x14ac:dyDescent="0.2">
      <c r="A9" s="83" t="s">
        <v>1098</v>
      </c>
      <c r="B9" s="80"/>
      <c r="E9" s="80"/>
      <c r="F9" t="s">
        <v>1299</v>
      </c>
      <c r="G9" s="15">
        <v>59</v>
      </c>
      <c r="H9" s="15">
        <v>56.9</v>
      </c>
      <c r="I9" s="15">
        <v>54.9</v>
      </c>
      <c r="J9" s="15">
        <v>47.7</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E00-000000000000}">
      <formula1>"Line,Clustered Bar,Stacked Bar,Bar,Horizontal Stacked Bar"</formula1>
    </dataValidation>
    <dataValidation type="list" allowBlank="1" showInputMessage="1" showErrorMessage="1" sqref="B2" xr:uid="{00000000-0002-0000-5E00-000001000000}">
      <formula1>"Table,Figure,Both"</formula1>
    </dataValidation>
    <dataValidation type="list" allowBlank="1" showInputMessage="1" showErrorMessage="1" sqref="B6 B15:B16" xr:uid="{00000000-0002-0000-5E00-000002000000}">
      <formula1>"True,False"</formula1>
    </dataValidation>
  </dataValidation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tbl-lungbronchus-incidence-aar-five</v>
      </c>
    </row>
    <row r="4" spans="1:17" x14ac:dyDescent="0.2">
      <c r="A4" s="16" t="s">
        <v>7</v>
      </c>
      <c r="B4" t="str">
        <f>IF($B$1="","",_xlfn.XLOOKUP($B$1,Master!$F$2:$F$321,Master!$H$2:$H$321,""))</f>
        <v>fig-lungbronchus-incidence-aar-five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1757</v>
      </c>
      <c r="G6" s="15">
        <v>59.9</v>
      </c>
      <c r="H6" s="15">
        <v>59.9</v>
      </c>
      <c r="I6" s="15">
        <v>52.4</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tr">
        <f>F5</f>
        <v>Year</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5F00-000000000000}">
      <formula1>"Line,Clustered Bar,Stacked Bar,Bar,Horizontal Stacked Bar"</formula1>
    </dataValidation>
    <dataValidation type="list" allowBlank="1" showInputMessage="1" showErrorMessage="1" sqref="B2" xr:uid="{00000000-0002-0000-5F00-000001000000}">
      <formula1>"Table,Figure,Both"</formula1>
    </dataValidation>
    <dataValidation type="list" allowBlank="1" showInputMessage="1" showErrorMessage="1" sqref="B6 B15:B16" xr:uid="{00000000-0002-0000-5F00-000002000000}">
      <formula1>"True,False"</formula1>
    </dataValidation>
  </dataValidation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Q57"/>
  <sheetViews>
    <sheetView workbookViewId="0">
      <selection activeCell="J23" sqref="J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316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tbl-lungbronchus-incidence-rande-aar-five</v>
      </c>
    </row>
    <row r="4" spans="1:17" x14ac:dyDescent="0.2">
      <c r="A4" s="16" t="s">
        <v>7</v>
      </c>
      <c r="B4" t="str">
        <f>IF($B$1="","",_xlfn.XLOOKUP($B$1,Master!$F$2:$F$321,Master!$H$2:$H$321,""))</f>
        <v>fig-lungbronchus-incidence-rande-aar-five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59.9</v>
      </c>
      <c r="H6" s="15">
        <v>66</v>
      </c>
      <c r="I6" s="15">
        <v>48.8</v>
      </c>
      <c r="J6" s="15" t="s">
        <v>1031</v>
      </c>
      <c r="K6" s="15">
        <v>28.8</v>
      </c>
      <c r="L6" s="15">
        <v>36.299999999999997</v>
      </c>
      <c r="M6" s="15"/>
      <c r="N6" s="15"/>
      <c r="O6" s="15"/>
    </row>
    <row r="7" spans="1:17" ht="15.75" customHeight="1" x14ac:dyDescent="0.2">
      <c r="E7" s="80"/>
      <c r="F7" t="s">
        <v>1298</v>
      </c>
      <c r="G7" s="15">
        <v>59.9</v>
      </c>
      <c r="H7" s="15">
        <v>63.4</v>
      </c>
      <c r="I7" s="15">
        <v>54.5</v>
      </c>
      <c r="J7" s="15">
        <v>70</v>
      </c>
      <c r="K7" s="15">
        <v>30.9</v>
      </c>
      <c r="L7" s="15">
        <v>31.7</v>
      </c>
      <c r="M7" s="15"/>
      <c r="N7" s="15"/>
      <c r="O7" s="15"/>
    </row>
    <row r="8" spans="1:17" x14ac:dyDescent="0.2">
      <c r="E8" s="80"/>
      <c r="F8" t="s">
        <v>1299</v>
      </c>
      <c r="G8" s="15">
        <v>52.4</v>
      </c>
      <c r="H8" s="15">
        <v>59.5</v>
      </c>
      <c r="I8" s="15">
        <v>43.2</v>
      </c>
      <c r="J8" s="15">
        <v>70</v>
      </c>
      <c r="K8" s="15">
        <v>42.4</v>
      </c>
      <c r="L8" s="15">
        <v>29</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000-000000000000}">
      <formula1>"Line,Clustered Bar,Stacked Bar,Bar,Horizontal Stacked Bar"</formula1>
    </dataValidation>
    <dataValidation type="list" allowBlank="1" showInputMessage="1" showErrorMessage="1" sqref="B2" xr:uid="{00000000-0002-0000-6000-000001000000}">
      <formula1>"Table,Figure,Both"</formula1>
    </dataValidation>
    <dataValidation type="list" allowBlank="1" showInputMessage="1" showErrorMessage="1" sqref="B6 B15:B16" xr:uid="{00000000-0002-0000-6000-000002000000}">
      <formula1>"True,False"</formula1>
    </dataValidation>
  </dataValidation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Q57"/>
  <sheetViews>
    <sheetView workbookViewId="0">
      <selection activeCell="I23" sqref="I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319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tbl-lungbronchus-mortal-aar-single</v>
      </c>
    </row>
    <row r="4" spans="1:17" x14ac:dyDescent="0.2">
      <c r="A4" s="16" t="s">
        <v>7</v>
      </c>
      <c r="B4" t="str">
        <f>IF($B$1="","",_xlfn.XLOOKUP($B$1,Master!$F$2:$F$321,Master!$H$2:$H$321,""))</f>
        <v>fig-lungbronchus-mortal-aar-single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44.6</v>
      </c>
      <c r="H6" s="15">
        <v>42.9</v>
      </c>
      <c r="I6" s="15">
        <v>39.9</v>
      </c>
      <c r="J6" s="15">
        <v>35.299999999999997</v>
      </c>
      <c r="K6" s="15"/>
      <c r="L6" s="15"/>
      <c r="M6" s="15"/>
      <c r="N6" s="15"/>
      <c r="O6" s="15"/>
    </row>
    <row r="7" spans="1:17" ht="15.75" customHeight="1" x14ac:dyDescent="0.2">
      <c r="E7" s="80"/>
      <c r="F7" t="s">
        <v>1645</v>
      </c>
      <c r="G7" s="15">
        <v>27.9</v>
      </c>
      <c r="H7" s="15">
        <v>28.8</v>
      </c>
      <c r="I7" s="15">
        <v>26.7</v>
      </c>
      <c r="J7" s="15">
        <v>23.4</v>
      </c>
      <c r="K7" s="15"/>
      <c r="L7" s="15"/>
      <c r="M7" s="15"/>
      <c r="N7" s="15"/>
      <c r="O7" s="15"/>
    </row>
    <row r="8" spans="1:17" x14ac:dyDescent="0.2">
      <c r="E8" s="80"/>
      <c r="F8" t="s">
        <v>1298</v>
      </c>
      <c r="G8" s="15">
        <v>35.4</v>
      </c>
      <c r="H8" s="15">
        <v>34.799999999999997</v>
      </c>
      <c r="I8" s="15">
        <v>32.6</v>
      </c>
      <c r="J8" s="15">
        <v>30.1</v>
      </c>
      <c r="K8" s="15"/>
      <c r="L8" s="15"/>
      <c r="M8" s="15"/>
      <c r="N8" s="15"/>
      <c r="O8" s="15"/>
    </row>
    <row r="9" spans="1:17" x14ac:dyDescent="0.2">
      <c r="A9" s="83" t="s">
        <v>1098</v>
      </c>
      <c r="B9" s="80"/>
      <c r="E9" s="80"/>
      <c r="F9" t="s">
        <v>1299</v>
      </c>
      <c r="G9" s="15">
        <v>30.9</v>
      </c>
      <c r="H9" s="15">
        <v>30</v>
      </c>
      <c r="I9" s="15">
        <v>27.8</v>
      </c>
      <c r="J9" s="15">
        <v>25.5</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100-000000000000}">
      <formula1>"Line,Clustered Bar,Stacked Bar,Bar,Horizontal Stacked Bar"</formula1>
    </dataValidation>
    <dataValidation type="list" allowBlank="1" showInputMessage="1" showErrorMessage="1" sqref="B2" xr:uid="{00000000-0002-0000-6100-000001000000}">
      <formula1>"Table,Figure,Both"</formula1>
    </dataValidation>
    <dataValidation type="list" allowBlank="1" showInputMessage="1" showErrorMessage="1" sqref="B6 B15:B16" xr:uid="{00000000-0002-0000-6100-000002000000}">
      <formula1>"True,False"</formula1>
    </dataValidation>
  </dataValidation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8.83203125" bestFit="1" customWidth="1"/>
    <col min="8" max="8" width="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322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tbl-lungbronchus-mortal-aar-five</v>
      </c>
    </row>
    <row r="4" spans="1:17" x14ac:dyDescent="0.2">
      <c r="A4" s="16" t="s">
        <v>7</v>
      </c>
      <c r="B4" t="str">
        <f>IF($B$1="","",_xlfn.XLOOKUP($B$1,Master!$F$2:$F$321,Master!$H$2:$H$321,""))</f>
        <v>fig-lungbronchus-mortal-aar-five</v>
      </c>
      <c r="E4" s="8"/>
      <c r="F4" s="10" t="s">
        <v>968</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37.9</v>
      </c>
      <c r="H6" s="15">
        <v>31.3</v>
      </c>
      <c r="I6" s="15">
        <v>26.5</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200-000000000000}">
      <formula1>"Line,Clustered Bar,Stacked Bar,Bar,Horizontal Stacked Bar"</formula1>
    </dataValidation>
    <dataValidation type="list" allowBlank="1" showInputMessage="1" showErrorMessage="1" sqref="B2" xr:uid="{00000000-0002-0000-6200-000001000000}">
      <formula1>"Table,Figure,Both"</formula1>
    </dataValidation>
    <dataValidation type="list" allowBlank="1" showInputMessage="1" showErrorMessage="1" sqref="B6 B15:B16" xr:uid="{00000000-0002-0000-6200-000002000000}">
      <formula1>"True,False"</formula1>
    </dataValidation>
  </dataValidation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Q57"/>
  <sheetViews>
    <sheetView workbookViewId="0">
      <selection activeCell="J26" sqref="J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7.5" bestFit="1" customWidth="1"/>
    <col min="8" max="8" width="8.1640625" customWidth="1"/>
    <col min="9" max="9" width="18.1640625" bestFit="1" customWidth="1"/>
    <col min="10" max="10" width="41.5" bestFit="1" customWidth="1"/>
    <col min="11" max="11" width="33" bestFit="1" customWidth="1"/>
    <col min="12" max="12" width="18.5" bestFit="1" customWidth="1"/>
    <col min="13" max="13" width="12.1640625" bestFit="1" customWidth="1"/>
    <col min="14" max="14" width="12.33203125" bestFit="1" customWidth="1"/>
    <col min="15" max="16" width="12.5" bestFit="1" customWidth="1"/>
  </cols>
  <sheetData>
    <row r="1" spans="1:17" x14ac:dyDescent="0.2">
      <c r="A1" s="16" t="s">
        <v>1077</v>
      </c>
      <c r="B1" s="79" t="s">
        <v>325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tbl-lungbronchus-mortal-rande-aar-five</v>
      </c>
    </row>
    <row r="4" spans="1:17" x14ac:dyDescent="0.2">
      <c r="A4" s="16" t="s">
        <v>7</v>
      </c>
      <c r="B4" t="str">
        <f>IF($B$1="","",_xlfn.XLOOKUP($B$1,Master!$F$2:$F$321,Master!$H$2:$H$321,""))</f>
        <v>fig-lungbronchus-mortal-rande-aar-five</v>
      </c>
      <c r="E4" s="8"/>
      <c r="F4" s="10" t="s">
        <v>968</v>
      </c>
      <c r="G4" s="10" t="s">
        <v>968</v>
      </c>
      <c r="H4" s="10" t="s">
        <v>968</v>
      </c>
      <c r="I4" s="10" t="s">
        <v>968</v>
      </c>
      <c r="J4" s="10" t="s">
        <v>968</v>
      </c>
      <c r="K4" s="10" t="s">
        <v>968</v>
      </c>
      <c r="L4" s="10" t="s">
        <v>968</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37.9</v>
      </c>
      <c r="H6" s="15">
        <v>41.9</v>
      </c>
      <c r="I6" s="15">
        <v>31.7</v>
      </c>
      <c r="J6" s="15" t="s">
        <v>1031</v>
      </c>
      <c r="K6" s="15" t="s">
        <v>1031</v>
      </c>
      <c r="L6" s="15">
        <v>19.600000000000001</v>
      </c>
      <c r="M6" s="15"/>
      <c r="N6" s="15"/>
      <c r="O6" s="15"/>
    </row>
    <row r="7" spans="1:17" ht="15.75" customHeight="1" x14ac:dyDescent="0.2">
      <c r="E7" s="80"/>
      <c r="F7" t="s">
        <v>1298</v>
      </c>
      <c r="G7" s="15">
        <v>31.3</v>
      </c>
      <c r="H7" s="15">
        <v>33.4</v>
      </c>
      <c r="I7" s="15">
        <v>28.5</v>
      </c>
      <c r="J7" s="15">
        <v>35.1</v>
      </c>
      <c r="K7" s="15">
        <v>14.2</v>
      </c>
      <c r="L7" s="15">
        <v>12.9</v>
      </c>
      <c r="M7" s="15"/>
      <c r="N7" s="15"/>
      <c r="O7" s="15"/>
    </row>
    <row r="8" spans="1:17" x14ac:dyDescent="0.2">
      <c r="E8" s="80"/>
      <c r="F8" t="s">
        <v>1299</v>
      </c>
      <c r="G8" s="15">
        <v>26.5</v>
      </c>
      <c r="H8" s="15">
        <v>30.5</v>
      </c>
      <c r="I8" s="15">
        <v>22.2</v>
      </c>
      <c r="J8" s="15">
        <v>35.1</v>
      </c>
      <c r="K8" s="15">
        <v>18</v>
      </c>
      <c r="L8" s="15">
        <v>13.7</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tr">
        <f>G5</f>
        <v>Total</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t="s">
        <v>1773</v>
      </c>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300-000000000000}">
      <formula1>"Line,Clustered Bar,Stacked Bar,Bar,Horizontal Stacked Bar"</formula1>
    </dataValidation>
    <dataValidation type="list" allowBlank="1" showInputMessage="1" showErrorMessage="1" sqref="B2" xr:uid="{00000000-0002-0000-6300-000001000000}">
      <formula1>"Table,Figure,Both"</formula1>
    </dataValidation>
    <dataValidation type="list" allowBlank="1" showInputMessage="1" showErrorMessage="1" sqref="B6 B15:B16" xr:uid="{00000000-0002-0000-6300-000002000000}">
      <formula1>"True,False"</formula1>
    </dataValidation>
  </dataValidation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328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tbl-colonrectum-incidence-aar-five</v>
      </c>
    </row>
    <row r="4" spans="1:17" x14ac:dyDescent="0.2">
      <c r="A4" s="16" t="s">
        <v>7</v>
      </c>
      <c r="B4" t="str">
        <f>IF($B$1="","",_xlfn.XLOOKUP($B$1,Master!$F$2:$F$321,Master!$H$2:$H$321,""))</f>
        <v>fig-colonrectum-incidence-aar-five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36</v>
      </c>
      <c r="H6" s="15">
        <v>36.799999999999997</v>
      </c>
      <c r="I6" s="15">
        <v>35.799999999999997</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400-000000000000}">
      <formula1>"Line,Clustered Bar,Stacked Bar,Bar,Horizontal Stacked Bar"</formula1>
    </dataValidation>
    <dataValidation type="list" allowBlank="1" showInputMessage="1" showErrorMessage="1" sqref="B2" xr:uid="{00000000-0002-0000-6400-000001000000}">
      <formula1>"Table,Figure,Both"</formula1>
    </dataValidation>
    <dataValidation type="list" allowBlank="1" showInputMessage="1" showErrorMessage="1" sqref="B6 B15:B16" xr:uid="{00000000-0002-0000-6400-000002000000}">
      <formula1>"True,False"</formula1>
    </dataValidation>
  </dataValidation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Q57"/>
  <sheetViews>
    <sheetView workbookViewId="0">
      <selection activeCell="I21" sqref="I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331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tbl-colonrectum-incidence-rande-aar-five</v>
      </c>
    </row>
    <row r="4" spans="1:17" x14ac:dyDescent="0.2">
      <c r="A4" s="16" t="s">
        <v>7</v>
      </c>
      <c r="B4" t="str">
        <f>IF($B$1="","",_xlfn.XLOOKUP($B$1,Master!$F$2:$F$321,Master!$H$2:$H$321,""))</f>
        <v>fig-colonrectum-incidence-rande-aar-five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36</v>
      </c>
      <c r="H6" s="15">
        <v>37.799999999999997</v>
      </c>
      <c r="I6" s="15">
        <v>30.3</v>
      </c>
      <c r="J6" s="15" t="s">
        <v>1031</v>
      </c>
      <c r="K6" s="15">
        <v>26.2</v>
      </c>
      <c r="L6" s="15">
        <v>30.2</v>
      </c>
      <c r="M6" s="15"/>
      <c r="N6" s="15"/>
      <c r="O6" s="15"/>
    </row>
    <row r="7" spans="1:17" ht="15.75" customHeight="1" x14ac:dyDescent="0.2">
      <c r="E7" s="80"/>
      <c r="F7" t="s">
        <v>1298</v>
      </c>
      <c r="G7" s="15">
        <v>36.799999999999997</v>
      </c>
      <c r="H7" s="15">
        <v>37.200000000000003</v>
      </c>
      <c r="I7" s="15">
        <v>40.4</v>
      </c>
      <c r="J7" s="15">
        <v>38.700000000000003</v>
      </c>
      <c r="K7" s="15">
        <v>29.8</v>
      </c>
      <c r="L7" s="15">
        <v>30.1</v>
      </c>
      <c r="M7" s="15"/>
      <c r="N7" s="15"/>
      <c r="O7" s="15"/>
    </row>
    <row r="8" spans="1:17" x14ac:dyDescent="0.2">
      <c r="E8" s="80"/>
      <c r="F8" t="s">
        <v>1299</v>
      </c>
      <c r="G8" s="15">
        <v>35.799999999999997</v>
      </c>
      <c r="H8" s="15">
        <v>36.799999999999997</v>
      </c>
      <c r="I8" s="15">
        <v>37.299999999999997</v>
      </c>
      <c r="J8" s="15">
        <v>38.700000000000003</v>
      </c>
      <c r="K8" s="15">
        <v>30.1</v>
      </c>
      <c r="L8" s="15">
        <v>30.1</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tr">
        <f>F5</f>
        <v>Region</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500-000000000000}">
      <formula1>"Line,Clustered Bar,Stacked Bar,Bar,Horizontal Stacked Bar"</formula1>
    </dataValidation>
    <dataValidation type="list" allowBlank="1" showInputMessage="1" showErrorMessage="1" sqref="B2" xr:uid="{00000000-0002-0000-6500-000001000000}">
      <formula1>"Table,Figure,Both"</formula1>
    </dataValidation>
    <dataValidation type="list" allowBlank="1" showInputMessage="1" showErrorMessage="1" sqref="B6 B15:B16" xr:uid="{00000000-0002-0000-6500-000002000000}">
      <formula1>"True,False"</formula1>
    </dataValidation>
  </dataValidation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334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tbl-colonrectum-mortal-aar-five</v>
      </c>
    </row>
    <row r="4" spans="1:17" x14ac:dyDescent="0.2">
      <c r="A4" s="16" t="s">
        <v>7</v>
      </c>
      <c r="B4" t="str">
        <f>IF($B$1="","",_xlfn.XLOOKUP($B$1,Master!$F$2:$F$321,Master!$H$2:$H$321,""))</f>
        <v>fig-colonrectum-mortal-aar-five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14.8</v>
      </c>
      <c r="H6" s="15">
        <v>11.4</v>
      </c>
      <c r="I6" s="15">
        <v>10.9</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tr">
        <f>$F$5</f>
        <v>Year</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600-000000000000}">
      <formula1>"Line,Clustered Bar,Stacked Bar,Bar,Horizontal Stacked Bar"</formula1>
    </dataValidation>
    <dataValidation type="list" allowBlank="1" showInputMessage="1" showErrorMessage="1" sqref="B2" xr:uid="{00000000-0002-0000-6600-000001000000}">
      <formula1>"Table,Figure,Both"</formula1>
    </dataValidation>
    <dataValidation type="list" allowBlank="1" showInputMessage="1" showErrorMessage="1" sqref="B6 B15:B16" xr:uid="{00000000-0002-0000-6600-000002000000}">
      <formula1>"True,False"</formula1>
    </dataValidation>
  </dataValidation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Q57"/>
  <sheetViews>
    <sheetView workbookViewId="0">
      <selection activeCell="G13" sqref="G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337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tbl-colonrectum-mortal-rande-aar-five</v>
      </c>
    </row>
    <row r="4" spans="1:17" x14ac:dyDescent="0.2">
      <c r="A4" s="16" t="s">
        <v>7</v>
      </c>
      <c r="B4" t="str">
        <f>IF($B$1="","",_xlfn.XLOOKUP($B$1,Master!$F$2:$F$321,Master!$H$2:$H$321,""))</f>
        <v>fig-colonrectum-mortal-rande-aar-five</v>
      </c>
      <c r="E4" s="8"/>
      <c r="F4" s="10" t="s">
        <v>1009</v>
      </c>
      <c r="G4" s="10" t="s">
        <v>968</v>
      </c>
      <c r="H4" s="10" t="s">
        <v>968</v>
      </c>
      <c r="I4" s="10" t="s">
        <v>968</v>
      </c>
      <c r="J4" s="10" t="s">
        <v>968</v>
      </c>
      <c r="K4" s="10" t="s">
        <v>968</v>
      </c>
      <c r="L4" s="10"/>
      <c r="M4" s="10"/>
      <c r="N4" s="10"/>
      <c r="O4" s="10"/>
      <c r="P4" s="10"/>
      <c r="Q4" s="10"/>
    </row>
    <row r="5" spans="1:17" x14ac:dyDescent="0.2">
      <c r="A5" s="83" t="s">
        <v>1081</v>
      </c>
      <c r="B5" s="80"/>
      <c r="E5" s="82" t="s">
        <v>1082</v>
      </c>
      <c r="F5" t="s">
        <v>1391</v>
      </c>
      <c r="G5" t="s">
        <v>1089</v>
      </c>
      <c r="H5" t="s">
        <v>1290</v>
      </c>
      <c r="I5" t="s">
        <v>1292</v>
      </c>
      <c r="J5" t="s">
        <v>1296</v>
      </c>
      <c r="K5" t="s">
        <v>1762</v>
      </c>
    </row>
    <row r="6" spans="1:17" ht="15" customHeight="1" x14ac:dyDescent="0.2">
      <c r="A6" t="s">
        <v>1088</v>
      </c>
      <c r="B6" t="b">
        <v>0</v>
      </c>
      <c r="E6" s="80"/>
      <c r="F6" t="s">
        <v>1297</v>
      </c>
      <c r="G6" s="15">
        <v>14.8</v>
      </c>
      <c r="H6" s="15">
        <v>14.3</v>
      </c>
      <c r="I6" s="15">
        <v>20.8</v>
      </c>
      <c r="J6" s="15" t="s">
        <v>1031</v>
      </c>
      <c r="K6" s="15">
        <v>10</v>
      </c>
      <c r="L6" s="15"/>
      <c r="M6" s="15"/>
      <c r="N6" s="15"/>
      <c r="O6" s="15"/>
    </row>
    <row r="7" spans="1:17" ht="15.75" customHeight="1" x14ac:dyDescent="0.2">
      <c r="E7" s="80"/>
      <c r="F7" t="s">
        <v>1298</v>
      </c>
      <c r="G7" s="15">
        <v>11.4</v>
      </c>
      <c r="H7" s="15">
        <v>11.5</v>
      </c>
      <c r="I7" s="15">
        <v>14.5</v>
      </c>
      <c r="J7" s="15">
        <v>8.6999999999999993</v>
      </c>
      <c r="K7" s="15">
        <v>7.9</v>
      </c>
      <c r="L7" s="15"/>
      <c r="M7" s="15"/>
      <c r="N7" s="15"/>
      <c r="O7" s="15"/>
    </row>
    <row r="8" spans="1:17" x14ac:dyDescent="0.2">
      <c r="E8" s="80"/>
      <c r="F8" t="s">
        <v>1299</v>
      </c>
      <c r="G8" s="15">
        <v>10.9</v>
      </c>
      <c r="H8" s="15">
        <v>11.1</v>
      </c>
      <c r="I8" s="15">
        <v>13.2</v>
      </c>
      <c r="J8" s="15">
        <v>7.8</v>
      </c>
      <c r="K8" s="15">
        <v>8.6</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tr">
        <f>$F$5</f>
        <v>Region</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700-000000000000}">
      <formula1>"Line,Clustered Bar,Stacked Bar,Bar,Horizontal Stacked Bar"</formula1>
    </dataValidation>
    <dataValidation type="list" allowBlank="1" showInputMessage="1" showErrorMessage="1" sqref="B2" xr:uid="{00000000-0002-0000-6700-000001000000}">
      <formula1>"Table,Figure,Both"</formula1>
    </dataValidation>
    <dataValidation type="list" allowBlank="1" showInputMessage="1" showErrorMessage="1" sqref="B6 B15:B16" xr:uid="{00000000-0002-0000-6700-000002000000}">
      <formula1>"True,False"</formula1>
    </dataValidation>
  </dataValidation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Q57"/>
  <sheetViews>
    <sheetView workbookViewId="0">
      <selection activeCell="J23" sqref="J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340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tbl-femalebreast-incidence-aar-single</v>
      </c>
    </row>
    <row r="4" spans="1:17" x14ac:dyDescent="0.2">
      <c r="A4" s="16" t="s">
        <v>7</v>
      </c>
      <c r="B4" t="str">
        <f>IF($B$1="","",_xlfn.XLOOKUP($B$1,Master!$F$2:$F$321,Master!$H$2:$H$321,""))</f>
        <v>fig-femalebreast-incidence-aar-single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139.80000000000001</v>
      </c>
      <c r="H6" s="15">
        <v>134.30000000000001</v>
      </c>
      <c r="I6" s="15">
        <v>127.3</v>
      </c>
      <c r="J6" s="15">
        <v>125.8</v>
      </c>
      <c r="K6" s="15"/>
      <c r="L6" s="15"/>
      <c r="M6" s="15"/>
      <c r="N6" s="15"/>
      <c r="O6" s="15"/>
    </row>
    <row r="7" spans="1:17" ht="15.75" customHeight="1" x14ac:dyDescent="0.2">
      <c r="E7" s="80"/>
      <c r="F7" t="s">
        <v>1645</v>
      </c>
      <c r="G7" s="15">
        <v>141</v>
      </c>
      <c r="H7" s="15">
        <v>136.69999999999999</v>
      </c>
      <c r="I7" s="15">
        <v>140.69999999999999</v>
      </c>
      <c r="J7" s="15">
        <v>124.8</v>
      </c>
      <c r="K7" s="15"/>
      <c r="L7" s="15"/>
      <c r="M7" s="15"/>
      <c r="N7" s="15"/>
      <c r="O7" s="15"/>
    </row>
    <row r="8" spans="1:17" x14ac:dyDescent="0.2">
      <c r="E8" s="80"/>
      <c r="F8" t="s">
        <v>1298</v>
      </c>
      <c r="G8" s="15">
        <v>141.1</v>
      </c>
      <c r="H8" s="15">
        <v>140.5</v>
      </c>
      <c r="I8" s="15">
        <v>145.9</v>
      </c>
      <c r="J8" s="15">
        <v>129.69999999999999</v>
      </c>
      <c r="K8" s="15"/>
      <c r="L8" s="15"/>
      <c r="M8" s="15"/>
      <c r="N8" s="15"/>
      <c r="O8" s="15"/>
    </row>
    <row r="9" spans="1:17" x14ac:dyDescent="0.2">
      <c r="A9" s="83" t="s">
        <v>1098</v>
      </c>
      <c r="B9" s="80"/>
      <c r="E9" s="80"/>
      <c r="F9" t="s">
        <v>1299</v>
      </c>
      <c r="G9" s="15">
        <v>135.6</v>
      </c>
      <c r="H9" s="15">
        <v>136.6</v>
      </c>
      <c r="I9" s="15">
        <v>139.5</v>
      </c>
      <c r="J9" s="15">
        <v>122.5</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tr">
        <f>$F$5</f>
        <v>Region</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800-000000000000}">
      <formula1>"Line,Clustered Bar,Stacked Bar,Bar,Horizontal Stacked Bar"</formula1>
    </dataValidation>
    <dataValidation type="list" allowBlank="1" showInputMessage="1" showErrorMessage="1" sqref="B2" xr:uid="{00000000-0002-0000-6800-000001000000}">
      <formula1>"Table,Figure,Both"</formula1>
    </dataValidation>
    <dataValidation type="list" allowBlank="1" showInputMessage="1" showErrorMessage="1" sqref="B6 B15:B16" xr:uid="{00000000-0002-0000-6800-000002000000}">
      <formula1>"True,False"</formula1>
    </dataValidation>
  </dataValidation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343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tbl-femalebreast-incidence-aar-five</v>
      </c>
    </row>
    <row r="4" spans="1:17" x14ac:dyDescent="0.2">
      <c r="A4" s="16" t="s">
        <v>7</v>
      </c>
      <c r="B4" t="str">
        <f>IF($B$1="","",_xlfn.XLOOKUP($B$1,Master!$F$2:$F$321,Master!$H$2:$H$321,""))</f>
        <v>fig-femalebreast-incidence-aar-five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129.6</v>
      </c>
      <c r="H6" s="15">
        <v>141.19999999999999</v>
      </c>
      <c r="I6" s="15">
        <v>135.5</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900-000000000000}">
      <formula1>"Line,Clustered Bar,Stacked Bar,Bar,Horizontal Stacked Bar"</formula1>
    </dataValidation>
    <dataValidation type="list" allowBlank="1" showInputMessage="1" showErrorMessage="1" sqref="B2" xr:uid="{00000000-0002-0000-6900-000001000000}">
      <formula1>"Table,Figure,Both"</formula1>
    </dataValidation>
    <dataValidation type="list" allowBlank="1" showInputMessage="1" showErrorMessage="1" sqref="B6 B15:B16" xr:uid="{00000000-0002-0000-6900-000002000000}">
      <formula1>"True,False"</formula1>
    </dataValidation>
  </dataValidation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346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tbl-femalebreast-incidence-rande-aar-five</v>
      </c>
    </row>
    <row r="4" spans="1:17" x14ac:dyDescent="0.2">
      <c r="A4" s="16" t="s">
        <v>7</v>
      </c>
      <c r="B4" t="str">
        <f>IF($B$1="","",_xlfn.XLOOKUP($B$1,Master!$F$2:$F$321,Master!$H$2:$H$321,""))</f>
        <v>fig-femalebreast-incidence-rande-aar-five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129.6</v>
      </c>
      <c r="H6" s="15">
        <v>137.1</v>
      </c>
      <c r="I6" s="15">
        <v>129.9</v>
      </c>
      <c r="J6" s="15" t="s">
        <v>1031</v>
      </c>
      <c r="K6" s="15">
        <v>111.9</v>
      </c>
      <c r="L6" s="15">
        <v>95.8</v>
      </c>
      <c r="M6" s="15"/>
      <c r="N6" s="15"/>
      <c r="O6" s="15"/>
    </row>
    <row r="7" spans="1:17" ht="15.75" customHeight="1" x14ac:dyDescent="0.2">
      <c r="E7" s="80"/>
      <c r="F7" t="s">
        <v>1298</v>
      </c>
      <c r="G7" s="15">
        <v>141.19999999999999</v>
      </c>
      <c r="H7" s="15">
        <v>146.6</v>
      </c>
      <c r="I7" s="15">
        <v>134.1</v>
      </c>
      <c r="J7" s="15">
        <v>122.8</v>
      </c>
      <c r="K7" s="15">
        <v>122.5</v>
      </c>
      <c r="L7" s="15">
        <v>100.6</v>
      </c>
      <c r="M7" s="15"/>
      <c r="N7" s="15"/>
      <c r="O7" s="15"/>
    </row>
    <row r="8" spans="1:17" x14ac:dyDescent="0.2">
      <c r="E8" s="80"/>
      <c r="F8" t="s">
        <v>1299</v>
      </c>
      <c r="G8" s="15">
        <v>135.5</v>
      </c>
      <c r="H8" s="15">
        <v>147.30000000000001</v>
      </c>
      <c r="I8" s="15">
        <v>128.4</v>
      </c>
      <c r="J8" s="15">
        <v>122.8</v>
      </c>
      <c r="K8" s="15">
        <v>116</v>
      </c>
      <c r="L8" s="15">
        <v>98.6</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A00-000000000000}">
      <formula1>"Line,Clustered Bar,Stacked Bar,Bar,Horizontal Stacked Bar"</formula1>
    </dataValidation>
    <dataValidation type="list" allowBlank="1" showInputMessage="1" showErrorMessage="1" sqref="B2" xr:uid="{00000000-0002-0000-6A00-000001000000}">
      <formula1>"Table,Figure,Both"</formula1>
    </dataValidation>
    <dataValidation type="list" allowBlank="1" showInputMessage="1" showErrorMessage="1" sqref="B6 B15:B16" xr:uid="{00000000-0002-0000-6A00-000002000000}">
      <formula1>"True,False"</formula1>
    </dataValidation>
  </dataValidation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Q57"/>
  <sheetViews>
    <sheetView workbookViewId="0">
      <selection activeCell="K21" sqref="K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349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tbl-femalebreast-mortal-aar-single</v>
      </c>
    </row>
    <row r="4" spans="1:17" x14ac:dyDescent="0.2">
      <c r="A4" s="16" t="s">
        <v>7</v>
      </c>
      <c r="B4" t="str">
        <f>IF($B$1="","",_xlfn.XLOOKUP($B$1,Master!$F$2:$F$321,Master!$H$2:$H$321,""))</f>
        <v>fig-femalebreast-mortal-aar-single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26.8</v>
      </c>
      <c r="H6" s="15">
        <v>26.2</v>
      </c>
      <c r="I6" s="15">
        <v>25.2</v>
      </c>
      <c r="J6" s="15">
        <v>22</v>
      </c>
      <c r="K6" s="15"/>
      <c r="L6" s="15"/>
      <c r="M6" s="15"/>
      <c r="N6" s="15"/>
      <c r="O6" s="15"/>
    </row>
    <row r="7" spans="1:17" ht="15.75" customHeight="1" x14ac:dyDescent="0.2">
      <c r="E7" s="80"/>
      <c r="F7" t="s">
        <v>1645</v>
      </c>
      <c r="G7" s="15">
        <v>19.399999999999999</v>
      </c>
      <c r="H7" s="15">
        <v>20.5</v>
      </c>
      <c r="I7" s="15">
        <v>19</v>
      </c>
      <c r="J7" s="15">
        <v>17.899999999999999</v>
      </c>
      <c r="K7" s="15"/>
      <c r="L7" s="15"/>
      <c r="M7" s="15"/>
      <c r="N7" s="15"/>
      <c r="O7" s="15"/>
    </row>
    <row r="8" spans="1:17" x14ac:dyDescent="0.2">
      <c r="E8" s="80"/>
      <c r="F8" t="s">
        <v>1298</v>
      </c>
      <c r="G8" s="15">
        <v>17.899999999999999</v>
      </c>
      <c r="H8" s="15">
        <v>19</v>
      </c>
      <c r="I8" s="15">
        <v>17.7</v>
      </c>
      <c r="J8" s="15">
        <v>18</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B00-000000000000}">
      <formula1>"Line,Clustered Bar,Stacked Bar,Bar,Horizontal Stacked Bar"</formula1>
    </dataValidation>
    <dataValidation type="list" allowBlank="1" showInputMessage="1" showErrorMessage="1" sqref="B2" xr:uid="{00000000-0002-0000-6B00-000001000000}">
      <formula1>"Table,Figure,Both"</formula1>
    </dataValidation>
    <dataValidation type="list" allowBlank="1" showInputMessage="1" showErrorMessage="1" sqref="B6 B15:B16" xr:uid="{00000000-0002-0000-6B00-000002000000}">
      <formula1>"True,False"</formula1>
    </dataValidation>
  </dataValidation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352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tbl-femalebreast-mortal-aar-five</v>
      </c>
    </row>
    <row r="4" spans="1:17" x14ac:dyDescent="0.2">
      <c r="A4" s="16" t="s">
        <v>7</v>
      </c>
      <c r="B4" t="str">
        <f>IF($B$1="","",_xlfn.XLOOKUP($B$1,Master!$F$2:$F$321,Master!$H$2:$H$321,""))</f>
        <v>fig-femalebreast-mortal-aar-five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23.5</v>
      </c>
      <c r="H6" s="15">
        <v>17.7</v>
      </c>
      <c r="I6" s="15">
        <v>17</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C00-000000000000}">
      <formula1>"Line,Clustered Bar,Stacked Bar,Bar,Horizontal Stacked Bar"</formula1>
    </dataValidation>
    <dataValidation type="list" allowBlank="1" showInputMessage="1" showErrorMessage="1" sqref="B2" xr:uid="{00000000-0002-0000-6C00-000001000000}">
      <formula1>"Table,Figure,Both"</formula1>
    </dataValidation>
    <dataValidation type="list" allowBlank="1" showInputMessage="1" showErrorMessage="1" sqref="B6 B15:B16" xr:uid="{00000000-0002-0000-6C00-000002000000}">
      <formula1>"True,False"</formula1>
    </dataValidation>
  </dataValidation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Q57"/>
  <sheetViews>
    <sheetView workbookViewId="0">
      <selection activeCell="K28" sqref="K28"/>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355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tbl-femalebreast-mortal-rande-aar-five</v>
      </c>
    </row>
    <row r="4" spans="1:17" x14ac:dyDescent="0.2">
      <c r="A4" s="16" t="s">
        <v>7</v>
      </c>
      <c r="B4" t="str">
        <f>IF($B$1="","",_xlfn.XLOOKUP($B$1,Master!$F$2:$F$321,Master!$H$2:$H$321,""))</f>
        <v>fig-femalebreast-mortal-rande-aar-five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23.5</v>
      </c>
      <c r="H6" s="15">
        <v>23.3</v>
      </c>
      <c r="I6" s="15">
        <v>34.6</v>
      </c>
      <c r="J6" s="15" t="s">
        <v>1031</v>
      </c>
      <c r="K6" s="15" t="s">
        <v>1031</v>
      </c>
      <c r="L6" s="15">
        <v>13.7</v>
      </c>
      <c r="M6" s="15"/>
      <c r="N6" s="15"/>
      <c r="O6" s="15"/>
    </row>
    <row r="7" spans="1:17" ht="15.75" customHeight="1" x14ac:dyDescent="0.2">
      <c r="E7" s="80"/>
      <c r="F7" t="s">
        <v>1298</v>
      </c>
      <c r="G7" s="15">
        <v>17.7</v>
      </c>
      <c r="H7" s="15">
        <v>17.7</v>
      </c>
      <c r="I7" s="15">
        <v>24.5</v>
      </c>
      <c r="J7" s="15">
        <v>26.2</v>
      </c>
      <c r="K7" s="15">
        <v>10.1</v>
      </c>
      <c r="L7" s="15">
        <v>11.2</v>
      </c>
      <c r="M7" s="15"/>
      <c r="N7" s="15"/>
      <c r="O7" s="15"/>
    </row>
    <row r="8" spans="1:17" x14ac:dyDescent="0.2">
      <c r="E8" s="80"/>
      <c r="F8" t="s">
        <v>1299</v>
      </c>
      <c r="G8" s="15">
        <v>17</v>
      </c>
      <c r="H8" s="15">
        <v>17.3</v>
      </c>
      <c r="I8" s="15">
        <v>22.6</v>
      </c>
      <c r="J8" s="15">
        <v>26.2</v>
      </c>
      <c r="K8" s="15">
        <v>9.1</v>
      </c>
      <c r="L8" s="15">
        <v>11.9</v>
      </c>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D00-000000000000}">
      <formula1>"Line,Clustered Bar,Stacked Bar,Bar,Horizontal Stacked Bar"</formula1>
    </dataValidation>
    <dataValidation type="list" allowBlank="1" showInputMessage="1" showErrorMessage="1" sqref="B2" xr:uid="{00000000-0002-0000-6D00-000001000000}">
      <formula1>"Table,Figure,Both"</formula1>
    </dataValidation>
    <dataValidation type="list" allowBlank="1" showInputMessage="1" showErrorMessage="1" sqref="B6 B15:B16" xr:uid="{00000000-0002-0000-6D00-000002000000}">
      <formula1>"True,False"</formula1>
    </dataValidation>
  </dataValidation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Q57"/>
  <sheetViews>
    <sheetView workbookViewId="0">
      <selection activeCell="K17" sqref="K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358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tbl-cervixuteri-incidence-aar-single</v>
      </c>
    </row>
    <row r="4" spans="1:17" x14ac:dyDescent="0.2">
      <c r="A4" s="16" t="s">
        <v>7</v>
      </c>
      <c r="B4" t="str">
        <f>IF($B$1="","",_xlfn.XLOOKUP($B$1,Master!$F$2:$F$321,Master!$H$2:$H$321,""))</f>
        <v>fig-cervixuteri-incidence-aar-single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10.8</v>
      </c>
      <c r="H6" s="15">
        <v>9.4</v>
      </c>
      <c r="I6" s="15">
        <v>7.2</v>
      </c>
      <c r="J6" s="15">
        <v>7.6</v>
      </c>
      <c r="K6" s="15"/>
      <c r="L6" s="15"/>
      <c r="M6" s="15"/>
      <c r="N6" s="15"/>
      <c r="O6" s="15"/>
    </row>
    <row r="7" spans="1:17" ht="15.75" customHeight="1" x14ac:dyDescent="0.2">
      <c r="E7" s="80"/>
      <c r="F7" t="s">
        <v>1645</v>
      </c>
      <c r="G7" s="15">
        <v>7.3</v>
      </c>
      <c r="H7" s="15">
        <v>6.3</v>
      </c>
      <c r="I7" s="15">
        <v>6.6</v>
      </c>
      <c r="J7" s="15">
        <v>6</v>
      </c>
      <c r="K7" s="15"/>
      <c r="L7" s="15"/>
      <c r="M7" s="15"/>
      <c r="N7" s="15"/>
      <c r="O7" s="15"/>
    </row>
    <row r="8" spans="1:17" x14ac:dyDescent="0.2">
      <c r="E8" s="80"/>
      <c r="F8" t="s">
        <v>1298</v>
      </c>
      <c r="G8" s="15">
        <v>7.3</v>
      </c>
      <c r="H8" s="15">
        <v>6.3</v>
      </c>
      <c r="I8" s="15">
        <v>6.6</v>
      </c>
      <c r="J8" s="15">
        <v>6</v>
      </c>
      <c r="K8" s="15"/>
      <c r="L8" s="15"/>
      <c r="M8" s="15"/>
      <c r="N8" s="15"/>
      <c r="O8" s="15"/>
    </row>
    <row r="9" spans="1:17" x14ac:dyDescent="0.2">
      <c r="A9" s="83" t="s">
        <v>1098</v>
      </c>
      <c r="B9" s="80"/>
      <c r="E9" s="80"/>
      <c r="F9" t="s">
        <v>1299</v>
      </c>
      <c r="G9" s="15">
        <v>8.1999999999999993</v>
      </c>
      <c r="H9" s="15">
        <v>7.2</v>
      </c>
      <c r="I9" s="15">
        <v>7.4</v>
      </c>
      <c r="J9" s="15">
        <v>6</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G20" s="15"/>
      <c r="H20" s="15"/>
    </row>
    <row r="21" spans="1:11" x14ac:dyDescent="0.2">
      <c r="A21" s="81" t="s">
        <v>1125</v>
      </c>
      <c r="B21" s="80"/>
      <c r="E21" s="80"/>
      <c r="F21" s="15"/>
      <c r="G21" s="15"/>
      <c r="H21" s="15"/>
    </row>
    <row r="22" spans="1:11" x14ac:dyDescent="0.2">
      <c r="A22" t="s">
        <v>1135</v>
      </c>
      <c r="B22" t="s">
        <v>1778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E00-000000000000}">
      <formula1>"Line,Clustered Bar,Stacked Bar,Bar,Horizontal Stacked Bar"</formula1>
    </dataValidation>
    <dataValidation type="list" allowBlank="1" showInputMessage="1" showErrorMessage="1" sqref="B2" xr:uid="{00000000-0002-0000-6E00-000001000000}">
      <formula1>"Table,Figure,Both"</formula1>
    </dataValidation>
    <dataValidation type="list" allowBlank="1" showInputMessage="1" showErrorMessage="1" sqref="B6 B15:B16" xr:uid="{00000000-0002-0000-6E00-000002000000}">
      <formula1>"True,False"</formula1>
    </dataValidation>
  </dataValidation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8.83203125" bestFit="1" customWidth="1"/>
    <col min="8" max="8" width="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361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tbl-cervixuteri-incidence-aar-five</v>
      </c>
    </row>
    <row r="4" spans="1:17" x14ac:dyDescent="0.2">
      <c r="A4" s="16" t="s">
        <v>7</v>
      </c>
      <c r="B4" t="str">
        <f>IF($B$1="","",_xlfn.XLOOKUP($B$1,Master!$F$2:$F$321,Master!$H$2:$H$321,""))</f>
        <v>fig-cervixuteri-incidence-aar-five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7.5</v>
      </c>
      <c r="H6" s="15">
        <v>6.4</v>
      </c>
      <c r="I6" s="15">
        <v>6.9</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1779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6F00-000000000000}">
      <formula1>"Line,Clustered Bar,Stacked Bar,Bar,Horizontal Stacked Bar"</formula1>
    </dataValidation>
    <dataValidation type="list" allowBlank="1" showInputMessage="1" showErrorMessage="1" sqref="B2" xr:uid="{00000000-0002-0000-6F00-000001000000}">
      <formula1>"Table,Figure,Both"</formula1>
    </dataValidation>
    <dataValidation type="list" allowBlank="1" showInputMessage="1" showErrorMessage="1" sqref="B6 B15:B16" xr:uid="{00000000-0002-0000-6F00-000002000000}">
      <formula1>"True,False"</formula1>
    </dataValidation>
  </dataValidation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Q57"/>
  <sheetViews>
    <sheetView workbookViewId="0">
      <selection activeCell="H15" sqref="H1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364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tbl-cervixuteri-mortal-aar-single</v>
      </c>
    </row>
    <row r="4" spans="1:17" x14ac:dyDescent="0.2">
      <c r="A4" s="16" t="s">
        <v>7</v>
      </c>
      <c r="B4" t="str">
        <f>IF($B$1="","",_xlfn.XLOOKUP($B$1,Master!$F$2:$F$321,Master!$H$2:$H$321,""))</f>
        <v>fig-cervixuteri-mortal-aar-single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3.3</v>
      </c>
      <c r="H6" s="15">
        <v>3.6</v>
      </c>
      <c r="I6" s="15">
        <v>3.3</v>
      </c>
      <c r="J6" s="15">
        <v>2.9</v>
      </c>
      <c r="K6" s="15"/>
      <c r="L6" s="15"/>
      <c r="M6" s="15"/>
      <c r="N6" s="15"/>
      <c r="O6" s="15"/>
    </row>
    <row r="7" spans="1:17" ht="15.75" customHeight="1" x14ac:dyDescent="0.2">
      <c r="E7" s="80"/>
      <c r="F7" t="s">
        <v>1645</v>
      </c>
      <c r="G7" s="15">
        <v>1.9</v>
      </c>
      <c r="H7" s="15">
        <v>1.5</v>
      </c>
      <c r="I7" s="15">
        <v>1.2</v>
      </c>
      <c r="J7" s="15">
        <v>1.5</v>
      </c>
      <c r="K7" s="15"/>
      <c r="L7" s="15"/>
      <c r="M7" s="15"/>
      <c r="N7" s="15"/>
      <c r="O7" s="15"/>
    </row>
    <row r="8" spans="1:17" x14ac:dyDescent="0.2">
      <c r="E8" s="80"/>
      <c r="F8" t="s">
        <v>1298</v>
      </c>
      <c r="G8" s="15">
        <v>1.9</v>
      </c>
      <c r="H8" s="15">
        <v>1.5</v>
      </c>
      <c r="I8" s="15">
        <v>1.9</v>
      </c>
      <c r="J8" s="15">
        <v>1.4</v>
      </c>
      <c r="K8" s="15"/>
      <c r="L8" s="15"/>
      <c r="M8" s="15"/>
      <c r="N8" s="15"/>
      <c r="O8" s="15"/>
    </row>
    <row r="9" spans="1:17" x14ac:dyDescent="0.2">
      <c r="A9" s="83" t="s">
        <v>1098</v>
      </c>
      <c r="B9" s="80"/>
      <c r="E9" s="80"/>
      <c r="F9" t="s">
        <v>1299</v>
      </c>
      <c r="G9" s="15">
        <v>2.1</v>
      </c>
      <c r="H9" s="15">
        <v>1.8</v>
      </c>
      <c r="I9" s="15">
        <v>1.7</v>
      </c>
      <c r="J9" s="15">
        <v>1.6</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000-000000000000}">
      <formula1>"Line,Clustered Bar,Stacked Bar,Bar,Horizontal Stacked Bar"</formula1>
    </dataValidation>
    <dataValidation type="list" allowBlank="1" showInputMessage="1" showErrorMessage="1" sqref="B2" xr:uid="{00000000-0002-0000-7000-000001000000}">
      <formula1>"Table,Figure,Both"</formula1>
    </dataValidation>
    <dataValidation type="list" allowBlank="1" showInputMessage="1" showErrorMessage="1" sqref="B6 B15:B16" xr:uid="{00000000-0002-0000-7000-000002000000}">
      <formula1>"True,False"</formula1>
    </dataValidation>
  </dataValidation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Q57"/>
  <sheetViews>
    <sheetView workbookViewId="0">
      <selection activeCell="K21" sqref="K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367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tbl-cervixuteri-mortal-aar-five</v>
      </c>
    </row>
    <row r="4" spans="1:17" x14ac:dyDescent="0.2">
      <c r="A4" s="16" t="s">
        <v>7</v>
      </c>
      <c r="B4" t="str">
        <f>IF($B$1="","",_xlfn.XLOOKUP($B$1,Master!$F$2:$F$321,Master!$H$2:$H$321,""))</f>
        <v>fig-cervixuteri-mortal-aar-five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2.7</v>
      </c>
      <c r="H6" s="15">
        <v>1.6</v>
      </c>
      <c r="I6" s="15">
        <v>1.7</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100-000000000000}">
      <formula1>"Line,Clustered Bar,Stacked Bar,Bar,Horizontal Stacked Bar"</formula1>
    </dataValidation>
    <dataValidation type="list" allowBlank="1" showInputMessage="1" showErrorMessage="1" sqref="B2" xr:uid="{00000000-0002-0000-7100-000001000000}">
      <formula1>"Table,Figure,Both"</formula1>
    </dataValidation>
    <dataValidation type="list" allowBlank="1" showInputMessage="1" showErrorMessage="1" sqref="B6 B15:B16" xr:uid="{00000000-0002-0000-7100-000002000000}">
      <formula1>"True,False"</formula1>
    </dataValidation>
  </dataValidation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Q57"/>
  <sheetViews>
    <sheetView workbookViewId="0">
      <selection activeCell="M39" sqref="M3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370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tbl-prostate-incidence-aar-single</v>
      </c>
    </row>
    <row r="4" spans="1:17" x14ac:dyDescent="0.2">
      <c r="A4" s="16" t="s">
        <v>7</v>
      </c>
      <c r="B4" t="str">
        <f>IF($B$1="","",_xlfn.XLOOKUP($B$1,Master!$F$2:$F$321,Master!$H$2:$H$321,""))</f>
        <v>fig-prostate-incidence-aar-single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114.2</v>
      </c>
      <c r="H6" s="15">
        <v>123.7</v>
      </c>
      <c r="I6" s="15">
        <v>118</v>
      </c>
      <c r="J6" s="15">
        <v>122.1</v>
      </c>
      <c r="K6" s="15"/>
      <c r="L6" s="15"/>
      <c r="M6" s="15"/>
      <c r="N6" s="15"/>
      <c r="O6" s="15"/>
    </row>
    <row r="7" spans="1:17" ht="15.75" customHeight="1" x14ac:dyDescent="0.2">
      <c r="E7" s="80"/>
      <c r="F7" t="s">
        <v>1645</v>
      </c>
      <c r="G7" s="15">
        <v>130.5</v>
      </c>
      <c r="H7" s="15">
        <v>126.6</v>
      </c>
      <c r="I7" s="15">
        <v>132.80000000000001</v>
      </c>
      <c r="J7" s="15">
        <v>112.9</v>
      </c>
      <c r="K7" s="15"/>
      <c r="L7" s="15"/>
      <c r="M7" s="15"/>
      <c r="N7" s="15"/>
      <c r="O7" s="15"/>
    </row>
    <row r="8" spans="1:17" x14ac:dyDescent="0.2">
      <c r="E8" s="80"/>
      <c r="F8" t="s">
        <v>1298</v>
      </c>
      <c r="G8" s="15">
        <v>133</v>
      </c>
      <c r="H8" s="15">
        <v>139.30000000000001</v>
      </c>
      <c r="I8" s="15">
        <v>142.1</v>
      </c>
      <c r="J8" s="15">
        <v>122.7</v>
      </c>
      <c r="K8" s="15"/>
      <c r="L8" s="15"/>
      <c r="M8" s="15"/>
      <c r="N8" s="15"/>
      <c r="O8" s="15"/>
    </row>
    <row r="9" spans="1:17" x14ac:dyDescent="0.2">
      <c r="A9" s="83" t="s">
        <v>1098</v>
      </c>
      <c r="B9" s="80"/>
      <c r="E9" s="80"/>
      <c r="F9" t="s">
        <v>1299</v>
      </c>
      <c r="G9" s="15">
        <v>130.69999999999999</v>
      </c>
      <c r="H9" s="15">
        <v>135</v>
      </c>
      <c r="I9" s="15">
        <v>138</v>
      </c>
      <c r="J9" s="15">
        <v>117.7</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1780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200-000000000000}">
      <formula1>"Line,Clustered Bar,Stacked Bar,Bar,Horizontal Stacked Bar"</formula1>
    </dataValidation>
    <dataValidation type="list" allowBlank="1" showInputMessage="1" showErrorMessage="1" sqref="B2" xr:uid="{00000000-0002-0000-7200-000001000000}">
      <formula1>"Table,Figure,Both"</formula1>
    </dataValidation>
    <dataValidation type="list" allowBlank="1" showInputMessage="1" showErrorMessage="1" sqref="B6 B15:B16" xr:uid="{00000000-0002-0000-7200-000002000000}">
      <formula1>"True,False"</formula1>
    </dataValidation>
  </dataValidation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373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tbl-prostate-incidence-aar-five</v>
      </c>
    </row>
    <row r="4" spans="1:17" x14ac:dyDescent="0.2">
      <c r="A4" s="16" t="s">
        <v>7</v>
      </c>
      <c r="B4" t="str">
        <f>IF($B$1="","",_xlfn.XLOOKUP($B$1,Master!$F$2:$F$321,Master!$H$2:$H$321,""))</f>
        <v>fig-prostate-incidence-aar-five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126.9</v>
      </c>
      <c r="H6" s="15">
        <v>140.19999999999999</v>
      </c>
      <c r="I6" s="15">
        <v>135.5</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300-000000000000}">
      <formula1>"Line,Clustered Bar,Stacked Bar,Bar,Horizontal Stacked Bar"</formula1>
    </dataValidation>
    <dataValidation type="list" allowBlank="1" showInputMessage="1" showErrorMessage="1" sqref="B2" xr:uid="{00000000-0002-0000-7300-000001000000}">
      <formula1>"Table,Figure,Both"</formula1>
    </dataValidation>
    <dataValidation type="list" allowBlank="1" showInputMessage="1" showErrorMessage="1" sqref="B6 B15:B16" xr:uid="{00000000-0002-0000-7300-000002000000}">
      <formula1>"True,False"</formula1>
    </dataValidation>
  </dataValidation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Q57"/>
  <sheetViews>
    <sheetView workbookViewId="0">
      <selection activeCell="O29" sqref="O2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376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tbl-prostate-incidence-rande-aar-five</v>
      </c>
    </row>
    <row r="4" spans="1:17" x14ac:dyDescent="0.2">
      <c r="A4" s="16" t="s">
        <v>7</v>
      </c>
      <c r="B4" t="str">
        <f>IF($B$1="","",_xlfn.XLOOKUP($B$1,Master!$F$2:$F$321,Master!$H$2:$H$321,""))</f>
        <v>fig-prostate-incidence-rande-aar-five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t="s">
        <v>1089</v>
      </c>
      <c r="H5" t="s">
        <v>1290</v>
      </c>
      <c r="I5" t="s">
        <v>1292</v>
      </c>
      <c r="J5" t="s">
        <v>1761</v>
      </c>
      <c r="K5" t="s">
        <v>1296</v>
      </c>
      <c r="L5" t="s">
        <v>1762</v>
      </c>
    </row>
    <row r="6" spans="1:17" ht="15" customHeight="1" x14ac:dyDescent="0.2">
      <c r="A6" t="s">
        <v>1088</v>
      </c>
      <c r="B6" t="b">
        <v>0</v>
      </c>
      <c r="E6" s="80"/>
      <c r="F6" t="s">
        <v>1297</v>
      </c>
      <c r="G6" s="15">
        <v>126.9</v>
      </c>
      <c r="H6" s="15">
        <v>117.1</v>
      </c>
      <c r="I6" s="15">
        <v>217.7</v>
      </c>
      <c r="J6" s="15" t="s">
        <v>1031</v>
      </c>
      <c r="K6" s="15" t="s">
        <v>1031</v>
      </c>
      <c r="L6" s="15">
        <v>112.9</v>
      </c>
      <c r="M6" s="15"/>
      <c r="N6" s="15"/>
      <c r="O6" s="15"/>
    </row>
    <row r="7" spans="1:17" ht="15.75" customHeight="1" x14ac:dyDescent="0.2">
      <c r="E7" s="80"/>
      <c r="F7" t="s">
        <v>1298</v>
      </c>
      <c r="G7" s="15">
        <v>140.19999999999999</v>
      </c>
      <c r="H7" s="15">
        <v>136.80000000000001</v>
      </c>
      <c r="I7" s="15">
        <v>229.7</v>
      </c>
      <c r="J7" s="15">
        <v>118.5</v>
      </c>
      <c r="K7" s="15">
        <v>75.2</v>
      </c>
      <c r="L7" s="15">
        <v>107.9</v>
      </c>
      <c r="M7" s="15"/>
      <c r="N7" s="15"/>
      <c r="O7" s="15"/>
    </row>
    <row r="8" spans="1:17" x14ac:dyDescent="0.2">
      <c r="E8" s="80"/>
      <c r="F8" t="s">
        <v>1299</v>
      </c>
      <c r="G8" s="15">
        <v>135.5</v>
      </c>
      <c r="H8" s="15">
        <v>132</v>
      </c>
      <c r="I8" s="15">
        <v>209.9</v>
      </c>
      <c r="J8" s="15">
        <v>118.5</v>
      </c>
      <c r="K8" s="15">
        <v>63.3</v>
      </c>
      <c r="L8" s="15">
        <v>109.9</v>
      </c>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1398</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400-000000000000}">
      <formula1>"Line,Clustered Bar,Stacked Bar,Bar,Horizontal Stacked Bar"</formula1>
    </dataValidation>
    <dataValidation type="list" allowBlank="1" showInputMessage="1" showErrorMessage="1" sqref="B2" xr:uid="{00000000-0002-0000-7400-000001000000}">
      <formula1>"Table,Figure,Both"</formula1>
    </dataValidation>
    <dataValidation type="list" allowBlank="1" showInputMessage="1" showErrorMessage="1" sqref="B6 B15:B16" xr:uid="{00000000-0002-0000-7400-000002000000}">
      <formula1>"True,False"</formula1>
    </dataValidation>
  </dataValidation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Q57"/>
  <sheetViews>
    <sheetView workbookViewId="0">
      <selection activeCell="K25" sqref="K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379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tbl-prostate-mortal-aar-single</v>
      </c>
    </row>
    <row r="4" spans="1:17" x14ac:dyDescent="0.2">
      <c r="A4" s="16" t="s">
        <v>7</v>
      </c>
      <c r="B4" t="str">
        <f>IF($B$1="","",_xlfn.XLOOKUP($B$1,Master!$F$2:$F$321,Master!$H$2:$H$321,""))</f>
        <v>fig-prostate-mortal-aar-single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2017</v>
      </c>
      <c r="H5">
        <v>2018</v>
      </c>
      <c r="I5">
        <v>2019</v>
      </c>
      <c r="J5">
        <v>2020</v>
      </c>
    </row>
    <row r="6" spans="1:17" ht="15" customHeight="1" x14ac:dyDescent="0.2">
      <c r="A6" t="s">
        <v>1088</v>
      </c>
      <c r="B6" t="b">
        <v>0</v>
      </c>
      <c r="E6" s="80"/>
      <c r="F6" t="s">
        <v>1297</v>
      </c>
      <c r="G6" s="15">
        <v>23.4</v>
      </c>
      <c r="H6" s="15">
        <v>20</v>
      </c>
      <c r="I6" s="15">
        <v>19.899999999999999</v>
      </c>
      <c r="J6" s="15">
        <v>16.600000000000001</v>
      </c>
      <c r="K6" s="15"/>
      <c r="L6" s="15"/>
      <c r="M6" s="15"/>
      <c r="N6" s="15"/>
      <c r="O6" s="15"/>
    </row>
    <row r="7" spans="1:17" ht="15.75" customHeight="1" x14ac:dyDescent="0.2">
      <c r="E7" s="80"/>
      <c r="F7" t="s">
        <v>1645</v>
      </c>
      <c r="G7" s="15">
        <v>15.5</v>
      </c>
      <c r="H7" s="15">
        <v>15.9</v>
      </c>
      <c r="I7" s="15">
        <v>13.2</v>
      </c>
      <c r="J7" s="15">
        <v>13.8</v>
      </c>
      <c r="K7" s="15"/>
      <c r="L7" s="15"/>
      <c r="M7" s="15"/>
      <c r="N7" s="15"/>
      <c r="O7" s="15"/>
    </row>
    <row r="8" spans="1:17" x14ac:dyDescent="0.2">
      <c r="E8" s="80"/>
      <c r="F8" t="s">
        <v>1298</v>
      </c>
      <c r="G8" s="15">
        <v>17.2</v>
      </c>
      <c r="H8" s="15">
        <v>16.2</v>
      </c>
      <c r="I8" s="15">
        <v>15.2</v>
      </c>
      <c r="J8" s="15">
        <v>16.2</v>
      </c>
      <c r="K8" s="15"/>
      <c r="L8" s="15"/>
      <c r="M8" s="15"/>
      <c r="N8" s="15"/>
      <c r="O8" s="15"/>
    </row>
    <row r="9" spans="1:17" x14ac:dyDescent="0.2">
      <c r="A9" s="83" t="s">
        <v>1098</v>
      </c>
      <c r="B9" s="80"/>
      <c r="E9" s="80"/>
      <c r="F9" t="s">
        <v>1299</v>
      </c>
      <c r="G9" s="15">
        <v>17.8</v>
      </c>
      <c r="H9" s="15">
        <v>16.600000000000001</v>
      </c>
      <c r="I9" s="15">
        <v>15.9</v>
      </c>
      <c r="J9" s="15">
        <v>15.4</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1767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1780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500-000000000000}">
      <formula1>"Line,Clustered Bar,Stacked Bar,Bar,Horizontal Stacked Bar"</formula1>
    </dataValidation>
    <dataValidation type="list" allowBlank="1" showInputMessage="1" showErrorMessage="1" sqref="B2" xr:uid="{00000000-0002-0000-7500-000001000000}">
      <formula1>"Table,Figure,Both"</formula1>
    </dataValidation>
    <dataValidation type="list" allowBlank="1" showInputMessage="1" showErrorMessage="1" sqref="B6 B15:B16" xr:uid="{00000000-0002-0000-7500-000002000000}">
      <formula1>"True,False"</formula1>
    </dataValidation>
  </dataValidation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382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tbl-prostate-mortal-aar-five</v>
      </c>
    </row>
    <row r="4" spans="1:17" x14ac:dyDescent="0.2">
      <c r="A4" s="16" t="s">
        <v>7</v>
      </c>
      <c r="B4" t="str">
        <f>IF($B$1="","",_xlfn.XLOOKUP($B$1,Master!$F$2:$F$321,Master!$H$2:$H$321,""))</f>
        <v>fig-prostate-mortal-aar-five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t="s">
        <v>1772</v>
      </c>
      <c r="G6" s="15">
        <v>18.2</v>
      </c>
      <c r="H6" s="15">
        <v>15.9</v>
      </c>
      <c r="I6" s="15">
        <v>15.5</v>
      </c>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600-000000000000}">
      <formula1>"Line,Clustered Bar,Stacked Bar,Bar,Horizontal Stacked Bar"</formula1>
    </dataValidation>
    <dataValidation type="list" allowBlank="1" showInputMessage="1" showErrorMessage="1" sqref="B2" xr:uid="{00000000-0002-0000-7600-000001000000}">
      <formula1>"Table,Figure,Both"</formula1>
    </dataValidation>
    <dataValidation type="list" allowBlank="1" showInputMessage="1" showErrorMessage="1" sqref="B6 B15:B16" xr:uid="{00000000-0002-0000-7600-000002000000}">
      <formula1>"True,False"</formula1>
    </dataValidation>
  </dataValidation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Q57"/>
  <sheetViews>
    <sheetView workbookViewId="0">
      <selection activeCell="F6" sqref="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385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tbl-prostate-mortal-rande-aar-five</v>
      </c>
    </row>
    <row r="4" spans="1:17" x14ac:dyDescent="0.2">
      <c r="A4" s="16" t="s">
        <v>7</v>
      </c>
      <c r="B4" t="str">
        <f>IF($B$1="","",_xlfn.XLOOKUP($B$1,Master!$F$2:$F$321,Master!$H$2:$H$321,""))</f>
        <v>fig-prostate-mortal-rande-aar-five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1762</v>
      </c>
    </row>
    <row r="6" spans="1:17" ht="15" customHeight="1" x14ac:dyDescent="0.2">
      <c r="A6" t="s">
        <v>1088</v>
      </c>
      <c r="B6" t="b">
        <v>0</v>
      </c>
      <c r="E6" s="80"/>
      <c r="F6" t="s">
        <v>1297</v>
      </c>
      <c r="G6" s="15">
        <v>18.2</v>
      </c>
      <c r="H6" s="15">
        <v>17.399999999999999</v>
      </c>
      <c r="I6" s="15">
        <v>37.299999999999997</v>
      </c>
      <c r="J6" s="15" t="s">
        <v>1031</v>
      </c>
      <c r="K6" s="15" t="s">
        <v>1031</v>
      </c>
      <c r="L6" s="15"/>
      <c r="M6" s="15"/>
      <c r="N6" s="15"/>
      <c r="O6" s="15"/>
    </row>
    <row r="7" spans="1:17" ht="15.75" customHeight="1" x14ac:dyDescent="0.2">
      <c r="E7" s="80"/>
      <c r="F7" t="s">
        <v>1298</v>
      </c>
      <c r="G7" s="15">
        <v>15.9</v>
      </c>
      <c r="H7" s="15">
        <v>15.7</v>
      </c>
      <c r="I7" s="15">
        <v>26.8</v>
      </c>
      <c r="J7" s="15">
        <v>7.3</v>
      </c>
      <c r="K7" s="15">
        <v>11.7</v>
      </c>
      <c r="L7" s="15"/>
      <c r="M7" s="15"/>
      <c r="N7" s="15"/>
      <c r="O7" s="15"/>
    </row>
    <row r="8" spans="1:17" x14ac:dyDescent="0.2">
      <c r="E8" s="80"/>
      <c r="F8" t="s">
        <v>1299</v>
      </c>
      <c r="G8" s="15">
        <v>15.5</v>
      </c>
      <c r="H8" s="15">
        <v>14.5</v>
      </c>
      <c r="I8" s="15">
        <v>28.6</v>
      </c>
      <c r="J8" s="15">
        <v>6.3</v>
      </c>
      <c r="K8" s="15">
        <v>14.2</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1769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700-000000000000}">
      <formula1>"Line,Clustered Bar,Stacked Bar,Bar,Horizontal Stacked Bar"</formula1>
    </dataValidation>
    <dataValidation type="list" allowBlank="1" showInputMessage="1" showErrorMessage="1" sqref="B2" xr:uid="{00000000-0002-0000-7700-000001000000}">
      <formula1>"Table,Figure,Both"</formula1>
    </dataValidation>
    <dataValidation type="list" allowBlank="1" showInputMessage="1" showErrorMessage="1" sqref="B6 B15:B16" xr:uid="{00000000-0002-0000-7700-000002000000}">
      <formula1>"True,False"</formula1>
    </dataValidation>
  </dataValidation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Q57"/>
  <sheetViews>
    <sheetView workbookViewId="0">
      <selection activeCell="M20" sqref="M2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388</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tbl-cd-count-rate</v>
      </c>
    </row>
    <row r="4" spans="1:17" x14ac:dyDescent="0.2">
      <c r="A4" s="16" t="s">
        <v>7</v>
      </c>
      <c r="B4" t="str">
        <f>IF($B$1="","",_xlfn.XLOOKUP($B$1,Master!$F$2:$F$321,Master!$H$2:$H$321,""))</f>
        <v>fig-cd-count-rate</v>
      </c>
      <c r="E4" s="8"/>
      <c r="F4" s="10" t="s">
        <v>968</v>
      </c>
      <c r="G4" s="10" t="s">
        <v>968</v>
      </c>
      <c r="H4" s="10" t="s">
        <v>979</v>
      </c>
      <c r="I4" s="10" t="s">
        <v>968</v>
      </c>
      <c r="J4" s="10" t="s">
        <v>979</v>
      </c>
      <c r="K4" s="10" t="s">
        <v>968</v>
      </c>
      <c r="L4" s="10" t="s">
        <v>979</v>
      </c>
      <c r="M4" s="10" t="s">
        <v>968</v>
      </c>
      <c r="N4" s="10" t="s">
        <v>979</v>
      </c>
      <c r="O4" s="10"/>
      <c r="P4" s="10"/>
      <c r="Q4" s="10"/>
    </row>
    <row r="5" spans="1:17" x14ac:dyDescent="0.2">
      <c r="A5" s="83" t="s">
        <v>1081</v>
      </c>
      <c r="B5" s="80"/>
      <c r="E5" s="82" t="s">
        <v>1082</v>
      </c>
      <c r="F5" s="81" t="s">
        <v>1781</v>
      </c>
      <c r="G5" s="81">
        <v>2021</v>
      </c>
      <c r="H5" s="80"/>
      <c r="I5" s="81">
        <v>2022</v>
      </c>
      <c r="J5" s="80"/>
      <c r="K5" s="81">
        <v>2023</v>
      </c>
      <c r="L5" s="80"/>
      <c r="M5" s="81" t="s">
        <v>1089</v>
      </c>
      <c r="N5" s="80"/>
    </row>
    <row r="6" spans="1:17" x14ac:dyDescent="0.2">
      <c r="A6" t="s">
        <v>1088</v>
      </c>
      <c r="B6" t="b">
        <v>0</v>
      </c>
      <c r="E6" s="80"/>
      <c r="F6" s="80"/>
      <c r="G6" s="15" t="s">
        <v>1272</v>
      </c>
      <c r="H6" s="15" t="s">
        <v>1273</v>
      </c>
      <c r="I6" s="15" t="s">
        <v>1272</v>
      </c>
      <c r="J6" s="15" t="s">
        <v>1273</v>
      </c>
      <c r="K6" s="15" t="s">
        <v>1272</v>
      </c>
      <c r="L6" s="15" t="s">
        <v>1273</v>
      </c>
      <c r="M6" s="15" t="s">
        <v>1272</v>
      </c>
      <c r="N6" s="15" t="s">
        <v>1273</v>
      </c>
      <c r="O6" s="15"/>
    </row>
    <row r="7" spans="1:17" ht="15.75" customHeight="1" x14ac:dyDescent="0.2">
      <c r="E7" s="80"/>
      <c r="F7" s="37" t="s">
        <v>1782</v>
      </c>
      <c r="G7" s="17" t="s">
        <v>1031</v>
      </c>
      <c r="H7" s="17" t="s">
        <v>1031</v>
      </c>
      <c r="I7" s="17" t="s">
        <v>1031</v>
      </c>
      <c r="J7" s="17" t="s">
        <v>1031</v>
      </c>
      <c r="K7" s="17" t="s">
        <v>1031</v>
      </c>
      <c r="L7" s="17" t="s">
        <v>1031</v>
      </c>
      <c r="M7" s="17">
        <v>5</v>
      </c>
      <c r="N7" s="17">
        <v>0.4</v>
      </c>
      <c r="O7" s="15"/>
    </row>
    <row r="8" spans="1:17" x14ac:dyDescent="0.2">
      <c r="E8" s="80"/>
      <c r="F8" s="37" t="s">
        <v>1783</v>
      </c>
      <c r="G8" s="17">
        <v>69</v>
      </c>
      <c r="H8" s="17">
        <v>17.3</v>
      </c>
      <c r="I8" s="17">
        <v>38</v>
      </c>
      <c r="J8" s="17">
        <v>9.5</v>
      </c>
      <c r="K8" s="17">
        <v>76</v>
      </c>
      <c r="L8" s="17">
        <v>18.8</v>
      </c>
      <c r="M8" s="17">
        <v>183</v>
      </c>
      <c r="N8" s="17">
        <v>15.2</v>
      </c>
      <c r="O8" s="15"/>
    </row>
    <row r="9" spans="1:17" x14ac:dyDescent="0.2">
      <c r="A9" s="83" t="s">
        <v>1098</v>
      </c>
      <c r="B9" s="80"/>
      <c r="E9" s="80"/>
      <c r="F9" s="37" t="s">
        <v>1784</v>
      </c>
      <c r="G9" s="17">
        <v>66</v>
      </c>
      <c r="H9" s="17">
        <v>16.600000000000001</v>
      </c>
      <c r="I9" s="17">
        <v>33</v>
      </c>
      <c r="J9" s="17">
        <v>8.1999999999999993</v>
      </c>
      <c r="K9" s="17">
        <v>82</v>
      </c>
      <c r="L9" s="17">
        <v>20.3</v>
      </c>
      <c r="M9" s="17">
        <v>181</v>
      </c>
      <c r="N9" s="17">
        <v>15</v>
      </c>
      <c r="O9" s="15"/>
    </row>
    <row r="10" spans="1:17" x14ac:dyDescent="0.2">
      <c r="A10" t="s">
        <v>1100</v>
      </c>
      <c r="E10" s="80"/>
      <c r="F10" s="37" t="s">
        <v>1785</v>
      </c>
      <c r="G10" s="17">
        <v>48</v>
      </c>
      <c r="H10" s="17">
        <v>12.1</v>
      </c>
      <c r="I10" s="17">
        <v>58</v>
      </c>
      <c r="J10" s="17">
        <v>14.5</v>
      </c>
      <c r="K10" s="17">
        <v>74</v>
      </c>
      <c r="L10" s="17">
        <v>18.3</v>
      </c>
      <c r="M10" s="17">
        <v>180</v>
      </c>
      <c r="N10" s="17">
        <v>14.9</v>
      </c>
    </row>
    <row r="11" spans="1:17" x14ac:dyDescent="0.2">
      <c r="A11" t="s">
        <v>1102</v>
      </c>
      <c r="E11" s="80"/>
      <c r="F11" s="37" t="s">
        <v>1786</v>
      </c>
      <c r="G11" s="17" t="s">
        <v>1031</v>
      </c>
      <c r="H11" s="17" t="s">
        <v>1031</v>
      </c>
      <c r="I11" s="17" t="s">
        <v>1031</v>
      </c>
      <c r="J11" s="17" t="s">
        <v>1031</v>
      </c>
      <c r="K11" s="17" t="s">
        <v>1031</v>
      </c>
      <c r="L11" s="17" t="s">
        <v>1031</v>
      </c>
      <c r="M11" s="17">
        <v>7</v>
      </c>
      <c r="N11" s="17">
        <v>0.6</v>
      </c>
    </row>
    <row r="12" spans="1:17" x14ac:dyDescent="0.2">
      <c r="A12" t="s">
        <v>1104</v>
      </c>
      <c r="E12" s="80"/>
      <c r="F12" s="37" t="s">
        <v>1787</v>
      </c>
      <c r="G12" s="17">
        <v>1438</v>
      </c>
      <c r="H12" s="17">
        <v>361.1</v>
      </c>
      <c r="I12" s="17">
        <v>1381</v>
      </c>
      <c r="J12" s="17">
        <v>344.2</v>
      </c>
      <c r="K12" s="17">
        <v>1491</v>
      </c>
      <c r="L12" s="17">
        <v>369.2</v>
      </c>
      <c r="M12" s="17">
        <v>4310</v>
      </c>
      <c r="N12" s="17">
        <v>358.1</v>
      </c>
    </row>
    <row r="13" spans="1:17" x14ac:dyDescent="0.2">
      <c r="A13" t="s">
        <v>1108</v>
      </c>
      <c r="E13" s="80"/>
      <c r="F13" s="57" t="s">
        <v>1317</v>
      </c>
      <c r="G13" s="17">
        <v>60495</v>
      </c>
      <c r="H13" s="17">
        <v>15189.2</v>
      </c>
      <c r="I13" s="17">
        <v>67448</v>
      </c>
      <c r="J13" s="17">
        <v>16810</v>
      </c>
      <c r="K13" s="17">
        <v>20504</v>
      </c>
      <c r="L13" s="17">
        <v>5077.3</v>
      </c>
      <c r="M13" s="17">
        <v>148447</v>
      </c>
      <c r="N13" s="17">
        <v>12358.8</v>
      </c>
    </row>
    <row r="14" spans="1:17" x14ac:dyDescent="0.2">
      <c r="A14" t="s">
        <v>1112</v>
      </c>
      <c r="E14" s="80"/>
      <c r="F14" s="37" t="s">
        <v>1788</v>
      </c>
      <c r="G14" s="17" t="s">
        <v>1031</v>
      </c>
      <c r="H14" s="17" t="s">
        <v>1031</v>
      </c>
      <c r="I14" s="17">
        <v>23</v>
      </c>
      <c r="J14" s="17">
        <v>5.7</v>
      </c>
      <c r="K14" s="17">
        <v>32</v>
      </c>
      <c r="L14" s="17">
        <v>7.9</v>
      </c>
      <c r="M14" s="17">
        <v>58</v>
      </c>
      <c r="N14" s="17">
        <v>4.8</v>
      </c>
    </row>
    <row r="15" spans="1:17" x14ac:dyDescent="0.2">
      <c r="A15" t="s">
        <v>1114</v>
      </c>
      <c r="E15" s="80"/>
      <c r="F15" s="37" t="s">
        <v>1789</v>
      </c>
      <c r="G15" s="17" t="s">
        <v>1031</v>
      </c>
      <c r="H15" s="17" t="s">
        <v>1031</v>
      </c>
      <c r="I15" s="17" t="s">
        <v>1031</v>
      </c>
      <c r="J15" s="17" t="s">
        <v>1031</v>
      </c>
      <c r="K15" s="17" t="s">
        <v>1031</v>
      </c>
      <c r="L15" s="17" t="s">
        <v>1031</v>
      </c>
      <c r="M15" s="17">
        <v>6</v>
      </c>
      <c r="N15" s="17">
        <v>0.5</v>
      </c>
    </row>
    <row r="16" spans="1:17" x14ac:dyDescent="0.2">
      <c r="A16" t="s">
        <v>1116</v>
      </c>
      <c r="E16" s="80"/>
      <c r="F16" s="37" t="s">
        <v>1790</v>
      </c>
      <c r="G16" s="17">
        <v>0</v>
      </c>
      <c r="H16" s="17">
        <v>0</v>
      </c>
      <c r="I16" s="17">
        <v>0</v>
      </c>
      <c r="J16" s="17">
        <v>0</v>
      </c>
      <c r="K16" s="17" t="s">
        <v>1031</v>
      </c>
      <c r="L16" s="17" t="s">
        <v>1031</v>
      </c>
      <c r="M16" s="17">
        <v>5</v>
      </c>
      <c r="N16" s="17">
        <v>0.4</v>
      </c>
    </row>
    <row r="17" spans="1:14" x14ac:dyDescent="0.2">
      <c r="E17" s="80"/>
      <c r="F17" s="37" t="s">
        <v>1791</v>
      </c>
      <c r="G17" s="17" t="s">
        <v>1031</v>
      </c>
      <c r="H17" s="17" t="s">
        <v>1031</v>
      </c>
      <c r="I17" s="17">
        <v>10</v>
      </c>
      <c r="J17" s="17">
        <v>2.5</v>
      </c>
      <c r="K17" s="17">
        <v>19</v>
      </c>
      <c r="L17" s="17">
        <v>4.7</v>
      </c>
      <c r="M17" s="17">
        <v>37</v>
      </c>
      <c r="N17" s="17">
        <v>3.1</v>
      </c>
    </row>
    <row r="18" spans="1:14" x14ac:dyDescent="0.2">
      <c r="A18" s="83" t="s">
        <v>1119</v>
      </c>
      <c r="B18" s="80"/>
      <c r="E18" s="80"/>
      <c r="F18" s="37" t="s">
        <v>1792</v>
      </c>
      <c r="G18" s="17" t="s">
        <v>1031</v>
      </c>
      <c r="H18" s="17" t="s">
        <v>1031</v>
      </c>
      <c r="I18" s="17">
        <v>10</v>
      </c>
      <c r="J18" s="17">
        <v>2.5</v>
      </c>
      <c r="K18" s="17">
        <v>15</v>
      </c>
      <c r="L18" s="17">
        <v>3.7</v>
      </c>
      <c r="M18" s="17">
        <v>34</v>
      </c>
      <c r="N18" s="17">
        <v>2.8</v>
      </c>
    </row>
    <row r="19" spans="1:14" x14ac:dyDescent="0.2">
      <c r="A19" t="s">
        <v>1121</v>
      </c>
      <c r="B19" t="s">
        <v>1793</v>
      </c>
      <c r="E19" s="80"/>
      <c r="F19" s="37" t="s">
        <v>1794</v>
      </c>
      <c r="G19" s="17">
        <v>0</v>
      </c>
      <c r="H19" s="17">
        <v>0</v>
      </c>
      <c r="I19" s="17">
        <v>0</v>
      </c>
      <c r="J19" s="17">
        <v>0</v>
      </c>
      <c r="K19" s="17" t="s">
        <v>1031</v>
      </c>
      <c r="L19" s="17" t="s">
        <v>1031</v>
      </c>
      <c r="M19" s="17">
        <v>4</v>
      </c>
      <c r="N19" s="17">
        <v>0.3</v>
      </c>
    </row>
    <row r="20" spans="1:14" x14ac:dyDescent="0.2">
      <c r="E20" s="80"/>
      <c r="F20" s="37" t="s">
        <v>1795</v>
      </c>
      <c r="G20" s="17">
        <v>26</v>
      </c>
      <c r="H20" s="17">
        <v>6.5</v>
      </c>
      <c r="I20" s="17">
        <v>34</v>
      </c>
      <c r="J20" s="17">
        <v>8.5</v>
      </c>
      <c r="K20" s="17">
        <v>27</v>
      </c>
      <c r="L20" s="17">
        <v>6.7</v>
      </c>
      <c r="M20" s="17">
        <v>87</v>
      </c>
      <c r="N20" s="17">
        <v>7.2</v>
      </c>
    </row>
    <row r="21" spans="1:14" x14ac:dyDescent="0.2">
      <c r="A21" s="81" t="s">
        <v>1125</v>
      </c>
      <c r="B21" s="80"/>
      <c r="E21" s="80"/>
      <c r="F21" s="37" t="s">
        <v>1796</v>
      </c>
      <c r="G21" s="17">
        <v>334</v>
      </c>
      <c r="H21" s="17">
        <v>83.9</v>
      </c>
      <c r="I21" s="17">
        <v>293</v>
      </c>
      <c r="J21" s="17">
        <v>73</v>
      </c>
      <c r="K21" s="17">
        <v>354</v>
      </c>
      <c r="L21" s="17">
        <v>87.7</v>
      </c>
      <c r="M21" s="17">
        <v>981</v>
      </c>
      <c r="N21" s="17">
        <v>81.5</v>
      </c>
    </row>
    <row r="22" spans="1:14" x14ac:dyDescent="0.2">
      <c r="A22" t="s">
        <v>1135</v>
      </c>
      <c r="B22" t="s">
        <v>1797</v>
      </c>
      <c r="E22" s="80"/>
      <c r="F22" s="37" t="s">
        <v>1798</v>
      </c>
      <c r="G22" s="17" t="s">
        <v>1031</v>
      </c>
      <c r="H22" s="17" t="s">
        <v>1031</v>
      </c>
      <c r="I22" s="17">
        <v>10</v>
      </c>
      <c r="J22" s="17">
        <v>2.5</v>
      </c>
      <c r="K22" s="17">
        <v>15</v>
      </c>
      <c r="L22" s="17">
        <v>3.7</v>
      </c>
      <c r="M22" s="17">
        <v>30</v>
      </c>
      <c r="N22" s="17">
        <v>2.5</v>
      </c>
    </row>
    <row r="23" spans="1:14" x14ac:dyDescent="0.2">
      <c r="E23" s="80"/>
      <c r="F23" s="37" t="s">
        <v>1799</v>
      </c>
      <c r="G23" s="17" t="s">
        <v>1031</v>
      </c>
      <c r="H23" s="17" t="s">
        <v>1031</v>
      </c>
      <c r="I23" s="17" t="s">
        <v>1031</v>
      </c>
      <c r="J23" s="17" t="s">
        <v>1031</v>
      </c>
      <c r="K23" s="17" t="s">
        <v>1031</v>
      </c>
      <c r="L23" s="17" t="s">
        <v>1031</v>
      </c>
      <c r="M23" s="17">
        <v>3</v>
      </c>
      <c r="N23" s="17">
        <v>0.2</v>
      </c>
    </row>
    <row r="24" spans="1:14" x14ac:dyDescent="0.2">
      <c r="E24" s="80"/>
      <c r="F24" s="37" t="s">
        <v>1800</v>
      </c>
      <c r="G24" s="17">
        <v>0</v>
      </c>
      <c r="H24" s="17">
        <v>0</v>
      </c>
      <c r="I24" s="17">
        <v>0</v>
      </c>
      <c r="J24" s="17">
        <v>0</v>
      </c>
      <c r="K24" s="17">
        <v>0</v>
      </c>
      <c r="L24" s="17">
        <v>0</v>
      </c>
      <c r="M24" s="17">
        <v>0</v>
      </c>
      <c r="N24" s="17">
        <v>0</v>
      </c>
    </row>
    <row r="25" spans="1:14" x14ac:dyDescent="0.2">
      <c r="E25" s="80"/>
      <c r="F25" s="37" t="s">
        <v>1801</v>
      </c>
      <c r="G25" s="17">
        <v>55</v>
      </c>
      <c r="H25" s="17">
        <v>13.8</v>
      </c>
      <c r="I25" s="17">
        <v>68</v>
      </c>
      <c r="J25" s="17">
        <v>16.899999999999999</v>
      </c>
      <c r="K25" s="17">
        <v>68</v>
      </c>
      <c r="L25" s="17">
        <v>16.8</v>
      </c>
      <c r="M25" s="17">
        <v>191</v>
      </c>
      <c r="N25" s="17">
        <v>15.9</v>
      </c>
    </row>
    <row r="26" spans="1:14" x14ac:dyDescent="0.2">
      <c r="E26" s="80"/>
      <c r="F26" s="37" t="s">
        <v>1802</v>
      </c>
      <c r="G26" s="17" t="s">
        <v>1031</v>
      </c>
      <c r="H26" s="17" t="s">
        <v>1031</v>
      </c>
      <c r="I26" s="17">
        <v>10</v>
      </c>
      <c r="J26" s="17">
        <v>2.5</v>
      </c>
      <c r="K26" s="17" t="s">
        <v>1031</v>
      </c>
      <c r="L26" s="17" t="s">
        <v>1031</v>
      </c>
      <c r="M26" s="17">
        <v>23</v>
      </c>
      <c r="N26" s="17">
        <v>1.9</v>
      </c>
    </row>
    <row r="27" spans="1:14" x14ac:dyDescent="0.2">
      <c r="A27" s="81"/>
      <c r="B27" s="80"/>
      <c r="E27" s="80"/>
      <c r="F27" s="37" t="s">
        <v>1803</v>
      </c>
      <c r="G27" s="17">
        <v>160</v>
      </c>
      <c r="H27" s="17">
        <v>40.200000000000003</v>
      </c>
      <c r="I27" s="17">
        <v>109</v>
      </c>
      <c r="J27" s="17">
        <v>27.2</v>
      </c>
      <c r="K27" s="17">
        <v>118</v>
      </c>
      <c r="L27" s="17">
        <v>29.2</v>
      </c>
      <c r="M27" s="17">
        <v>387</v>
      </c>
      <c r="N27" s="17">
        <v>32.200000000000003</v>
      </c>
    </row>
    <row r="28" spans="1:14" x14ac:dyDescent="0.2">
      <c r="E28" s="80"/>
      <c r="F28" s="37" t="s">
        <v>1804</v>
      </c>
      <c r="G28" s="17">
        <v>1311</v>
      </c>
      <c r="H28" s="17">
        <v>329.2</v>
      </c>
      <c r="I28" s="17">
        <v>11866</v>
      </c>
      <c r="J28" s="17">
        <v>2957.4</v>
      </c>
      <c r="K28" s="17">
        <v>4127</v>
      </c>
      <c r="L28" s="17">
        <v>1021.9</v>
      </c>
      <c r="M28" s="17">
        <v>17304</v>
      </c>
      <c r="N28" s="17">
        <v>1436.2</v>
      </c>
    </row>
    <row r="29" spans="1:14" x14ac:dyDescent="0.2">
      <c r="E29" s="80"/>
      <c r="F29" s="37" t="s">
        <v>1805</v>
      </c>
      <c r="G29" s="17">
        <v>71</v>
      </c>
      <c r="H29" s="17">
        <v>17.8</v>
      </c>
      <c r="I29" s="17">
        <v>165</v>
      </c>
      <c r="J29" s="17">
        <v>41.1</v>
      </c>
      <c r="K29" s="17">
        <v>1660</v>
      </c>
      <c r="L29" s="17">
        <v>411.1</v>
      </c>
      <c r="M29" s="17">
        <v>1896</v>
      </c>
      <c r="N29" s="17">
        <v>156.69999999999999</v>
      </c>
    </row>
    <row r="30" spans="1:14" x14ac:dyDescent="0.2">
      <c r="E30" s="80"/>
      <c r="F30" s="37" t="s">
        <v>1806</v>
      </c>
      <c r="G30" s="17">
        <v>498</v>
      </c>
      <c r="H30" s="17">
        <v>125</v>
      </c>
      <c r="I30" s="17">
        <v>1231</v>
      </c>
      <c r="J30" s="17">
        <v>306.8</v>
      </c>
      <c r="K30" s="17">
        <v>347</v>
      </c>
      <c r="L30" s="17">
        <v>85.9</v>
      </c>
      <c r="M30" s="17">
        <v>2076</v>
      </c>
      <c r="N30" s="17">
        <v>172.6</v>
      </c>
    </row>
    <row r="31" spans="1:14" x14ac:dyDescent="0.2">
      <c r="E31" s="80"/>
      <c r="F31" s="37" t="s">
        <v>1807</v>
      </c>
      <c r="G31" s="17">
        <v>12</v>
      </c>
      <c r="H31" s="17">
        <v>3</v>
      </c>
      <c r="I31" s="17">
        <v>10</v>
      </c>
      <c r="J31" s="17">
        <v>2.5</v>
      </c>
      <c r="K31" s="17">
        <v>14</v>
      </c>
      <c r="L31" s="17">
        <v>3.5</v>
      </c>
      <c r="M31" s="17">
        <v>36</v>
      </c>
      <c r="N31" s="17">
        <v>3</v>
      </c>
    </row>
    <row r="32" spans="1:14" x14ac:dyDescent="0.2">
      <c r="E32" s="80"/>
      <c r="F32" s="37" t="s">
        <v>1808</v>
      </c>
      <c r="G32" s="17">
        <v>0</v>
      </c>
      <c r="H32" s="17">
        <v>0</v>
      </c>
      <c r="I32" s="17" t="s">
        <v>1031</v>
      </c>
      <c r="J32" s="17" t="s">
        <v>1031</v>
      </c>
      <c r="K32" s="17" t="s">
        <v>1031</v>
      </c>
      <c r="L32" s="17" t="s">
        <v>1031</v>
      </c>
      <c r="M32" s="17">
        <v>2</v>
      </c>
      <c r="N32" s="17">
        <v>0.2</v>
      </c>
    </row>
    <row r="33" spans="5:14" x14ac:dyDescent="0.2">
      <c r="E33" s="80"/>
      <c r="F33" s="37" t="s">
        <v>1809</v>
      </c>
      <c r="G33" s="17">
        <v>94</v>
      </c>
      <c r="H33" s="17">
        <v>23.6</v>
      </c>
      <c r="I33" s="17">
        <v>939</v>
      </c>
      <c r="J33" s="17">
        <v>234</v>
      </c>
      <c r="K33" s="17">
        <v>1208</v>
      </c>
      <c r="L33" s="17">
        <v>299.10000000000002</v>
      </c>
      <c r="M33" s="17">
        <v>2241</v>
      </c>
      <c r="N33" s="17">
        <v>185.6</v>
      </c>
    </row>
    <row r="34" spans="5:14" x14ac:dyDescent="0.2">
      <c r="E34" s="80"/>
      <c r="F34" s="37" t="s">
        <v>1810</v>
      </c>
      <c r="G34" s="17">
        <v>0</v>
      </c>
      <c r="H34" s="17">
        <v>0</v>
      </c>
      <c r="I34" s="17" t="s">
        <v>1031</v>
      </c>
      <c r="J34" s="17" t="s">
        <v>1031</v>
      </c>
      <c r="K34" s="17" t="s">
        <v>1031</v>
      </c>
      <c r="L34" s="17" t="s">
        <v>1031</v>
      </c>
      <c r="M34" s="17">
        <v>4</v>
      </c>
      <c r="N34" s="17">
        <v>0.3</v>
      </c>
    </row>
    <row r="35" spans="5:14" x14ac:dyDescent="0.2">
      <c r="E35" s="80"/>
      <c r="F35" s="37" t="s">
        <v>1811</v>
      </c>
      <c r="G35" s="17">
        <v>0</v>
      </c>
      <c r="H35" s="17">
        <v>0</v>
      </c>
      <c r="I35" s="17">
        <v>0</v>
      </c>
      <c r="J35" s="17">
        <v>0</v>
      </c>
      <c r="K35" s="17">
        <v>0</v>
      </c>
      <c r="L35" s="17">
        <v>0</v>
      </c>
      <c r="M35" s="17">
        <v>0</v>
      </c>
      <c r="N35" s="17">
        <v>0</v>
      </c>
    </row>
    <row r="36" spans="5:14" x14ac:dyDescent="0.2">
      <c r="E36" s="80"/>
      <c r="F36" s="37" t="s">
        <v>1812</v>
      </c>
      <c r="G36" s="17">
        <v>0</v>
      </c>
      <c r="H36" s="17">
        <v>0</v>
      </c>
      <c r="I36" s="17" t="s">
        <v>1031</v>
      </c>
      <c r="J36" s="17" t="s">
        <v>1031</v>
      </c>
      <c r="K36" s="17" t="s">
        <v>1031</v>
      </c>
      <c r="L36" s="17" t="s">
        <v>1031</v>
      </c>
      <c r="M36" s="17">
        <v>12</v>
      </c>
      <c r="N36" s="17">
        <v>1</v>
      </c>
    </row>
    <row r="37" spans="5:14" x14ac:dyDescent="0.2">
      <c r="E37" s="80"/>
      <c r="F37" s="37" t="s">
        <v>1813</v>
      </c>
      <c r="G37" s="17">
        <v>0</v>
      </c>
      <c r="H37" s="17">
        <v>0</v>
      </c>
      <c r="I37" s="17">
        <v>0</v>
      </c>
      <c r="J37" s="17">
        <v>0</v>
      </c>
      <c r="K37" s="17">
        <v>0</v>
      </c>
      <c r="L37" s="17">
        <v>0</v>
      </c>
      <c r="M37" s="17">
        <v>0</v>
      </c>
      <c r="N37" s="17">
        <v>0</v>
      </c>
    </row>
    <row r="38" spans="5:14" x14ac:dyDescent="0.2">
      <c r="E38" s="80"/>
      <c r="F38" s="37" t="s">
        <v>1814</v>
      </c>
      <c r="G38" s="17">
        <v>12</v>
      </c>
      <c r="H38" s="17">
        <v>3</v>
      </c>
      <c r="I38" s="17">
        <v>37</v>
      </c>
      <c r="J38" s="17">
        <v>9.1999999999999993</v>
      </c>
      <c r="K38" s="17">
        <v>110</v>
      </c>
      <c r="L38" s="17">
        <v>27.2</v>
      </c>
      <c r="M38" s="17">
        <v>159</v>
      </c>
      <c r="N38" s="17">
        <v>13.2</v>
      </c>
    </row>
    <row r="39" spans="5:14" x14ac:dyDescent="0.2">
      <c r="E39" s="80"/>
      <c r="F39" s="37" t="s">
        <v>1815</v>
      </c>
      <c r="G39" s="17" t="s">
        <v>1031</v>
      </c>
      <c r="H39" s="17" t="s">
        <v>1031</v>
      </c>
      <c r="I39" s="17">
        <v>0</v>
      </c>
      <c r="J39" s="17">
        <v>0</v>
      </c>
      <c r="K39" s="17">
        <v>0</v>
      </c>
      <c r="L39" s="17">
        <v>0</v>
      </c>
      <c r="M39" s="17">
        <v>1</v>
      </c>
      <c r="N39" s="17">
        <v>0.1</v>
      </c>
    </row>
    <row r="40" spans="5:14" x14ac:dyDescent="0.2">
      <c r="E40" s="80"/>
      <c r="F40" s="37" t="s">
        <v>1816</v>
      </c>
      <c r="G40" s="17">
        <v>0</v>
      </c>
      <c r="H40" s="17">
        <v>0</v>
      </c>
      <c r="I40" s="17">
        <v>422</v>
      </c>
      <c r="J40" s="17">
        <v>104.5</v>
      </c>
      <c r="K40" s="17">
        <v>422</v>
      </c>
      <c r="L40" s="17">
        <v>34.799999999999997</v>
      </c>
      <c r="M40" s="17">
        <v>422</v>
      </c>
      <c r="N40" s="17">
        <v>34.799999999999997</v>
      </c>
    </row>
    <row r="41" spans="5:14" x14ac:dyDescent="0.2">
      <c r="E41" s="80"/>
      <c r="F41" s="37" t="s">
        <v>1817</v>
      </c>
      <c r="G41" s="17">
        <v>32</v>
      </c>
      <c r="H41" s="17">
        <v>8</v>
      </c>
      <c r="I41" s="17">
        <v>42</v>
      </c>
      <c r="J41" s="17">
        <v>10.5</v>
      </c>
      <c r="K41" s="17">
        <v>52</v>
      </c>
      <c r="L41" s="17">
        <v>12.9</v>
      </c>
      <c r="M41" s="17">
        <v>126</v>
      </c>
      <c r="N41" s="17">
        <v>10.5</v>
      </c>
    </row>
    <row r="42" spans="5:14" x14ac:dyDescent="0.2">
      <c r="E42" s="80"/>
      <c r="F42" s="37" t="s">
        <v>1818</v>
      </c>
      <c r="G42" s="17" t="s">
        <v>1031</v>
      </c>
      <c r="H42" s="17" t="s">
        <v>1031</v>
      </c>
      <c r="I42" s="17" t="s">
        <v>1031</v>
      </c>
      <c r="J42" s="17" t="s">
        <v>1031</v>
      </c>
      <c r="K42" s="17">
        <v>184</v>
      </c>
      <c r="L42" s="17">
        <v>45.6</v>
      </c>
      <c r="M42" s="17">
        <v>192</v>
      </c>
      <c r="N42" s="17">
        <v>15.9</v>
      </c>
    </row>
    <row r="43" spans="5:14" x14ac:dyDescent="0.2">
      <c r="E43" s="80"/>
      <c r="F43" s="37" t="s">
        <v>1819</v>
      </c>
      <c r="G43" s="17">
        <v>11</v>
      </c>
      <c r="H43" s="17">
        <v>2.8</v>
      </c>
      <c r="I43" s="17">
        <v>15</v>
      </c>
      <c r="J43" s="17">
        <v>3.7</v>
      </c>
      <c r="K43" s="17">
        <v>21</v>
      </c>
      <c r="L43" s="17">
        <v>5.2</v>
      </c>
      <c r="M43" s="17">
        <v>47</v>
      </c>
      <c r="N43" s="17">
        <v>3.9</v>
      </c>
    </row>
    <row r="44" spans="5:14" x14ac:dyDescent="0.2">
      <c r="E44" s="80"/>
      <c r="F44" s="37" t="s">
        <v>1820</v>
      </c>
      <c r="G44" s="17">
        <v>40</v>
      </c>
      <c r="H44" s="17">
        <v>10</v>
      </c>
      <c r="I44" s="17">
        <v>34</v>
      </c>
      <c r="J44" s="17">
        <v>8.5</v>
      </c>
      <c r="K44" s="17">
        <v>39</v>
      </c>
      <c r="L44" s="17">
        <v>9.6999999999999993</v>
      </c>
      <c r="M44" s="17">
        <v>113</v>
      </c>
      <c r="N44" s="17">
        <v>9.4</v>
      </c>
    </row>
    <row r="45" spans="5:14" x14ac:dyDescent="0.2">
      <c r="E45" s="80"/>
      <c r="F45" s="37" t="s">
        <v>1821</v>
      </c>
      <c r="G45" s="17">
        <v>12</v>
      </c>
      <c r="H45" s="17">
        <v>3</v>
      </c>
      <c r="I45" s="17">
        <v>23</v>
      </c>
      <c r="J45" s="17">
        <v>5.7</v>
      </c>
      <c r="K45" s="17">
        <v>24</v>
      </c>
      <c r="L45" s="17">
        <v>5.9</v>
      </c>
      <c r="M45" s="17">
        <v>59</v>
      </c>
      <c r="N45" s="17">
        <v>4.9000000000000004</v>
      </c>
    </row>
    <row r="46" spans="5:14" x14ac:dyDescent="0.2">
      <c r="E46" s="80"/>
      <c r="F46" t="s">
        <v>1822</v>
      </c>
      <c r="G46" s="17">
        <v>124</v>
      </c>
      <c r="H46" s="17">
        <v>31.1</v>
      </c>
      <c r="I46" s="17">
        <v>124</v>
      </c>
      <c r="J46" s="17">
        <v>30.9</v>
      </c>
      <c r="K46" s="17">
        <v>131</v>
      </c>
      <c r="L46" s="17">
        <v>32.4</v>
      </c>
      <c r="M46" s="17">
        <v>379</v>
      </c>
      <c r="N46" s="17">
        <v>31.5</v>
      </c>
    </row>
    <row r="47" spans="5:14" x14ac:dyDescent="0.2">
      <c r="E47" s="80"/>
      <c r="F47" t="s">
        <v>1823</v>
      </c>
      <c r="G47" s="17" t="s">
        <v>1031</v>
      </c>
      <c r="H47" s="17" t="s">
        <v>1031</v>
      </c>
      <c r="I47" s="17" t="s">
        <v>1031</v>
      </c>
      <c r="J47" s="17" t="s">
        <v>1031</v>
      </c>
      <c r="K47" s="17" t="s">
        <v>1031</v>
      </c>
      <c r="L47" s="17" t="s">
        <v>1031</v>
      </c>
      <c r="M47" s="17">
        <v>23</v>
      </c>
      <c r="N47" s="17">
        <v>1.9</v>
      </c>
    </row>
    <row r="48" spans="5:14" x14ac:dyDescent="0.2">
      <c r="E48" s="80"/>
      <c r="F48" t="s">
        <v>1824</v>
      </c>
      <c r="G48" s="17">
        <v>0</v>
      </c>
      <c r="H48" s="17">
        <v>0</v>
      </c>
      <c r="I48" s="17">
        <v>0</v>
      </c>
      <c r="J48" s="17">
        <v>0</v>
      </c>
      <c r="K48" s="17" t="s">
        <v>1031</v>
      </c>
      <c r="L48" s="17" t="s">
        <v>1031</v>
      </c>
      <c r="M48" s="17">
        <v>2</v>
      </c>
      <c r="N48" s="17">
        <v>0.2</v>
      </c>
    </row>
    <row r="49" spans="5:14" x14ac:dyDescent="0.2">
      <c r="E49" s="80"/>
      <c r="F49" t="s">
        <v>1825</v>
      </c>
      <c r="G49" s="17" t="s">
        <v>1031</v>
      </c>
      <c r="H49" s="17" t="s">
        <v>1031</v>
      </c>
      <c r="I49" s="17">
        <v>0</v>
      </c>
      <c r="J49" s="17">
        <v>0</v>
      </c>
      <c r="K49" s="17" t="s">
        <v>1031</v>
      </c>
      <c r="L49" s="17" t="s">
        <v>1031</v>
      </c>
      <c r="M49" s="17">
        <v>4</v>
      </c>
      <c r="N49" s="17">
        <v>0.3</v>
      </c>
    </row>
    <row r="50" spans="5:14" x14ac:dyDescent="0.2">
      <c r="E50" s="80"/>
      <c r="F50" t="s">
        <v>1826</v>
      </c>
      <c r="G50" s="17" t="s">
        <v>1031</v>
      </c>
      <c r="H50" s="17" t="s">
        <v>1031</v>
      </c>
      <c r="I50" s="17" t="s">
        <v>1031</v>
      </c>
      <c r="J50" s="17" t="s">
        <v>1031</v>
      </c>
      <c r="K50" s="17">
        <v>16</v>
      </c>
      <c r="L50" s="17">
        <v>4</v>
      </c>
      <c r="M50" s="17">
        <v>30</v>
      </c>
      <c r="N50" s="17">
        <v>2</v>
      </c>
    </row>
    <row r="51" spans="5:14" x14ac:dyDescent="0.2">
      <c r="E51" s="80"/>
    </row>
    <row r="52" spans="5:14" x14ac:dyDescent="0.2">
      <c r="E52" s="80"/>
    </row>
    <row r="53" spans="5:14" x14ac:dyDescent="0.2">
      <c r="E53" s="80"/>
    </row>
    <row r="54" spans="5:14" x14ac:dyDescent="0.2">
      <c r="E54" s="80"/>
    </row>
    <row r="55" spans="5:14" x14ac:dyDescent="0.2">
      <c r="E55" s="80"/>
    </row>
    <row r="56" spans="5:14" x14ac:dyDescent="0.2">
      <c r="E56" s="80"/>
    </row>
    <row r="57" spans="5:14" x14ac:dyDescent="0.2">
      <c r="E57" s="80"/>
    </row>
  </sheetData>
  <mergeCells count="12">
    <mergeCell ref="B1:O1"/>
    <mergeCell ref="A21:B21"/>
    <mergeCell ref="E5:E57"/>
    <mergeCell ref="A9:B9"/>
    <mergeCell ref="A5:B5"/>
    <mergeCell ref="G5:H5"/>
    <mergeCell ref="K5:L5"/>
    <mergeCell ref="I5:J5"/>
    <mergeCell ref="M5:N5"/>
    <mergeCell ref="F5:F6"/>
    <mergeCell ref="A18:B18"/>
    <mergeCell ref="A27:B27"/>
  </mergeCells>
  <dataValidations count="3">
    <dataValidation type="list" allowBlank="1" showInputMessage="1" showErrorMessage="1" sqref="B10" xr:uid="{00000000-0002-0000-7800-000000000000}">
      <formula1>"Line,Clustered Bar,Stacked Bar,Bar,Horizontal Stacked Bar"</formula1>
    </dataValidation>
    <dataValidation type="list" allowBlank="1" showInputMessage="1" showErrorMessage="1" sqref="B2" xr:uid="{00000000-0002-0000-7800-000001000000}">
      <formula1>"Table,Figure,Both"</formula1>
    </dataValidation>
    <dataValidation type="list" allowBlank="1" showInputMessage="1" showErrorMessage="1" sqref="B6 B15:B16" xr:uid="{00000000-0002-0000-7800-000002000000}">
      <formula1>"True,False"</formula1>
    </dataValidation>
  </dataValidation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Q57"/>
  <sheetViews>
    <sheetView workbookViewId="0">
      <selection activeCell="M27" sqref="M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391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tbl-hepatitisa-rate</v>
      </c>
    </row>
    <row r="4" spans="1:17" x14ac:dyDescent="0.2">
      <c r="A4" s="16" t="s">
        <v>7</v>
      </c>
      <c r="B4" t="str">
        <f>IF($B$1="","",_xlfn.XLOOKUP($B$1,Master!$F$2:$F$321,Master!$H$2:$H$321,""))</f>
        <v>fig-hepatitisa-rate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1.6</v>
      </c>
      <c r="H6" s="15">
        <v>0.3</v>
      </c>
      <c r="I6" s="15">
        <v>0.2</v>
      </c>
      <c r="J6" s="15">
        <v>0.2</v>
      </c>
      <c r="K6" s="15"/>
      <c r="L6" s="15"/>
      <c r="M6" s="15"/>
      <c r="N6" s="15"/>
      <c r="O6" s="15"/>
    </row>
    <row r="7" spans="1:17" ht="15.75" customHeight="1" x14ac:dyDescent="0.2">
      <c r="E7" s="80"/>
      <c r="F7" t="s">
        <v>1298</v>
      </c>
      <c r="G7" s="15">
        <v>2</v>
      </c>
      <c r="H7" s="15">
        <v>0.9</v>
      </c>
      <c r="I7" s="15">
        <v>0.3</v>
      </c>
      <c r="J7" s="15">
        <v>0.3</v>
      </c>
      <c r="K7" s="15"/>
      <c r="L7" s="15"/>
      <c r="M7" s="15"/>
      <c r="N7" s="15"/>
      <c r="O7" s="15"/>
    </row>
    <row r="8" spans="1:17" x14ac:dyDescent="0.2">
      <c r="E8" s="80"/>
      <c r="F8" t="s">
        <v>1299</v>
      </c>
      <c r="G8" s="15">
        <v>1.6</v>
      </c>
      <c r="H8" s="15">
        <v>1</v>
      </c>
      <c r="I8" s="15">
        <v>0.4</v>
      </c>
      <c r="J8" s="15">
        <v>0.5</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1827</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900-000000000000}">
      <formula1>"Line,Clustered Bar,Stacked Bar,Bar,Horizontal Stacked Bar"</formula1>
    </dataValidation>
    <dataValidation type="list" allowBlank="1" showInputMessage="1" showErrorMessage="1" sqref="B2" xr:uid="{00000000-0002-0000-7900-000001000000}">
      <formula1>"Table,Figure,Both"</formula1>
    </dataValidation>
    <dataValidation type="list" allowBlank="1" showInputMessage="1" showErrorMessage="1" sqref="B6 B15:B16" xr:uid="{00000000-0002-0000-7900-000002000000}">
      <formula1>"True,False"</formula1>
    </dataValidation>
  </dataValidation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394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tbl-hepatitisb-chronic-rate</v>
      </c>
    </row>
    <row r="4" spans="1:17" x14ac:dyDescent="0.2">
      <c r="A4" s="16" t="s">
        <v>7</v>
      </c>
      <c r="B4" t="str">
        <f>IF($B$1="","",_xlfn.XLOOKUP($B$1,Master!$F$2:$F$321,Master!$H$2:$H$321,""))</f>
        <v>fig-hepatitisb-chronic-rate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1297</v>
      </c>
      <c r="H5" t="s">
        <v>1298</v>
      </c>
      <c r="I5" t="s">
        <v>1299</v>
      </c>
    </row>
    <row r="6" spans="1:17" ht="15" customHeight="1" x14ac:dyDescent="0.2">
      <c r="A6" t="s">
        <v>1088</v>
      </c>
      <c r="B6" t="b">
        <v>0</v>
      </c>
      <c r="E6" s="80"/>
      <c r="F6">
        <v>2020</v>
      </c>
      <c r="G6" s="15">
        <v>13.8</v>
      </c>
      <c r="H6" s="15">
        <v>13.6</v>
      </c>
      <c r="I6" s="15">
        <v>32.4</v>
      </c>
      <c r="J6" s="15"/>
      <c r="K6" s="15"/>
      <c r="L6" s="15"/>
      <c r="M6" s="15"/>
      <c r="N6" s="15"/>
      <c r="O6" s="15"/>
    </row>
    <row r="7" spans="1:17" ht="15.75" customHeight="1" x14ac:dyDescent="0.2">
      <c r="E7" s="80"/>
      <c r="F7">
        <v>2021</v>
      </c>
      <c r="G7" s="15">
        <v>14</v>
      </c>
      <c r="H7" s="15">
        <v>15.7</v>
      </c>
      <c r="I7" s="15">
        <v>35.6</v>
      </c>
      <c r="J7" s="15"/>
      <c r="K7" s="15"/>
      <c r="L7" s="15"/>
      <c r="M7" s="15"/>
      <c r="N7" s="15"/>
      <c r="O7" s="15"/>
    </row>
    <row r="8" spans="1:17" x14ac:dyDescent="0.2">
      <c r="E8" s="80"/>
      <c r="F8">
        <v>2022</v>
      </c>
      <c r="G8" s="15">
        <v>16.3</v>
      </c>
      <c r="H8" s="15">
        <v>17</v>
      </c>
      <c r="I8" s="15">
        <v>37.1</v>
      </c>
      <c r="J8" s="15"/>
      <c r="K8" s="15"/>
      <c r="L8" s="15"/>
      <c r="M8" s="15"/>
      <c r="N8" s="15"/>
      <c r="O8" s="15"/>
    </row>
    <row r="9" spans="1:17" x14ac:dyDescent="0.2">
      <c r="A9" s="83" t="s">
        <v>1098</v>
      </c>
      <c r="B9" s="80"/>
      <c r="E9" s="80"/>
      <c r="F9">
        <v>2023</v>
      </c>
      <c r="G9" s="15">
        <v>16.7</v>
      </c>
      <c r="H9" s="15">
        <v>18.2</v>
      </c>
      <c r="I9" s="15">
        <v>44.1</v>
      </c>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1827</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A00-000000000000}">
      <formula1>"Line,Clustered Bar,Stacked Bar,Bar,Horizontal Stacked Bar"</formula1>
    </dataValidation>
    <dataValidation type="list" allowBlank="1" showInputMessage="1" showErrorMessage="1" sqref="B2" xr:uid="{00000000-0002-0000-7A00-000001000000}">
      <formula1>"Table,Figure,Both"</formula1>
    </dataValidation>
    <dataValidation type="list" allowBlank="1" showInputMessage="1" showErrorMessage="1" sqref="B6 B15:B16" xr:uid="{00000000-0002-0000-7A00-000002000000}">
      <formula1>"True,False"</formula1>
    </dataValidation>
  </dataValidation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Q57"/>
  <sheetViews>
    <sheetView workbookViewId="0">
      <selection activeCell="O27" sqref="O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397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tbl-hepatitisc-acute-rate</v>
      </c>
    </row>
    <row r="4" spans="1:17" x14ac:dyDescent="0.2">
      <c r="A4" s="16" t="s">
        <v>7</v>
      </c>
      <c r="B4" t="str">
        <f>IF($B$1="","",_xlfn.XLOOKUP($B$1,Master!$F$2:$F$321,Master!$H$2:$H$321,""))</f>
        <v>fig-hepatitisc-acute-rate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0.8</v>
      </c>
      <c r="H6" s="15">
        <v>2.6</v>
      </c>
      <c r="I6" s="15">
        <v>2.2000000000000002</v>
      </c>
      <c r="J6" s="15">
        <v>1.5</v>
      </c>
      <c r="K6" s="15"/>
      <c r="L6" s="15"/>
      <c r="M6" s="15"/>
      <c r="N6" s="15"/>
      <c r="O6" s="15"/>
    </row>
    <row r="7" spans="1:17" ht="15.75" customHeight="1" x14ac:dyDescent="0.2">
      <c r="E7" s="80"/>
      <c r="F7" t="s">
        <v>1298</v>
      </c>
      <c r="G7" s="15">
        <v>1.6</v>
      </c>
      <c r="H7" s="15">
        <v>2.5</v>
      </c>
      <c r="I7" s="15">
        <v>2.2999999999999998</v>
      </c>
      <c r="J7" s="15">
        <v>1.8</v>
      </c>
      <c r="K7" s="15"/>
      <c r="L7" s="15"/>
      <c r="M7" s="15"/>
      <c r="N7" s="15"/>
      <c r="O7" s="15"/>
    </row>
    <row r="8" spans="1:17" x14ac:dyDescent="0.2">
      <c r="E8" s="80"/>
      <c r="F8" t="s">
        <v>1299</v>
      </c>
      <c r="G8" s="15">
        <v>2.2000000000000002</v>
      </c>
      <c r="H8" s="15">
        <v>2.1</v>
      </c>
      <c r="I8" s="15">
        <v>2</v>
      </c>
      <c r="J8" s="15">
        <v>1.9</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1827</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B00-000000000000}">
      <formula1>"Line,Clustered Bar,Stacked Bar,Bar,Horizontal Stacked Bar"</formula1>
    </dataValidation>
    <dataValidation type="list" allowBlank="1" showInputMessage="1" showErrorMessage="1" sqref="B2" xr:uid="{00000000-0002-0000-7B00-000001000000}">
      <formula1>"Table,Figure,Both"</formula1>
    </dataValidation>
    <dataValidation type="list" allowBlank="1" showInputMessage="1" showErrorMessage="1" sqref="B6 B15:B16" xr:uid="{00000000-0002-0000-7B00-000002000000}">
      <formula1>"True,False"</formula1>
    </dataValidation>
  </dataValidation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Q57"/>
  <sheetViews>
    <sheetView workbookViewId="0">
      <selection activeCell="H14" sqref="H1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400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tbl-hepatitisc-chronic-rate</v>
      </c>
    </row>
    <row r="4" spans="1:17" x14ac:dyDescent="0.2">
      <c r="A4" s="16" t="s">
        <v>7</v>
      </c>
      <c r="B4" t="str">
        <f>IF($B$1="","",_xlfn.XLOOKUP($B$1,Master!$F$2:$F$321,Master!$H$2:$H$321,""))</f>
        <v>fig-hepatitisc-chronic-rate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37.6</v>
      </c>
      <c r="H6" s="15">
        <v>41</v>
      </c>
      <c r="I6" s="15">
        <v>24.6</v>
      </c>
      <c r="J6" s="15">
        <v>24.4</v>
      </c>
      <c r="K6" s="15"/>
      <c r="L6" s="15"/>
      <c r="M6" s="15"/>
      <c r="N6" s="15"/>
      <c r="O6" s="15"/>
    </row>
    <row r="7" spans="1:17" ht="15.75" customHeight="1" x14ac:dyDescent="0.2">
      <c r="E7" s="80"/>
      <c r="F7" t="s">
        <v>1298</v>
      </c>
      <c r="G7" s="15">
        <v>34.200000000000003</v>
      </c>
      <c r="H7" s="15">
        <v>31.1</v>
      </c>
      <c r="I7" s="15">
        <v>25.2</v>
      </c>
      <c r="J7" s="15">
        <v>22</v>
      </c>
      <c r="K7" s="15"/>
      <c r="L7" s="15"/>
      <c r="M7" s="15"/>
      <c r="N7" s="15"/>
      <c r="O7" s="15"/>
    </row>
    <row r="8" spans="1:17" x14ac:dyDescent="0.2">
      <c r="E8" s="80"/>
      <c r="F8" t="s">
        <v>1299</v>
      </c>
      <c r="G8" s="15">
        <v>39.4</v>
      </c>
      <c r="H8" s="15">
        <v>31.9</v>
      </c>
      <c r="I8" s="15">
        <v>28.3</v>
      </c>
      <c r="J8" s="15">
        <v>25.6</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1827</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C00-000000000000}">
      <formula1>"Line,Clustered Bar,Stacked Bar,Bar,Horizontal Stacked Bar"</formula1>
    </dataValidation>
    <dataValidation type="list" allowBlank="1" showInputMessage="1" showErrorMessage="1" sqref="B2" xr:uid="{00000000-0002-0000-7C00-000001000000}">
      <formula1>"Table,Figure,Both"</formula1>
    </dataValidation>
    <dataValidation type="list" allowBlank="1" showInputMessage="1" showErrorMessage="1" sqref="B6 B15:B16" xr:uid="{00000000-0002-0000-7C00-000002000000}">
      <formula1>"True,False"</formula1>
    </dataValidation>
  </dataValidation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Q57"/>
  <sheetViews>
    <sheetView workbookViewId="0">
      <selection activeCell="J40" sqref="J4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403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tbl-chlamydia-count-rate-sex-rande-age-zip</v>
      </c>
    </row>
    <row r="4" spans="1:17" x14ac:dyDescent="0.2">
      <c r="A4" s="16" t="s">
        <v>7</v>
      </c>
      <c r="B4" t="str">
        <f>IF($B$1="","",_xlfn.XLOOKUP($B$1,Master!$F$2:$F$321,Master!$H$2:$H$321,""))</f>
        <v>fig-chlamydia-count-rate-sex-rande-age-zip</v>
      </c>
      <c r="E4" s="8"/>
      <c r="F4" s="10" t="s">
        <v>1009</v>
      </c>
      <c r="G4" s="10" t="s">
        <v>968</v>
      </c>
      <c r="H4" s="10" t="s">
        <v>979</v>
      </c>
      <c r="I4" s="10" t="s">
        <v>968</v>
      </c>
      <c r="J4" s="10" t="s">
        <v>979</v>
      </c>
      <c r="K4" s="10" t="s">
        <v>968</v>
      </c>
      <c r="L4" s="10" t="s">
        <v>979</v>
      </c>
      <c r="M4" s="10" t="s">
        <v>968</v>
      </c>
      <c r="N4" s="10" t="s">
        <v>979</v>
      </c>
      <c r="O4" s="10"/>
      <c r="P4" s="10"/>
      <c r="Q4" s="10"/>
    </row>
    <row r="5" spans="1:17" x14ac:dyDescent="0.2">
      <c r="A5" s="83" t="s">
        <v>1081</v>
      </c>
      <c r="B5" s="80"/>
      <c r="E5" s="82" t="s">
        <v>1082</v>
      </c>
      <c r="G5" s="81">
        <v>2021</v>
      </c>
      <c r="H5" s="80"/>
      <c r="I5" s="81">
        <v>2022</v>
      </c>
      <c r="J5" s="80"/>
      <c r="K5" s="81">
        <v>2023</v>
      </c>
      <c r="L5" s="80"/>
      <c r="M5" s="81">
        <v>2024</v>
      </c>
      <c r="N5" s="80"/>
    </row>
    <row r="6" spans="1:17" ht="15" customHeight="1" x14ac:dyDescent="0.2">
      <c r="A6" t="s">
        <v>1088</v>
      </c>
      <c r="B6" t="b">
        <v>1</v>
      </c>
      <c r="E6" s="80"/>
      <c r="G6" s="15" t="s">
        <v>1272</v>
      </c>
      <c r="H6" s="15" t="s">
        <v>1273</v>
      </c>
      <c r="I6" s="15" t="s">
        <v>1272</v>
      </c>
      <c r="J6" s="15" t="s">
        <v>1273</v>
      </c>
      <c r="K6" s="15" t="s">
        <v>1272</v>
      </c>
      <c r="L6" s="15" t="s">
        <v>1273</v>
      </c>
      <c r="M6" s="15" t="s">
        <v>1272</v>
      </c>
      <c r="N6" s="15" t="s">
        <v>1273</v>
      </c>
      <c r="O6" s="15"/>
    </row>
    <row r="7" spans="1:17" ht="15.75" customHeight="1" x14ac:dyDescent="0.2">
      <c r="E7" s="80"/>
      <c r="F7" s="16" t="s">
        <v>1089</v>
      </c>
      <c r="G7" s="15">
        <v>1438</v>
      </c>
      <c r="H7" s="15">
        <v>361.1</v>
      </c>
      <c r="I7" s="15">
        <v>1381</v>
      </c>
      <c r="J7" s="15">
        <v>344.2</v>
      </c>
      <c r="K7" s="15">
        <v>1491</v>
      </c>
      <c r="L7" s="15">
        <v>369.2</v>
      </c>
      <c r="M7" s="15">
        <v>1375</v>
      </c>
      <c r="N7" s="15">
        <v>340.5</v>
      </c>
      <c r="O7" s="15"/>
    </row>
    <row r="8" spans="1:17" x14ac:dyDescent="0.2">
      <c r="E8" s="80"/>
      <c r="F8" s="92" t="s">
        <v>1086</v>
      </c>
      <c r="G8" s="80"/>
      <c r="H8" s="80"/>
      <c r="I8" s="80"/>
      <c r="J8" s="80"/>
      <c r="K8" s="80"/>
      <c r="L8" s="80"/>
      <c r="M8" s="80"/>
      <c r="N8" s="80"/>
      <c r="O8" s="15"/>
    </row>
    <row r="9" spans="1:17" x14ac:dyDescent="0.2">
      <c r="A9" s="83" t="s">
        <v>1098</v>
      </c>
      <c r="B9" s="80"/>
      <c r="E9" s="80"/>
      <c r="F9" s="47" t="s">
        <v>1094</v>
      </c>
      <c r="G9" s="15">
        <v>500</v>
      </c>
      <c r="H9" s="15">
        <v>249.3</v>
      </c>
      <c r="I9" s="15">
        <v>461</v>
      </c>
      <c r="J9" s="15">
        <v>229.6</v>
      </c>
      <c r="K9" s="15">
        <v>534</v>
      </c>
      <c r="L9" s="15">
        <v>265</v>
      </c>
      <c r="M9" s="15">
        <v>525</v>
      </c>
      <c r="N9" s="15">
        <v>260.5</v>
      </c>
      <c r="O9" s="15"/>
    </row>
    <row r="10" spans="1:17" x14ac:dyDescent="0.2">
      <c r="A10" t="s">
        <v>1100</v>
      </c>
      <c r="E10" s="80"/>
      <c r="F10" s="47" t="s">
        <v>1095</v>
      </c>
      <c r="G10" s="15">
        <v>938</v>
      </c>
      <c r="H10" s="15">
        <v>474.4</v>
      </c>
      <c r="I10" s="15">
        <v>920</v>
      </c>
      <c r="J10" s="15">
        <v>458.9</v>
      </c>
      <c r="K10" s="15">
        <v>957</v>
      </c>
      <c r="L10" s="15">
        <v>473</v>
      </c>
      <c r="M10" s="15">
        <v>850</v>
      </c>
      <c r="N10" s="15">
        <v>420.1</v>
      </c>
      <c r="O10" s="15"/>
    </row>
    <row r="11" spans="1:17" x14ac:dyDescent="0.2">
      <c r="A11" t="s">
        <v>1102</v>
      </c>
      <c r="E11" s="80"/>
      <c r="F11" s="92" t="s">
        <v>1289</v>
      </c>
      <c r="G11" s="80"/>
      <c r="H11" s="80"/>
      <c r="I11" s="80"/>
      <c r="J11" s="80"/>
      <c r="K11" s="80"/>
      <c r="L11" s="80"/>
      <c r="M11" s="80"/>
      <c r="N11" s="80"/>
      <c r="O11" s="15"/>
    </row>
    <row r="12" spans="1:17" x14ac:dyDescent="0.2">
      <c r="A12" t="s">
        <v>1104</v>
      </c>
      <c r="E12" s="80"/>
      <c r="F12" s="47" t="s">
        <v>1828</v>
      </c>
      <c r="G12" s="15">
        <v>200</v>
      </c>
      <c r="H12" s="15">
        <v>80.7</v>
      </c>
      <c r="I12" s="15">
        <v>224</v>
      </c>
      <c r="J12" s="17">
        <v>92.3</v>
      </c>
      <c r="K12" s="17">
        <v>216</v>
      </c>
      <c r="L12" s="17">
        <v>90.3</v>
      </c>
      <c r="M12" s="17">
        <v>225</v>
      </c>
      <c r="N12" s="17">
        <v>94.1</v>
      </c>
      <c r="O12" s="15"/>
    </row>
    <row r="13" spans="1:17" x14ac:dyDescent="0.2">
      <c r="A13" t="s">
        <v>1108</v>
      </c>
      <c r="E13" s="80"/>
      <c r="F13" s="48" t="s">
        <v>1829</v>
      </c>
      <c r="G13" s="17">
        <v>278</v>
      </c>
      <c r="H13" s="17">
        <v>699.8</v>
      </c>
      <c r="I13" s="15">
        <v>241</v>
      </c>
      <c r="J13" s="15">
        <v>574.6</v>
      </c>
      <c r="K13" s="15">
        <v>298</v>
      </c>
      <c r="L13" s="15">
        <v>701.5</v>
      </c>
      <c r="M13" s="15">
        <v>296</v>
      </c>
      <c r="N13" s="15">
        <v>696.8</v>
      </c>
      <c r="O13" s="15"/>
    </row>
    <row r="14" spans="1:17" x14ac:dyDescent="0.2">
      <c r="A14" t="s">
        <v>1112</v>
      </c>
      <c r="E14" s="80"/>
      <c r="F14" s="47" t="s">
        <v>1830</v>
      </c>
      <c r="G14" s="15">
        <v>387</v>
      </c>
      <c r="H14" s="15">
        <v>453.5</v>
      </c>
      <c r="I14" s="15">
        <v>428</v>
      </c>
      <c r="J14" s="15">
        <v>478.2</v>
      </c>
      <c r="K14" s="15">
        <v>489</v>
      </c>
      <c r="L14" s="15">
        <v>522.4</v>
      </c>
      <c r="M14" s="15">
        <v>527</v>
      </c>
      <c r="N14" s="15">
        <v>563</v>
      </c>
      <c r="O14" s="15"/>
    </row>
    <row r="15" spans="1:17" x14ac:dyDescent="0.2">
      <c r="A15" t="s">
        <v>1114</v>
      </c>
      <c r="E15" s="80"/>
      <c r="F15" s="92" t="s">
        <v>1085</v>
      </c>
      <c r="G15" s="80"/>
      <c r="H15" s="80"/>
      <c r="I15" s="80"/>
      <c r="J15" s="80"/>
      <c r="K15" s="80"/>
      <c r="L15" s="80"/>
      <c r="M15" s="80"/>
      <c r="N15" s="80"/>
      <c r="O15" s="15"/>
    </row>
    <row r="16" spans="1:17" x14ac:dyDescent="0.2">
      <c r="A16" t="s">
        <v>1116</v>
      </c>
      <c r="E16" s="80"/>
      <c r="F16" s="47" t="s">
        <v>1831</v>
      </c>
      <c r="G16" s="15">
        <v>11</v>
      </c>
      <c r="H16" s="15">
        <v>13.1</v>
      </c>
      <c r="I16" s="15" t="s">
        <v>1031</v>
      </c>
      <c r="J16" s="15" t="s">
        <v>1031</v>
      </c>
      <c r="K16" s="15">
        <v>12</v>
      </c>
      <c r="L16" s="15">
        <v>14.1</v>
      </c>
      <c r="M16" s="15" t="s">
        <v>1031</v>
      </c>
      <c r="N16" s="15" t="s">
        <v>1031</v>
      </c>
      <c r="O16" s="15"/>
    </row>
    <row r="17" spans="1:15" x14ac:dyDescent="0.2">
      <c r="E17" s="80"/>
      <c r="F17" s="47" t="s">
        <v>1832</v>
      </c>
      <c r="G17" s="15">
        <v>335</v>
      </c>
      <c r="H17" s="15">
        <v>1100.5999999999999</v>
      </c>
      <c r="I17" s="15">
        <v>326</v>
      </c>
      <c r="J17" s="15">
        <v>1029.0999999999999</v>
      </c>
      <c r="K17" s="15">
        <v>378</v>
      </c>
      <c r="L17" s="15">
        <v>1197.2</v>
      </c>
      <c r="M17" s="15">
        <v>335</v>
      </c>
      <c r="N17" s="15">
        <v>1061</v>
      </c>
      <c r="O17" s="15"/>
    </row>
    <row r="18" spans="1:15" x14ac:dyDescent="0.2">
      <c r="A18" s="83" t="s">
        <v>1119</v>
      </c>
      <c r="B18" s="80"/>
      <c r="E18" s="80"/>
      <c r="F18" s="47" t="s">
        <v>1701</v>
      </c>
      <c r="G18" s="15">
        <v>534</v>
      </c>
      <c r="H18" s="15">
        <v>1829.9</v>
      </c>
      <c r="I18" s="15">
        <v>528</v>
      </c>
      <c r="J18" s="15">
        <v>1780.1</v>
      </c>
      <c r="K18" s="15">
        <v>515</v>
      </c>
      <c r="L18" s="15">
        <v>1796.4</v>
      </c>
      <c r="M18" s="15">
        <v>466</v>
      </c>
      <c r="N18" s="15">
        <v>1625.5</v>
      </c>
      <c r="O18" s="15"/>
    </row>
    <row r="19" spans="1:15" x14ac:dyDescent="0.2">
      <c r="A19" t="s">
        <v>1121</v>
      </c>
      <c r="B19" t="s">
        <v>1833</v>
      </c>
      <c r="E19" s="80"/>
      <c r="F19" s="47" t="s">
        <v>1834</v>
      </c>
      <c r="G19" s="15">
        <v>286</v>
      </c>
      <c r="H19" s="15">
        <v>1209.7</v>
      </c>
      <c r="I19" s="15">
        <v>254</v>
      </c>
      <c r="J19" s="15">
        <v>1061.3</v>
      </c>
      <c r="K19" s="15">
        <v>254</v>
      </c>
      <c r="L19" s="15">
        <v>1058.8</v>
      </c>
      <c r="M19" s="15">
        <v>242</v>
      </c>
      <c r="N19" s="15">
        <v>1008.8</v>
      </c>
      <c r="O19" s="15"/>
    </row>
    <row r="20" spans="1:15" x14ac:dyDescent="0.2">
      <c r="E20" s="80"/>
      <c r="F20" s="47" t="s">
        <v>1835</v>
      </c>
      <c r="G20" s="15">
        <v>124</v>
      </c>
      <c r="H20" s="15">
        <v>540.20000000000005</v>
      </c>
      <c r="I20" s="15">
        <v>139</v>
      </c>
      <c r="J20" s="15">
        <v>592.4</v>
      </c>
      <c r="K20" s="15">
        <v>149</v>
      </c>
      <c r="L20" s="15">
        <v>622.70000000000005</v>
      </c>
      <c r="M20" s="15">
        <v>130</v>
      </c>
      <c r="N20" s="15">
        <v>543.29999999999995</v>
      </c>
      <c r="O20" s="15"/>
    </row>
    <row r="21" spans="1:15" x14ac:dyDescent="0.2">
      <c r="A21" s="81" t="s">
        <v>1125</v>
      </c>
      <c r="B21" s="80"/>
      <c r="E21" s="80"/>
      <c r="F21" s="47" t="s">
        <v>1836</v>
      </c>
      <c r="G21" s="15">
        <v>70</v>
      </c>
      <c r="H21" s="15">
        <v>294.60000000000002</v>
      </c>
      <c r="I21" s="15">
        <v>60</v>
      </c>
      <c r="J21" s="15">
        <v>250.4</v>
      </c>
      <c r="K21" s="15">
        <v>93</v>
      </c>
      <c r="L21" s="15">
        <v>379.1</v>
      </c>
      <c r="M21" s="15">
        <v>86</v>
      </c>
      <c r="N21" s="15">
        <v>350.6</v>
      </c>
      <c r="O21" s="15"/>
    </row>
    <row r="22" spans="1:15" x14ac:dyDescent="0.2">
      <c r="A22" t="s">
        <v>1135</v>
      </c>
      <c r="B22" t="s">
        <v>1837</v>
      </c>
      <c r="E22" s="80"/>
      <c r="F22" s="47" t="s">
        <v>1838</v>
      </c>
      <c r="G22" s="15">
        <v>42</v>
      </c>
      <c r="H22" s="15">
        <v>175.2</v>
      </c>
      <c r="I22" s="15">
        <v>28</v>
      </c>
      <c r="J22" s="15">
        <v>113.1</v>
      </c>
      <c r="K22" s="15">
        <v>42</v>
      </c>
      <c r="L22" s="15">
        <v>166.6</v>
      </c>
      <c r="M22" s="15">
        <v>46</v>
      </c>
      <c r="N22" s="15">
        <v>182.5</v>
      </c>
      <c r="O22" s="15"/>
    </row>
    <row r="23" spans="1:15" x14ac:dyDescent="0.2">
      <c r="E23" s="80"/>
      <c r="F23" s="47" t="s">
        <v>1839</v>
      </c>
      <c r="G23" s="15">
        <v>14</v>
      </c>
      <c r="H23" s="15">
        <v>54.7</v>
      </c>
      <c r="I23" s="15">
        <v>17</v>
      </c>
      <c r="J23" s="15">
        <v>67.900000000000006</v>
      </c>
      <c r="K23" s="15">
        <v>20</v>
      </c>
      <c r="L23" s="15">
        <v>81.400000000000006</v>
      </c>
      <c r="M23" s="15">
        <v>22</v>
      </c>
      <c r="N23" s="15">
        <v>89.5</v>
      </c>
      <c r="O23" s="15"/>
    </row>
    <row r="24" spans="1:15" x14ac:dyDescent="0.2">
      <c r="E24" s="80"/>
      <c r="F24" s="47" t="s">
        <v>1840</v>
      </c>
      <c r="G24" s="15">
        <v>22</v>
      </c>
      <c r="H24" s="15">
        <v>16.3</v>
      </c>
      <c r="I24" s="15">
        <v>20</v>
      </c>
      <c r="J24" s="15">
        <v>14.8</v>
      </c>
      <c r="K24" s="15">
        <v>28</v>
      </c>
      <c r="L24" s="15">
        <v>20.5</v>
      </c>
      <c r="M24" s="15">
        <v>40</v>
      </c>
      <c r="N24" s="15">
        <v>29.3</v>
      </c>
      <c r="O24" s="15"/>
    </row>
    <row r="25" spans="1:15" x14ac:dyDescent="0.2">
      <c r="E25" s="80"/>
      <c r="F25" s="92" t="s">
        <v>1294</v>
      </c>
      <c r="G25" s="80"/>
      <c r="H25" s="80"/>
      <c r="I25" s="80"/>
      <c r="J25" s="80"/>
      <c r="K25" s="80"/>
      <c r="L25" s="80"/>
      <c r="M25" s="80"/>
      <c r="N25" s="80"/>
      <c r="O25" s="15"/>
    </row>
    <row r="26" spans="1:15" x14ac:dyDescent="0.2">
      <c r="E26" s="80"/>
      <c r="F26" s="47">
        <v>10918</v>
      </c>
      <c r="G26" s="15">
        <v>20</v>
      </c>
      <c r="H26" s="15">
        <v>156.80000000000001</v>
      </c>
      <c r="I26" s="15">
        <v>35</v>
      </c>
      <c r="J26" s="15">
        <v>288</v>
      </c>
      <c r="K26" s="15">
        <v>22</v>
      </c>
      <c r="L26" s="15">
        <v>184.3</v>
      </c>
      <c r="M26" s="15">
        <v>26</v>
      </c>
      <c r="N26" s="15">
        <v>217.8</v>
      </c>
      <c r="O26" s="15"/>
    </row>
    <row r="27" spans="1:15" x14ac:dyDescent="0.2">
      <c r="A27" s="81"/>
      <c r="B27" s="80"/>
      <c r="E27" s="80"/>
      <c r="F27" s="47">
        <v>10924</v>
      </c>
      <c r="G27" s="15">
        <v>39</v>
      </c>
      <c r="H27" s="15">
        <v>281.39999999999998</v>
      </c>
      <c r="I27" s="15">
        <v>33</v>
      </c>
      <c r="J27" s="15">
        <v>236.3</v>
      </c>
      <c r="K27" s="15">
        <v>40</v>
      </c>
      <c r="L27" s="15">
        <v>293.89999999999998</v>
      </c>
      <c r="M27" s="15">
        <v>39</v>
      </c>
      <c r="N27" s="15">
        <v>286.5</v>
      </c>
      <c r="O27" s="15"/>
    </row>
    <row r="28" spans="1:15" x14ac:dyDescent="0.2">
      <c r="E28" s="80"/>
      <c r="F28" s="47">
        <v>10928</v>
      </c>
      <c r="G28" s="15">
        <v>20</v>
      </c>
      <c r="H28" s="15">
        <v>408.2</v>
      </c>
      <c r="I28" s="15">
        <v>18</v>
      </c>
      <c r="J28" s="15">
        <v>345.6</v>
      </c>
      <c r="K28" s="15">
        <v>24</v>
      </c>
      <c r="L28" s="15">
        <v>455.1</v>
      </c>
      <c r="M28" s="15">
        <v>13</v>
      </c>
      <c r="N28" s="15">
        <v>246.5</v>
      </c>
      <c r="O28" s="15"/>
    </row>
    <row r="29" spans="1:15" x14ac:dyDescent="0.2">
      <c r="E29" s="80"/>
      <c r="F29" s="47">
        <v>10930</v>
      </c>
      <c r="G29" s="15">
        <v>25</v>
      </c>
      <c r="H29" s="15">
        <v>237.3</v>
      </c>
      <c r="I29" s="15">
        <v>24</v>
      </c>
      <c r="J29" s="15">
        <v>232.4</v>
      </c>
      <c r="K29" s="15">
        <v>18</v>
      </c>
      <c r="L29" s="15">
        <v>174</v>
      </c>
      <c r="M29" s="15">
        <v>31</v>
      </c>
      <c r="N29" s="15">
        <v>299.7</v>
      </c>
      <c r="O29" s="15"/>
    </row>
    <row r="30" spans="1:15" x14ac:dyDescent="0.2">
      <c r="E30" s="80"/>
      <c r="F30" s="47">
        <v>10940</v>
      </c>
      <c r="G30" s="15">
        <v>299</v>
      </c>
      <c r="H30" s="15">
        <v>587.1</v>
      </c>
      <c r="I30" s="15">
        <v>301</v>
      </c>
      <c r="J30" s="15">
        <v>580.5</v>
      </c>
      <c r="K30" s="15">
        <v>314</v>
      </c>
      <c r="L30" s="15">
        <v>591.29999999999995</v>
      </c>
      <c r="M30" s="15">
        <v>319</v>
      </c>
      <c r="N30" s="15">
        <v>600.79999999999995</v>
      </c>
      <c r="O30" s="15"/>
    </row>
    <row r="31" spans="1:15" x14ac:dyDescent="0.2">
      <c r="E31" s="80"/>
      <c r="F31" s="47">
        <v>10941</v>
      </c>
      <c r="G31" s="15">
        <v>44</v>
      </c>
      <c r="H31" s="15">
        <v>305.2</v>
      </c>
      <c r="I31" s="15">
        <v>72</v>
      </c>
      <c r="J31" s="15">
        <v>496.5</v>
      </c>
      <c r="K31" s="15">
        <v>63</v>
      </c>
      <c r="L31" s="15">
        <v>426.8</v>
      </c>
      <c r="M31" s="15">
        <v>48</v>
      </c>
      <c r="N31" s="15">
        <v>325.2</v>
      </c>
      <c r="O31" s="15"/>
    </row>
    <row r="32" spans="1:15" x14ac:dyDescent="0.2">
      <c r="E32" s="80"/>
      <c r="F32" s="47">
        <v>10950</v>
      </c>
      <c r="G32" s="15">
        <v>78</v>
      </c>
      <c r="H32" s="15">
        <v>126.9</v>
      </c>
      <c r="I32" s="15">
        <v>93</v>
      </c>
      <c r="J32" s="15">
        <v>147.6</v>
      </c>
      <c r="K32" s="15">
        <v>95</v>
      </c>
      <c r="L32" s="15">
        <v>145.30000000000001</v>
      </c>
      <c r="M32" s="15">
        <v>94</v>
      </c>
      <c r="N32" s="15">
        <v>143.80000000000001</v>
      </c>
      <c r="O32" s="15"/>
    </row>
    <row r="33" spans="5:15" x14ac:dyDescent="0.2">
      <c r="E33" s="80"/>
      <c r="F33" s="47">
        <v>10990</v>
      </c>
      <c r="G33" s="15">
        <v>32</v>
      </c>
      <c r="H33" s="15">
        <v>152.19999999999999</v>
      </c>
      <c r="I33" s="15">
        <v>25</v>
      </c>
      <c r="J33" s="15">
        <v>121.8</v>
      </c>
      <c r="K33" s="15">
        <v>27</v>
      </c>
      <c r="L33" s="15">
        <v>132.5</v>
      </c>
      <c r="M33" s="15">
        <v>32</v>
      </c>
      <c r="N33" s="15">
        <v>157.1</v>
      </c>
      <c r="O33" s="15"/>
    </row>
    <row r="34" spans="5:15" x14ac:dyDescent="0.2">
      <c r="E34" s="80"/>
      <c r="F34" s="47">
        <v>10992</v>
      </c>
      <c r="G34" s="15">
        <v>28</v>
      </c>
      <c r="H34" s="15">
        <v>291.89999999999998</v>
      </c>
      <c r="I34" s="15">
        <v>33</v>
      </c>
      <c r="J34" s="15">
        <v>320.89999999999998</v>
      </c>
      <c r="K34" s="15">
        <v>33</v>
      </c>
      <c r="L34" s="15">
        <v>316.89999999999998</v>
      </c>
      <c r="M34" s="15">
        <v>30</v>
      </c>
      <c r="N34" s="15">
        <v>288.10000000000002</v>
      </c>
      <c r="O34" s="15"/>
    </row>
    <row r="35" spans="5:15" x14ac:dyDescent="0.2">
      <c r="E35" s="80"/>
      <c r="F35" s="47">
        <v>12549</v>
      </c>
      <c r="G35" s="15">
        <v>14</v>
      </c>
      <c r="H35" s="15">
        <v>130.19999999999999</v>
      </c>
      <c r="I35" s="17">
        <v>21</v>
      </c>
      <c r="J35" s="15">
        <v>197.5</v>
      </c>
      <c r="K35" s="15">
        <v>31</v>
      </c>
      <c r="L35" s="15">
        <v>284.5</v>
      </c>
      <c r="M35" s="15">
        <v>14</v>
      </c>
      <c r="N35" s="15">
        <v>128.5</v>
      </c>
      <c r="O35" s="15"/>
    </row>
    <row r="36" spans="5:15" x14ac:dyDescent="0.2">
      <c r="E36" s="80"/>
      <c r="F36" s="47">
        <v>12550</v>
      </c>
      <c r="G36" s="15">
        <v>443</v>
      </c>
      <c r="H36" s="15">
        <v>797.3</v>
      </c>
      <c r="I36" s="17">
        <v>389</v>
      </c>
      <c r="J36" s="15">
        <v>702.1</v>
      </c>
      <c r="K36" s="15">
        <v>405</v>
      </c>
      <c r="L36" s="15">
        <v>736.4</v>
      </c>
      <c r="M36" s="15">
        <v>336</v>
      </c>
      <c r="N36" s="15">
        <v>611</v>
      </c>
      <c r="O36" s="15"/>
    </row>
    <row r="37" spans="5:15" x14ac:dyDescent="0.2">
      <c r="E37" s="80"/>
      <c r="F37" s="47">
        <v>12553</v>
      </c>
      <c r="G37" s="15">
        <v>109</v>
      </c>
      <c r="H37" s="15">
        <v>406.6</v>
      </c>
      <c r="I37" s="17">
        <v>99</v>
      </c>
      <c r="J37" s="15">
        <v>361.2</v>
      </c>
      <c r="K37" s="15">
        <v>116</v>
      </c>
      <c r="L37" s="15">
        <v>424.9</v>
      </c>
      <c r="M37" s="15">
        <v>95</v>
      </c>
      <c r="N37" s="15">
        <v>348</v>
      </c>
      <c r="O37" s="15"/>
    </row>
    <row r="38" spans="5:15" x14ac:dyDescent="0.2">
      <c r="E38" s="80"/>
      <c r="F38" s="47">
        <v>12566</v>
      </c>
      <c r="G38" s="15">
        <v>15</v>
      </c>
      <c r="H38" s="15">
        <v>115.1</v>
      </c>
      <c r="I38" s="17">
        <v>10</v>
      </c>
      <c r="J38" s="15">
        <v>80.599999999999994</v>
      </c>
      <c r="K38" s="15">
        <v>10</v>
      </c>
      <c r="L38" s="15">
        <v>85.3</v>
      </c>
      <c r="M38" s="15" t="s">
        <v>1031</v>
      </c>
      <c r="N38" s="15" t="s">
        <v>1031</v>
      </c>
      <c r="O38" s="15"/>
    </row>
    <row r="39" spans="5:15" x14ac:dyDescent="0.2">
      <c r="E39" s="80"/>
      <c r="F39" s="47">
        <v>12586</v>
      </c>
      <c r="G39" s="15">
        <v>27</v>
      </c>
      <c r="H39" s="15">
        <v>222.3</v>
      </c>
      <c r="I39" s="15">
        <v>33</v>
      </c>
      <c r="J39" s="15">
        <v>257.8</v>
      </c>
      <c r="K39" s="15">
        <v>49</v>
      </c>
      <c r="L39" s="15">
        <v>380.6</v>
      </c>
      <c r="M39" s="15">
        <v>43</v>
      </c>
      <c r="N39" s="15">
        <v>334</v>
      </c>
      <c r="O39" s="15"/>
    </row>
    <row r="40" spans="5:15" x14ac:dyDescent="0.2">
      <c r="E40" s="80"/>
      <c r="F40" s="47">
        <v>12771</v>
      </c>
      <c r="G40" s="15">
        <v>38</v>
      </c>
      <c r="H40" s="15">
        <v>256.10000000000002</v>
      </c>
      <c r="I40" s="15">
        <v>43</v>
      </c>
      <c r="J40" s="15">
        <v>297.5</v>
      </c>
      <c r="K40" s="15">
        <v>47</v>
      </c>
      <c r="L40" s="15">
        <v>327.60000000000002</v>
      </c>
      <c r="M40" s="15">
        <v>47</v>
      </c>
      <c r="N40" s="15">
        <v>327.60000000000002</v>
      </c>
      <c r="O40" s="15"/>
    </row>
    <row r="41" spans="5:15" x14ac:dyDescent="0.2">
      <c r="E41" s="80"/>
    </row>
    <row r="42" spans="5:15" x14ac:dyDescent="0.2">
      <c r="E42" s="80"/>
    </row>
    <row r="43" spans="5:15" x14ac:dyDescent="0.2">
      <c r="E43" s="80"/>
    </row>
    <row r="44" spans="5:15" x14ac:dyDescent="0.2">
      <c r="E44" s="80"/>
    </row>
    <row r="45" spans="5:15" x14ac:dyDescent="0.2">
      <c r="E45" s="80"/>
    </row>
    <row r="46" spans="5:15" x14ac:dyDescent="0.2">
      <c r="E46" s="80"/>
    </row>
    <row r="47" spans="5:15" x14ac:dyDescent="0.2">
      <c r="E47" s="80"/>
    </row>
    <row r="48" spans="5:15"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15:N15"/>
    <mergeCell ref="E5:E57"/>
    <mergeCell ref="F25:N25"/>
    <mergeCell ref="A9:B9"/>
    <mergeCell ref="A5:B5"/>
    <mergeCell ref="G5:H5"/>
    <mergeCell ref="K5:L5"/>
    <mergeCell ref="I5:J5"/>
    <mergeCell ref="M5:N5"/>
    <mergeCell ref="F8:N8"/>
    <mergeCell ref="A18:B18"/>
    <mergeCell ref="A27:B27"/>
    <mergeCell ref="F11:N11"/>
  </mergeCells>
  <dataValidations count="3">
    <dataValidation type="list" allowBlank="1" showInputMessage="1" showErrorMessage="1" sqref="B10" xr:uid="{00000000-0002-0000-7D00-000000000000}">
      <formula1>"Line,Clustered Bar,Stacked Bar,Bar,Horizontal Stacked Bar"</formula1>
    </dataValidation>
    <dataValidation type="list" allowBlank="1" showInputMessage="1" showErrorMessage="1" sqref="B2" xr:uid="{00000000-0002-0000-7D00-000001000000}">
      <formula1>"Table,Figure,Both"</formula1>
    </dataValidation>
    <dataValidation type="list" allowBlank="1" showInputMessage="1" showErrorMessage="1" sqref="B6 B15:B16" xr:uid="{00000000-0002-0000-7D00-000002000000}">
      <formula1>"True,False"</formula1>
    </dataValidation>
  </dataValidation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406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tbl-chlamydia-aar</v>
      </c>
    </row>
    <row r="4" spans="1:17" x14ac:dyDescent="0.2">
      <c r="A4" s="16" t="s">
        <v>7</v>
      </c>
      <c r="B4" t="str">
        <f>IF($B$1="","",_xlfn.XLOOKUP($B$1,Master!$F$2:$F$321,Master!$H$2:$H$321,""))</f>
        <v>fig-chlamydia-aar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373.3</v>
      </c>
      <c r="H6" s="15">
        <v>361.3</v>
      </c>
      <c r="I6" s="15">
        <v>340.4</v>
      </c>
      <c r="J6" s="15">
        <v>374.8</v>
      </c>
      <c r="K6" s="15"/>
      <c r="L6" s="15"/>
      <c r="M6" s="15"/>
      <c r="N6" s="15"/>
      <c r="O6" s="15"/>
    </row>
    <row r="7" spans="1:17" ht="15.75" customHeight="1" x14ac:dyDescent="0.2">
      <c r="E7" s="80"/>
      <c r="F7" t="s">
        <v>1645</v>
      </c>
      <c r="G7" s="15">
        <v>330.8</v>
      </c>
      <c r="H7" s="15">
        <v>345.8</v>
      </c>
      <c r="I7" s="15">
        <v>359.8</v>
      </c>
      <c r="J7" s="15">
        <v>386.9</v>
      </c>
      <c r="K7" s="15"/>
      <c r="L7" s="15"/>
      <c r="M7" s="15"/>
      <c r="N7" s="15"/>
      <c r="O7" s="15"/>
    </row>
    <row r="8" spans="1:17" x14ac:dyDescent="0.2">
      <c r="E8" s="80"/>
      <c r="F8" t="s">
        <v>1298</v>
      </c>
      <c r="G8" s="15">
        <v>394.2</v>
      </c>
      <c r="H8" s="15">
        <v>374.2</v>
      </c>
      <c r="I8" s="15">
        <v>372.5</v>
      </c>
      <c r="J8" s="15">
        <v>403.7</v>
      </c>
      <c r="K8" s="15"/>
      <c r="L8" s="15"/>
      <c r="M8" s="15"/>
      <c r="N8" s="15"/>
      <c r="O8" s="15"/>
    </row>
    <row r="9" spans="1:17" x14ac:dyDescent="0.2">
      <c r="A9" s="83" t="s">
        <v>1098</v>
      </c>
      <c r="B9" s="80"/>
      <c r="E9" s="80"/>
      <c r="F9" t="s">
        <v>1299</v>
      </c>
      <c r="G9" s="15">
        <v>529.6</v>
      </c>
      <c r="H9" s="15">
        <v>546</v>
      </c>
      <c r="I9" s="15">
        <v>553.4</v>
      </c>
      <c r="J9" s="15">
        <v>595.29999999999995</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1841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E00-000000000000}">
      <formula1>"Line,Clustered Bar,Stacked Bar,Bar,Horizontal Stacked Bar"</formula1>
    </dataValidation>
    <dataValidation type="list" allowBlank="1" showInputMessage="1" showErrorMessage="1" sqref="B2" xr:uid="{00000000-0002-0000-7E00-000001000000}">
      <formula1>"Table,Figure,Both"</formula1>
    </dataValidation>
    <dataValidation type="list" allowBlank="1" showInputMessage="1" showErrorMessage="1" sqref="B6 B15:B16" xr:uid="{00000000-0002-0000-7E00-000002000000}">
      <formula1>"True,False"</formula1>
    </dataValidation>
  </dataValidation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409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tbl-chlamydia-rande</v>
      </c>
    </row>
    <row r="4" spans="1:17" x14ac:dyDescent="0.2">
      <c r="A4" s="16" t="s">
        <v>7</v>
      </c>
      <c r="B4" t="str">
        <f>IF($B$1="","",_xlfn.XLOOKUP($B$1,Master!$F$2:$F$321,Master!$H$2:$H$321,""))</f>
        <v>fig-chlamydia-rande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1289</v>
      </c>
      <c r="G5">
        <v>2021</v>
      </c>
      <c r="H5">
        <v>2022</v>
      </c>
      <c r="I5">
        <v>2023</v>
      </c>
      <c r="J5">
        <v>2024</v>
      </c>
    </row>
    <row r="6" spans="1:17" ht="15" customHeight="1" x14ac:dyDescent="0.2">
      <c r="A6" t="s">
        <v>1088</v>
      </c>
      <c r="B6" t="b">
        <v>0</v>
      </c>
      <c r="E6" s="80"/>
      <c r="F6" t="s">
        <v>1828</v>
      </c>
      <c r="G6" s="15">
        <v>80.7</v>
      </c>
      <c r="H6" s="15">
        <v>92.3</v>
      </c>
      <c r="I6" s="15">
        <v>90.3</v>
      </c>
      <c r="J6" s="15">
        <v>94.1</v>
      </c>
      <c r="K6" s="15"/>
      <c r="L6" s="15"/>
      <c r="M6" s="15"/>
      <c r="N6" s="15"/>
      <c r="O6" s="15"/>
    </row>
    <row r="7" spans="1:17" ht="15.75" customHeight="1" x14ac:dyDescent="0.2">
      <c r="E7" s="80"/>
      <c r="F7" t="s">
        <v>1829</v>
      </c>
      <c r="G7" s="15">
        <v>699.8</v>
      </c>
      <c r="H7" s="15">
        <v>574.6</v>
      </c>
      <c r="I7" s="15">
        <v>701.5</v>
      </c>
      <c r="J7" s="15">
        <v>696.8</v>
      </c>
      <c r="K7" s="15"/>
      <c r="L7" s="15"/>
      <c r="M7" s="15"/>
      <c r="N7" s="15"/>
      <c r="O7" s="15"/>
    </row>
    <row r="8" spans="1:17" x14ac:dyDescent="0.2">
      <c r="E8" s="80"/>
      <c r="F8" t="s">
        <v>1830</v>
      </c>
      <c r="G8" s="15">
        <v>453.5</v>
      </c>
      <c r="H8" s="15">
        <v>478.2</v>
      </c>
      <c r="I8" s="15">
        <v>522.4</v>
      </c>
      <c r="J8" s="15">
        <v>563</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1833</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1842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7F00-000000000000}">
      <formula1>"Line,Clustered Bar,Stacked Bar,Bar,Horizontal Stacked Bar"</formula1>
    </dataValidation>
    <dataValidation type="list" allowBlank="1" showInputMessage="1" showErrorMessage="1" sqref="B2" xr:uid="{00000000-0002-0000-7F00-000001000000}">
      <formula1>"Table,Figure,Both"</formula1>
    </dataValidation>
    <dataValidation type="list" allowBlank="1" showInputMessage="1" showErrorMessage="1" sqref="B6 B15:B16" xr:uid="{00000000-0002-0000-7F00-000002000000}">
      <formula1>"True,False"</formula1>
    </dataValidation>
  </dataValidation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412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tbl-gonorrhea-count-rate-sex-rande-age-zip</v>
      </c>
    </row>
    <row r="4" spans="1:17" x14ac:dyDescent="0.2">
      <c r="A4" s="16" t="s">
        <v>7</v>
      </c>
      <c r="B4" t="str">
        <f>IF($B$1="","",_xlfn.XLOOKUP($B$1,Master!$F$2:$F$321,Master!$H$2:$H$321,""))</f>
        <v>fig-gonorrhea-count-rate-sex-rande-age-zip</v>
      </c>
      <c r="E4" s="8"/>
      <c r="F4" s="10" t="s">
        <v>968</v>
      </c>
      <c r="G4" s="10" t="s">
        <v>968</v>
      </c>
      <c r="H4" s="10" t="s">
        <v>979</v>
      </c>
      <c r="I4" s="10" t="s">
        <v>968</v>
      </c>
      <c r="J4" s="10" t="s">
        <v>979</v>
      </c>
      <c r="K4" s="10" t="s">
        <v>968</v>
      </c>
      <c r="L4" s="10" t="s">
        <v>979</v>
      </c>
      <c r="M4" s="10" t="s">
        <v>968</v>
      </c>
      <c r="N4" s="10" t="s">
        <v>979</v>
      </c>
      <c r="O4" s="10"/>
      <c r="P4" s="10"/>
      <c r="Q4" s="10"/>
    </row>
    <row r="5" spans="1:17" x14ac:dyDescent="0.2">
      <c r="A5" s="83" t="s">
        <v>1081</v>
      </c>
      <c r="B5" s="80"/>
      <c r="E5" s="82" t="s">
        <v>1082</v>
      </c>
      <c r="G5" s="81">
        <v>2020</v>
      </c>
      <c r="H5" s="80"/>
      <c r="I5" s="81">
        <v>2021</v>
      </c>
      <c r="J5" s="80"/>
      <c r="K5" s="81">
        <v>2022</v>
      </c>
      <c r="L5" s="80"/>
      <c r="M5" s="81">
        <v>2023</v>
      </c>
      <c r="N5" s="80"/>
    </row>
    <row r="6" spans="1:17" ht="15" customHeight="1" x14ac:dyDescent="0.2">
      <c r="A6" t="s">
        <v>1088</v>
      </c>
      <c r="B6" t="b">
        <v>1</v>
      </c>
      <c r="E6" s="80"/>
      <c r="G6" s="15" t="s">
        <v>1272</v>
      </c>
      <c r="H6" s="15" t="s">
        <v>1273</v>
      </c>
      <c r="I6" s="15" t="s">
        <v>1272</v>
      </c>
      <c r="J6" s="15" t="s">
        <v>1273</v>
      </c>
      <c r="K6" s="15" t="s">
        <v>1272</v>
      </c>
      <c r="L6" s="15" t="s">
        <v>1273</v>
      </c>
      <c r="M6" s="15" t="s">
        <v>1272</v>
      </c>
      <c r="N6" s="15" t="s">
        <v>1273</v>
      </c>
      <c r="O6" s="15"/>
      <c r="P6" s="15"/>
    </row>
    <row r="7" spans="1:17" ht="15.75" customHeight="1" x14ac:dyDescent="0.2">
      <c r="E7" s="80"/>
      <c r="F7" t="s">
        <v>1089</v>
      </c>
      <c r="G7">
        <v>334</v>
      </c>
      <c r="H7">
        <v>83.9</v>
      </c>
      <c r="I7">
        <v>293</v>
      </c>
      <c r="J7">
        <v>73</v>
      </c>
      <c r="K7">
        <v>354</v>
      </c>
      <c r="L7">
        <v>87.7</v>
      </c>
      <c r="M7">
        <v>329</v>
      </c>
      <c r="N7">
        <v>81.5</v>
      </c>
      <c r="O7" s="15"/>
    </row>
    <row r="8" spans="1:17" x14ac:dyDescent="0.2">
      <c r="E8" s="80"/>
      <c r="F8" s="92" t="s">
        <v>1086</v>
      </c>
      <c r="G8" s="80"/>
      <c r="H8" s="80"/>
      <c r="I8" s="80"/>
      <c r="J8" s="80"/>
      <c r="K8" s="80"/>
      <c r="L8" s="80"/>
      <c r="M8" s="80"/>
      <c r="N8" s="80"/>
    </row>
    <row r="9" spans="1:17" x14ac:dyDescent="0.2">
      <c r="A9" s="83" t="s">
        <v>1098</v>
      </c>
      <c r="B9" s="80"/>
      <c r="E9" s="80"/>
      <c r="F9" s="49" t="s">
        <v>1094</v>
      </c>
      <c r="G9">
        <v>182</v>
      </c>
      <c r="H9">
        <v>90.8</v>
      </c>
      <c r="I9">
        <v>179</v>
      </c>
      <c r="J9">
        <v>89.2</v>
      </c>
      <c r="K9">
        <v>222</v>
      </c>
      <c r="L9">
        <v>110.2</v>
      </c>
      <c r="M9">
        <v>209</v>
      </c>
      <c r="N9">
        <v>103.7</v>
      </c>
      <c r="O9" s="15"/>
    </row>
    <row r="10" spans="1:17" x14ac:dyDescent="0.2">
      <c r="A10" t="s">
        <v>1100</v>
      </c>
      <c r="E10" s="80"/>
      <c r="F10" s="49" t="s">
        <v>1095</v>
      </c>
      <c r="G10">
        <v>152</v>
      </c>
      <c r="H10">
        <v>76.900000000000006</v>
      </c>
      <c r="I10">
        <v>114</v>
      </c>
      <c r="J10">
        <v>56.9</v>
      </c>
      <c r="K10">
        <v>132</v>
      </c>
      <c r="L10">
        <v>65.2</v>
      </c>
      <c r="M10">
        <v>120</v>
      </c>
      <c r="N10">
        <v>59.3</v>
      </c>
      <c r="O10" s="15"/>
    </row>
    <row r="11" spans="1:17" x14ac:dyDescent="0.2">
      <c r="A11" t="s">
        <v>1102</v>
      </c>
      <c r="E11" s="80"/>
      <c r="F11" s="92" t="s">
        <v>1289</v>
      </c>
      <c r="G11" s="80"/>
      <c r="H11" s="80"/>
      <c r="I11" s="80"/>
      <c r="J11" s="80"/>
      <c r="K11" s="80"/>
      <c r="L11" s="80"/>
      <c r="M11" s="80"/>
      <c r="N11" s="80"/>
    </row>
    <row r="12" spans="1:17" x14ac:dyDescent="0.2">
      <c r="A12" t="s">
        <v>1104</v>
      </c>
      <c r="E12" s="80"/>
      <c r="F12" s="48" t="s">
        <v>1828</v>
      </c>
      <c r="G12">
        <v>54</v>
      </c>
      <c r="H12">
        <v>21.8</v>
      </c>
      <c r="I12">
        <v>61</v>
      </c>
      <c r="J12">
        <v>25.1</v>
      </c>
      <c r="K12">
        <v>62</v>
      </c>
      <c r="L12">
        <v>25.9</v>
      </c>
      <c r="M12">
        <v>54</v>
      </c>
      <c r="N12">
        <v>22.6</v>
      </c>
    </row>
    <row r="13" spans="1:17" x14ac:dyDescent="0.2">
      <c r="A13" t="s">
        <v>1108</v>
      </c>
      <c r="E13" s="80"/>
      <c r="F13" s="47" t="s">
        <v>1829</v>
      </c>
      <c r="G13">
        <v>126</v>
      </c>
      <c r="H13">
        <v>317.2</v>
      </c>
      <c r="I13">
        <v>106</v>
      </c>
      <c r="J13">
        <v>252.7</v>
      </c>
      <c r="K13">
        <v>127</v>
      </c>
      <c r="L13">
        <v>299</v>
      </c>
      <c r="M13">
        <v>139</v>
      </c>
      <c r="N13">
        <v>327.2</v>
      </c>
    </row>
    <row r="14" spans="1:17" x14ac:dyDescent="0.2">
      <c r="A14" t="s">
        <v>1112</v>
      </c>
      <c r="E14" s="80"/>
      <c r="F14" s="47" t="s">
        <v>1830</v>
      </c>
      <c r="G14">
        <v>79</v>
      </c>
      <c r="H14">
        <v>92.6</v>
      </c>
      <c r="I14">
        <v>64</v>
      </c>
      <c r="J14">
        <v>71.5</v>
      </c>
      <c r="K14">
        <v>94</v>
      </c>
      <c r="L14">
        <v>100.4</v>
      </c>
      <c r="M14">
        <v>77</v>
      </c>
      <c r="N14">
        <v>82.3</v>
      </c>
    </row>
    <row r="15" spans="1:17" x14ac:dyDescent="0.2">
      <c r="A15" t="s">
        <v>1114</v>
      </c>
      <c r="E15" s="80"/>
      <c r="F15" s="81" t="s">
        <v>1085</v>
      </c>
      <c r="G15" s="80"/>
      <c r="H15" s="80"/>
      <c r="I15" s="80"/>
      <c r="J15" s="80"/>
      <c r="K15" s="80"/>
      <c r="L15" s="80"/>
      <c r="M15" s="80"/>
      <c r="N15" s="80"/>
    </row>
    <row r="16" spans="1:17" x14ac:dyDescent="0.2">
      <c r="A16" t="s">
        <v>1116</v>
      </c>
      <c r="E16" s="80"/>
      <c r="F16" s="47" t="s">
        <v>1831</v>
      </c>
      <c r="G16" t="s">
        <v>1031</v>
      </c>
      <c r="H16" t="s">
        <v>1031</v>
      </c>
      <c r="I16" t="s">
        <v>1031</v>
      </c>
      <c r="J16" t="s">
        <v>1031</v>
      </c>
      <c r="K16">
        <v>0</v>
      </c>
      <c r="L16">
        <v>0</v>
      </c>
      <c r="M16" t="s">
        <v>1031</v>
      </c>
      <c r="N16" t="s">
        <v>1031</v>
      </c>
    </row>
    <row r="17" spans="1:14" x14ac:dyDescent="0.2">
      <c r="E17" s="80"/>
      <c r="F17" s="47" t="s">
        <v>1832</v>
      </c>
      <c r="G17">
        <v>51</v>
      </c>
      <c r="H17">
        <v>167.6</v>
      </c>
      <c r="I17">
        <v>54</v>
      </c>
      <c r="J17">
        <v>170.5</v>
      </c>
      <c r="K17">
        <v>44</v>
      </c>
      <c r="L17">
        <v>139.4</v>
      </c>
      <c r="M17">
        <v>35</v>
      </c>
      <c r="N17">
        <v>110.9</v>
      </c>
    </row>
    <row r="18" spans="1:14" x14ac:dyDescent="0.2">
      <c r="A18" s="83" t="s">
        <v>1119</v>
      </c>
      <c r="B18" s="80"/>
      <c r="E18" s="80"/>
      <c r="F18" s="47" t="s">
        <v>1701</v>
      </c>
      <c r="G18">
        <v>112</v>
      </c>
      <c r="H18">
        <v>383.8</v>
      </c>
      <c r="I18">
        <v>78</v>
      </c>
      <c r="J18">
        <v>263</v>
      </c>
      <c r="K18">
        <v>86</v>
      </c>
      <c r="L18">
        <v>300</v>
      </c>
      <c r="M18">
        <v>83</v>
      </c>
      <c r="N18">
        <v>289.5</v>
      </c>
    </row>
    <row r="19" spans="1:14" x14ac:dyDescent="0.2">
      <c r="A19" t="s">
        <v>1121</v>
      </c>
      <c r="B19" t="s">
        <v>1833</v>
      </c>
      <c r="E19" s="80"/>
      <c r="F19" s="47" t="s">
        <v>1834</v>
      </c>
      <c r="G19">
        <v>69</v>
      </c>
      <c r="H19">
        <v>291.8</v>
      </c>
      <c r="I19">
        <v>57</v>
      </c>
      <c r="J19">
        <v>238.2</v>
      </c>
      <c r="K19">
        <v>54</v>
      </c>
      <c r="L19">
        <v>225.1</v>
      </c>
      <c r="M19">
        <v>64</v>
      </c>
      <c r="N19">
        <v>266.8</v>
      </c>
    </row>
    <row r="20" spans="1:14" x14ac:dyDescent="0.2">
      <c r="E20" s="80"/>
      <c r="F20" s="47" t="s">
        <v>1835</v>
      </c>
      <c r="G20">
        <v>50</v>
      </c>
      <c r="H20">
        <v>217.8</v>
      </c>
      <c r="I20">
        <v>45</v>
      </c>
      <c r="J20">
        <v>191.8</v>
      </c>
      <c r="K20">
        <v>59</v>
      </c>
      <c r="L20">
        <v>246.6</v>
      </c>
      <c r="M20">
        <v>39</v>
      </c>
      <c r="N20">
        <v>163</v>
      </c>
    </row>
    <row r="21" spans="1:14" x14ac:dyDescent="0.2">
      <c r="A21" s="81" t="s">
        <v>1125</v>
      </c>
      <c r="B21" s="80"/>
      <c r="E21" s="80"/>
      <c r="F21" s="47" t="s">
        <v>1836</v>
      </c>
      <c r="G21">
        <v>23</v>
      </c>
      <c r="H21">
        <v>96.8</v>
      </c>
      <c r="I21">
        <v>24</v>
      </c>
      <c r="J21">
        <v>100.1</v>
      </c>
      <c r="K21">
        <v>45</v>
      </c>
      <c r="L21">
        <v>183.4</v>
      </c>
      <c r="M21">
        <v>39</v>
      </c>
      <c r="N21">
        <v>159</v>
      </c>
    </row>
    <row r="22" spans="1:14" x14ac:dyDescent="0.2">
      <c r="A22" t="s">
        <v>1135</v>
      </c>
      <c r="B22" t="s">
        <v>1837</v>
      </c>
      <c r="E22" s="80"/>
      <c r="F22" s="47" t="s">
        <v>1838</v>
      </c>
      <c r="G22">
        <v>15</v>
      </c>
      <c r="H22">
        <v>62.6</v>
      </c>
      <c r="I22" t="s">
        <v>1031</v>
      </c>
      <c r="J22" t="s">
        <v>1031</v>
      </c>
      <c r="K22">
        <v>24</v>
      </c>
      <c r="L22">
        <v>95.2</v>
      </c>
      <c r="M22">
        <v>29</v>
      </c>
      <c r="N22">
        <v>115</v>
      </c>
    </row>
    <row r="23" spans="1:14" x14ac:dyDescent="0.2">
      <c r="E23" s="80"/>
      <c r="F23" s="47" t="s">
        <v>1839</v>
      </c>
      <c r="G23" t="s">
        <v>1031</v>
      </c>
      <c r="H23" t="s">
        <v>1031</v>
      </c>
      <c r="I23" t="s">
        <v>1031</v>
      </c>
      <c r="J23" t="s">
        <v>1031</v>
      </c>
      <c r="K23">
        <v>14</v>
      </c>
      <c r="L23">
        <v>57</v>
      </c>
      <c r="M23">
        <v>14</v>
      </c>
      <c r="N23">
        <v>57</v>
      </c>
    </row>
    <row r="24" spans="1:14" x14ac:dyDescent="0.2">
      <c r="E24" s="80"/>
      <c r="F24" s="47" t="s">
        <v>1840</v>
      </c>
      <c r="G24" t="s">
        <v>1031</v>
      </c>
      <c r="H24" t="s">
        <v>1031</v>
      </c>
      <c r="I24">
        <v>20</v>
      </c>
      <c r="J24">
        <v>14.8</v>
      </c>
      <c r="K24">
        <v>28</v>
      </c>
      <c r="L24">
        <v>20.5</v>
      </c>
      <c r="M24">
        <v>25</v>
      </c>
      <c r="N24">
        <v>18.3</v>
      </c>
    </row>
    <row r="25" spans="1:14" x14ac:dyDescent="0.2">
      <c r="E25" s="80"/>
      <c r="F25" s="92" t="s">
        <v>1294</v>
      </c>
      <c r="G25" s="80"/>
      <c r="H25" s="80"/>
      <c r="I25" s="80"/>
      <c r="J25" s="80"/>
      <c r="K25" s="80"/>
      <c r="L25" s="80"/>
      <c r="M25" s="80"/>
      <c r="N25" s="80"/>
    </row>
    <row r="26" spans="1:14" x14ac:dyDescent="0.2">
      <c r="E26" s="80"/>
      <c r="F26" s="47">
        <v>10924</v>
      </c>
      <c r="G26" t="s">
        <v>1031</v>
      </c>
      <c r="H26" t="s">
        <v>1031</v>
      </c>
      <c r="I26" t="s">
        <v>1031</v>
      </c>
      <c r="J26" t="s">
        <v>1031</v>
      </c>
      <c r="K26">
        <v>15</v>
      </c>
      <c r="L26">
        <v>110.2</v>
      </c>
      <c r="M26" t="s">
        <v>1031</v>
      </c>
      <c r="N26" t="s">
        <v>1031</v>
      </c>
    </row>
    <row r="27" spans="1:14" x14ac:dyDescent="0.2">
      <c r="A27" s="81"/>
      <c r="B27" s="80"/>
      <c r="E27" s="80"/>
      <c r="F27" s="47">
        <v>10940</v>
      </c>
      <c r="G27">
        <v>73</v>
      </c>
      <c r="H27">
        <v>143.30000000000001</v>
      </c>
      <c r="I27">
        <v>70</v>
      </c>
      <c r="J27">
        <v>135</v>
      </c>
      <c r="K27">
        <v>66</v>
      </c>
      <c r="L27">
        <v>124.3</v>
      </c>
      <c r="M27">
        <v>87</v>
      </c>
      <c r="N27">
        <v>163.80000000000001</v>
      </c>
    </row>
    <row r="28" spans="1:14" x14ac:dyDescent="0.2">
      <c r="E28" s="80"/>
      <c r="F28" s="47">
        <v>10950</v>
      </c>
      <c r="G28" t="s">
        <v>1031</v>
      </c>
      <c r="H28" t="s">
        <v>1031</v>
      </c>
      <c r="I28">
        <v>17</v>
      </c>
      <c r="J28">
        <v>27</v>
      </c>
      <c r="K28">
        <v>14</v>
      </c>
      <c r="L28">
        <v>21.4</v>
      </c>
      <c r="M28">
        <v>14</v>
      </c>
      <c r="N28">
        <v>21.4</v>
      </c>
    </row>
    <row r="29" spans="1:14" x14ac:dyDescent="0.2">
      <c r="E29" s="80"/>
      <c r="F29" s="47">
        <v>10941</v>
      </c>
      <c r="G29">
        <v>11</v>
      </c>
      <c r="H29">
        <v>76.3</v>
      </c>
      <c r="I29">
        <v>19</v>
      </c>
      <c r="J29">
        <v>131</v>
      </c>
      <c r="K29">
        <v>12</v>
      </c>
      <c r="L29">
        <v>81.3</v>
      </c>
      <c r="M29">
        <v>16</v>
      </c>
      <c r="N29">
        <v>108.4</v>
      </c>
    </row>
    <row r="30" spans="1:14" x14ac:dyDescent="0.2">
      <c r="E30" s="80"/>
      <c r="F30" s="47">
        <v>12550</v>
      </c>
      <c r="G30">
        <v>121</v>
      </c>
      <c r="H30">
        <v>217.8</v>
      </c>
      <c r="I30">
        <v>89</v>
      </c>
      <c r="J30">
        <v>160.6</v>
      </c>
      <c r="K30">
        <v>129</v>
      </c>
      <c r="L30">
        <v>234.6</v>
      </c>
      <c r="M30">
        <v>91</v>
      </c>
      <c r="N30">
        <v>165.5</v>
      </c>
    </row>
    <row r="31" spans="1:14" x14ac:dyDescent="0.2">
      <c r="E31" s="80"/>
      <c r="F31" s="47">
        <v>12553</v>
      </c>
      <c r="G31">
        <v>26</v>
      </c>
      <c r="H31">
        <v>97</v>
      </c>
      <c r="I31">
        <v>25</v>
      </c>
      <c r="J31">
        <v>91.2</v>
      </c>
      <c r="K31">
        <v>28</v>
      </c>
      <c r="L31">
        <v>102.6</v>
      </c>
      <c r="M31">
        <v>28</v>
      </c>
      <c r="N31">
        <v>102.6</v>
      </c>
    </row>
    <row r="32" spans="1:14" x14ac:dyDescent="0.2">
      <c r="E32" s="80"/>
      <c r="F32" s="47">
        <v>12771</v>
      </c>
      <c r="G32" s="15">
        <v>13</v>
      </c>
      <c r="H32" s="15">
        <v>87.6</v>
      </c>
      <c r="I32">
        <v>11</v>
      </c>
      <c r="J32">
        <v>76.099999999999994</v>
      </c>
      <c r="K32">
        <v>11</v>
      </c>
      <c r="L32">
        <v>76.7</v>
      </c>
      <c r="M32" t="s">
        <v>1031</v>
      </c>
      <c r="N32" t="s">
        <v>1031</v>
      </c>
    </row>
    <row r="33" spans="5:9" x14ac:dyDescent="0.2">
      <c r="E33" s="80"/>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15:N15"/>
    <mergeCell ref="E5:E57"/>
    <mergeCell ref="F25:N25"/>
    <mergeCell ref="A9:B9"/>
    <mergeCell ref="A5:B5"/>
    <mergeCell ref="G5:H5"/>
    <mergeCell ref="K5:L5"/>
    <mergeCell ref="I5:J5"/>
    <mergeCell ref="M5:N5"/>
    <mergeCell ref="F8:N8"/>
    <mergeCell ref="A18:B18"/>
    <mergeCell ref="A27:B27"/>
    <mergeCell ref="F11:N11"/>
  </mergeCells>
  <dataValidations count="3">
    <dataValidation type="list" allowBlank="1" showInputMessage="1" showErrorMessage="1" sqref="B10" xr:uid="{00000000-0002-0000-8000-000000000000}">
      <formula1>"Line,Clustered Bar,Stacked Bar,Bar,Horizontal Stacked Bar"</formula1>
    </dataValidation>
    <dataValidation type="list" allowBlank="1" showInputMessage="1" showErrorMessage="1" sqref="B2" xr:uid="{00000000-0002-0000-8000-000001000000}">
      <formula1>"Table,Figure,Both"</formula1>
    </dataValidation>
    <dataValidation type="list" allowBlank="1" showInputMessage="1" showErrorMessage="1" sqref="B6 B15:B16" xr:uid="{00000000-0002-0000-8000-000002000000}">
      <formula1>"True,False"</formula1>
    </dataValidation>
  </dataValidation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415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tbl-gonorrhea-aar</v>
      </c>
    </row>
    <row r="4" spans="1:17" x14ac:dyDescent="0.2">
      <c r="A4" s="16" t="s">
        <v>7</v>
      </c>
      <c r="B4" t="str">
        <f>IF($B$1="","",_xlfn.XLOOKUP($B$1,Master!$F$2:$F$321,Master!$H$2:$H$321,""))</f>
        <v>fig-gonorrhea-aar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109.3</v>
      </c>
      <c r="H6" s="15">
        <v>86.5</v>
      </c>
      <c r="I6" s="15">
        <v>74.2</v>
      </c>
      <c r="J6" s="15">
        <v>93.7</v>
      </c>
      <c r="K6" s="15"/>
      <c r="L6" s="15"/>
      <c r="M6" s="15"/>
      <c r="N6" s="15"/>
      <c r="O6" s="15"/>
    </row>
    <row r="7" spans="1:17" ht="15.75" customHeight="1" x14ac:dyDescent="0.2">
      <c r="E7" s="80"/>
      <c r="F7" t="s">
        <v>1645</v>
      </c>
      <c r="G7" s="15">
        <v>100.5</v>
      </c>
      <c r="H7" s="15">
        <v>92.3</v>
      </c>
      <c r="I7" s="15">
        <v>85.9</v>
      </c>
      <c r="J7" s="15">
        <v>96.3</v>
      </c>
      <c r="K7" s="15"/>
      <c r="L7" s="15"/>
      <c r="M7" s="15"/>
      <c r="N7" s="15"/>
      <c r="O7" s="15"/>
    </row>
    <row r="8" spans="1:17" x14ac:dyDescent="0.2">
      <c r="E8" s="80"/>
      <c r="F8" t="s">
        <v>1298</v>
      </c>
      <c r="G8" s="15">
        <v>168.8</v>
      </c>
      <c r="H8" s="15">
        <v>142.6</v>
      </c>
      <c r="I8" s="15">
        <v>134.30000000000001</v>
      </c>
      <c r="J8" s="15">
        <v>131.5</v>
      </c>
      <c r="K8" s="15"/>
      <c r="L8" s="15"/>
      <c r="M8" s="15"/>
      <c r="N8" s="15"/>
      <c r="O8" s="15"/>
    </row>
    <row r="9" spans="1:17" x14ac:dyDescent="0.2">
      <c r="A9" s="83" t="s">
        <v>1098</v>
      </c>
      <c r="B9" s="80"/>
      <c r="E9" s="80"/>
      <c r="F9" t="s">
        <v>1299</v>
      </c>
      <c r="G9" s="15">
        <v>228.3</v>
      </c>
      <c r="H9" s="15">
        <v>228.8</v>
      </c>
      <c r="I9" s="15">
        <v>230.9</v>
      </c>
      <c r="J9" s="15">
        <v>249.8</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1841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100-000000000000}">
      <formula1>"Line,Clustered Bar,Stacked Bar,Bar,Horizontal Stacked Bar"</formula1>
    </dataValidation>
    <dataValidation type="list" allowBlank="1" showInputMessage="1" showErrorMessage="1" sqref="B2" xr:uid="{00000000-0002-0000-8100-000001000000}">
      <formula1>"Table,Figure,Both"</formula1>
    </dataValidation>
    <dataValidation type="list" allowBlank="1" showInputMessage="1" showErrorMessage="1" sqref="B6 B15:B16" xr:uid="{00000000-0002-0000-8100-000002000000}">
      <formula1>"True,False"</formula1>
    </dataValidation>
  </dataValidation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418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tbl-gonorrhea-rande</v>
      </c>
    </row>
    <row r="4" spans="1:17" x14ac:dyDescent="0.2">
      <c r="A4" s="16" t="s">
        <v>7</v>
      </c>
      <c r="B4" t="str">
        <f>IF($B$1="","",_xlfn.XLOOKUP($B$1,Master!$F$2:$F$321,Master!$H$2:$H$321,""))</f>
        <v>fig-gonorrhea-rande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1289</v>
      </c>
      <c r="G5">
        <v>2021</v>
      </c>
      <c r="H5">
        <v>2022</v>
      </c>
      <c r="I5">
        <v>2023</v>
      </c>
      <c r="J5">
        <v>2024</v>
      </c>
    </row>
    <row r="6" spans="1:17" ht="15" customHeight="1" x14ac:dyDescent="0.2">
      <c r="A6" t="s">
        <v>1088</v>
      </c>
      <c r="B6" t="b">
        <v>0</v>
      </c>
      <c r="E6" s="80"/>
      <c r="F6" t="s">
        <v>1828</v>
      </c>
      <c r="G6" s="15">
        <v>21.8</v>
      </c>
      <c r="H6" s="15">
        <v>25.1</v>
      </c>
      <c r="I6" s="15">
        <v>25.9</v>
      </c>
      <c r="J6" s="15">
        <v>22.6</v>
      </c>
      <c r="K6" s="15"/>
      <c r="L6" s="15"/>
      <c r="M6" s="15"/>
      <c r="N6" s="15"/>
      <c r="O6" s="15"/>
    </row>
    <row r="7" spans="1:17" ht="15.75" customHeight="1" x14ac:dyDescent="0.2">
      <c r="E7" s="80"/>
      <c r="F7" t="s">
        <v>1829</v>
      </c>
      <c r="G7" s="15">
        <v>317.2</v>
      </c>
      <c r="H7" s="15">
        <v>252.7</v>
      </c>
      <c r="I7" s="15">
        <v>299</v>
      </c>
      <c r="J7" s="15">
        <v>327.2</v>
      </c>
      <c r="K7" s="15"/>
      <c r="L7" s="15"/>
      <c r="M7" s="15"/>
      <c r="N7" s="15"/>
      <c r="O7" s="15"/>
    </row>
    <row r="8" spans="1:17" x14ac:dyDescent="0.2">
      <c r="E8" s="80"/>
      <c r="F8" t="s">
        <v>1830</v>
      </c>
      <c r="G8" s="15">
        <v>92.6</v>
      </c>
      <c r="H8" s="15">
        <v>71.5</v>
      </c>
      <c r="I8" s="15">
        <v>100.4</v>
      </c>
      <c r="J8" s="15">
        <v>82.3</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1833</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1842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200-000000000000}">
      <formula1>"Line,Clustered Bar,Stacked Bar,Bar,Horizontal Stacked Bar"</formula1>
    </dataValidation>
    <dataValidation type="list" allowBlank="1" showInputMessage="1" showErrorMessage="1" sqref="B2" xr:uid="{00000000-0002-0000-8200-000001000000}">
      <formula1>"Table,Figure,Both"</formula1>
    </dataValidation>
    <dataValidation type="list" allowBlank="1" showInputMessage="1" showErrorMessage="1" sqref="B6 B15:B16" xr:uid="{00000000-0002-0000-8200-000002000000}">
      <formula1>"True,False"</formula1>
    </dataValidation>
  </dataValidation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421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tbl-hiv-prevalence-rate-rande-age-sex</v>
      </c>
    </row>
    <row r="4" spans="1:17" x14ac:dyDescent="0.2">
      <c r="A4" s="16" t="s">
        <v>7</v>
      </c>
      <c r="B4" t="str">
        <f>IF($B$1="","",_xlfn.XLOOKUP($B$1,Master!$F$2:$F$321,Master!$H$2:$H$321,""))</f>
        <v>fig-hiv-prevalence-rate-rande-age-sex</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G5">
        <v>2021</v>
      </c>
      <c r="H5">
        <v>2022</v>
      </c>
      <c r="I5">
        <v>2023</v>
      </c>
      <c r="J5">
        <v>2024</v>
      </c>
    </row>
    <row r="6" spans="1:17" ht="15" customHeight="1" x14ac:dyDescent="0.2">
      <c r="A6" t="s">
        <v>1088</v>
      </c>
      <c r="B6" t="b">
        <v>1</v>
      </c>
      <c r="E6" s="80"/>
      <c r="F6" s="16" t="s">
        <v>1382</v>
      </c>
      <c r="K6" s="15"/>
      <c r="L6" s="15"/>
      <c r="M6" s="15"/>
      <c r="N6" s="15"/>
      <c r="O6" s="15"/>
    </row>
    <row r="7" spans="1:17" ht="15.75" customHeight="1" x14ac:dyDescent="0.2">
      <c r="E7" s="80"/>
      <c r="F7" s="56" t="s">
        <v>1095</v>
      </c>
      <c r="G7" s="15">
        <v>570.6</v>
      </c>
      <c r="H7" s="15">
        <v>592.4</v>
      </c>
      <c r="I7" s="15">
        <v>577.70000000000005</v>
      </c>
      <c r="J7" s="15">
        <v>583.6</v>
      </c>
      <c r="K7" s="15"/>
      <c r="L7" s="15"/>
      <c r="M7" s="15"/>
      <c r="N7" s="15"/>
      <c r="O7" s="15"/>
    </row>
    <row r="8" spans="1:17" x14ac:dyDescent="0.2">
      <c r="E8" s="80"/>
      <c r="F8" s="56" t="s">
        <v>1094</v>
      </c>
      <c r="G8" s="15">
        <v>772.1</v>
      </c>
      <c r="H8" s="15">
        <v>740.2</v>
      </c>
      <c r="I8" s="15">
        <v>749.3</v>
      </c>
      <c r="J8" s="15">
        <v>762.4</v>
      </c>
      <c r="K8" s="15"/>
      <c r="L8" s="15"/>
      <c r="M8" s="15"/>
      <c r="N8" s="15"/>
      <c r="O8" s="15"/>
    </row>
    <row r="9" spans="1:17" x14ac:dyDescent="0.2">
      <c r="A9" s="83" t="s">
        <v>1098</v>
      </c>
      <c r="B9" s="80"/>
      <c r="E9" s="80"/>
      <c r="F9" s="58" t="s">
        <v>1843</v>
      </c>
      <c r="G9" s="15">
        <v>116</v>
      </c>
      <c r="H9" s="15">
        <v>63.2</v>
      </c>
      <c r="I9" s="15" t="s">
        <v>1031</v>
      </c>
      <c r="J9" s="15" t="s">
        <v>1031</v>
      </c>
      <c r="K9" s="15"/>
      <c r="L9" s="15"/>
      <c r="M9" s="15"/>
      <c r="N9" s="15"/>
      <c r="O9" s="15"/>
    </row>
    <row r="10" spans="1:17" x14ac:dyDescent="0.2">
      <c r="A10" t="s">
        <v>1100</v>
      </c>
      <c r="E10" s="80"/>
      <c r="F10" s="58" t="s">
        <v>1702</v>
      </c>
      <c r="G10" s="15">
        <v>445.8</v>
      </c>
      <c r="H10" s="15">
        <v>353.1</v>
      </c>
      <c r="I10" s="15">
        <v>468.2</v>
      </c>
      <c r="J10" s="15">
        <v>544.1</v>
      </c>
    </row>
    <row r="11" spans="1:17" x14ac:dyDescent="0.2">
      <c r="A11" t="s">
        <v>1102</v>
      </c>
      <c r="E11" s="80"/>
      <c r="F11" s="58" t="s">
        <v>1703</v>
      </c>
      <c r="G11" s="15">
        <v>534.29999999999995</v>
      </c>
      <c r="H11">
        <v>534.20000000000005</v>
      </c>
      <c r="I11">
        <v>433.9</v>
      </c>
      <c r="J11">
        <v>512.1</v>
      </c>
      <c r="K11" s="17"/>
      <c r="L11" s="17"/>
      <c r="M11" s="17"/>
      <c r="N11" s="17"/>
    </row>
    <row r="12" spans="1:17" x14ac:dyDescent="0.2">
      <c r="A12" t="s">
        <v>1104</v>
      </c>
      <c r="E12" s="80"/>
      <c r="F12" s="58" t="s">
        <v>1704</v>
      </c>
      <c r="G12" s="15">
        <v>869</v>
      </c>
      <c r="H12" s="15">
        <v>860.6</v>
      </c>
      <c r="I12" s="15">
        <v>764.9</v>
      </c>
      <c r="J12" s="17">
        <v>679.4</v>
      </c>
      <c r="K12" s="15"/>
      <c r="L12" s="15"/>
    </row>
    <row r="13" spans="1:17" x14ac:dyDescent="0.2">
      <c r="A13" t="s">
        <v>1108</v>
      </c>
      <c r="E13" s="80"/>
      <c r="F13" s="59" t="s">
        <v>1705</v>
      </c>
      <c r="G13" s="17">
        <v>1263.8</v>
      </c>
      <c r="H13" s="17">
        <v>1251.7</v>
      </c>
      <c r="I13" s="15">
        <v>1276.3</v>
      </c>
      <c r="J13" s="15">
        <v>1183.8</v>
      </c>
    </row>
    <row r="14" spans="1:17" x14ac:dyDescent="0.2">
      <c r="A14" t="s">
        <v>1112</v>
      </c>
      <c r="E14" s="80"/>
      <c r="F14" s="58" t="s">
        <v>1844</v>
      </c>
      <c r="G14">
        <v>1130.4000000000001</v>
      </c>
      <c r="H14">
        <v>1305.7</v>
      </c>
      <c r="I14">
        <v>1334.5</v>
      </c>
      <c r="J14">
        <v>1379.2</v>
      </c>
    </row>
    <row r="15" spans="1:17" x14ac:dyDescent="0.2">
      <c r="A15" t="s">
        <v>1114</v>
      </c>
      <c r="E15" s="80"/>
      <c r="F15" s="25" t="s">
        <v>1381</v>
      </c>
    </row>
    <row r="16" spans="1:17" x14ac:dyDescent="0.2">
      <c r="A16" t="s">
        <v>1116</v>
      </c>
      <c r="E16" s="80"/>
      <c r="F16" s="56" t="s">
        <v>1095</v>
      </c>
      <c r="G16">
        <v>53.6</v>
      </c>
      <c r="H16">
        <v>55.8</v>
      </c>
      <c r="I16">
        <v>57.7</v>
      </c>
      <c r="J16">
        <v>52.3</v>
      </c>
    </row>
    <row r="17" spans="1:11" x14ac:dyDescent="0.2">
      <c r="E17" s="80"/>
      <c r="F17" s="56" t="s">
        <v>1094</v>
      </c>
      <c r="G17">
        <v>150</v>
      </c>
      <c r="H17">
        <v>154.6</v>
      </c>
      <c r="I17">
        <v>162.19999999999999</v>
      </c>
      <c r="J17">
        <v>168.3</v>
      </c>
    </row>
    <row r="18" spans="1:11" x14ac:dyDescent="0.2">
      <c r="A18" s="83" t="s">
        <v>1119</v>
      </c>
      <c r="B18" s="80"/>
      <c r="E18" s="80"/>
      <c r="F18" s="58" t="s">
        <v>1843</v>
      </c>
      <c r="G18">
        <v>12.2</v>
      </c>
      <c r="H18">
        <v>12.2</v>
      </c>
      <c r="I18" t="s">
        <v>1031</v>
      </c>
      <c r="J18" t="s">
        <v>1031</v>
      </c>
    </row>
    <row r="19" spans="1:11" x14ac:dyDescent="0.2">
      <c r="A19" t="s">
        <v>1121</v>
      </c>
      <c r="B19" t="s">
        <v>1833</v>
      </c>
      <c r="E19" s="80"/>
      <c r="F19" s="58" t="s">
        <v>1702</v>
      </c>
      <c r="G19">
        <v>41.2</v>
      </c>
      <c r="H19">
        <v>48.4</v>
      </c>
      <c r="I19">
        <v>68.5</v>
      </c>
      <c r="J19">
        <v>76.7</v>
      </c>
    </row>
    <row r="20" spans="1:11" x14ac:dyDescent="0.2">
      <c r="E20" s="80"/>
      <c r="F20" s="58" t="s">
        <v>1703</v>
      </c>
      <c r="G20">
        <v>78.599999999999994</v>
      </c>
      <c r="H20">
        <v>77.5</v>
      </c>
      <c r="I20">
        <v>66.7</v>
      </c>
      <c r="J20">
        <v>59.5</v>
      </c>
    </row>
    <row r="21" spans="1:11" x14ac:dyDescent="0.2">
      <c r="A21" s="81" t="s">
        <v>1125</v>
      </c>
      <c r="B21" s="80"/>
      <c r="E21" s="80"/>
      <c r="F21" s="58" t="s">
        <v>1704</v>
      </c>
      <c r="G21">
        <v>167.2</v>
      </c>
      <c r="H21">
        <v>134.5</v>
      </c>
      <c r="I21">
        <v>137.4</v>
      </c>
      <c r="J21">
        <v>149.6</v>
      </c>
    </row>
    <row r="22" spans="1:11" x14ac:dyDescent="0.2">
      <c r="A22" t="s">
        <v>1135</v>
      </c>
      <c r="B22" t="s">
        <v>1837</v>
      </c>
      <c r="E22" s="80"/>
      <c r="F22" s="59" t="s">
        <v>1705</v>
      </c>
      <c r="G22" s="15">
        <v>210</v>
      </c>
      <c r="H22" s="15">
        <v>237.6</v>
      </c>
      <c r="I22">
        <v>264.39999999999998</v>
      </c>
      <c r="J22">
        <v>241</v>
      </c>
    </row>
    <row r="23" spans="1:11" x14ac:dyDescent="0.2">
      <c r="E23" s="80"/>
      <c r="F23" s="58" t="s">
        <v>1844</v>
      </c>
      <c r="G23" s="15">
        <v>97.4</v>
      </c>
      <c r="H23" s="15">
        <v>113.4</v>
      </c>
      <c r="I23">
        <v>113.5</v>
      </c>
      <c r="J23">
        <v>128.30000000000001</v>
      </c>
    </row>
    <row r="24" spans="1:11" x14ac:dyDescent="0.2">
      <c r="E24" s="80"/>
      <c r="F24" s="25" t="s">
        <v>1293</v>
      </c>
      <c r="G24" s="15"/>
      <c r="H24" s="15"/>
    </row>
    <row r="25" spans="1:11" x14ac:dyDescent="0.2">
      <c r="E25" s="80"/>
      <c r="F25" s="56" t="s">
        <v>1095</v>
      </c>
      <c r="G25" s="15">
        <v>344.1</v>
      </c>
      <c r="H25" s="15">
        <v>331.2</v>
      </c>
      <c r="I25">
        <v>327.7</v>
      </c>
      <c r="J25">
        <v>337</v>
      </c>
      <c r="K25" t="s">
        <v>1226</v>
      </c>
    </row>
    <row r="26" spans="1:11" x14ac:dyDescent="0.2">
      <c r="E26" s="80"/>
      <c r="F26" s="56" t="s">
        <v>1094</v>
      </c>
      <c r="G26" s="15">
        <v>776</v>
      </c>
      <c r="H26" s="15">
        <v>752.2</v>
      </c>
      <c r="I26">
        <v>738.1</v>
      </c>
      <c r="J26">
        <v>801.5</v>
      </c>
    </row>
    <row r="27" spans="1:11" x14ac:dyDescent="0.2">
      <c r="A27" s="81"/>
      <c r="B27" s="80"/>
      <c r="E27" s="80"/>
      <c r="F27" s="58" t="s">
        <v>1843</v>
      </c>
      <c r="G27">
        <v>53.2</v>
      </c>
      <c r="H27">
        <v>51.5</v>
      </c>
      <c r="I27">
        <v>60.3</v>
      </c>
      <c r="J27">
        <v>63.8</v>
      </c>
    </row>
    <row r="28" spans="1:11" x14ac:dyDescent="0.2">
      <c r="E28" s="80"/>
      <c r="F28" s="58" t="s">
        <v>1702</v>
      </c>
      <c r="G28" s="15">
        <v>517.70000000000005</v>
      </c>
      <c r="H28" s="15">
        <v>524.4</v>
      </c>
      <c r="I28">
        <v>396.4</v>
      </c>
      <c r="J28">
        <v>495.9</v>
      </c>
    </row>
    <row r="29" spans="1:11" x14ac:dyDescent="0.2">
      <c r="E29" s="80"/>
      <c r="F29" s="58" t="s">
        <v>1703</v>
      </c>
      <c r="G29" s="15">
        <v>392.2</v>
      </c>
      <c r="H29" s="15">
        <v>382.2</v>
      </c>
      <c r="I29">
        <v>471.7</v>
      </c>
      <c r="J29">
        <v>533.5</v>
      </c>
    </row>
    <row r="30" spans="1:11" x14ac:dyDescent="0.2">
      <c r="E30" s="80"/>
      <c r="F30" s="58" t="s">
        <v>1704</v>
      </c>
      <c r="G30" s="15">
        <v>671.9</v>
      </c>
      <c r="H30" s="15">
        <v>600.70000000000005</v>
      </c>
      <c r="I30">
        <v>556.9</v>
      </c>
      <c r="J30">
        <v>527.29999999999995</v>
      </c>
    </row>
    <row r="31" spans="1:11" x14ac:dyDescent="0.2">
      <c r="E31" s="80"/>
      <c r="F31" s="59" t="s">
        <v>1705</v>
      </c>
      <c r="G31" s="15">
        <v>1627.7</v>
      </c>
      <c r="H31" s="15">
        <v>1459</v>
      </c>
      <c r="I31">
        <v>1474.1</v>
      </c>
      <c r="J31">
        <v>1457.1</v>
      </c>
    </row>
    <row r="32" spans="1:11" x14ac:dyDescent="0.2">
      <c r="E32" s="80"/>
      <c r="F32" s="58" t="s">
        <v>1844</v>
      </c>
      <c r="G32" s="15">
        <v>1017.4</v>
      </c>
      <c r="H32" s="15">
        <v>1134.3</v>
      </c>
      <c r="I32">
        <v>1084.8</v>
      </c>
      <c r="J32">
        <v>1183.0999999999999</v>
      </c>
    </row>
    <row r="33" spans="5:9" x14ac:dyDescent="0.2">
      <c r="E33" s="80"/>
      <c r="F33" s="15"/>
      <c r="G33" s="15"/>
      <c r="H33" s="15"/>
    </row>
    <row r="34" spans="5:9" x14ac:dyDescent="0.2">
      <c r="E34" s="80"/>
    </row>
    <row r="35" spans="5:9" x14ac:dyDescent="0.2">
      <c r="E35" s="80"/>
      <c r="F35" s="15"/>
      <c r="G35" s="15"/>
      <c r="H35" s="15"/>
    </row>
    <row r="36" spans="5:9" x14ac:dyDescent="0.2">
      <c r="E36" s="80"/>
      <c r="F36" s="15"/>
      <c r="G36" s="15"/>
      <c r="H36" s="15"/>
      <c r="I36" s="17"/>
    </row>
    <row r="37" spans="5:9" x14ac:dyDescent="0.2">
      <c r="E37" s="80"/>
      <c r="F37" s="15"/>
      <c r="G37" s="15"/>
      <c r="H37" s="15"/>
      <c r="I37" s="17"/>
    </row>
    <row r="38" spans="5:9" x14ac:dyDescent="0.2">
      <c r="E38" s="80"/>
      <c r="F38" s="15"/>
      <c r="G38" s="15"/>
      <c r="H38" s="15"/>
      <c r="I38" s="17"/>
    </row>
    <row r="39" spans="5:9" x14ac:dyDescent="0.2">
      <c r="E39" s="80"/>
      <c r="F39" s="15"/>
      <c r="G39" s="15"/>
      <c r="H39" s="15"/>
      <c r="I39" s="17"/>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300-000000000000}">
      <formula1>"Line,Clustered Bar,Stacked Bar,Bar,Horizontal Stacked Bar"</formula1>
    </dataValidation>
    <dataValidation type="list" allowBlank="1" showInputMessage="1" showErrorMessage="1" sqref="B2" xr:uid="{00000000-0002-0000-8300-000001000000}">
      <formula1>"Table,Figure,Both"</formula1>
    </dataValidation>
    <dataValidation type="list" allowBlank="1" showInputMessage="1" showErrorMessage="1" sqref="B6 B15:B16" xr:uid="{00000000-0002-0000-8300-000002000000}">
      <formula1>"True,False"</formula1>
    </dataValidation>
  </dataValidation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424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tbl-hiv-aids-incidence-aar</v>
      </c>
    </row>
    <row r="4" spans="1:17" x14ac:dyDescent="0.2">
      <c r="A4" s="16" t="s">
        <v>7</v>
      </c>
      <c r="B4" t="str">
        <f>IF($B$1="","",_xlfn.XLOOKUP($B$1,Master!$F$2:$F$321,Master!$H$2:$H$321,""))</f>
        <v>fig-hiv-aids-incidence-aar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1845</v>
      </c>
      <c r="G5">
        <v>2020</v>
      </c>
      <c r="H5">
        <v>2021</v>
      </c>
      <c r="I5">
        <v>2022</v>
      </c>
      <c r="J5">
        <v>2023</v>
      </c>
    </row>
    <row r="6" spans="1:17" ht="15" customHeight="1" x14ac:dyDescent="0.2">
      <c r="A6" t="s">
        <v>1088</v>
      </c>
      <c r="B6" t="b">
        <v>0</v>
      </c>
      <c r="E6" s="80"/>
      <c r="F6" t="s">
        <v>1846</v>
      </c>
      <c r="G6" s="15">
        <v>1.6</v>
      </c>
      <c r="H6" s="15">
        <v>4.4000000000000004</v>
      </c>
      <c r="I6" s="15">
        <v>4.9000000000000004</v>
      </c>
      <c r="J6" s="15">
        <v>8.9</v>
      </c>
      <c r="K6" s="15"/>
      <c r="L6" s="15"/>
      <c r="M6" s="15"/>
      <c r="N6" s="15"/>
      <c r="O6" s="15"/>
    </row>
    <row r="7" spans="1:17" ht="15.75" customHeight="1" x14ac:dyDescent="0.2">
      <c r="E7" s="80"/>
      <c r="F7" t="s">
        <v>1847</v>
      </c>
      <c r="G7" s="15">
        <v>0.5</v>
      </c>
      <c r="H7" s="15">
        <v>2.4</v>
      </c>
      <c r="I7" s="15">
        <v>3.7</v>
      </c>
      <c r="J7" s="15">
        <v>1.9</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1845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1848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1849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400-000000000000}">
      <formula1>"Line,Clustered Bar,Stacked Bar,Bar,Horizontal Stacked Bar"</formula1>
    </dataValidation>
    <dataValidation type="list" allowBlank="1" showInputMessage="1" showErrorMessage="1" sqref="B2" xr:uid="{00000000-0002-0000-8400-000001000000}">
      <formula1>"Table,Figure,Both"</formula1>
    </dataValidation>
    <dataValidation type="list" allowBlank="1" showInputMessage="1" showErrorMessage="1" sqref="B6 B15:B16" xr:uid="{00000000-0002-0000-8400-000002000000}">
      <formula1>"True,False"</formula1>
    </dataValidation>
  </dataValidation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427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tbl-hiv-prevalence-transmission-category</v>
      </c>
    </row>
    <row r="4" spans="1:17" x14ac:dyDescent="0.2">
      <c r="A4" s="16" t="s">
        <v>7</v>
      </c>
      <c r="B4" t="str">
        <f>IF($B$1="","",_xlfn.XLOOKUP($B$1,Master!$F$2:$F$321,Master!$H$2:$H$321,""))</f>
        <v>fig-hiv-prevalence-transmission-category</v>
      </c>
      <c r="E4" s="8"/>
      <c r="F4" s="10" t="s">
        <v>1009</v>
      </c>
      <c r="G4" s="10" t="s">
        <v>973</v>
      </c>
      <c r="H4" s="10" t="s">
        <v>973</v>
      </c>
      <c r="I4" s="10" t="s">
        <v>973</v>
      </c>
      <c r="J4" s="10" t="s">
        <v>973</v>
      </c>
      <c r="K4" s="10"/>
      <c r="L4" s="10"/>
      <c r="M4" s="10"/>
      <c r="N4" s="10"/>
      <c r="O4" s="10"/>
      <c r="P4" s="10"/>
      <c r="Q4" s="10"/>
    </row>
    <row r="5" spans="1:17" x14ac:dyDescent="0.2">
      <c r="A5" s="83" t="s">
        <v>1081</v>
      </c>
      <c r="B5" s="80"/>
      <c r="E5" s="82" t="s">
        <v>1082</v>
      </c>
      <c r="G5">
        <v>2020</v>
      </c>
      <c r="H5">
        <v>2021</v>
      </c>
      <c r="I5">
        <v>2022</v>
      </c>
      <c r="J5">
        <v>2023</v>
      </c>
    </row>
    <row r="6" spans="1:17" ht="15" customHeight="1" x14ac:dyDescent="0.2">
      <c r="A6" t="s">
        <v>1088</v>
      </c>
      <c r="B6" t="b">
        <v>0</v>
      </c>
      <c r="E6" s="80"/>
      <c r="F6" t="s">
        <v>1850</v>
      </c>
      <c r="G6" s="15">
        <v>362</v>
      </c>
      <c r="H6" s="15">
        <v>369</v>
      </c>
      <c r="I6" s="15">
        <v>377</v>
      </c>
      <c r="J6" s="15">
        <v>385</v>
      </c>
      <c r="K6" s="15"/>
      <c r="L6" s="15"/>
      <c r="M6" s="15"/>
      <c r="N6" s="15"/>
      <c r="O6" s="15"/>
    </row>
    <row r="7" spans="1:17" ht="15.75" customHeight="1" x14ac:dyDescent="0.2">
      <c r="E7" s="80"/>
      <c r="F7" t="s">
        <v>1851</v>
      </c>
      <c r="G7" s="15">
        <v>214</v>
      </c>
      <c r="H7" s="15">
        <v>208</v>
      </c>
      <c r="I7" s="15">
        <v>205</v>
      </c>
      <c r="J7" s="15">
        <v>199</v>
      </c>
      <c r="K7" s="15"/>
      <c r="L7" s="15"/>
      <c r="M7" s="15"/>
      <c r="N7" s="15"/>
      <c r="O7" s="15"/>
    </row>
    <row r="8" spans="1:17" x14ac:dyDescent="0.2">
      <c r="E8" s="80"/>
      <c r="F8" t="s">
        <v>1852</v>
      </c>
      <c r="G8" s="15">
        <v>328</v>
      </c>
      <c r="H8" s="15">
        <v>338</v>
      </c>
      <c r="I8" s="15">
        <v>357</v>
      </c>
      <c r="J8" s="15">
        <v>407</v>
      </c>
      <c r="K8" s="15"/>
      <c r="L8" s="15"/>
      <c r="M8" s="15"/>
      <c r="N8" s="15"/>
      <c r="O8" s="15"/>
    </row>
    <row r="9" spans="1:17" x14ac:dyDescent="0.2">
      <c r="A9" s="83" t="s">
        <v>1098</v>
      </c>
      <c r="B9" s="80"/>
      <c r="E9" s="80"/>
      <c r="F9" t="s">
        <v>1853</v>
      </c>
      <c r="G9" s="15">
        <v>45</v>
      </c>
      <c r="H9" s="15">
        <v>50</v>
      </c>
      <c r="I9" s="15">
        <v>45</v>
      </c>
      <c r="J9" s="15">
        <v>44</v>
      </c>
      <c r="K9" s="15"/>
      <c r="L9" s="15"/>
      <c r="M9" s="15"/>
      <c r="N9" s="15"/>
      <c r="O9" s="15"/>
    </row>
    <row r="10" spans="1:17" x14ac:dyDescent="0.2">
      <c r="A10" t="s">
        <v>1100</v>
      </c>
      <c r="B10" t="s">
        <v>1304</v>
      </c>
      <c r="E10" s="80"/>
      <c r="F10" t="s">
        <v>1015</v>
      </c>
      <c r="G10" s="15">
        <v>33</v>
      </c>
      <c r="H10">
        <v>32</v>
      </c>
      <c r="I10">
        <v>31</v>
      </c>
      <c r="J10">
        <v>32</v>
      </c>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985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1854</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1855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500-000000000000}">
      <formula1>"Line,Clustered Bar,Stacked Bar,Bar,Horizontal Stacked Bar"</formula1>
    </dataValidation>
    <dataValidation type="list" allowBlank="1" showInputMessage="1" showErrorMessage="1" sqref="B2" xr:uid="{00000000-0002-0000-8500-000001000000}">
      <formula1>"Table,Figure,Both"</formula1>
    </dataValidation>
    <dataValidation type="list" allowBlank="1" showInputMessage="1" showErrorMessage="1" sqref="B6 B15:B16" xr:uid="{00000000-0002-0000-8500-000002000000}">
      <formula1>"True,False"</formula1>
    </dataValidation>
  </dataValidation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430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tbl-hiv-linkage-care-rande</v>
      </c>
    </row>
    <row r="4" spans="1:17" x14ac:dyDescent="0.2">
      <c r="A4" s="16" t="s">
        <v>7</v>
      </c>
      <c r="B4" t="str">
        <f>IF($B$1="","",_xlfn.XLOOKUP($B$1,Master!$F$2:$F$321,Master!$H$2:$H$321,""))</f>
        <v>fig-hiv-linkage-care-rande</v>
      </c>
      <c r="E4" s="8"/>
      <c r="F4" s="10" t="s">
        <v>1009</v>
      </c>
      <c r="G4" s="10" t="s">
        <v>973</v>
      </c>
      <c r="H4" s="10" t="s">
        <v>973</v>
      </c>
      <c r="I4" s="10" t="s">
        <v>973</v>
      </c>
      <c r="J4" s="10" t="s">
        <v>973</v>
      </c>
      <c r="K4" s="10"/>
      <c r="L4" s="10"/>
      <c r="M4" s="10"/>
      <c r="N4" s="10"/>
      <c r="O4" s="10"/>
      <c r="P4" s="10"/>
      <c r="Q4" s="10"/>
    </row>
    <row r="5" spans="1:17" x14ac:dyDescent="0.2">
      <c r="A5" s="83" t="s">
        <v>1081</v>
      </c>
      <c r="B5" s="80"/>
      <c r="E5" s="82" t="s">
        <v>1082</v>
      </c>
      <c r="G5">
        <v>2020</v>
      </c>
      <c r="H5">
        <v>2021</v>
      </c>
      <c r="I5">
        <v>2022</v>
      </c>
      <c r="J5">
        <v>2023</v>
      </c>
    </row>
    <row r="6" spans="1:17" ht="15" customHeight="1" x14ac:dyDescent="0.2">
      <c r="A6" t="s">
        <v>1088</v>
      </c>
      <c r="B6" t="b">
        <v>0</v>
      </c>
      <c r="E6" s="80"/>
      <c r="F6" t="s">
        <v>1382</v>
      </c>
      <c r="G6" s="15" t="s">
        <v>1031</v>
      </c>
      <c r="H6" s="15">
        <v>87.5</v>
      </c>
      <c r="I6" s="15" t="s">
        <v>1031</v>
      </c>
      <c r="J6" s="15">
        <v>77.8</v>
      </c>
      <c r="K6" s="15"/>
      <c r="L6" s="15"/>
      <c r="M6" s="15"/>
      <c r="N6" s="15"/>
      <c r="O6" s="15"/>
    </row>
    <row r="7" spans="1:17" ht="15.75" customHeight="1" x14ac:dyDescent="0.2">
      <c r="E7" s="80"/>
      <c r="F7" t="s">
        <v>1381</v>
      </c>
      <c r="G7" s="15">
        <v>100</v>
      </c>
      <c r="H7" s="15">
        <v>80</v>
      </c>
      <c r="I7" s="15">
        <v>85.7</v>
      </c>
      <c r="J7" s="15">
        <v>87.5</v>
      </c>
      <c r="K7" s="15"/>
      <c r="L7" s="15"/>
      <c r="M7" s="15"/>
      <c r="N7" s="15"/>
      <c r="O7" s="15"/>
    </row>
    <row r="8" spans="1:17" x14ac:dyDescent="0.2">
      <c r="E8" s="80"/>
      <c r="F8" t="s">
        <v>1293</v>
      </c>
      <c r="G8" s="15">
        <v>100</v>
      </c>
      <c r="H8" s="15">
        <v>100</v>
      </c>
      <c r="I8" s="15">
        <v>100</v>
      </c>
      <c r="J8" s="15">
        <v>100</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600-000000000000}">
      <formula1>"Line,Clustered Bar,Stacked Bar,Bar,Horizontal Stacked Bar"</formula1>
    </dataValidation>
    <dataValidation type="list" allowBlank="1" showInputMessage="1" showErrorMessage="1" sqref="B2" xr:uid="{00000000-0002-0000-8600-000001000000}">
      <formula1>"Table,Figure,Both"</formula1>
    </dataValidation>
    <dataValidation type="list" allowBlank="1" showInputMessage="1" showErrorMessage="1" sqref="B6 B15:B16" xr:uid="{00000000-0002-0000-8600-000002000000}">
      <formula1>"True,False"</formula1>
    </dataValidation>
  </dataValidation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433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tbl-prep-coverage</v>
      </c>
    </row>
    <row r="4" spans="1:17" x14ac:dyDescent="0.2">
      <c r="A4" s="16" t="s">
        <v>7</v>
      </c>
      <c r="B4" t="str">
        <f>IF($B$1="","",_xlfn.XLOOKUP($B$1,Master!$F$2:$F$321,Master!$H$2:$H$321,""))</f>
        <v>fig-prep-coverage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19.5</v>
      </c>
      <c r="H6" s="15">
        <v>23.4</v>
      </c>
      <c r="I6" s="15">
        <v>28.8</v>
      </c>
      <c r="J6" s="15">
        <v>25.3</v>
      </c>
      <c r="K6" s="15"/>
      <c r="L6" s="15"/>
      <c r="M6" s="15"/>
      <c r="N6" s="15"/>
      <c r="O6" s="15"/>
    </row>
    <row r="7" spans="1:17" ht="15.75" customHeight="1" x14ac:dyDescent="0.2">
      <c r="E7" s="80"/>
      <c r="F7" t="s">
        <v>1299</v>
      </c>
      <c r="G7" s="15">
        <v>47.4</v>
      </c>
      <c r="H7" s="15">
        <v>54.2</v>
      </c>
      <c r="I7" s="15">
        <v>63.4</v>
      </c>
      <c r="J7" s="15">
        <v>55.3</v>
      </c>
      <c r="K7" s="15"/>
      <c r="L7" s="15"/>
      <c r="M7" s="15"/>
      <c r="N7" s="15"/>
      <c r="O7" s="15"/>
    </row>
    <row r="8" spans="1:17" x14ac:dyDescent="0.2">
      <c r="E8" s="80"/>
      <c r="F8" t="s">
        <v>1397</v>
      </c>
      <c r="G8" s="15">
        <v>24.8</v>
      </c>
      <c r="H8" s="15">
        <v>30.1</v>
      </c>
      <c r="I8" s="15">
        <v>36</v>
      </c>
      <c r="J8" s="15">
        <v>31.3</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1854</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1856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700-000000000000}">
      <formula1>"Line,Clustered Bar,Stacked Bar,Bar,Horizontal Stacked Bar"</formula1>
    </dataValidation>
    <dataValidation type="list" allowBlank="1" showInputMessage="1" showErrorMessage="1" sqref="B2" xr:uid="{00000000-0002-0000-8700-000001000000}">
      <formula1>"Table,Figure,Both"</formula1>
    </dataValidation>
    <dataValidation type="list" allowBlank="1" showInputMessage="1" showErrorMessage="1" sqref="B6 B15:B16" xr:uid="{00000000-0002-0000-8700-000002000000}">
      <formula1>"True,False"</formula1>
    </dataValidation>
  </dataValidation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436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tbl-syphilis-count-rate-sex-rande-age-zip</v>
      </c>
    </row>
    <row r="4" spans="1:17" x14ac:dyDescent="0.2">
      <c r="A4" s="16" t="s">
        <v>7</v>
      </c>
      <c r="B4" t="str">
        <f>IF($B$1="","",_xlfn.XLOOKUP($B$1,Master!$F$2:$F$321,Master!$H$2:$H$321,""))</f>
        <v>fig-syphilis-count-rate-sex-rande-age-zip</v>
      </c>
      <c r="E4" s="8"/>
      <c r="F4" s="10" t="s">
        <v>1009</v>
      </c>
      <c r="G4" s="10" t="s">
        <v>968</v>
      </c>
      <c r="H4" s="10" t="s">
        <v>979</v>
      </c>
      <c r="I4" s="10" t="s">
        <v>968</v>
      </c>
      <c r="J4" s="10" t="s">
        <v>979</v>
      </c>
      <c r="K4" s="10" t="s">
        <v>968</v>
      </c>
      <c r="L4" s="10" t="s">
        <v>979</v>
      </c>
      <c r="M4" s="10" t="s">
        <v>968</v>
      </c>
      <c r="N4" s="10" t="s">
        <v>979</v>
      </c>
      <c r="O4" s="10"/>
      <c r="P4" s="10"/>
      <c r="Q4" s="10"/>
    </row>
    <row r="5" spans="1:17" x14ac:dyDescent="0.2">
      <c r="A5" s="83" t="s">
        <v>1081</v>
      </c>
      <c r="B5" s="80"/>
      <c r="E5" s="82" t="s">
        <v>1082</v>
      </c>
      <c r="G5" s="81">
        <v>2021</v>
      </c>
      <c r="H5" s="80"/>
      <c r="I5" s="81">
        <v>2022</v>
      </c>
      <c r="J5" s="80"/>
      <c r="K5" s="81">
        <v>2023</v>
      </c>
      <c r="L5" s="80"/>
      <c r="M5" s="81">
        <v>2024</v>
      </c>
      <c r="N5" s="80"/>
    </row>
    <row r="6" spans="1:17" ht="15" customHeight="1" x14ac:dyDescent="0.2">
      <c r="A6" t="s">
        <v>1088</v>
      </c>
      <c r="B6" t="b">
        <v>1</v>
      </c>
      <c r="E6" s="80"/>
      <c r="G6" s="15" t="s">
        <v>1272</v>
      </c>
      <c r="H6" s="15" t="s">
        <v>1273</v>
      </c>
      <c r="I6" s="15" t="s">
        <v>1272</v>
      </c>
      <c r="J6" s="15" t="s">
        <v>1273</v>
      </c>
      <c r="K6" s="15" t="s">
        <v>1272</v>
      </c>
      <c r="L6" s="15" t="s">
        <v>1273</v>
      </c>
      <c r="M6" s="15" t="s">
        <v>1272</v>
      </c>
      <c r="N6" s="15" t="s">
        <v>1273</v>
      </c>
      <c r="O6" s="15"/>
    </row>
    <row r="7" spans="1:17" ht="15.75" customHeight="1" x14ac:dyDescent="0.2">
      <c r="E7" s="80"/>
      <c r="F7" s="16" t="s">
        <v>1089</v>
      </c>
      <c r="G7" s="15">
        <v>124</v>
      </c>
      <c r="H7" s="15">
        <v>31.1</v>
      </c>
      <c r="I7" s="15">
        <v>124</v>
      </c>
      <c r="J7" s="15">
        <v>30.9</v>
      </c>
      <c r="K7" s="15">
        <v>131</v>
      </c>
      <c r="L7" s="15">
        <v>32.4</v>
      </c>
      <c r="M7" s="15">
        <v>93</v>
      </c>
      <c r="N7" s="15">
        <v>23</v>
      </c>
      <c r="O7" s="15"/>
    </row>
    <row r="8" spans="1:17" x14ac:dyDescent="0.2">
      <c r="E8" s="80"/>
      <c r="F8" s="91" t="s">
        <v>1086</v>
      </c>
      <c r="G8" s="80"/>
      <c r="H8" s="80"/>
      <c r="I8" s="80"/>
      <c r="J8" s="80"/>
      <c r="K8" s="80"/>
      <c r="L8" s="80"/>
      <c r="M8" s="80"/>
      <c r="N8" s="80"/>
      <c r="O8" s="15"/>
    </row>
    <row r="9" spans="1:17" x14ac:dyDescent="0.2">
      <c r="A9" s="83" t="s">
        <v>1098</v>
      </c>
      <c r="B9" s="80"/>
      <c r="E9" s="80"/>
      <c r="F9" s="47" t="s">
        <v>1094</v>
      </c>
      <c r="G9" s="15">
        <v>90</v>
      </c>
      <c r="H9" s="15">
        <v>44.9</v>
      </c>
      <c r="I9" s="15">
        <v>94</v>
      </c>
      <c r="J9" s="15">
        <v>46.8</v>
      </c>
      <c r="K9" s="15">
        <v>88</v>
      </c>
      <c r="L9" s="15">
        <v>43.7</v>
      </c>
      <c r="M9" s="15">
        <v>62</v>
      </c>
      <c r="N9" s="15">
        <v>30.8</v>
      </c>
      <c r="O9" s="15"/>
    </row>
    <row r="10" spans="1:17" x14ac:dyDescent="0.2">
      <c r="A10" t="s">
        <v>1100</v>
      </c>
      <c r="E10" s="80"/>
      <c r="F10" s="47" t="s">
        <v>1095</v>
      </c>
      <c r="G10" s="15">
        <v>34</v>
      </c>
      <c r="H10" s="15">
        <v>17.2</v>
      </c>
      <c r="I10" s="15">
        <v>30</v>
      </c>
      <c r="J10" s="15">
        <v>15</v>
      </c>
      <c r="K10" s="15">
        <v>43</v>
      </c>
      <c r="L10" s="15">
        <v>21.3</v>
      </c>
      <c r="M10" s="15">
        <v>31</v>
      </c>
      <c r="N10" s="15">
        <v>15.3</v>
      </c>
    </row>
    <row r="11" spans="1:17" x14ac:dyDescent="0.2">
      <c r="A11" t="s">
        <v>1102</v>
      </c>
      <c r="E11" s="80"/>
      <c r="F11" s="91" t="s">
        <v>1289</v>
      </c>
      <c r="G11" s="80"/>
      <c r="H11" s="80"/>
      <c r="I11" s="80"/>
      <c r="J11" s="80"/>
      <c r="K11" s="80"/>
      <c r="L11" s="80"/>
      <c r="M11" s="80"/>
      <c r="N11" s="80"/>
    </row>
    <row r="12" spans="1:17" x14ac:dyDescent="0.2">
      <c r="A12" t="s">
        <v>1104</v>
      </c>
      <c r="E12" s="80"/>
      <c r="F12" s="47" t="s">
        <v>1828</v>
      </c>
      <c r="G12" s="15">
        <v>38</v>
      </c>
      <c r="H12" s="15">
        <v>15.3</v>
      </c>
      <c r="I12" s="15">
        <v>31</v>
      </c>
      <c r="J12" s="17">
        <v>12.8</v>
      </c>
      <c r="K12" s="17">
        <v>29</v>
      </c>
      <c r="L12" s="17">
        <v>12.1</v>
      </c>
      <c r="M12" s="17">
        <v>18</v>
      </c>
      <c r="N12" s="17">
        <v>7.5</v>
      </c>
    </row>
    <row r="13" spans="1:17" x14ac:dyDescent="0.2">
      <c r="A13" t="s">
        <v>1108</v>
      </c>
      <c r="E13" s="80"/>
      <c r="F13" s="48" t="s">
        <v>1829</v>
      </c>
      <c r="G13" s="17">
        <v>21</v>
      </c>
      <c r="H13" s="17">
        <v>52.9</v>
      </c>
      <c r="I13" s="15">
        <v>19</v>
      </c>
      <c r="J13" s="15">
        <v>45.3</v>
      </c>
      <c r="K13" s="15">
        <v>28</v>
      </c>
      <c r="L13" s="15">
        <v>65.900000000000006</v>
      </c>
      <c r="M13" s="15">
        <v>21</v>
      </c>
      <c r="N13" s="15">
        <v>49.4</v>
      </c>
    </row>
    <row r="14" spans="1:17" x14ac:dyDescent="0.2">
      <c r="A14" t="s">
        <v>1112</v>
      </c>
      <c r="E14" s="80"/>
      <c r="F14" s="47" t="s">
        <v>1830</v>
      </c>
      <c r="G14" s="15">
        <v>42</v>
      </c>
      <c r="H14" s="15">
        <v>49.2</v>
      </c>
      <c r="I14" s="15">
        <v>48</v>
      </c>
      <c r="J14" s="15">
        <v>53.6</v>
      </c>
      <c r="K14" s="15">
        <v>60</v>
      </c>
      <c r="L14" s="15">
        <v>64.099999999999994</v>
      </c>
      <c r="M14" s="15">
        <v>41</v>
      </c>
      <c r="N14" s="15">
        <v>43.8</v>
      </c>
    </row>
    <row r="15" spans="1:17" x14ac:dyDescent="0.2">
      <c r="A15" t="s">
        <v>1114</v>
      </c>
      <c r="E15" s="80"/>
      <c r="F15" s="91" t="s">
        <v>1085</v>
      </c>
      <c r="G15" s="80"/>
      <c r="H15" s="80"/>
      <c r="I15" s="80"/>
      <c r="J15" s="80"/>
      <c r="K15" s="80"/>
      <c r="L15" s="80"/>
      <c r="M15" s="80"/>
      <c r="N15" s="80"/>
    </row>
    <row r="16" spans="1:17" x14ac:dyDescent="0.2">
      <c r="A16" t="s">
        <v>1116</v>
      </c>
      <c r="E16" s="80"/>
      <c r="F16" s="47" t="s">
        <v>1857</v>
      </c>
      <c r="G16" s="15" t="s">
        <v>1031</v>
      </c>
      <c r="H16" s="15" t="s">
        <v>1031</v>
      </c>
      <c r="I16" s="15">
        <v>0</v>
      </c>
      <c r="J16" s="15">
        <v>0</v>
      </c>
      <c r="K16" s="15" t="s">
        <v>1031</v>
      </c>
      <c r="L16" s="15" t="s">
        <v>1031</v>
      </c>
      <c r="M16" s="15" t="s">
        <v>1031</v>
      </c>
      <c r="N16" s="15" t="s">
        <v>1031</v>
      </c>
    </row>
    <row r="17" spans="1:14" x14ac:dyDescent="0.2">
      <c r="E17" s="80"/>
      <c r="F17" s="47" t="s">
        <v>1701</v>
      </c>
      <c r="G17" s="15">
        <v>19</v>
      </c>
      <c r="H17" s="15">
        <v>65.099999999999994</v>
      </c>
      <c r="I17" s="15">
        <v>17</v>
      </c>
      <c r="J17" s="15">
        <v>57.3</v>
      </c>
      <c r="K17" s="15">
        <v>15</v>
      </c>
      <c r="L17" s="15">
        <v>52.3</v>
      </c>
      <c r="M17" s="15" t="s">
        <v>1031</v>
      </c>
      <c r="N17" s="15" t="s">
        <v>1031</v>
      </c>
    </row>
    <row r="18" spans="1:14" x14ac:dyDescent="0.2">
      <c r="A18" s="83" t="s">
        <v>1119</v>
      </c>
      <c r="B18" s="80"/>
      <c r="E18" s="80"/>
      <c r="F18" s="47" t="s">
        <v>1834</v>
      </c>
      <c r="G18" s="15">
        <v>22</v>
      </c>
      <c r="H18" s="15">
        <v>93.1</v>
      </c>
      <c r="I18" s="15">
        <v>26</v>
      </c>
      <c r="J18" s="15">
        <v>108.6</v>
      </c>
      <c r="K18" s="15">
        <v>21</v>
      </c>
      <c r="L18" s="15">
        <v>87.5</v>
      </c>
      <c r="M18" s="15">
        <v>13</v>
      </c>
      <c r="N18" s="15">
        <v>54.2</v>
      </c>
    </row>
    <row r="19" spans="1:14" x14ac:dyDescent="0.2">
      <c r="A19" t="s">
        <v>1121</v>
      </c>
      <c r="B19" t="s">
        <v>1833</v>
      </c>
      <c r="E19" s="80"/>
      <c r="F19" s="47" t="s">
        <v>1835</v>
      </c>
      <c r="G19" s="15">
        <v>18</v>
      </c>
      <c r="H19" s="15">
        <v>78.400000000000006</v>
      </c>
      <c r="I19" s="15">
        <v>20</v>
      </c>
      <c r="J19" s="15">
        <v>85.2</v>
      </c>
      <c r="K19" s="15">
        <v>26</v>
      </c>
      <c r="L19" s="15">
        <v>108.7</v>
      </c>
      <c r="M19" s="15">
        <v>20</v>
      </c>
      <c r="N19" s="15">
        <v>83.6</v>
      </c>
    </row>
    <row r="20" spans="1:14" x14ac:dyDescent="0.2">
      <c r="E20" s="80"/>
      <c r="F20" s="47" t="s">
        <v>1836</v>
      </c>
      <c r="G20" s="15">
        <v>18</v>
      </c>
      <c r="H20" s="15">
        <v>75.8</v>
      </c>
      <c r="I20" s="15">
        <v>15</v>
      </c>
      <c r="J20" s="15">
        <v>62.6</v>
      </c>
      <c r="K20" s="15">
        <v>16</v>
      </c>
      <c r="L20" s="15">
        <v>65.2</v>
      </c>
      <c r="M20" s="15">
        <v>14</v>
      </c>
      <c r="N20" s="15">
        <v>57.1</v>
      </c>
    </row>
    <row r="21" spans="1:14" x14ac:dyDescent="0.2">
      <c r="A21" s="81" t="s">
        <v>1125</v>
      </c>
      <c r="B21" s="80"/>
      <c r="E21" s="80"/>
      <c r="F21" s="47" t="s">
        <v>1838</v>
      </c>
      <c r="G21" s="15">
        <v>15</v>
      </c>
      <c r="H21" s="15">
        <v>62.6</v>
      </c>
      <c r="I21" s="15">
        <v>14</v>
      </c>
      <c r="J21" s="15">
        <v>56.6</v>
      </c>
      <c r="K21" s="15" t="s">
        <v>1031</v>
      </c>
      <c r="L21" s="15" t="s">
        <v>1031</v>
      </c>
      <c r="M21" s="15" t="s">
        <v>1031</v>
      </c>
      <c r="N21" s="15" t="s">
        <v>1031</v>
      </c>
    </row>
    <row r="22" spans="1:14" x14ac:dyDescent="0.2">
      <c r="A22" t="s">
        <v>1135</v>
      </c>
      <c r="B22" t="s">
        <v>1858</v>
      </c>
      <c r="E22" s="80"/>
      <c r="F22" s="47" t="s">
        <v>1839</v>
      </c>
      <c r="G22" s="15" t="s">
        <v>1031</v>
      </c>
      <c r="H22" s="15" t="s">
        <v>1031</v>
      </c>
      <c r="I22" s="15" t="s">
        <v>1031</v>
      </c>
      <c r="J22" s="15" t="s">
        <v>1031</v>
      </c>
      <c r="K22" s="15">
        <v>14</v>
      </c>
      <c r="L22" s="15">
        <v>57</v>
      </c>
      <c r="M22" s="15" t="s">
        <v>1031</v>
      </c>
      <c r="N22" s="15" t="s">
        <v>1031</v>
      </c>
    </row>
    <row r="23" spans="1:14" x14ac:dyDescent="0.2">
      <c r="E23" s="80"/>
      <c r="F23" s="47" t="s">
        <v>1840</v>
      </c>
      <c r="G23" s="15">
        <v>21</v>
      </c>
      <c r="H23" s="15">
        <v>15.6</v>
      </c>
      <c r="I23" s="15">
        <v>28</v>
      </c>
      <c r="J23" s="15">
        <v>20.7</v>
      </c>
      <c r="K23" s="15">
        <v>25</v>
      </c>
      <c r="L23" s="15">
        <v>18.3</v>
      </c>
      <c r="M23" s="15">
        <v>22</v>
      </c>
      <c r="N23" s="15">
        <v>16.100000000000001</v>
      </c>
    </row>
    <row r="24" spans="1:14" x14ac:dyDescent="0.2">
      <c r="E24" s="80"/>
      <c r="F24" s="91" t="s">
        <v>1294</v>
      </c>
      <c r="G24" s="80"/>
      <c r="H24" s="80"/>
      <c r="I24" s="80"/>
      <c r="J24" s="80"/>
      <c r="K24" s="80"/>
      <c r="L24" s="80"/>
      <c r="M24" s="80"/>
      <c r="N24" s="80"/>
    </row>
    <row r="25" spans="1:14" x14ac:dyDescent="0.2">
      <c r="E25" s="80"/>
      <c r="F25" s="47">
        <v>10940</v>
      </c>
      <c r="G25" s="15">
        <v>25</v>
      </c>
      <c r="H25" s="15">
        <v>49.1</v>
      </c>
      <c r="I25" s="15">
        <v>25</v>
      </c>
      <c r="J25" s="15">
        <v>48.2</v>
      </c>
      <c r="K25" s="15">
        <v>29</v>
      </c>
      <c r="L25" s="15">
        <v>54.6</v>
      </c>
      <c r="M25" s="15">
        <v>20</v>
      </c>
      <c r="N25" s="15">
        <v>37.700000000000003</v>
      </c>
    </row>
    <row r="26" spans="1:14" x14ac:dyDescent="0.2">
      <c r="E26" s="80"/>
      <c r="F26" s="47">
        <v>12550</v>
      </c>
      <c r="G26" s="15">
        <v>45</v>
      </c>
      <c r="H26" s="15">
        <v>81</v>
      </c>
      <c r="I26" s="15">
        <v>38</v>
      </c>
      <c r="J26" s="15">
        <v>68.599999999999994</v>
      </c>
      <c r="K26" s="15">
        <v>42</v>
      </c>
      <c r="L26" s="15">
        <v>76.400000000000006</v>
      </c>
      <c r="M26" s="15">
        <v>35</v>
      </c>
      <c r="N26" s="15">
        <v>63.6</v>
      </c>
    </row>
    <row r="27" spans="1:14" x14ac:dyDescent="0.2">
      <c r="A27" s="81"/>
      <c r="B27" s="80"/>
      <c r="E27" s="80"/>
      <c r="F27" s="47">
        <v>12553</v>
      </c>
      <c r="G27" s="15">
        <v>11</v>
      </c>
      <c r="H27" s="15">
        <v>41</v>
      </c>
      <c r="I27" s="15">
        <v>11</v>
      </c>
      <c r="J27" s="15">
        <v>40.1</v>
      </c>
      <c r="K27" s="15">
        <v>11</v>
      </c>
      <c r="L27" s="15">
        <v>40.299999999999997</v>
      </c>
      <c r="M27" s="15" t="s">
        <v>1031</v>
      </c>
      <c r="N27" s="15" t="s">
        <v>1031</v>
      </c>
    </row>
    <row r="28" spans="1:14" x14ac:dyDescent="0.2">
      <c r="E28" s="80"/>
      <c r="F28" s="15"/>
      <c r="G28" s="15"/>
      <c r="H28" s="15"/>
    </row>
    <row r="29" spans="1:14" x14ac:dyDescent="0.2">
      <c r="E29" s="80"/>
      <c r="F29" s="15"/>
      <c r="G29" s="15"/>
      <c r="H29" s="15"/>
    </row>
    <row r="30" spans="1:14" x14ac:dyDescent="0.2">
      <c r="E30" s="80"/>
      <c r="F30" s="15"/>
      <c r="G30" s="15"/>
      <c r="H30" s="15"/>
    </row>
    <row r="31" spans="1:14" x14ac:dyDescent="0.2">
      <c r="E31" s="80"/>
      <c r="F31" s="15"/>
      <c r="G31" s="15"/>
      <c r="H31" s="15"/>
    </row>
    <row r="32" spans="1:14"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15:N15"/>
    <mergeCell ref="E5:E57"/>
    <mergeCell ref="A9:B9"/>
    <mergeCell ref="A5:B5"/>
    <mergeCell ref="G5:H5"/>
    <mergeCell ref="K5:L5"/>
    <mergeCell ref="I5:J5"/>
    <mergeCell ref="M5:N5"/>
    <mergeCell ref="F8:N8"/>
    <mergeCell ref="A18:B18"/>
    <mergeCell ref="A27:B27"/>
    <mergeCell ref="F11:N11"/>
    <mergeCell ref="F24:N24"/>
  </mergeCells>
  <dataValidations count="3">
    <dataValidation type="list" allowBlank="1" showInputMessage="1" showErrorMessage="1" sqref="B10" xr:uid="{00000000-0002-0000-8800-000000000000}">
      <formula1>"Line,Clustered Bar,Stacked Bar,Bar,Horizontal Stacked Bar"</formula1>
    </dataValidation>
    <dataValidation type="list" allowBlank="1" showInputMessage="1" showErrorMessage="1" sqref="B2" xr:uid="{00000000-0002-0000-8800-000001000000}">
      <formula1>"Table,Figure,Both"</formula1>
    </dataValidation>
    <dataValidation type="list" allowBlank="1" showInputMessage="1" showErrorMessage="1" sqref="B6 B15:B16" xr:uid="{00000000-0002-0000-8800-000002000000}">
      <formula1>"True,False"</formula1>
    </dataValidation>
  </dataValidation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439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tbl-syphilis-early-aar</v>
      </c>
    </row>
    <row r="4" spans="1:17" x14ac:dyDescent="0.2">
      <c r="A4" s="16" t="s">
        <v>7</v>
      </c>
      <c r="B4" t="str">
        <f>IF($B$1="","",_xlfn.XLOOKUP($B$1,Master!$F$2:$F$321,Master!$H$2:$H$321,""))</f>
        <v>fig-syphilis-early-aar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26.5</v>
      </c>
      <c r="H6" s="15">
        <v>29.4</v>
      </c>
      <c r="I6" s="15">
        <v>26.7</v>
      </c>
      <c r="J6" s="15">
        <v>21.8</v>
      </c>
      <c r="K6" s="15"/>
      <c r="L6" s="15"/>
      <c r="M6" s="15"/>
      <c r="N6" s="15"/>
      <c r="O6" s="15"/>
    </row>
    <row r="7" spans="1:17" ht="15.75" customHeight="1" x14ac:dyDescent="0.2">
      <c r="E7" s="80"/>
      <c r="F7" t="s">
        <v>1645</v>
      </c>
      <c r="G7" s="15">
        <v>19.3</v>
      </c>
      <c r="H7" s="15">
        <v>22.9</v>
      </c>
      <c r="I7" s="15">
        <v>22.1</v>
      </c>
      <c r="J7" s="15">
        <v>19.3</v>
      </c>
      <c r="K7" s="15"/>
      <c r="L7" s="15"/>
      <c r="M7" s="15"/>
      <c r="N7" s="15"/>
      <c r="O7" s="15"/>
    </row>
    <row r="8" spans="1:17" x14ac:dyDescent="0.2">
      <c r="E8" s="80"/>
      <c r="F8" t="s">
        <v>1298</v>
      </c>
      <c r="G8" s="15">
        <v>14.4</v>
      </c>
      <c r="H8" s="15">
        <v>21.7</v>
      </c>
      <c r="I8" s="15">
        <v>23.6</v>
      </c>
      <c r="J8" s="15">
        <v>20.3</v>
      </c>
      <c r="K8" s="15"/>
      <c r="L8" s="15"/>
      <c r="M8" s="15"/>
      <c r="N8" s="15"/>
      <c r="O8" s="15"/>
    </row>
    <row r="9" spans="1:17" x14ac:dyDescent="0.2">
      <c r="A9" s="83" t="s">
        <v>1098</v>
      </c>
      <c r="B9" s="80"/>
      <c r="E9" s="80"/>
      <c r="F9" t="s">
        <v>1299</v>
      </c>
      <c r="G9" s="15">
        <v>41.7</v>
      </c>
      <c r="H9" s="15">
        <v>48.1</v>
      </c>
      <c r="I9" s="15">
        <v>49.5</v>
      </c>
      <c r="J9" s="15">
        <v>40</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1859</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900-000000000000}">
      <formula1>"Line,Clustered Bar,Stacked Bar,Bar,Horizontal Stacked Bar"</formula1>
    </dataValidation>
    <dataValidation type="list" allowBlank="1" showInputMessage="1" showErrorMessage="1" sqref="B2" xr:uid="{00000000-0002-0000-8900-000001000000}">
      <formula1>"Table,Figure,Both"</formula1>
    </dataValidation>
    <dataValidation type="list" allowBlank="1" showInputMessage="1" showErrorMessage="1" sqref="B6 B15:B16" xr:uid="{00000000-0002-0000-8900-000002000000}">
      <formula1>"True,False"</formula1>
    </dataValidation>
  </dataValidation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442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tbl-syphilis-rande</v>
      </c>
    </row>
    <row r="4" spans="1:17" x14ac:dyDescent="0.2">
      <c r="A4" s="16" t="s">
        <v>7</v>
      </c>
      <c r="B4" t="str">
        <f>IF($B$1="","",_xlfn.XLOOKUP($B$1,Master!$F$2:$F$321,Master!$H$2:$H$321,""))</f>
        <v>fig-syphilis-rande</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1289</v>
      </c>
      <c r="G5">
        <v>2021</v>
      </c>
      <c r="H5">
        <v>2022</v>
      </c>
      <c r="I5">
        <v>2023</v>
      </c>
      <c r="J5">
        <v>2024</v>
      </c>
    </row>
    <row r="6" spans="1:17" ht="15" customHeight="1" x14ac:dyDescent="0.2">
      <c r="A6" t="s">
        <v>1088</v>
      </c>
      <c r="B6" t="b">
        <v>0</v>
      </c>
      <c r="E6" s="80"/>
      <c r="F6" t="s">
        <v>1828</v>
      </c>
      <c r="G6" s="15">
        <v>15.3</v>
      </c>
      <c r="H6" s="15">
        <v>12.8</v>
      </c>
      <c r="I6" s="15">
        <v>12.1</v>
      </c>
      <c r="J6" s="15">
        <v>7.5</v>
      </c>
      <c r="K6" s="15"/>
      <c r="L6" s="15"/>
      <c r="M6" s="15"/>
      <c r="N6" s="15"/>
      <c r="O6" s="15"/>
    </row>
    <row r="7" spans="1:17" ht="15.75" customHeight="1" x14ac:dyDescent="0.2">
      <c r="E7" s="80"/>
      <c r="F7" t="s">
        <v>1829</v>
      </c>
      <c r="G7" s="15">
        <v>52.9</v>
      </c>
      <c r="H7" s="15">
        <v>45.3</v>
      </c>
      <c r="I7" s="15">
        <v>65.900000000000006</v>
      </c>
      <c r="J7" s="15">
        <v>49.4</v>
      </c>
      <c r="K7" s="15"/>
      <c r="L7" s="15"/>
      <c r="M7" s="15"/>
      <c r="N7" s="15"/>
      <c r="O7" s="15"/>
    </row>
    <row r="8" spans="1:17" x14ac:dyDescent="0.2">
      <c r="E8" s="80"/>
      <c r="F8" t="s">
        <v>1830</v>
      </c>
      <c r="G8" s="15">
        <v>49.2</v>
      </c>
      <c r="H8" s="15">
        <v>53.6</v>
      </c>
      <c r="I8" s="15">
        <v>64.099999999999994</v>
      </c>
      <c r="J8" s="15">
        <v>43.8</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1842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1842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A00-000000000000}">
      <formula1>"Line,Clustered Bar,Stacked Bar,Bar,Horizontal Stacked Bar"</formula1>
    </dataValidation>
    <dataValidation type="list" allowBlank="1" showInputMessage="1" showErrorMessage="1" sqref="B2" xr:uid="{00000000-0002-0000-8A00-000001000000}">
      <formula1>"Table,Figure,Both"</formula1>
    </dataValidation>
    <dataValidation type="list" allowBlank="1" showInputMessage="1" showErrorMessage="1" sqref="B6 B15:B16" xr:uid="{00000000-0002-0000-8A00-000002000000}">
      <formula1>"True,False"</formula1>
    </dataValidation>
  </dataValidation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1.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445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tbl-fertility-rate-age-rande-zip</v>
      </c>
    </row>
    <row r="4" spans="1:17" x14ac:dyDescent="0.2">
      <c r="A4" s="16" t="s">
        <v>7</v>
      </c>
      <c r="B4" t="str">
        <f>IF($B$1="","",_xlfn.XLOOKUP($B$1,Master!$F$2:$F$321,Master!$H$2:$H$321,""))</f>
        <v>fig-fertility-rate-age-rande-zip</v>
      </c>
      <c r="E4" s="8"/>
      <c r="F4" s="10" t="s">
        <v>1009</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G5" s="81">
        <v>2020</v>
      </c>
      <c r="H5" s="80"/>
      <c r="I5" s="81">
        <v>2021</v>
      </c>
      <c r="J5" s="80"/>
      <c r="K5" s="81">
        <v>2022</v>
      </c>
      <c r="L5" s="80"/>
      <c r="M5" s="81">
        <v>2023</v>
      </c>
      <c r="N5" s="80"/>
      <c r="O5" s="81" t="s">
        <v>1271</v>
      </c>
      <c r="P5" s="80"/>
    </row>
    <row r="6" spans="1:17" ht="15" customHeight="1" x14ac:dyDescent="0.2">
      <c r="A6" t="s">
        <v>1088</v>
      </c>
      <c r="B6" t="b">
        <v>1</v>
      </c>
      <c r="E6" s="80"/>
      <c r="G6" s="15" t="s">
        <v>1272</v>
      </c>
      <c r="H6" s="15" t="s">
        <v>1273</v>
      </c>
      <c r="I6" s="15" t="s">
        <v>1272</v>
      </c>
      <c r="J6" s="15" t="s">
        <v>1273</v>
      </c>
      <c r="K6" s="15" t="s">
        <v>1272</v>
      </c>
      <c r="L6" s="15" t="s">
        <v>1273</v>
      </c>
      <c r="M6" s="15" t="s">
        <v>1272</v>
      </c>
      <c r="N6" s="15" t="s">
        <v>1273</v>
      </c>
      <c r="O6" s="15" t="s">
        <v>1272</v>
      </c>
      <c r="P6" s="15" t="s">
        <v>1273</v>
      </c>
    </row>
    <row r="7" spans="1:17" ht="15.75" customHeight="1" x14ac:dyDescent="0.2">
      <c r="E7" s="80"/>
      <c r="F7" s="16" t="s">
        <v>1860</v>
      </c>
      <c r="G7" s="15">
        <v>4787</v>
      </c>
      <c r="H7" s="15">
        <v>67.8</v>
      </c>
      <c r="I7" s="15">
        <v>5109</v>
      </c>
      <c r="J7" s="15">
        <v>69.400000000000006</v>
      </c>
      <c r="K7" s="15">
        <v>4948</v>
      </c>
      <c r="L7" s="15">
        <v>64.400000000000006</v>
      </c>
      <c r="M7" s="15">
        <v>5235</v>
      </c>
      <c r="N7" s="15">
        <v>67.599999999999994</v>
      </c>
      <c r="O7" s="15">
        <v>20079</v>
      </c>
      <c r="P7" s="15">
        <v>67.3</v>
      </c>
    </row>
    <row r="8" spans="1:17" x14ac:dyDescent="0.2">
      <c r="E8" s="80"/>
      <c r="F8" s="91" t="s">
        <v>1276</v>
      </c>
      <c r="G8" s="80"/>
      <c r="H8" s="80"/>
      <c r="I8" s="80"/>
      <c r="J8" s="80"/>
      <c r="K8" s="80"/>
      <c r="L8" s="80"/>
      <c r="M8" s="80"/>
      <c r="N8" s="80"/>
      <c r="O8" s="80"/>
      <c r="P8" s="80"/>
    </row>
    <row r="9" spans="1:17" x14ac:dyDescent="0.2">
      <c r="A9" s="83" t="s">
        <v>1098</v>
      </c>
      <c r="B9" s="80"/>
      <c r="E9" s="80"/>
      <c r="F9" s="47" t="s">
        <v>1832</v>
      </c>
      <c r="G9" s="15">
        <v>125</v>
      </c>
      <c r="H9" s="15">
        <v>9.1999999999999993</v>
      </c>
      <c r="I9" s="15">
        <v>140</v>
      </c>
      <c r="J9" s="17">
        <v>9.8000000000000007</v>
      </c>
      <c r="K9" s="17">
        <v>161</v>
      </c>
      <c r="L9" s="17">
        <v>10.3</v>
      </c>
      <c r="M9" s="17">
        <v>165</v>
      </c>
      <c r="N9" s="17">
        <v>10.6</v>
      </c>
      <c r="O9" s="15">
        <v>591</v>
      </c>
      <c r="P9" s="15">
        <v>10</v>
      </c>
    </row>
    <row r="10" spans="1:17" x14ac:dyDescent="0.2">
      <c r="A10" t="s">
        <v>1100</v>
      </c>
      <c r="E10" s="80"/>
      <c r="F10" s="48" t="s">
        <v>1701</v>
      </c>
      <c r="G10" s="17">
        <v>956</v>
      </c>
      <c r="H10" s="17">
        <v>77.2</v>
      </c>
      <c r="I10" s="15">
        <v>990</v>
      </c>
      <c r="J10" s="15">
        <v>77.900000000000006</v>
      </c>
      <c r="K10" s="15">
        <v>992</v>
      </c>
      <c r="L10" s="15">
        <v>70.7</v>
      </c>
      <c r="M10" s="15">
        <v>1098</v>
      </c>
      <c r="N10" s="15">
        <v>79.7</v>
      </c>
      <c r="O10" s="15">
        <v>4036</v>
      </c>
      <c r="P10" s="15">
        <v>76.400000000000006</v>
      </c>
    </row>
    <row r="11" spans="1:17" x14ac:dyDescent="0.2">
      <c r="A11" t="s">
        <v>1102</v>
      </c>
      <c r="E11" s="80"/>
      <c r="F11" s="47" t="s">
        <v>1861</v>
      </c>
      <c r="G11" s="15">
        <v>3706</v>
      </c>
      <c r="H11" s="15">
        <v>82.8</v>
      </c>
      <c r="I11" s="15">
        <v>3979</v>
      </c>
      <c r="J11" s="15">
        <v>85.3</v>
      </c>
      <c r="K11" s="15">
        <v>3795</v>
      </c>
      <c r="L11" s="15">
        <v>80.599999999999994</v>
      </c>
      <c r="M11" s="15">
        <v>3972</v>
      </c>
      <c r="N11" s="15">
        <v>82.6</v>
      </c>
      <c r="O11" s="15">
        <v>15452</v>
      </c>
      <c r="P11" s="15">
        <v>82.8</v>
      </c>
    </row>
    <row r="12" spans="1:17" x14ac:dyDescent="0.2">
      <c r="A12" t="s">
        <v>1104</v>
      </c>
      <c r="E12" s="80"/>
      <c r="F12" s="91" t="s">
        <v>1289</v>
      </c>
      <c r="G12" s="80"/>
      <c r="H12" s="80"/>
      <c r="I12" s="80"/>
      <c r="J12" s="80"/>
      <c r="K12" s="80"/>
      <c r="L12" s="80"/>
      <c r="M12" s="80"/>
      <c r="N12" s="80"/>
      <c r="O12" s="80"/>
      <c r="P12" s="80"/>
    </row>
    <row r="13" spans="1:17" x14ac:dyDescent="0.2">
      <c r="A13" t="s">
        <v>1108</v>
      </c>
      <c r="E13" s="80"/>
      <c r="F13" s="47" t="s">
        <v>1290</v>
      </c>
      <c r="G13" s="15">
        <v>3021</v>
      </c>
      <c r="H13" s="15">
        <v>74.5</v>
      </c>
      <c r="I13" s="15">
        <v>3095</v>
      </c>
      <c r="J13" s="15">
        <v>74.3</v>
      </c>
      <c r="K13" s="15">
        <v>3066</v>
      </c>
      <c r="L13" s="15">
        <v>71.900000000000006</v>
      </c>
      <c r="M13" s="15">
        <v>3275</v>
      </c>
      <c r="N13" s="15">
        <v>77.5</v>
      </c>
      <c r="O13" s="15">
        <v>12457</v>
      </c>
      <c r="P13" s="15">
        <v>74.599999999999994</v>
      </c>
    </row>
    <row r="14" spans="1:17" x14ac:dyDescent="0.2">
      <c r="A14" t="s">
        <v>1112</v>
      </c>
      <c r="E14" s="80"/>
      <c r="F14" s="47" t="s">
        <v>1235</v>
      </c>
      <c r="G14" s="15">
        <v>557</v>
      </c>
      <c r="H14" s="15">
        <v>62.6</v>
      </c>
      <c r="I14" s="15">
        <v>549</v>
      </c>
      <c r="J14" s="15">
        <v>60.3</v>
      </c>
      <c r="K14" s="15">
        <v>558</v>
      </c>
      <c r="L14" s="15">
        <v>58.6</v>
      </c>
      <c r="M14" s="15">
        <v>489</v>
      </c>
      <c r="N14" s="15">
        <v>53.8</v>
      </c>
      <c r="O14" s="15">
        <v>2153</v>
      </c>
      <c r="P14" s="15">
        <v>58.8</v>
      </c>
    </row>
    <row r="15" spans="1:17" x14ac:dyDescent="0.2">
      <c r="A15" t="s">
        <v>1114</v>
      </c>
      <c r="E15" s="80"/>
      <c r="F15" s="47" t="s">
        <v>1293</v>
      </c>
      <c r="G15" s="15">
        <v>1198</v>
      </c>
      <c r="H15" s="15">
        <v>67.7</v>
      </c>
      <c r="I15" s="15">
        <v>1295</v>
      </c>
      <c r="J15" s="15">
        <v>69.2</v>
      </c>
      <c r="K15" s="15">
        <v>1296</v>
      </c>
      <c r="L15" s="15">
        <v>65.5</v>
      </c>
      <c r="M15" s="15">
        <v>1432</v>
      </c>
      <c r="N15" s="15">
        <v>69.5</v>
      </c>
      <c r="O15" s="15">
        <v>5221</v>
      </c>
      <c r="P15" s="15">
        <v>68</v>
      </c>
    </row>
    <row r="16" spans="1:17" x14ac:dyDescent="0.2">
      <c r="A16" t="s">
        <v>1116</v>
      </c>
      <c r="E16" s="80"/>
      <c r="F16" s="91" t="s">
        <v>1294</v>
      </c>
      <c r="G16" s="80"/>
      <c r="H16" s="80"/>
      <c r="I16" s="80"/>
      <c r="J16" s="80"/>
      <c r="K16" s="80"/>
      <c r="L16" s="80"/>
      <c r="M16" s="80"/>
      <c r="N16" s="80"/>
      <c r="O16" s="80"/>
      <c r="P16" s="80"/>
    </row>
    <row r="17" spans="1:16" x14ac:dyDescent="0.2">
      <c r="E17" s="80"/>
      <c r="F17" s="47">
        <v>10940</v>
      </c>
      <c r="G17" s="15">
        <v>568</v>
      </c>
      <c r="H17" s="15">
        <v>66.2</v>
      </c>
      <c r="I17" s="15">
        <v>575</v>
      </c>
      <c r="J17" s="15">
        <v>67.099999999999994</v>
      </c>
      <c r="K17" s="15">
        <v>546</v>
      </c>
      <c r="L17" s="15">
        <v>61.7</v>
      </c>
      <c r="M17" s="15">
        <v>603</v>
      </c>
      <c r="N17" s="15">
        <v>62.2</v>
      </c>
      <c r="O17" s="15">
        <v>2292</v>
      </c>
      <c r="P17" s="15">
        <v>64.3</v>
      </c>
    </row>
    <row r="18" spans="1:16" x14ac:dyDescent="0.2">
      <c r="A18" s="83" t="s">
        <v>1119</v>
      </c>
      <c r="B18" s="80"/>
      <c r="E18" s="80"/>
      <c r="F18" s="47">
        <v>10950</v>
      </c>
      <c r="G18" s="15">
        <v>1527</v>
      </c>
      <c r="H18" s="15">
        <v>151.69999999999999</v>
      </c>
      <c r="I18" s="15">
        <v>1693</v>
      </c>
      <c r="J18" s="15">
        <v>152.30000000000001</v>
      </c>
      <c r="K18" s="15">
        <v>1683</v>
      </c>
      <c r="L18" s="15">
        <v>135.6</v>
      </c>
      <c r="M18" s="15">
        <v>1869</v>
      </c>
      <c r="N18" s="15">
        <v>142.6</v>
      </c>
      <c r="O18" s="15">
        <v>6772</v>
      </c>
      <c r="P18" s="15">
        <v>145.6</v>
      </c>
    </row>
    <row r="19" spans="1:16" x14ac:dyDescent="0.2">
      <c r="A19" t="s">
        <v>1121</v>
      </c>
      <c r="B19" t="s">
        <v>1287</v>
      </c>
      <c r="E19" s="80"/>
      <c r="F19" s="47">
        <v>12550</v>
      </c>
      <c r="G19" s="15">
        <v>666</v>
      </c>
      <c r="H19" s="15">
        <v>59.3</v>
      </c>
      <c r="I19" s="15">
        <v>667</v>
      </c>
      <c r="J19" s="15">
        <v>58.6</v>
      </c>
      <c r="K19" s="15">
        <v>677</v>
      </c>
      <c r="L19" s="15">
        <v>58.2</v>
      </c>
      <c r="M19" s="15">
        <v>688</v>
      </c>
      <c r="N19" s="15">
        <v>58.6</v>
      </c>
      <c r="O19" s="15">
        <v>2698</v>
      </c>
      <c r="P19" s="15">
        <v>58.7</v>
      </c>
    </row>
    <row r="20" spans="1:16" x14ac:dyDescent="0.2">
      <c r="E20" s="80"/>
      <c r="F20" s="47">
        <v>12771</v>
      </c>
      <c r="G20" s="15">
        <v>156</v>
      </c>
      <c r="H20" s="15">
        <v>63.5</v>
      </c>
      <c r="I20" s="15">
        <v>144</v>
      </c>
      <c r="J20" s="15">
        <v>53.5</v>
      </c>
      <c r="K20" s="15">
        <v>154</v>
      </c>
      <c r="L20" s="15">
        <v>53.5</v>
      </c>
      <c r="M20" s="15">
        <v>134</v>
      </c>
      <c r="N20" s="15">
        <v>46.3</v>
      </c>
      <c r="O20" s="15">
        <v>588</v>
      </c>
      <c r="P20" s="15">
        <v>54.2</v>
      </c>
    </row>
    <row r="21" spans="1:16" x14ac:dyDescent="0.2">
      <c r="A21" s="81" t="s">
        <v>1125</v>
      </c>
      <c r="B21" s="80"/>
      <c r="E21" s="80"/>
    </row>
    <row r="22" spans="1:16" x14ac:dyDescent="0.2">
      <c r="A22" t="s">
        <v>1135</v>
      </c>
      <c r="B22" t="s">
        <v>1862</v>
      </c>
      <c r="E22" s="80"/>
    </row>
    <row r="23" spans="1:16" x14ac:dyDescent="0.2">
      <c r="E23" s="80"/>
      <c r="F23" s="15"/>
      <c r="G23" s="15"/>
      <c r="H23" s="15"/>
    </row>
    <row r="24" spans="1:16" x14ac:dyDescent="0.2">
      <c r="E24" s="80"/>
    </row>
    <row r="25" spans="1:16" x14ac:dyDescent="0.2">
      <c r="E25" s="80"/>
      <c r="F25" s="15"/>
      <c r="G25" s="15"/>
      <c r="H25" s="15"/>
      <c r="K25" t="s">
        <v>1226</v>
      </c>
    </row>
    <row r="26" spans="1:16" x14ac:dyDescent="0.2">
      <c r="E26" s="80"/>
      <c r="F26" s="15"/>
      <c r="G26" s="15"/>
      <c r="H26" s="15"/>
    </row>
    <row r="27" spans="1:16" x14ac:dyDescent="0.2">
      <c r="A27" s="81"/>
      <c r="B27" s="80"/>
      <c r="E27" s="80"/>
      <c r="F27" s="15"/>
      <c r="G27" s="15"/>
      <c r="H27" s="15"/>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8:P8"/>
    <mergeCell ref="E5:E57"/>
    <mergeCell ref="F12:P12"/>
    <mergeCell ref="O5:P5"/>
    <mergeCell ref="A9:B9"/>
    <mergeCell ref="F16:P16"/>
    <mergeCell ref="A5:B5"/>
    <mergeCell ref="G5:H5"/>
    <mergeCell ref="K5:L5"/>
    <mergeCell ref="I5:J5"/>
    <mergeCell ref="M5:N5"/>
    <mergeCell ref="A18:B18"/>
    <mergeCell ref="A27:B27"/>
  </mergeCells>
  <dataValidations count="3">
    <dataValidation type="list" allowBlank="1" showInputMessage="1" showErrorMessage="1" sqref="B10" xr:uid="{00000000-0002-0000-8B00-000000000000}">
      <formula1>"Line,Clustered Bar,Stacked Bar,Bar,Horizontal Stacked Bar"</formula1>
    </dataValidation>
    <dataValidation type="list" allowBlank="1" showInputMessage="1" showErrorMessage="1" sqref="B2" xr:uid="{00000000-0002-0000-8B00-000001000000}">
      <formula1>"Table,Figure,Both"</formula1>
    </dataValidation>
    <dataValidation type="list" allowBlank="1" showInputMessage="1" showErrorMessage="1" sqref="B6 B15:B16" xr:uid="{00000000-0002-0000-8B00-000002000000}">
      <formula1>"True,False"</formula1>
    </dataValidation>
  </dataValidation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448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tbl-fertility</v>
      </c>
    </row>
    <row r="4" spans="1:17" x14ac:dyDescent="0.2">
      <c r="A4" s="16" t="s">
        <v>7</v>
      </c>
      <c r="B4" t="str">
        <f>IF($B$1="","",_xlfn.XLOOKUP($B$1,Master!$F$2:$F$321,Master!$H$2:$H$321,""))</f>
        <v>fig-fertility</v>
      </c>
      <c r="E4" s="8"/>
      <c r="F4" s="10" t="s">
        <v>968</v>
      </c>
      <c r="G4" s="10" t="s">
        <v>968</v>
      </c>
      <c r="H4" s="10" t="s">
        <v>968</v>
      </c>
      <c r="I4" s="10" t="s">
        <v>968</v>
      </c>
      <c r="J4" s="10" t="s">
        <v>968</v>
      </c>
      <c r="K4" s="10" t="s">
        <v>968</v>
      </c>
      <c r="L4" s="10" t="s">
        <v>968</v>
      </c>
      <c r="M4" s="10" t="s">
        <v>968</v>
      </c>
      <c r="N4" s="10" t="s">
        <v>968</v>
      </c>
      <c r="O4" s="10" t="s">
        <v>968</v>
      </c>
      <c r="P4" s="10" t="s">
        <v>968</v>
      </c>
      <c r="Q4" s="10" t="s">
        <v>968</v>
      </c>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1096</v>
      </c>
      <c r="G6" s="15">
        <v>4787</v>
      </c>
      <c r="H6" s="15">
        <v>5109</v>
      </c>
      <c r="I6" s="15">
        <v>4948</v>
      </c>
      <c r="J6" s="15">
        <v>5235</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995</v>
      </c>
      <c r="E14" s="80"/>
    </row>
    <row r="15" spans="1:17" x14ac:dyDescent="0.2">
      <c r="A15" t="s">
        <v>1114</v>
      </c>
      <c r="B15" t="b">
        <v>0</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1862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C00-000000000000}">
      <formula1>"Line,Clustered Bar,Stacked Bar,Bar,Horizontal Stacked Bar"</formula1>
    </dataValidation>
    <dataValidation type="list" allowBlank="1" showInputMessage="1" showErrorMessage="1" sqref="B2" xr:uid="{00000000-0002-0000-8C00-000001000000}">
      <formula1>"Table,Figure,Both"</formula1>
    </dataValidation>
    <dataValidation type="list" allowBlank="1" showInputMessage="1" showErrorMessage="1" sqref="B6 B15:B16" xr:uid="{00000000-0002-0000-8C00-000002000000}">
      <formula1>"True,False"</formula1>
    </dataValidation>
  </dataValidation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451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tbl-fertility-rande</v>
      </c>
    </row>
    <row r="4" spans="1:17" x14ac:dyDescent="0.2">
      <c r="A4" s="16" t="s">
        <v>7</v>
      </c>
      <c r="B4" t="str">
        <f>IF($B$1="","",_xlfn.XLOOKUP($B$1,Master!$F$2:$F$321,Master!$H$2:$H$321,""))</f>
        <v>fig-fertility-rande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1289</v>
      </c>
      <c r="G5">
        <v>2020</v>
      </c>
      <c r="H5">
        <v>2021</v>
      </c>
      <c r="I5">
        <v>2022</v>
      </c>
      <c r="J5">
        <v>2023</v>
      </c>
    </row>
    <row r="6" spans="1:17" ht="15" customHeight="1" x14ac:dyDescent="0.2">
      <c r="A6" t="s">
        <v>1088</v>
      </c>
      <c r="B6" t="b">
        <v>0</v>
      </c>
      <c r="E6" s="80"/>
      <c r="F6" t="s">
        <v>1290</v>
      </c>
      <c r="G6" s="15">
        <v>74.5</v>
      </c>
      <c r="H6" s="15">
        <v>74.3</v>
      </c>
      <c r="I6" s="15">
        <v>71.900000000000006</v>
      </c>
      <c r="J6" s="15">
        <v>77.5</v>
      </c>
      <c r="K6" s="15"/>
      <c r="L6" s="15"/>
      <c r="M6" s="15"/>
      <c r="N6" s="15"/>
      <c r="O6" s="15"/>
    </row>
    <row r="7" spans="1:17" ht="15.75" customHeight="1" x14ac:dyDescent="0.2">
      <c r="E7" s="80"/>
      <c r="F7" t="s">
        <v>1235</v>
      </c>
      <c r="G7" s="15">
        <v>62.6</v>
      </c>
      <c r="H7" s="15">
        <v>60.3</v>
      </c>
      <c r="I7" s="15">
        <v>58.6</v>
      </c>
      <c r="J7" s="15">
        <v>53.8</v>
      </c>
      <c r="K7" s="15"/>
      <c r="L7" s="15"/>
      <c r="M7" s="15"/>
      <c r="N7" s="15"/>
      <c r="O7" s="15"/>
    </row>
    <row r="8" spans="1:17" x14ac:dyDescent="0.2">
      <c r="E8" s="80"/>
      <c r="F8" t="s">
        <v>1293</v>
      </c>
      <c r="G8" s="15">
        <v>67.7</v>
      </c>
      <c r="H8" s="15">
        <v>69.2</v>
      </c>
      <c r="I8" s="15">
        <v>65.5</v>
      </c>
      <c r="J8" s="15">
        <v>69.5</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995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1862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D00-000000000000}">
      <formula1>"Line,Clustered Bar,Stacked Bar,Bar,Horizontal Stacked Bar"</formula1>
    </dataValidation>
    <dataValidation type="list" allowBlank="1" showInputMessage="1" showErrorMessage="1" sqref="B2" xr:uid="{00000000-0002-0000-8D00-000001000000}">
      <formula1>"Table,Figure,Both"</formula1>
    </dataValidation>
    <dataValidation type="list" allowBlank="1" showInputMessage="1" showErrorMessage="1" sqref="B6 B15:B16" xr:uid="{00000000-0002-0000-8D00-000002000000}">
      <formula1>"True,False"</formula1>
    </dataValidation>
  </dataValidation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454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tbl-fertility-sex</v>
      </c>
    </row>
    <row r="4" spans="1:17" x14ac:dyDescent="0.2">
      <c r="A4" s="16" t="s">
        <v>7</v>
      </c>
      <c r="B4" t="str">
        <f>IF($B$1="","",_xlfn.XLOOKUP($B$1,Master!$F$2:$F$321,Master!$H$2:$H$321,""))</f>
        <v>fig-fertility-sex</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1715</v>
      </c>
      <c r="G5">
        <v>2020</v>
      </c>
      <c r="H5">
        <v>2021</v>
      </c>
      <c r="I5">
        <v>2022</v>
      </c>
      <c r="J5">
        <v>2023</v>
      </c>
    </row>
    <row r="6" spans="1:17" ht="15" customHeight="1" x14ac:dyDescent="0.2">
      <c r="A6" t="s">
        <v>1088</v>
      </c>
      <c r="B6" t="b">
        <v>0</v>
      </c>
      <c r="E6" s="80"/>
      <c r="F6">
        <v>10940</v>
      </c>
      <c r="G6" s="15">
        <v>66.2</v>
      </c>
      <c r="H6" s="15">
        <v>67.099999999999994</v>
      </c>
      <c r="I6" s="15">
        <v>61.7</v>
      </c>
      <c r="J6" s="15">
        <v>62.2</v>
      </c>
      <c r="K6" s="15"/>
      <c r="L6" s="15"/>
      <c r="M6" s="15"/>
      <c r="N6" s="15"/>
      <c r="O6" s="15"/>
    </row>
    <row r="7" spans="1:17" ht="15.75" customHeight="1" x14ac:dyDescent="0.2">
      <c r="E7" s="80"/>
      <c r="F7">
        <v>10950</v>
      </c>
      <c r="G7" s="15">
        <v>151.69999999999999</v>
      </c>
      <c r="H7" s="15">
        <v>152.30000000000001</v>
      </c>
      <c r="I7" s="15">
        <v>135.6</v>
      </c>
      <c r="J7" s="15">
        <v>142.6</v>
      </c>
      <c r="K7" s="15"/>
      <c r="L7" s="15"/>
      <c r="M7" s="15"/>
      <c r="N7" s="15"/>
      <c r="O7" s="15"/>
    </row>
    <row r="8" spans="1:17" x14ac:dyDescent="0.2">
      <c r="E8" s="80"/>
      <c r="F8">
        <v>12550</v>
      </c>
      <c r="G8" s="15">
        <v>59.3</v>
      </c>
      <c r="H8" s="15">
        <v>58.6</v>
      </c>
      <c r="I8" s="15">
        <v>58.2</v>
      </c>
      <c r="J8" s="15">
        <v>58.6</v>
      </c>
      <c r="K8" s="15"/>
      <c r="L8" s="15"/>
      <c r="M8" s="15"/>
      <c r="N8" s="15"/>
      <c r="O8" s="15"/>
    </row>
    <row r="9" spans="1:17" x14ac:dyDescent="0.2">
      <c r="A9" s="83" t="s">
        <v>1098</v>
      </c>
      <c r="B9" s="80"/>
      <c r="E9" s="80"/>
      <c r="F9">
        <v>12771</v>
      </c>
      <c r="G9" s="15">
        <v>63.5</v>
      </c>
      <c r="H9" s="15">
        <v>53.5</v>
      </c>
      <c r="I9" s="15">
        <v>53.5</v>
      </c>
      <c r="J9" s="15">
        <v>46.3</v>
      </c>
      <c r="K9" s="15"/>
      <c r="L9" s="15"/>
      <c r="M9" s="15"/>
      <c r="N9" s="15"/>
      <c r="O9" s="15"/>
    </row>
    <row r="10" spans="1:17" x14ac:dyDescent="0.2">
      <c r="A10" t="s">
        <v>1100</v>
      </c>
      <c r="B10" t="s">
        <v>1300</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1715</v>
      </c>
      <c r="E13" s="80"/>
    </row>
    <row r="14" spans="1:17" x14ac:dyDescent="0.2">
      <c r="A14" t="s">
        <v>1112</v>
      </c>
      <c r="B14" t="s">
        <v>995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1863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8E00-000000000000}">
      <formula1>"Line,Clustered Bar,Stacked Bar,Bar,Horizontal Stacked Bar"</formula1>
    </dataValidation>
    <dataValidation type="list" allowBlank="1" showInputMessage="1" showErrorMessage="1" sqref="B2" xr:uid="{00000000-0002-0000-8E00-000001000000}">
      <formula1>"Table,Figure,Both"</formula1>
    </dataValidation>
    <dataValidation type="list" allowBlank="1" showInputMessage="1" showErrorMessage="1" sqref="B6 B15:B16" xr:uid="{00000000-0002-0000-8E00-000002000000}">
      <formula1>"True,False"</formula1>
    </dataValidation>
  </dataValidation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0.83203125" bestFit="1" customWidth="1"/>
    <col min="7" max="7" width="7.5" bestFit="1" customWidth="1"/>
    <col min="8" max="8" width="13.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5" width="12.5" bestFit="1" customWidth="1"/>
    <col min="16" max="16" width="13.5" bestFit="1" customWidth="1"/>
  </cols>
  <sheetData>
    <row r="1" spans="1:17" x14ac:dyDescent="0.2">
      <c r="A1" s="16" t="s">
        <v>1077</v>
      </c>
      <c r="B1" s="79" t="s">
        <v>457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tbl-allbirths-under17-age-rande-zip</v>
      </c>
    </row>
    <row r="4" spans="1:17" x14ac:dyDescent="0.2">
      <c r="A4" s="16" t="s">
        <v>7</v>
      </c>
      <c r="B4" t="str">
        <f>IF($B$1="","",_xlfn.XLOOKUP($B$1,Master!$F$2:$F$321,Master!$H$2:$H$321,""))</f>
        <v>fig-allbirths-under17-age-rande-zip</v>
      </c>
      <c r="E4" s="8"/>
      <c r="F4" s="10" t="s">
        <v>968</v>
      </c>
      <c r="G4" s="10" t="s">
        <v>968</v>
      </c>
      <c r="H4" s="10" t="s">
        <v>968</v>
      </c>
      <c r="I4" s="10" t="s">
        <v>968</v>
      </c>
      <c r="J4" s="10" t="s">
        <v>968</v>
      </c>
      <c r="K4" s="10" t="s">
        <v>968</v>
      </c>
      <c r="L4" s="10" t="s">
        <v>968</v>
      </c>
      <c r="M4" s="10" t="s">
        <v>968</v>
      </c>
      <c r="N4" s="10" t="s">
        <v>968</v>
      </c>
      <c r="O4" s="10" t="s">
        <v>968</v>
      </c>
      <c r="P4" s="10" t="s">
        <v>968</v>
      </c>
      <c r="Q4" s="10"/>
    </row>
    <row r="5" spans="1:17" x14ac:dyDescent="0.2">
      <c r="A5" s="83" t="s">
        <v>1081</v>
      </c>
      <c r="B5" s="80"/>
      <c r="E5" s="82" t="s">
        <v>1082</v>
      </c>
      <c r="G5" s="81">
        <v>2020</v>
      </c>
      <c r="H5" s="80"/>
      <c r="I5" s="81">
        <v>2021</v>
      </c>
      <c r="J5" s="80"/>
      <c r="K5" s="81">
        <v>2022</v>
      </c>
      <c r="L5" s="80"/>
      <c r="M5" s="81">
        <v>2023</v>
      </c>
      <c r="N5" s="80"/>
      <c r="O5" s="81" t="s">
        <v>1271</v>
      </c>
      <c r="P5" s="80"/>
    </row>
    <row r="6" spans="1:17" ht="15" customHeight="1" x14ac:dyDescent="0.2">
      <c r="A6" t="s">
        <v>1088</v>
      </c>
      <c r="B6" t="b">
        <v>1</v>
      </c>
      <c r="E6" s="80"/>
      <c r="G6" s="15" t="s">
        <v>1864</v>
      </c>
      <c r="H6" s="15" t="s">
        <v>1865</v>
      </c>
      <c r="I6" s="15" t="s">
        <v>1864</v>
      </c>
      <c r="J6" s="15" t="s">
        <v>1865</v>
      </c>
      <c r="K6" s="15" t="s">
        <v>1864</v>
      </c>
      <c r="L6" s="15" t="s">
        <v>1865</v>
      </c>
      <c r="M6" s="15" t="s">
        <v>1864</v>
      </c>
      <c r="N6" s="15" t="s">
        <v>1865</v>
      </c>
      <c r="O6" s="15" t="s">
        <v>1864</v>
      </c>
      <c r="P6" s="15" t="s">
        <v>1866</v>
      </c>
    </row>
    <row r="7" spans="1:17" ht="15.75" customHeight="1" x14ac:dyDescent="0.2">
      <c r="E7" s="80"/>
      <c r="F7" t="s">
        <v>1867</v>
      </c>
      <c r="G7" s="15">
        <v>4808</v>
      </c>
      <c r="H7" s="15">
        <v>100</v>
      </c>
      <c r="I7" s="15">
        <v>5125</v>
      </c>
      <c r="J7" s="15">
        <v>100</v>
      </c>
      <c r="K7" s="15">
        <v>4965</v>
      </c>
      <c r="L7" s="15">
        <v>100</v>
      </c>
      <c r="M7" s="15">
        <v>5253</v>
      </c>
      <c r="N7" s="15">
        <v>100</v>
      </c>
      <c r="O7" s="15">
        <v>20151</v>
      </c>
      <c r="P7" s="15">
        <v>100</v>
      </c>
    </row>
    <row r="8" spans="1:17" x14ac:dyDescent="0.2">
      <c r="E8" s="80"/>
      <c r="F8" t="s">
        <v>1868</v>
      </c>
      <c r="G8" s="15">
        <v>22</v>
      </c>
      <c r="H8" s="15">
        <v>0.5</v>
      </c>
      <c r="I8" s="15">
        <v>30</v>
      </c>
      <c r="J8" s="15">
        <v>0.6</v>
      </c>
      <c r="K8" s="15">
        <v>24</v>
      </c>
      <c r="L8" s="15">
        <v>0.5</v>
      </c>
      <c r="M8" s="15">
        <v>38</v>
      </c>
      <c r="N8" s="15">
        <v>0.7</v>
      </c>
      <c r="O8" s="15">
        <v>114</v>
      </c>
      <c r="P8" s="15">
        <v>0.6</v>
      </c>
    </row>
    <row r="9" spans="1:17" x14ac:dyDescent="0.2">
      <c r="A9" s="83" t="s">
        <v>1098</v>
      </c>
      <c r="B9" s="80"/>
      <c r="E9" s="80"/>
      <c r="F9" s="91" t="s">
        <v>1276</v>
      </c>
      <c r="G9" s="80"/>
      <c r="H9" s="80"/>
      <c r="I9" s="80"/>
      <c r="J9" s="80"/>
      <c r="K9" s="80"/>
      <c r="L9" s="80"/>
      <c r="M9" s="80"/>
      <c r="N9" s="80"/>
      <c r="O9" s="80"/>
      <c r="P9" s="80"/>
    </row>
    <row r="10" spans="1:17" x14ac:dyDescent="0.2">
      <c r="A10" t="s">
        <v>1100</v>
      </c>
      <c r="E10" s="80"/>
      <c r="F10" s="49" t="s">
        <v>1869</v>
      </c>
      <c r="G10" s="15" t="s">
        <v>1031</v>
      </c>
      <c r="H10" s="15" t="s">
        <v>1031</v>
      </c>
      <c r="I10" s="15">
        <v>0</v>
      </c>
      <c r="J10" s="17">
        <v>0</v>
      </c>
      <c r="K10" s="17" t="s">
        <v>1031</v>
      </c>
      <c r="L10" s="17" t="s">
        <v>1031</v>
      </c>
      <c r="M10" s="17" t="s">
        <v>1031</v>
      </c>
      <c r="N10" s="17" t="s">
        <v>1031</v>
      </c>
      <c r="O10" s="15" t="s">
        <v>1031</v>
      </c>
      <c r="P10" s="15" t="s">
        <v>1031</v>
      </c>
    </row>
    <row r="11" spans="1:17" x14ac:dyDescent="0.2">
      <c r="A11" t="s">
        <v>1102</v>
      </c>
      <c r="E11" s="80"/>
      <c r="F11" s="48" t="s">
        <v>1870</v>
      </c>
      <c r="G11" s="17">
        <v>21</v>
      </c>
      <c r="H11" s="17">
        <v>0.4</v>
      </c>
      <c r="I11" s="15">
        <v>30</v>
      </c>
      <c r="J11" s="15">
        <v>0.6</v>
      </c>
      <c r="K11" s="15">
        <v>21</v>
      </c>
      <c r="L11" s="15">
        <v>0.4</v>
      </c>
      <c r="M11" s="15">
        <v>35</v>
      </c>
      <c r="N11" s="15">
        <v>0.7</v>
      </c>
      <c r="O11" s="15">
        <v>107</v>
      </c>
      <c r="P11" s="15">
        <v>0.5</v>
      </c>
    </row>
    <row r="12" spans="1:17" x14ac:dyDescent="0.2">
      <c r="A12" t="s">
        <v>1104</v>
      </c>
      <c r="E12" s="80"/>
      <c r="F12" s="47" t="s">
        <v>1871</v>
      </c>
      <c r="G12" s="15">
        <v>4786</v>
      </c>
      <c r="H12" s="15">
        <v>99.5</v>
      </c>
      <c r="I12" s="15">
        <v>5095</v>
      </c>
      <c r="J12" s="15">
        <v>99.4</v>
      </c>
      <c r="K12" s="15">
        <v>4941</v>
      </c>
      <c r="L12" s="15">
        <v>99.5</v>
      </c>
      <c r="M12" s="15">
        <v>5215</v>
      </c>
      <c r="N12" s="15">
        <v>99.3</v>
      </c>
      <c r="O12" s="15">
        <v>20037</v>
      </c>
      <c r="P12" s="15">
        <v>99.4</v>
      </c>
    </row>
    <row r="13" spans="1:17" x14ac:dyDescent="0.2">
      <c r="A13" t="s">
        <v>1108</v>
      </c>
      <c r="E13" s="80"/>
      <c r="F13" s="91" t="s">
        <v>1289</v>
      </c>
      <c r="G13" s="80"/>
      <c r="H13" s="80"/>
      <c r="I13" s="80"/>
      <c r="J13" s="80"/>
      <c r="K13" s="80"/>
      <c r="L13" s="80"/>
      <c r="M13" s="80"/>
      <c r="N13" s="80"/>
      <c r="O13" s="80"/>
      <c r="P13" s="80"/>
    </row>
    <row r="14" spans="1:17" x14ac:dyDescent="0.2">
      <c r="A14" t="s">
        <v>1112</v>
      </c>
      <c r="E14" s="80"/>
      <c r="F14" s="47" t="s">
        <v>1290</v>
      </c>
      <c r="G14" s="15" t="s">
        <v>1031</v>
      </c>
      <c r="H14" s="15" t="s">
        <v>1031</v>
      </c>
      <c r="I14" s="15" t="s">
        <v>1031</v>
      </c>
      <c r="J14" s="15" t="s">
        <v>1031</v>
      </c>
      <c r="K14" s="15" t="s">
        <v>1031</v>
      </c>
      <c r="L14" s="15" t="s">
        <v>1031</v>
      </c>
      <c r="M14" s="15" t="s">
        <v>1031</v>
      </c>
      <c r="N14" s="15" t="s">
        <v>1031</v>
      </c>
      <c r="O14" s="15">
        <v>16</v>
      </c>
      <c r="P14" s="15">
        <v>0.1</v>
      </c>
    </row>
    <row r="15" spans="1:17" x14ac:dyDescent="0.2">
      <c r="A15" t="s">
        <v>1114</v>
      </c>
      <c r="E15" s="80"/>
      <c r="F15" s="47" t="s">
        <v>1235</v>
      </c>
      <c r="G15" s="15" t="s">
        <v>1031</v>
      </c>
      <c r="H15" s="15" t="s">
        <v>1031</v>
      </c>
      <c r="I15" s="15" t="s">
        <v>1031</v>
      </c>
      <c r="J15" s="15" t="s">
        <v>1031</v>
      </c>
      <c r="K15" s="15" t="s">
        <v>1031</v>
      </c>
      <c r="L15" s="15" t="s">
        <v>1031</v>
      </c>
      <c r="M15" s="15" t="s">
        <v>1031</v>
      </c>
      <c r="N15" s="15" t="s">
        <v>1031</v>
      </c>
      <c r="O15" s="15">
        <v>18</v>
      </c>
      <c r="P15" s="15">
        <v>1.2</v>
      </c>
    </row>
    <row r="16" spans="1:17" x14ac:dyDescent="0.2">
      <c r="A16" t="s">
        <v>1116</v>
      </c>
      <c r="E16" s="80"/>
      <c r="F16" s="47" t="s">
        <v>1293</v>
      </c>
      <c r="G16" s="15">
        <v>14</v>
      </c>
      <c r="H16" s="15">
        <v>1.2</v>
      </c>
      <c r="I16" s="15">
        <v>19</v>
      </c>
      <c r="J16" s="15">
        <v>1.5</v>
      </c>
      <c r="K16" s="15">
        <v>15</v>
      </c>
      <c r="L16" s="15">
        <v>1.2</v>
      </c>
      <c r="M16" s="15">
        <v>26</v>
      </c>
      <c r="N16" s="15">
        <v>1.8</v>
      </c>
      <c r="O16" s="15">
        <v>74</v>
      </c>
      <c r="P16" s="15">
        <v>1.4</v>
      </c>
    </row>
    <row r="17" spans="1:16" x14ac:dyDescent="0.2">
      <c r="E17" s="80"/>
      <c r="F17" s="47" t="s">
        <v>1015</v>
      </c>
      <c r="G17" s="15" t="s">
        <v>1031</v>
      </c>
      <c r="H17" s="15" t="s">
        <v>1031</v>
      </c>
      <c r="I17" s="15" t="s">
        <v>1031</v>
      </c>
      <c r="J17" s="15" t="s">
        <v>1031</v>
      </c>
      <c r="K17" s="15" t="s">
        <v>1031</v>
      </c>
      <c r="L17" s="15" t="s">
        <v>1031</v>
      </c>
      <c r="M17" s="15" t="s">
        <v>1031</v>
      </c>
      <c r="N17" s="15" t="s">
        <v>1031</v>
      </c>
      <c r="O17" s="15" t="s">
        <v>1031</v>
      </c>
      <c r="P17" s="15" t="s">
        <v>1031</v>
      </c>
    </row>
    <row r="18" spans="1:16" x14ac:dyDescent="0.2">
      <c r="A18" s="83" t="s">
        <v>1119</v>
      </c>
      <c r="B18" s="80"/>
      <c r="E18" s="80"/>
      <c r="F18" s="91" t="s">
        <v>1294</v>
      </c>
      <c r="G18" s="80"/>
      <c r="H18" s="80"/>
      <c r="I18" s="80"/>
      <c r="J18" s="80"/>
      <c r="K18" s="80"/>
      <c r="L18" s="80"/>
      <c r="M18" s="80"/>
      <c r="N18" s="80"/>
      <c r="O18" s="80"/>
      <c r="P18" s="80"/>
    </row>
    <row r="19" spans="1:16" x14ac:dyDescent="0.2">
      <c r="A19" t="s">
        <v>1121</v>
      </c>
      <c r="B19" t="s">
        <v>1872</v>
      </c>
      <c r="E19" s="80"/>
      <c r="F19" s="47">
        <v>10940</v>
      </c>
      <c r="G19" s="15" t="s">
        <v>1031</v>
      </c>
      <c r="H19" s="15" t="s">
        <v>1031</v>
      </c>
      <c r="I19" s="15" t="s">
        <v>1031</v>
      </c>
      <c r="J19" s="15" t="s">
        <v>1031</v>
      </c>
      <c r="K19" s="15" t="s">
        <v>1031</v>
      </c>
      <c r="L19" s="15" t="s">
        <v>1031</v>
      </c>
      <c r="M19" s="15" t="s">
        <v>1031</v>
      </c>
      <c r="N19" s="15" t="s">
        <v>1031</v>
      </c>
      <c r="O19" s="15">
        <v>25</v>
      </c>
      <c r="P19" s="15">
        <v>1.1000000000000001</v>
      </c>
    </row>
    <row r="20" spans="1:16" x14ac:dyDescent="0.2">
      <c r="E20" s="80"/>
      <c r="F20" s="47" t="s">
        <v>1873</v>
      </c>
      <c r="G20" s="15" t="s">
        <v>1031</v>
      </c>
      <c r="H20" s="15" t="s">
        <v>1031</v>
      </c>
      <c r="I20" s="15" t="s">
        <v>1031</v>
      </c>
      <c r="J20" s="15" t="s">
        <v>1031</v>
      </c>
      <c r="K20" s="15" t="s">
        <v>1031</v>
      </c>
      <c r="L20" s="15" t="s">
        <v>1031</v>
      </c>
      <c r="M20" s="15" t="s">
        <v>1031</v>
      </c>
      <c r="N20" s="15" t="s">
        <v>1031</v>
      </c>
      <c r="O20" s="15">
        <v>15</v>
      </c>
      <c r="P20" s="15">
        <v>0.2</v>
      </c>
    </row>
    <row r="21" spans="1:16" x14ac:dyDescent="0.2">
      <c r="A21" s="81" t="s">
        <v>1125</v>
      </c>
      <c r="B21" s="80"/>
      <c r="E21" s="80"/>
      <c r="F21" s="47">
        <v>12550</v>
      </c>
      <c r="G21" s="15" t="s">
        <v>1031</v>
      </c>
      <c r="H21" s="15" t="s">
        <v>1031</v>
      </c>
      <c r="I21" s="15">
        <v>16</v>
      </c>
      <c r="J21" s="15">
        <v>2.4</v>
      </c>
      <c r="K21" s="15">
        <v>12</v>
      </c>
      <c r="L21" s="15">
        <v>1.8</v>
      </c>
      <c r="M21" s="15">
        <v>17</v>
      </c>
      <c r="N21" s="15">
        <v>2.5</v>
      </c>
      <c r="O21" s="15">
        <v>53</v>
      </c>
      <c r="P21" s="15">
        <v>2</v>
      </c>
    </row>
    <row r="22" spans="1:16" x14ac:dyDescent="0.2">
      <c r="A22" t="s">
        <v>1135</v>
      </c>
      <c r="B22" t="s">
        <v>1874</v>
      </c>
      <c r="E22" s="80"/>
      <c r="F22" s="47">
        <v>12771</v>
      </c>
      <c r="G22" s="15">
        <v>0</v>
      </c>
      <c r="H22" s="15">
        <v>0</v>
      </c>
      <c r="I22" s="15" t="s">
        <v>1031</v>
      </c>
      <c r="J22" s="15" t="s">
        <v>1031</v>
      </c>
      <c r="K22" s="15" t="s">
        <v>1031</v>
      </c>
      <c r="L22" s="15" t="s">
        <v>1031</v>
      </c>
      <c r="M22" s="15" t="s">
        <v>1031</v>
      </c>
      <c r="N22" s="15" t="s">
        <v>1031</v>
      </c>
      <c r="O22" s="15" t="s">
        <v>1031</v>
      </c>
      <c r="P22" s="15" t="s">
        <v>1031</v>
      </c>
    </row>
    <row r="23" spans="1:16" x14ac:dyDescent="0.2">
      <c r="E23" s="80"/>
    </row>
    <row r="24" spans="1:16" x14ac:dyDescent="0.2">
      <c r="E24" s="80"/>
    </row>
    <row r="25" spans="1:16" x14ac:dyDescent="0.2">
      <c r="E25" s="80"/>
      <c r="F25" s="15"/>
      <c r="G25" s="15"/>
      <c r="H25" s="15"/>
      <c r="K25" t="s">
        <v>1226</v>
      </c>
    </row>
    <row r="26" spans="1:16" x14ac:dyDescent="0.2">
      <c r="E26" s="80"/>
      <c r="F26" s="15"/>
      <c r="G26" s="15"/>
      <c r="H26" s="15"/>
    </row>
    <row r="27" spans="1:16" x14ac:dyDescent="0.2">
      <c r="A27" s="81"/>
      <c r="B27" s="80"/>
      <c r="E27" s="80"/>
      <c r="F27" s="15"/>
      <c r="G27" s="15"/>
      <c r="H27" s="15"/>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9:P9"/>
    <mergeCell ref="E5:E57"/>
    <mergeCell ref="O5:P5"/>
    <mergeCell ref="A9:B9"/>
    <mergeCell ref="A5:B5"/>
    <mergeCell ref="G5:H5"/>
    <mergeCell ref="K5:L5"/>
    <mergeCell ref="I5:J5"/>
    <mergeCell ref="M5:N5"/>
    <mergeCell ref="A18:B18"/>
    <mergeCell ref="A27:B27"/>
    <mergeCell ref="F18:P18"/>
    <mergeCell ref="F13:P13"/>
  </mergeCells>
  <dataValidations count="3">
    <dataValidation type="list" allowBlank="1" showInputMessage="1" showErrorMessage="1" sqref="B10" xr:uid="{00000000-0002-0000-8F00-000000000000}">
      <formula1>"Line,Clustered Bar,Stacked Bar,Bar,Horizontal Stacked Bar"</formula1>
    </dataValidation>
    <dataValidation type="list" allowBlank="1" showInputMessage="1" showErrorMessage="1" sqref="B2" xr:uid="{00000000-0002-0000-8F00-000001000000}">
      <formula1>"Table,Figure,Both"</formula1>
    </dataValidation>
    <dataValidation type="list" allowBlank="1" showInputMessage="1" showErrorMessage="1" sqref="B6 B15:B16" xr:uid="{00000000-0002-0000-8F00-000002000000}">
      <formula1>"True,False"</formula1>
    </dataValidation>
  </dataValidation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460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tbl-allbirths-medicaid-selfpay-age-rande-zip</v>
      </c>
    </row>
    <row r="4" spans="1:17" x14ac:dyDescent="0.2">
      <c r="A4" s="16" t="s">
        <v>7</v>
      </c>
      <c r="B4" t="str">
        <f>IF($B$1="","",_xlfn.XLOOKUP($B$1,Master!$F$2:$F$321,Master!$H$2:$H$321,""))</f>
        <v>fig-allbirths-medicaid-selfpay-age-rande-zip</v>
      </c>
      <c r="E4" s="8"/>
      <c r="F4" s="10" t="s">
        <v>968</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G5" s="81">
        <v>2020</v>
      </c>
      <c r="H5" s="80"/>
      <c r="I5" s="81">
        <v>2021</v>
      </c>
      <c r="J5" s="80"/>
      <c r="K5" s="81">
        <v>2022</v>
      </c>
      <c r="L5" s="80"/>
      <c r="M5" s="81">
        <v>2023</v>
      </c>
      <c r="N5" s="80"/>
      <c r="O5" s="81" t="s">
        <v>1271</v>
      </c>
      <c r="P5" s="80"/>
    </row>
    <row r="6" spans="1:17" ht="15" customHeight="1" x14ac:dyDescent="0.2">
      <c r="A6" t="s">
        <v>1088</v>
      </c>
      <c r="B6" t="b">
        <v>1</v>
      </c>
      <c r="E6" s="80"/>
      <c r="G6" s="15" t="s">
        <v>1864</v>
      </c>
      <c r="H6" s="15" t="s">
        <v>1865</v>
      </c>
      <c r="I6" s="15" t="s">
        <v>1864</v>
      </c>
      <c r="J6" s="15" t="s">
        <v>1865</v>
      </c>
      <c r="K6" s="15" t="s">
        <v>1864</v>
      </c>
      <c r="L6" s="15" t="s">
        <v>1865</v>
      </c>
      <c r="M6" s="15" t="s">
        <v>1864</v>
      </c>
      <c r="N6" s="15" t="s">
        <v>1865</v>
      </c>
      <c r="O6" s="15" t="s">
        <v>1864</v>
      </c>
      <c r="P6" s="15" t="s">
        <v>1866</v>
      </c>
    </row>
    <row r="7" spans="1:17" ht="15.75" customHeight="1" x14ac:dyDescent="0.2">
      <c r="E7" s="80"/>
      <c r="F7" t="s">
        <v>1875</v>
      </c>
      <c r="G7" s="15">
        <v>2649</v>
      </c>
      <c r="H7" s="15">
        <v>55.1</v>
      </c>
      <c r="I7" s="15">
        <v>2656</v>
      </c>
      <c r="J7" s="15">
        <v>51.8</v>
      </c>
      <c r="K7" s="15">
        <v>2768</v>
      </c>
      <c r="L7" s="15">
        <v>55.8</v>
      </c>
      <c r="M7" s="15">
        <v>3042</v>
      </c>
      <c r="N7" s="15">
        <v>57.9</v>
      </c>
      <c r="O7" s="15">
        <v>11115</v>
      </c>
      <c r="P7" s="15">
        <v>55.1</v>
      </c>
    </row>
    <row r="8" spans="1:17" x14ac:dyDescent="0.2">
      <c r="E8" s="80"/>
      <c r="F8" s="91" t="s">
        <v>1276</v>
      </c>
      <c r="G8" s="80"/>
      <c r="H8" s="80"/>
      <c r="I8" s="80"/>
      <c r="J8" s="80"/>
      <c r="K8" s="80"/>
      <c r="L8" s="80"/>
      <c r="M8" s="80"/>
      <c r="N8" s="80"/>
      <c r="O8" s="80"/>
      <c r="P8" s="80"/>
    </row>
    <row r="9" spans="1:17" x14ac:dyDescent="0.2">
      <c r="A9" s="83" t="s">
        <v>1098</v>
      </c>
      <c r="B9" s="80"/>
      <c r="E9" s="80"/>
      <c r="F9" s="49" t="s">
        <v>1869</v>
      </c>
      <c r="G9" s="15">
        <v>0</v>
      </c>
      <c r="H9" s="15">
        <v>0</v>
      </c>
      <c r="I9" s="15">
        <v>0</v>
      </c>
      <c r="J9" s="17">
        <v>0</v>
      </c>
      <c r="K9" s="17" t="s">
        <v>1031</v>
      </c>
      <c r="L9" s="17" t="s">
        <v>1031</v>
      </c>
      <c r="M9" s="17" t="s">
        <v>1031</v>
      </c>
      <c r="N9" s="17" t="s">
        <v>1031</v>
      </c>
      <c r="O9" s="15" t="s">
        <v>1031</v>
      </c>
      <c r="P9" s="15" t="s">
        <v>1031</v>
      </c>
    </row>
    <row r="10" spans="1:17" x14ac:dyDescent="0.2">
      <c r="A10" t="s">
        <v>1100</v>
      </c>
      <c r="E10" s="80"/>
      <c r="F10" s="55" t="s">
        <v>1870</v>
      </c>
      <c r="G10" s="17">
        <v>15</v>
      </c>
      <c r="H10" s="17">
        <v>71.400000000000006</v>
      </c>
      <c r="I10" s="15">
        <v>25</v>
      </c>
      <c r="J10" s="15">
        <v>83.3</v>
      </c>
      <c r="K10" s="15">
        <v>17</v>
      </c>
      <c r="L10" s="15">
        <v>81</v>
      </c>
      <c r="M10" s="15">
        <v>31</v>
      </c>
      <c r="N10" s="15">
        <v>88.6</v>
      </c>
      <c r="O10" s="15">
        <v>88</v>
      </c>
      <c r="P10" s="15">
        <v>81.099999999999994</v>
      </c>
    </row>
    <row r="11" spans="1:17" x14ac:dyDescent="0.2">
      <c r="A11" t="s">
        <v>1102</v>
      </c>
      <c r="E11" s="80"/>
      <c r="F11" s="49" t="s">
        <v>1876</v>
      </c>
      <c r="G11" s="15">
        <v>85</v>
      </c>
      <c r="H11" s="15">
        <v>81.7</v>
      </c>
      <c r="I11" s="15">
        <v>91</v>
      </c>
      <c r="J11" s="15">
        <v>82.7</v>
      </c>
      <c r="K11" s="15">
        <v>118</v>
      </c>
      <c r="L11" s="15">
        <v>84.3</v>
      </c>
      <c r="M11" s="15">
        <v>110</v>
      </c>
      <c r="N11" s="15">
        <v>84.6</v>
      </c>
      <c r="O11" s="15">
        <v>404</v>
      </c>
      <c r="P11" s="15">
        <v>83.3</v>
      </c>
    </row>
    <row r="12" spans="1:17" x14ac:dyDescent="0.2">
      <c r="A12" t="s">
        <v>1104</v>
      </c>
      <c r="E12" s="80"/>
      <c r="F12" s="49" t="s">
        <v>1701</v>
      </c>
      <c r="G12" s="15">
        <v>745</v>
      </c>
      <c r="H12" s="15">
        <v>77.900000000000006</v>
      </c>
      <c r="I12" s="15">
        <v>741</v>
      </c>
      <c r="J12" s="15">
        <v>74.8</v>
      </c>
      <c r="K12" s="15">
        <v>778</v>
      </c>
      <c r="L12" s="15">
        <v>78.400000000000006</v>
      </c>
      <c r="M12" s="15">
        <v>908</v>
      </c>
      <c r="N12" s="15">
        <v>82.7</v>
      </c>
      <c r="O12" s="15">
        <v>3172</v>
      </c>
      <c r="P12" s="15">
        <v>78.5</v>
      </c>
    </row>
    <row r="13" spans="1:17" x14ac:dyDescent="0.2">
      <c r="A13" t="s">
        <v>1108</v>
      </c>
      <c r="E13" s="80"/>
      <c r="F13" s="49" t="s">
        <v>1861</v>
      </c>
      <c r="G13" s="15">
        <v>1796</v>
      </c>
      <c r="H13" s="15">
        <v>48.5</v>
      </c>
      <c r="I13" s="15">
        <v>1794</v>
      </c>
      <c r="J13" s="15">
        <v>45.1</v>
      </c>
      <c r="K13" s="15">
        <v>1843</v>
      </c>
      <c r="L13" s="15">
        <v>48.6</v>
      </c>
      <c r="M13" s="15">
        <v>1985</v>
      </c>
      <c r="N13" s="15">
        <v>50</v>
      </c>
      <c r="O13" s="15">
        <v>7418</v>
      </c>
      <c r="P13" s="15">
        <v>48</v>
      </c>
    </row>
    <row r="14" spans="1:17" x14ac:dyDescent="0.2">
      <c r="A14" t="s">
        <v>1112</v>
      </c>
      <c r="E14" s="80"/>
      <c r="F14" s="49" t="s">
        <v>1877</v>
      </c>
      <c r="G14" s="15" t="s">
        <v>1031</v>
      </c>
      <c r="H14" s="15" t="s">
        <v>1031</v>
      </c>
      <c r="I14" s="15" t="s">
        <v>1031</v>
      </c>
      <c r="J14" s="15" t="s">
        <v>1031</v>
      </c>
      <c r="K14" s="15" t="s">
        <v>1031</v>
      </c>
      <c r="L14" s="15" t="s">
        <v>1031</v>
      </c>
      <c r="M14" s="15" t="s">
        <v>1031</v>
      </c>
      <c r="N14" s="15" t="s">
        <v>1031</v>
      </c>
      <c r="O14" s="15">
        <v>28</v>
      </c>
      <c r="P14" s="15">
        <v>43.9</v>
      </c>
    </row>
    <row r="15" spans="1:17" x14ac:dyDescent="0.2">
      <c r="A15" t="s">
        <v>1114</v>
      </c>
      <c r="E15" s="80"/>
      <c r="F15" s="93" t="s">
        <v>1289</v>
      </c>
      <c r="G15" s="80"/>
      <c r="H15" s="80"/>
      <c r="I15" s="80"/>
      <c r="J15" s="80"/>
      <c r="K15" s="80"/>
      <c r="L15" s="80"/>
      <c r="M15" s="80"/>
      <c r="N15" s="80"/>
      <c r="O15" s="80"/>
      <c r="P15" s="80"/>
    </row>
    <row r="16" spans="1:17" x14ac:dyDescent="0.2">
      <c r="A16" t="s">
        <v>1116</v>
      </c>
      <c r="E16" s="80"/>
      <c r="F16" s="49" t="s">
        <v>1290</v>
      </c>
      <c r="G16" s="15">
        <v>1607</v>
      </c>
      <c r="H16" s="15">
        <v>54</v>
      </c>
      <c r="I16" s="15">
        <v>1587</v>
      </c>
      <c r="J16" s="15">
        <v>51.7</v>
      </c>
      <c r="K16" s="15">
        <v>1638</v>
      </c>
      <c r="L16" s="15">
        <v>54</v>
      </c>
      <c r="M16" s="15">
        <v>1814</v>
      </c>
      <c r="N16" s="15">
        <v>55.9</v>
      </c>
      <c r="O16" s="15">
        <v>6646</v>
      </c>
      <c r="P16" s="15">
        <v>53.9</v>
      </c>
    </row>
    <row r="17" spans="1:16" x14ac:dyDescent="0.2">
      <c r="E17" s="80"/>
      <c r="F17" s="49" t="s">
        <v>1235</v>
      </c>
      <c r="G17" s="15">
        <v>208</v>
      </c>
      <c r="H17" s="15">
        <v>53.3</v>
      </c>
      <c r="I17" s="15">
        <v>206</v>
      </c>
      <c r="J17" s="15">
        <v>52</v>
      </c>
      <c r="K17" s="15">
        <v>198</v>
      </c>
      <c r="L17" s="15">
        <v>48.5</v>
      </c>
      <c r="M17" s="15">
        <v>179</v>
      </c>
      <c r="N17" s="15">
        <v>51.3</v>
      </c>
      <c r="O17" s="15">
        <v>791</v>
      </c>
      <c r="P17" s="15">
        <v>51.3</v>
      </c>
    </row>
    <row r="18" spans="1:16" x14ac:dyDescent="0.2">
      <c r="A18" s="83" t="s">
        <v>1119</v>
      </c>
      <c r="B18" s="80"/>
      <c r="E18" s="80"/>
      <c r="F18" s="49" t="s">
        <v>1293</v>
      </c>
      <c r="G18" s="15">
        <v>718</v>
      </c>
      <c r="H18" s="15">
        <v>59.7</v>
      </c>
      <c r="I18" s="15">
        <v>771</v>
      </c>
      <c r="J18" s="15">
        <v>59.4</v>
      </c>
      <c r="K18" s="15">
        <v>845</v>
      </c>
      <c r="L18" s="15">
        <v>65.099999999999994</v>
      </c>
      <c r="M18" s="15">
        <v>945</v>
      </c>
      <c r="N18" s="15">
        <v>65.7</v>
      </c>
      <c r="O18" s="15">
        <v>3279</v>
      </c>
      <c r="P18" s="15">
        <v>62.5</v>
      </c>
    </row>
    <row r="19" spans="1:16" x14ac:dyDescent="0.2">
      <c r="A19" t="s">
        <v>1121</v>
      </c>
      <c r="B19" t="s">
        <v>1287</v>
      </c>
      <c r="E19" s="80"/>
      <c r="F19" s="49" t="s">
        <v>1015</v>
      </c>
      <c r="G19" s="15">
        <v>116</v>
      </c>
      <c r="H19" s="15">
        <v>48.1</v>
      </c>
      <c r="I19" s="15">
        <v>92</v>
      </c>
      <c r="J19" s="15">
        <v>25.2</v>
      </c>
      <c r="K19" s="15">
        <v>87</v>
      </c>
      <c r="L19" s="15">
        <v>38.5</v>
      </c>
      <c r="M19" s="15">
        <v>104</v>
      </c>
      <c r="N19" s="15">
        <v>46.6</v>
      </c>
      <c r="O19" s="15">
        <v>399</v>
      </c>
      <c r="P19" s="15">
        <v>39.6</v>
      </c>
    </row>
    <row r="20" spans="1:16" x14ac:dyDescent="0.2">
      <c r="E20" s="80"/>
      <c r="F20" s="93" t="s">
        <v>1294</v>
      </c>
      <c r="G20" s="80"/>
      <c r="H20" s="80"/>
      <c r="I20" s="80"/>
      <c r="J20" s="80"/>
      <c r="K20" s="80"/>
      <c r="L20" s="80"/>
      <c r="M20" s="80"/>
      <c r="N20" s="80"/>
      <c r="O20" s="80"/>
      <c r="P20" s="80"/>
    </row>
    <row r="21" spans="1:16" x14ac:dyDescent="0.2">
      <c r="A21" s="81" t="s">
        <v>1125</v>
      </c>
      <c r="B21" s="80"/>
      <c r="E21" s="80"/>
      <c r="F21" s="49">
        <v>10940</v>
      </c>
      <c r="G21" s="15">
        <v>292</v>
      </c>
      <c r="H21" s="15">
        <v>50.9</v>
      </c>
      <c r="I21" s="15">
        <v>310</v>
      </c>
      <c r="J21" s="15">
        <v>53.8</v>
      </c>
      <c r="K21" s="15">
        <v>315</v>
      </c>
      <c r="L21" s="15">
        <v>57.5</v>
      </c>
      <c r="M21" s="15">
        <v>344</v>
      </c>
      <c r="N21" s="15">
        <v>57</v>
      </c>
      <c r="O21" s="15">
        <v>1261</v>
      </c>
      <c r="P21" s="15">
        <v>54.8</v>
      </c>
    </row>
    <row r="22" spans="1:16" x14ac:dyDescent="0.2">
      <c r="A22" t="s">
        <v>1135</v>
      </c>
      <c r="B22" t="s">
        <v>1878</v>
      </c>
      <c r="E22" s="80"/>
      <c r="F22" s="49" t="s">
        <v>1873</v>
      </c>
      <c r="G22" s="15">
        <v>1256</v>
      </c>
      <c r="H22" s="15">
        <v>81.8</v>
      </c>
      <c r="I22" s="15">
        <v>1263</v>
      </c>
      <c r="J22" s="15">
        <v>74.2</v>
      </c>
      <c r="K22" s="15">
        <v>1343</v>
      </c>
      <c r="L22" s="15">
        <v>79.3</v>
      </c>
      <c r="M22" s="15">
        <v>1554</v>
      </c>
      <c r="N22" s="15">
        <v>82.8</v>
      </c>
      <c r="O22" s="15">
        <v>5416</v>
      </c>
      <c r="P22" s="15">
        <v>79.5</v>
      </c>
    </row>
    <row r="23" spans="1:16" x14ac:dyDescent="0.2">
      <c r="E23" s="80"/>
      <c r="F23" s="49">
        <v>12550</v>
      </c>
      <c r="G23" s="15">
        <v>414</v>
      </c>
      <c r="H23" s="15">
        <v>61.9</v>
      </c>
      <c r="I23" s="15">
        <v>434</v>
      </c>
      <c r="J23" s="15">
        <v>65.099999999999994</v>
      </c>
      <c r="K23" s="15">
        <v>434</v>
      </c>
      <c r="L23" s="15">
        <v>63.9</v>
      </c>
      <c r="M23" s="15">
        <v>456</v>
      </c>
      <c r="N23" s="15">
        <v>66</v>
      </c>
      <c r="O23" s="15">
        <v>1738</v>
      </c>
      <c r="P23" s="15">
        <v>64.2</v>
      </c>
    </row>
    <row r="24" spans="1:16" x14ac:dyDescent="0.2">
      <c r="E24" s="80"/>
      <c r="F24" s="49">
        <v>12771</v>
      </c>
      <c r="G24" s="15">
        <v>90</v>
      </c>
      <c r="H24" s="15">
        <v>57.7</v>
      </c>
      <c r="I24" s="15">
        <v>65</v>
      </c>
      <c r="J24" s="15">
        <v>44.5</v>
      </c>
      <c r="K24" s="15">
        <v>82</v>
      </c>
      <c r="L24" s="15">
        <v>52.9</v>
      </c>
      <c r="M24" s="15">
        <v>66</v>
      </c>
      <c r="N24" s="15">
        <v>49.3</v>
      </c>
      <c r="O24" s="15">
        <v>303</v>
      </c>
      <c r="P24" s="15">
        <v>51.1</v>
      </c>
    </row>
    <row r="25" spans="1:16" x14ac:dyDescent="0.2">
      <c r="E25" s="80"/>
      <c r="F25" s="12"/>
    </row>
    <row r="26" spans="1:16" x14ac:dyDescent="0.2">
      <c r="E26" s="80"/>
    </row>
    <row r="27" spans="1:16" x14ac:dyDescent="0.2">
      <c r="A27" s="81"/>
      <c r="B27" s="80"/>
      <c r="E27" s="80"/>
      <c r="F27" s="15"/>
      <c r="G27" s="15"/>
      <c r="H27" s="15"/>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8:P8"/>
    <mergeCell ref="E5:E57"/>
    <mergeCell ref="O5:P5"/>
    <mergeCell ref="A9:B9"/>
    <mergeCell ref="F15:P15"/>
    <mergeCell ref="A5:B5"/>
    <mergeCell ref="G5:H5"/>
    <mergeCell ref="K5:L5"/>
    <mergeCell ref="I5:J5"/>
    <mergeCell ref="F20:P20"/>
    <mergeCell ref="M5:N5"/>
    <mergeCell ref="A18:B18"/>
    <mergeCell ref="A27:B27"/>
  </mergeCells>
  <dataValidations count="3">
    <dataValidation type="list" allowBlank="1" showInputMessage="1" showErrorMessage="1" sqref="B10" xr:uid="{00000000-0002-0000-9000-000000000000}">
      <formula1>"Line,Clustered Bar,Stacked Bar,Bar,Horizontal Stacked Bar"</formula1>
    </dataValidation>
    <dataValidation type="list" allowBlank="1" showInputMessage="1" showErrorMessage="1" sqref="B2" xr:uid="{00000000-0002-0000-9000-000001000000}">
      <formula1>"Table,Figure,Both"</formula1>
    </dataValidation>
    <dataValidation type="list" allowBlank="1" showInputMessage="1" showErrorMessage="1" sqref="B6 B15:B16" xr:uid="{00000000-0002-0000-9000-000002000000}">
      <formula1>"True,False"</formula1>
    </dataValidation>
  </dataValidation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463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tbl-maternal-mortal</v>
      </c>
    </row>
    <row r="4" spans="1:17" x14ac:dyDescent="0.2">
      <c r="A4" s="16" t="s">
        <v>7</v>
      </c>
      <c r="B4" t="str">
        <f>IF($B$1="","",_xlfn.XLOOKUP($B$1,Master!$F$2:$F$321,Master!$H$2:$H$321,""))</f>
        <v>fig-maternal-mortal</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2018</v>
      </c>
      <c r="H5">
        <v>2019</v>
      </c>
      <c r="I5">
        <v>2020</v>
      </c>
      <c r="J5">
        <v>2021</v>
      </c>
    </row>
    <row r="6" spans="1:17" ht="15" customHeight="1" x14ac:dyDescent="0.2">
      <c r="A6" t="s">
        <v>1088</v>
      </c>
      <c r="B6" t="b">
        <v>0</v>
      </c>
      <c r="E6" s="80"/>
      <c r="F6" t="s">
        <v>1297</v>
      </c>
      <c r="G6" s="15" t="s">
        <v>1879</v>
      </c>
      <c r="H6" s="15" t="s">
        <v>1880</v>
      </c>
      <c r="I6" s="15" t="s">
        <v>1881</v>
      </c>
      <c r="J6" s="15" t="s">
        <v>1882</v>
      </c>
      <c r="K6" s="15"/>
      <c r="L6" s="15"/>
      <c r="M6" s="15"/>
      <c r="N6" s="15"/>
      <c r="O6" s="15"/>
    </row>
    <row r="7" spans="1:17" ht="15.75" customHeight="1" x14ac:dyDescent="0.2">
      <c r="E7" s="80"/>
      <c r="F7" t="s">
        <v>1645</v>
      </c>
      <c r="G7" s="15">
        <v>17.5</v>
      </c>
      <c r="H7" s="15">
        <v>17.600000000000001</v>
      </c>
      <c r="I7" s="15">
        <v>18.5</v>
      </c>
      <c r="J7" s="15">
        <v>20.7</v>
      </c>
      <c r="K7" s="15"/>
      <c r="L7" s="15"/>
      <c r="M7" s="15"/>
      <c r="N7" s="15"/>
      <c r="O7" s="15"/>
    </row>
    <row r="8" spans="1:17" x14ac:dyDescent="0.2">
      <c r="E8" s="80"/>
      <c r="F8" t="s">
        <v>1298</v>
      </c>
      <c r="G8" s="15">
        <v>18.8</v>
      </c>
      <c r="H8" s="15">
        <v>19.3</v>
      </c>
      <c r="I8" s="17">
        <v>21.9</v>
      </c>
      <c r="J8" s="15">
        <v>22.6</v>
      </c>
      <c r="K8" s="15"/>
      <c r="L8" s="15"/>
      <c r="M8" s="15"/>
      <c r="N8" s="15"/>
      <c r="O8" s="15"/>
    </row>
    <row r="9" spans="1:17" x14ac:dyDescent="0.2">
      <c r="A9" s="83" t="s">
        <v>1098</v>
      </c>
      <c r="B9" s="80"/>
      <c r="E9" s="80"/>
      <c r="F9" t="s">
        <v>1299</v>
      </c>
      <c r="G9" s="15">
        <v>19.3</v>
      </c>
      <c r="H9" s="15">
        <v>19.3</v>
      </c>
      <c r="I9" s="15">
        <v>20.5</v>
      </c>
      <c r="J9" s="15">
        <v>21.6</v>
      </c>
      <c r="K9" s="15"/>
      <c r="L9" s="15"/>
      <c r="M9" s="15"/>
      <c r="N9" s="15"/>
      <c r="O9" s="15"/>
    </row>
    <row r="10" spans="1:17" x14ac:dyDescent="0.2">
      <c r="A10" t="s">
        <v>1100</v>
      </c>
      <c r="B10" t="s">
        <v>1304</v>
      </c>
      <c r="E10" s="80"/>
      <c r="F10" t="s">
        <v>1883</v>
      </c>
      <c r="G10" s="15">
        <v>16</v>
      </c>
      <c r="H10" s="15">
        <v>16</v>
      </c>
      <c r="I10" s="15">
        <v>16</v>
      </c>
      <c r="J10" s="15">
        <v>16</v>
      </c>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1884</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1885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disablePrompts="1" count="3">
    <dataValidation type="list" allowBlank="1" showInputMessage="1" showErrorMessage="1" sqref="B10" xr:uid="{00000000-0002-0000-9100-000000000000}">
      <formula1>"Line,Clustered Bar,Stacked Bar,Bar,Horizontal Stacked Bar"</formula1>
    </dataValidation>
    <dataValidation type="list" allowBlank="1" showInputMessage="1" showErrorMessage="1" sqref="B2" xr:uid="{00000000-0002-0000-9100-000001000000}">
      <formula1>"Table,Figure,Both"</formula1>
    </dataValidation>
    <dataValidation type="list" allowBlank="1" showInputMessage="1" showErrorMessage="1" sqref="B6 B15:B16" xr:uid="{00000000-0002-0000-9100-000002000000}">
      <formula1>"True,False"</formula1>
    </dataValidation>
  </dataValidation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466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tbl-child-adolescent-mortal</v>
      </c>
    </row>
    <row r="4" spans="1:17" x14ac:dyDescent="0.2">
      <c r="A4" s="16" t="s">
        <v>7</v>
      </c>
      <c r="B4" t="str">
        <f>IF($B$1="","",_xlfn.XLOOKUP($B$1,Master!$F$2:$F$321,Master!$H$2:$H$321,""))</f>
        <v>fig-child-adolescent-mortal</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2018</v>
      </c>
      <c r="H5">
        <v>2019</v>
      </c>
      <c r="I5">
        <v>2020</v>
      </c>
      <c r="J5">
        <v>2021</v>
      </c>
    </row>
    <row r="6" spans="1:17" ht="15" customHeight="1" x14ac:dyDescent="0.2">
      <c r="A6" t="s">
        <v>1088</v>
      </c>
      <c r="B6" t="b">
        <v>0</v>
      </c>
      <c r="E6" s="80"/>
      <c r="F6" t="s">
        <v>1297</v>
      </c>
      <c r="G6" s="15">
        <v>17.600000000000001</v>
      </c>
      <c r="H6" s="15">
        <v>21.1</v>
      </c>
      <c r="I6" s="15">
        <v>16.5</v>
      </c>
      <c r="J6" s="15">
        <v>18.8</v>
      </c>
      <c r="K6" s="15"/>
      <c r="L6" s="15"/>
      <c r="M6" s="15"/>
      <c r="N6" s="15"/>
      <c r="O6" s="15"/>
    </row>
    <row r="7" spans="1:17" ht="15.75" customHeight="1" x14ac:dyDescent="0.2">
      <c r="E7" s="80"/>
      <c r="F7" t="s">
        <v>1645</v>
      </c>
      <c r="G7" s="15">
        <v>20.3</v>
      </c>
      <c r="H7" s="15">
        <v>20.2</v>
      </c>
      <c r="I7" s="15">
        <v>20.3</v>
      </c>
      <c r="J7" s="15">
        <v>21.9</v>
      </c>
      <c r="K7" s="15"/>
      <c r="L7" s="15"/>
      <c r="M7" s="15"/>
      <c r="N7" s="15"/>
      <c r="O7" s="15"/>
    </row>
    <row r="8" spans="1:17" x14ac:dyDescent="0.2">
      <c r="E8" s="80"/>
      <c r="F8" t="s">
        <v>1298</v>
      </c>
      <c r="G8" s="15">
        <v>22.2</v>
      </c>
      <c r="H8" s="15">
        <v>22.3</v>
      </c>
      <c r="I8" s="15">
        <v>22.7</v>
      </c>
      <c r="J8" s="15">
        <v>24.1</v>
      </c>
      <c r="K8" s="15"/>
      <c r="L8" s="15"/>
      <c r="M8" s="15"/>
      <c r="N8" s="15"/>
      <c r="O8" s="15"/>
    </row>
    <row r="9" spans="1:17" x14ac:dyDescent="0.2">
      <c r="A9" s="83" t="s">
        <v>1098</v>
      </c>
      <c r="B9" s="80"/>
      <c r="E9" s="80"/>
      <c r="F9" t="s">
        <v>1299</v>
      </c>
      <c r="G9" s="15">
        <v>21.5</v>
      </c>
      <c r="H9" s="15">
        <v>21.9</v>
      </c>
      <c r="I9" s="15">
        <v>22.2</v>
      </c>
      <c r="J9" s="15">
        <v>23.6</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1755</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1886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200-000000000000}">
      <formula1>"Line,Clustered Bar,Stacked Bar,Bar,Horizontal Stacked Bar"</formula1>
    </dataValidation>
    <dataValidation type="list" allowBlank="1" showInputMessage="1" showErrorMessage="1" sqref="B2" xr:uid="{00000000-0002-0000-9200-000001000000}">
      <formula1>"Table,Figure,Both"</formula1>
    </dataValidation>
    <dataValidation type="list" allowBlank="1" showInputMessage="1" showErrorMessage="1" sqref="B6 B15:B16" xr:uid="{00000000-0002-0000-9200-000002000000}">
      <formula1>"True,False"</formula1>
    </dataValidation>
  </dataValidation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469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tbl-infant-mortal</v>
      </c>
    </row>
    <row r="4" spans="1:17" x14ac:dyDescent="0.2">
      <c r="A4" s="16" t="s">
        <v>7</v>
      </c>
      <c r="B4" t="str">
        <f>IF($B$1="","",_xlfn.XLOOKUP($B$1,Master!$F$2:$F$321,Master!$H$2:$H$321,""))</f>
        <v>fig-infant-mortal</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3.6</v>
      </c>
      <c r="H6" s="15">
        <v>3.2</v>
      </c>
      <c r="I6" s="15" t="s">
        <v>1887</v>
      </c>
      <c r="J6" s="15" t="s">
        <v>1888</v>
      </c>
      <c r="K6" s="15">
        <v>3</v>
      </c>
      <c r="L6" s="15"/>
      <c r="M6" s="15"/>
      <c r="N6" s="15"/>
      <c r="O6" s="15"/>
    </row>
    <row r="7" spans="1:17" ht="15.75" customHeight="1" x14ac:dyDescent="0.2">
      <c r="E7" s="80"/>
      <c r="F7" t="s">
        <v>1298</v>
      </c>
      <c r="G7" s="15">
        <v>4.5999999999999996</v>
      </c>
      <c r="H7" s="15">
        <v>3.5</v>
      </c>
      <c r="I7" s="15">
        <v>9.6999999999999993</v>
      </c>
      <c r="J7" s="15">
        <v>2.8</v>
      </c>
      <c r="K7" s="15">
        <v>4.5999999999999996</v>
      </c>
      <c r="L7" s="15"/>
      <c r="M7" s="15"/>
      <c r="N7" s="15"/>
      <c r="O7" s="15"/>
    </row>
    <row r="8" spans="1:17" x14ac:dyDescent="0.2">
      <c r="E8" s="80"/>
      <c r="F8" t="s">
        <v>1299</v>
      </c>
      <c r="G8" s="15">
        <v>4.2</v>
      </c>
      <c r="H8" s="15">
        <v>3</v>
      </c>
      <c r="I8" s="15">
        <v>8.3000000000000007</v>
      </c>
      <c r="J8" s="15">
        <v>2</v>
      </c>
      <c r="K8" s="15">
        <v>3.8</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1889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1890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300-000000000000}">
      <formula1>"Line,Clustered Bar,Stacked Bar,Bar,Horizontal Stacked Bar"</formula1>
    </dataValidation>
    <dataValidation type="list" allowBlank="1" showInputMessage="1" showErrorMessage="1" sqref="B2" xr:uid="{00000000-0002-0000-9300-000001000000}">
      <formula1>"Table,Figure,Both"</formula1>
    </dataValidation>
    <dataValidation type="list" allowBlank="1" showInputMessage="1" showErrorMessage="1" sqref="B6 B15:B16" xr:uid="{00000000-0002-0000-9300-000002000000}">
      <formula1>"True,False"</formula1>
    </dataValidation>
  </dataValidation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472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tbl-early-pnc-age-rande-zip</v>
      </c>
    </row>
    <row r="4" spans="1:17" x14ac:dyDescent="0.2">
      <c r="A4" s="16" t="s">
        <v>7</v>
      </c>
      <c r="B4" t="str">
        <f>IF($B$1="","",_xlfn.XLOOKUP($B$1,Master!$F$2:$F$321,Master!$H$2:$H$321,""))</f>
        <v>fig-early-pnc-age-rande-zip</v>
      </c>
      <c r="E4" s="8"/>
      <c r="F4" s="10" t="s">
        <v>968</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G5" s="81">
        <v>2020</v>
      </c>
      <c r="H5" s="80"/>
      <c r="I5" s="81">
        <v>2021</v>
      </c>
      <c r="J5" s="80"/>
      <c r="K5" s="81">
        <v>2022</v>
      </c>
      <c r="L5" s="80"/>
      <c r="M5" s="81">
        <v>2023</v>
      </c>
      <c r="N5" s="80"/>
      <c r="O5" s="81" t="s">
        <v>1271</v>
      </c>
      <c r="P5" s="80"/>
    </row>
    <row r="6" spans="1:17" ht="15" customHeight="1" x14ac:dyDescent="0.2">
      <c r="A6" t="s">
        <v>1088</v>
      </c>
      <c r="B6" t="b">
        <v>1</v>
      </c>
      <c r="E6" s="80"/>
      <c r="G6" s="15" t="s">
        <v>1864</v>
      </c>
      <c r="H6" s="15" t="s">
        <v>1865</v>
      </c>
      <c r="I6" s="15" t="s">
        <v>1864</v>
      </c>
      <c r="J6" s="15" t="s">
        <v>1865</v>
      </c>
      <c r="K6" s="15" t="s">
        <v>1864</v>
      </c>
      <c r="L6" s="15" t="s">
        <v>1865</v>
      </c>
      <c r="M6" s="15" t="s">
        <v>1864</v>
      </c>
      <c r="N6" s="15" t="s">
        <v>1865</v>
      </c>
      <c r="O6" s="15" t="s">
        <v>1864</v>
      </c>
      <c r="P6" s="15" t="s">
        <v>1866</v>
      </c>
    </row>
    <row r="7" spans="1:17" ht="15.75" customHeight="1" x14ac:dyDescent="0.2">
      <c r="E7" s="80"/>
      <c r="F7" t="s">
        <v>1867</v>
      </c>
      <c r="G7" s="15">
        <v>4808</v>
      </c>
      <c r="H7" s="15">
        <v>100</v>
      </c>
      <c r="I7" s="15">
        <v>5125</v>
      </c>
      <c r="J7" s="15">
        <v>100</v>
      </c>
      <c r="K7" s="15">
        <v>4965</v>
      </c>
      <c r="L7" s="15">
        <v>100</v>
      </c>
      <c r="M7" s="15">
        <v>5253</v>
      </c>
      <c r="N7" s="15">
        <v>100</v>
      </c>
      <c r="O7" s="15">
        <v>20151</v>
      </c>
      <c r="P7" s="15">
        <v>100</v>
      </c>
    </row>
    <row r="8" spans="1:17" x14ac:dyDescent="0.2">
      <c r="E8" s="80"/>
      <c r="F8" t="s">
        <v>1891</v>
      </c>
      <c r="G8" s="15">
        <v>3315</v>
      </c>
      <c r="H8" s="15">
        <v>68.900000000000006</v>
      </c>
      <c r="I8" s="15">
        <v>3276</v>
      </c>
      <c r="J8" s="15">
        <v>63.9</v>
      </c>
      <c r="K8" s="15">
        <v>3290</v>
      </c>
      <c r="L8" s="15">
        <v>66.3</v>
      </c>
      <c r="M8" s="15">
        <v>3619</v>
      </c>
      <c r="N8" s="15">
        <v>68.900000000000006</v>
      </c>
      <c r="O8" s="15">
        <v>13500</v>
      </c>
      <c r="P8" s="15">
        <v>67</v>
      </c>
    </row>
    <row r="9" spans="1:17" x14ac:dyDescent="0.2">
      <c r="A9" s="83" t="s">
        <v>1098</v>
      </c>
      <c r="B9" s="80"/>
      <c r="E9" s="80"/>
      <c r="F9" s="91" t="s">
        <v>1276</v>
      </c>
      <c r="G9" s="80"/>
      <c r="H9" s="80"/>
      <c r="I9" s="80"/>
      <c r="J9" s="80"/>
      <c r="K9" s="80"/>
      <c r="L9" s="80"/>
      <c r="M9" s="80"/>
      <c r="N9" s="80"/>
      <c r="O9" s="80"/>
      <c r="P9" s="80"/>
    </row>
    <row r="10" spans="1:17" x14ac:dyDescent="0.2">
      <c r="A10" t="s">
        <v>1100</v>
      </c>
      <c r="E10" s="80"/>
      <c r="F10" s="55" t="s">
        <v>1869</v>
      </c>
      <c r="G10" s="17">
        <v>0</v>
      </c>
      <c r="H10" s="17">
        <v>0</v>
      </c>
      <c r="I10" s="15">
        <v>0</v>
      </c>
      <c r="J10" s="15">
        <v>0</v>
      </c>
      <c r="K10" s="15">
        <v>0</v>
      </c>
      <c r="L10" s="15">
        <v>0</v>
      </c>
      <c r="M10" s="15">
        <v>0</v>
      </c>
      <c r="N10" s="15">
        <v>0</v>
      </c>
      <c r="O10" s="15">
        <v>0</v>
      </c>
      <c r="P10" s="15">
        <v>0</v>
      </c>
    </row>
    <row r="11" spans="1:17" x14ac:dyDescent="0.2">
      <c r="A11" t="s">
        <v>1102</v>
      </c>
      <c r="E11" s="80"/>
      <c r="F11" s="47" t="s">
        <v>1870</v>
      </c>
      <c r="G11" s="15">
        <v>9</v>
      </c>
      <c r="H11" s="15">
        <v>42.9</v>
      </c>
      <c r="I11" s="15">
        <v>9</v>
      </c>
      <c r="J11" s="15">
        <v>30</v>
      </c>
      <c r="K11" s="15">
        <v>4</v>
      </c>
      <c r="L11" s="15">
        <v>19</v>
      </c>
      <c r="M11" s="15">
        <v>4</v>
      </c>
      <c r="N11" s="15">
        <v>11.4</v>
      </c>
      <c r="O11" s="15">
        <v>26</v>
      </c>
      <c r="P11" s="15">
        <v>25.8</v>
      </c>
    </row>
    <row r="12" spans="1:17" x14ac:dyDescent="0.2">
      <c r="A12" t="s">
        <v>1104</v>
      </c>
      <c r="E12" s="80"/>
      <c r="F12" s="47" t="s">
        <v>1876</v>
      </c>
      <c r="G12" s="15">
        <v>50</v>
      </c>
      <c r="H12" s="15">
        <v>48.1</v>
      </c>
      <c r="I12" s="15">
        <v>61</v>
      </c>
      <c r="J12" s="15">
        <v>55.5</v>
      </c>
      <c r="K12" s="15">
        <v>72</v>
      </c>
      <c r="L12" s="15">
        <v>51.4</v>
      </c>
      <c r="M12" s="15">
        <v>71</v>
      </c>
      <c r="N12" s="15">
        <v>54.6</v>
      </c>
      <c r="O12" s="15">
        <v>254</v>
      </c>
      <c r="P12" s="15">
        <v>52.4</v>
      </c>
    </row>
    <row r="13" spans="1:17" x14ac:dyDescent="0.2">
      <c r="A13" t="s">
        <v>1108</v>
      </c>
      <c r="E13" s="80"/>
      <c r="F13" s="47" t="s">
        <v>1701</v>
      </c>
      <c r="G13" s="15">
        <v>640</v>
      </c>
      <c r="H13" s="15">
        <v>66.900000000000006</v>
      </c>
      <c r="I13" s="15">
        <v>606</v>
      </c>
      <c r="J13" s="15">
        <v>61.2</v>
      </c>
      <c r="K13" s="15">
        <v>608</v>
      </c>
      <c r="L13" s="15">
        <v>61.3</v>
      </c>
      <c r="M13" s="15">
        <v>756</v>
      </c>
      <c r="N13" s="15">
        <v>68.900000000000006</v>
      </c>
      <c r="O13" s="15">
        <v>2610</v>
      </c>
      <c r="P13" s="15">
        <v>64.599999999999994</v>
      </c>
    </row>
    <row r="14" spans="1:17" x14ac:dyDescent="0.2">
      <c r="A14" t="s">
        <v>1112</v>
      </c>
      <c r="E14" s="80"/>
      <c r="F14" s="47" t="s">
        <v>1861</v>
      </c>
      <c r="G14" s="15">
        <v>2602</v>
      </c>
      <c r="H14" s="15">
        <v>70.2</v>
      </c>
      <c r="I14" s="15">
        <v>2592</v>
      </c>
      <c r="J14" s="15">
        <v>65.099999999999994</v>
      </c>
      <c r="K14" s="15">
        <v>2595</v>
      </c>
      <c r="L14" s="15">
        <v>68.400000000000006</v>
      </c>
      <c r="M14" s="15">
        <v>2777</v>
      </c>
      <c r="N14" s="15">
        <v>69.900000000000006</v>
      </c>
      <c r="O14" s="15">
        <v>10566</v>
      </c>
      <c r="P14" s="15">
        <v>68.400000000000006</v>
      </c>
    </row>
    <row r="15" spans="1:17" x14ac:dyDescent="0.2">
      <c r="A15" t="s">
        <v>1114</v>
      </c>
      <c r="E15" s="80"/>
      <c r="F15" s="47" t="s">
        <v>1877</v>
      </c>
      <c r="G15" s="15">
        <v>14</v>
      </c>
      <c r="H15" s="15">
        <v>70</v>
      </c>
      <c r="I15" s="15">
        <v>8</v>
      </c>
      <c r="J15" s="15">
        <v>50</v>
      </c>
      <c r="K15" s="15">
        <v>11</v>
      </c>
      <c r="L15" s="15">
        <v>78.599999999999994</v>
      </c>
      <c r="M15" s="15">
        <v>11</v>
      </c>
      <c r="N15" s="15">
        <v>73.3</v>
      </c>
      <c r="O15" s="15">
        <v>44</v>
      </c>
      <c r="P15" s="15">
        <v>68</v>
      </c>
    </row>
    <row r="16" spans="1:17" x14ac:dyDescent="0.2">
      <c r="A16" t="s">
        <v>1116</v>
      </c>
      <c r="E16" s="80"/>
      <c r="F16" s="91" t="s">
        <v>1289</v>
      </c>
      <c r="G16" s="80"/>
      <c r="H16" s="80"/>
      <c r="I16" s="80"/>
      <c r="J16" s="80"/>
      <c r="K16" s="80"/>
      <c r="L16" s="80"/>
      <c r="M16" s="80"/>
      <c r="N16" s="80"/>
      <c r="O16" s="80"/>
      <c r="P16" s="80"/>
    </row>
    <row r="17" spans="1:16" x14ac:dyDescent="0.2">
      <c r="E17" s="80"/>
      <c r="F17" s="47" t="s">
        <v>1290</v>
      </c>
      <c r="G17" s="15">
        <v>2199</v>
      </c>
      <c r="H17" s="15">
        <v>73.900000000000006</v>
      </c>
      <c r="I17" s="15">
        <v>2138</v>
      </c>
      <c r="J17" s="15">
        <v>69.7</v>
      </c>
      <c r="K17" s="15">
        <v>2160</v>
      </c>
      <c r="L17" s="15">
        <v>71.2</v>
      </c>
      <c r="M17" s="15">
        <v>2438</v>
      </c>
      <c r="N17" s="15">
        <v>75.2</v>
      </c>
      <c r="O17" s="15">
        <v>8935</v>
      </c>
      <c r="P17" s="15">
        <v>72.5</v>
      </c>
    </row>
    <row r="18" spans="1:16" x14ac:dyDescent="0.2">
      <c r="A18" s="83" t="s">
        <v>1119</v>
      </c>
      <c r="B18" s="80"/>
      <c r="E18" s="80"/>
      <c r="F18" s="47" t="s">
        <v>1235</v>
      </c>
      <c r="G18" s="15">
        <v>242</v>
      </c>
      <c r="H18" s="15">
        <v>62.1</v>
      </c>
      <c r="I18" s="15">
        <v>238</v>
      </c>
      <c r="J18" s="15">
        <v>60.1</v>
      </c>
      <c r="K18" s="15">
        <v>232</v>
      </c>
      <c r="L18" s="15">
        <v>56.9</v>
      </c>
      <c r="M18" s="15">
        <v>219</v>
      </c>
      <c r="N18" s="15">
        <v>62.8</v>
      </c>
      <c r="O18" s="15">
        <v>931</v>
      </c>
      <c r="P18" s="15">
        <v>60.4</v>
      </c>
    </row>
    <row r="19" spans="1:16" x14ac:dyDescent="0.2">
      <c r="A19" t="s">
        <v>1121</v>
      </c>
      <c r="B19" t="s">
        <v>1287</v>
      </c>
      <c r="E19" s="80"/>
      <c r="F19" s="47" t="s">
        <v>1293</v>
      </c>
      <c r="G19" s="15">
        <v>734</v>
      </c>
      <c r="H19" s="15">
        <v>61</v>
      </c>
      <c r="I19" s="15">
        <v>780</v>
      </c>
      <c r="J19" s="15">
        <v>60.1</v>
      </c>
      <c r="K19" s="15">
        <v>745</v>
      </c>
      <c r="L19" s="15">
        <v>57.4</v>
      </c>
      <c r="M19" s="15">
        <v>834</v>
      </c>
      <c r="N19" s="15">
        <v>58</v>
      </c>
      <c r="O19" s="15">
        <v>3093</v>
      </c>
      <c r="P19" s="15">
        <v>59.1</v>
      </c>
    </row>
    <row r="20" spans="1:16" x14ac:dyDescent="0.2">
      <c r="E20" s="80"/>
      <c r="F20" s="47" t="s">
        <v>1015</v>
      </c>
      <c r="G20" s="15">
        <v>140</v>
      </c>
      <c r="H20" s="15">
        <v>58.1</v>
      </c>
      <c r="I20" s="15">
        <v>120</v>
      </c>
      <c r="J20" s="15">
        <v>32.9</v>
      </c>
      <c r="K20" s="15">
        <v>153</v>
      </c>
      <c r="L20" s="15">
        <v>67.7</v>
      </c>
      <c r="M20" s="15">
        <v>128</v>
      </c>
      <c r="N20" s="15">
        <v>57.4</v>
      </c>
      <c r="O20" s="15">
        <v>541</v>
      </c>
      <c r="P20" s="15">
        <v>54</v>
      </c>
    </row>
    <row r="21" spans="1:16" x14ac:dyDescent="0.2">
      <c r="A21" s="81" t="s">
        <v>1125</v>
      </c>
      <c r="B21" s="80"/>
      <c r="E21" s="80"/>
      <c r="F21" s="91" t="s">
        <v>1294</v>
      </c>
      <c r="G21" s="80"/>
      <c r="H21" s="80"/>
      <c r="I21" s="80"/>
      <c r="J21" s="80"/>
      <c r="K21" s="80"/>
      <c r="L21" s="80"/>
      <c r="M21" s="80"/>
      <c r="N21" s="80"/>
      <c r="O21" s="80"/>
      <c r="P21" s="80"/>
    </row>
    <row r="22" spans="1:16" x14ac:dyDescent="0.2">
      <c r="A22" t="s">
        <v>1135</v>
      </c>
      <c r="B22" t="s">
        <v>1892</v>
      </c>
      <c r="E22" s="80"/>
      <c r="F22" s="47">
        <v>10940</v>
      </c>
      <c r="G22" s="15">
        <v>376</v>
      </c>
      <c r="H22" s="15">
        <v>65.5</v>
      </c>
      <c r="I22" s="15">
        <v>322</v>
      </c>
      <c r="J22" s="15">
        <v>55.9</v>
      </c>
      <c r="K22" s="15">
        <v>325</v>
      </c>
      <c r="L22" s="15">
        <v>59.3</v>
      </c>
      <c r="M22" s="15">
        <v>373</v>
      </c>
      <c r="N22" s="15">
        <v>61.8</v>
      </c>
      <c r="O22" s="15">
        <v>1396</v>
      </c>
      <c r="P22" s="15">
        <v>60.6</v>
      </c>
    </row>
    <row r="23" spans="1:16" x14ac:dyDescent="0.2">
      <c r="E23" s="80"/>
      <c r="F23" s="47" t="s">
        <v>1873</v>
      </c>
      <c r="G23" s="15">
        <v>1055</v>
      </c>
      <c r="H23" s="15">
        <v>68.7</v>
      </c>
      <c r="I23" s="15">
        <v>1056</v>
      </c>
      <c r="J23" s="15">
        <v>62</v>
      </c>
      <c r="K23" s="15">
        <v>1117</v>
      </c>
      <c r="L23" s="15">
        <v>66</v>
      </c>
      <c r="M23" s="15">
        <v>1344</v>
      </c>
      <c r="N23" s="15">
        <v>71.599999999999994</v>
      </c>
      <c r="O23" s="15">
        <v>4572</v>
      </c>
      <c r="P23" s="15">
        <v>67.099999999999994</v>
      </c>
    </row>
    <row r="24" spans="1:16" x14ac:dyDescent="0.2">
      <c r="E24" s="80"/>
      <c r="F24" s="47">
        <v>12550</v>
      </c>
      <c r="G24" s="15">
        <v>396</v>
      </c>
      <c r="H24" s="15">
        <v>59.2</v>
      </c>
      <c r="I24" s="15">
        <v>416</v>
      </c>
      <c r="J24" s="15">
        <v>62.4</v>
      </c>
      <c r="K24" s="15">
        <v>402</v>
      </c>
      <c r="L24" s="15">
        <v>59.2</v>
      </c>
      <c r="M24" s="15">
        <v>407</v>
      </c>
      <c r="N24" s="15">
        <v>58.9</v>
      </c>
      <c r="O24" s="15">
        <v>1621</v>
      </c>
      <c r="P24" s="15">
        <v>59.9</v>
      </c>
    </row>
    <row r="25" spans="1:16" x14ac:dyDescent="0.2">
      <c r="E25" s="80"/>
      <c r="F25" s="47">
        <v>12771</v>
      </c>
      <c r="G25" s="15">
        <v>101</v>
      </c>
      <c r="H25" s="15">
        <v>64.7</v>
      </c>
      <c r="I25" s="15">
        <v>82</v>
      </c>
      <c r="J25" s="15">
        <v>56.2</v>
      </c>
      <c r="K25" s="15">
        <v>87</v>
      </c>
      <c r="L25" s="15">
        <v>56.1</v>
      </c>
      <c r="M25" s="15">
        <v>90</v>
      </c>
      <c r="N25" s="15">
        <v>67.2</v>
      </c>
      <c r="O25" s="15">
        <v>360</v>
      </c>
      <c r="P25" s="15">
        <v>61.1</v>
      </c>
    </row>
    <row r="26" spans="1:16" x14ac:dyDescent="0.2">
      <c r="E26" s="80"/>
    </row>
    <row r="27" spans="1:16" x14ac:dyDescent="0.2">
      <c r="A27" s="81"/>
      <c r="B27" s="80"/>
      <c r="E27" s="80"/>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9:P9"/>
    <mergeCell ref="E5:E57"/>
    <mergeCell ref="O5:P5"/>
    <mergeCell ref="A9:B9"/>
    <mergeCell ref="F21:P21"/>
    <mergeCell ref="F16:P16"/>
    <mergeCell ref="A5:B5"/>
    <mergeCell ref="G5:H5"/>
    <mergeCell ref="K5:L5"/>
    <mergeCell ref="I5:J5"/>
    <mergeCell ref="M5:N5"/>
    <mergeCell ref="A18:B18"/>
    <mergeCell ref="A27:B27"/>
  </mergeCells>
  <dataValidations count="3">
    <dataValidation type="list" allowBlank="1" showInputMessage="1" showErrorMessage="1" sqref="B10" xr:uid="{00000000-0002-0000-9400-000000000000}">
      <formula1>"Line,Clustered Bar,Stacked Bar,Bar,Horizontal Stacked Bar"</formula1>
    </dataValidation>
    <dataValidation type="list" allowBlank="1" showInputMessage="1" showErrorMessage="1" sqref="B2" xr:uid="{00000000-0002-0000-9400-000001000000}">
      <formula1>"Table,Figure,Both"</formula1>
    </dataValidation>
    <dataValidation type="list" allowBlank="1" showInputMessage="1" showErrorMessage="1" sqref="B6 B15:B16" xr:uid="{00000000-0002-0000-9400-000002000000}">
      <formula1>"True,False"</formula1>
    </dataValidation>
  </dataValidation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475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tbl-early-pnc</v>
      </c>
    </row>
    <row r="4" spans="1:17" x14ac:dyDescent="0.2">
      <c r="A4" s="16" t="s">
        <v>7</v>
      </c>
      <c r="B4" t="str">
        <f>IF($B$1="","",_xlfn.XLOOKUP($B$1,Master!$F$2:$F$321,Master!$H$2:$H$321,""))</f>
        <v>fig-early-pnc</v>
      </c>
      <c r="E4" s="8"/>
      <c r="F4" s="10" t="s">
        <v>968</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1096</v>
      </c>
      <c r="G6" s="15">
        <v>68.900000000000006</v>
      </c>
      <c r="H6" s="15">
        <v>63.9</v>
      </c>
      <c r="I6" s="15">
        <v>66.3</v>
      </c>
      <c r="J6" s="15">
        <v>68.900000000000006</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1893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500-000000000000}">
      <formula1>"Line,Clustered Bar,Stacked Bar,Bar,Horizontal Stacked Bar"</formula1>
    </dataValidation>
    <dataValidation type="list" allowBlank="1" showInputMessage="1" showErrorMessage="1" sqref="B2" xr:uid="{00000000-0002-0000-9500-000001000000}">
      <formula1>"Table,Figure,Both"</formula1>
    </dataValidation>
    <dataValidation type="list" allowBlank="1" showInputMessage="1" showErrorMessage="1" sqref="B6 B15:B16" xr:uid="{00000000-0002-0000-9500-000002000000}">
      <formula1>"True,False"</formula1>
    </dataValidation>
  </dataValidation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478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tbl-early-pnc-rande</v>
      </c>
    </row>
    <row r="4" spans="1:17" x14ac:dyDescent="0.2">
      <c r="A4" s="16" t="s">
        <v>7</v>
      </c>
      <c r="B4" t="str">
        <f>IF($B$1="","",_xlfn.XLOOKUP($B$1,Master!$F$2:$F$321,Master!$H$2:$H$321,""))</f>
        <v>fig-early-pnc-rande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G5">
        <v>2020</v>
      </c>
      <c r="H5">
        <v>2021</v>
      </c>
      <c r="I5">
        <v>2022</v>
      </c>
      <c r="J5">
        <v>2023</v>
      </c>
    </row>
    <row r="6" spans="1:17" ht="15" customHeight="1" x14ac:dyDescent="0.2">
      <c r="A6" t="s">
        <v>1088</v>
      </c>
      <c r="B6" t="b">
        <v>0</v>
      </c>
      <c r="E6" s="80"/>
      <c r="F6" t="s">
        <v>1290</v>
      </c>
      <c r="G6" s="15">
        <v>73.900000000000006</v>
      </c>
      <c r="H6" s="15">
        <v>69.7</v>
      </c>
      <c r="I6" s="15">
        <v>71.2</v>
      </c>
      <c r="J6" s="15">
        <v>75.2</v>
      </c>
      <c r="K6" s="15"/>
      <c r="L6" s="15"/>
      <c r="M6" s="15"/>
      <c r="N6" s="15"/>
      <c r="O6" s="15"/>
    </row>
    <row r="7" spans="1:17" ht="15.75" customHeight="1" x14ac:dyDescent="0.2">
      <c r="E7" s="80"/>
      <c r="F7" t="s">
        <v>1235</v>
      </c>
      <c r="G7" s="15">
        <v>62.1</v>
      </c>
      <c r="H7" s="15">
        <v>60.1</v>
      </c>
      <c r="I7" s="15">
        <v>56.9</v>
      </c>
      <c r="J7" s="15">
        <v>62.8</v>
      </c>
      <c r="K7" s="15"/>
      <c r="L7" s="15"/>
      <c r="M7" s="15"/>
      <c r="N7" s="15"/>
      <c r="O7" s="15"/>
    </row>
    <row r="8" spans="1:17" x14ac:dyDescent="0.2">
      <c r="E8" s="80"/>
      <c r="F8" t="s">
        <v>1293</v>
      </c>
      <c r="G8" s="15">
        <v>61</v>
      </c>
      <c r="H8" s="15">
        <v>60.1</v>
      </c>
      <c r="I8" s="15">
        <v>57.4</v>
      </c>
      <c r="J8" s="15">
        <v>58</v>
      </c>
      <c r="K8" s="15"/>
      <c r="L8" s="15"/>
      <c r="M8" s="15"/>
      <c r="N8" s="15"/>
      <c r="O8" s="15"/>
    </row>
    <row r="9" spans="1:17" x14ac:dyDescent="0.2">
      <c r="A9" s="83" t="s">
        <v>1098</v>
      </c>
      <c r="B9" s="80"/>
      <c r="E9" s="80"/>
      <c r="F9" t="s">
        <v>1015</v>
      </c>
      <c r="G9" s="15">
        <v>58.1</v>
      </c>
      <c r="H9" s="15">
        <v>32.9</v>
      </c>
      <c r="I9" s="15">
        <v>67.7</v>
      </c>
      <c r="J9" s="15">
        <v>57.4</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600-000000000000}">
      <formula1>"Line,Clustered Bar,Stacked Bar,Bar,Horizontal Stacked Bar"</formula1>
    </dataValidation>
    <dataValidation type="list" allowBlank="1" showInputMessage="1" showErrorMessage="1" sqref="B2" xr:uid="{00000000-0002-0000-9600-000001000000}">
      <formula1>"Table,Figure,Both"</formula1>
    </dataValidation>
    <dataValidation type="list" allowBlank="1" showInputMessage="1" showErrorMessage="1" sqref="B6 B15:B16" xr:uid="{00000000-0002-0000-9600-000002000000}">
      <formula1>"True,False"</formula1>
    </dataValidation>
  </dataValidation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481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tbl-early-pnc-zip</v>
      </c>
    </row>
    <row r="4" spans="1:17" x14ac:dyDescent="0.2">
      <c r="A4" s="16" t="s">
        <v>7</v>
      </c>
      <c r="B4" t="str">
        <f>IF($B$1="","",_xlfn.XLOOKUP($B$1,Master!$F$2:$F$321,Master!$H$2:$H$321,""))</f>
        <v>fig-early-pnc-zip</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1715</v>
      </c>
      <c r="G5">
        <v>2020</v>
      </c>
      <c r="H5">
        <v>2021</v>
      </c>
      <c r="I5">
        <v>2022</v>
      </c>
      <c r="J5">
        <v>2023</v>
      </c>
    </row>
    <row r="6" spans="1:17" ht="15" customHeight="1" x14ac:dyDescent="0.2">
      <c r="A6" t="s">
        <v>1088</v>
      </c>
      <c r="B6" t="b">
        <v>0</v>
      </c>
      <c r="E6" s="80"/>
      <c r="F6" s="37">
        <v>10940</v>
      </c>
      <c r="G6" s="15">
        <v>65.5</v>
      </c>
      <c r="H6" s="15">
        <v>55.9</v>
      </c>
      <c r="I6" s="15">
        <v>59.3</v>
      </c>
      <c r="J6" s="15">
        <v>61.8</v>
      </c>
      <c r="K6" s="15"/>
      <c r="L6" s="15"/>
      <c r="M6" s="15"/>
      <c r="N6" s="15"/>
      <c r="O6" s="15"/>
    </row>
    <row r="7" spans="1:17" ht="15.75" customHeight="1" x14ac:dyDescent="0.2">
      <c r="E7" s="80"/>
      <c r="F7" s="37" t="s">
        <v>1873</v>
      </c>
      <c r="G7" s="15">
        <v>68.7</v>
      </c>
      <c r="H7" s="15">
        <v>62</v>
      </c>
      <c r="I7" s="15">
        <v>66</v>
      </c>
      <c r="J7" s="15">
        <v>71.599999999999994</v>
      </c>
      <c r="K7" s="15"/>
      <c r="L7" s="15"/>
      <c r="M7" s="15"/>
      <c r="N7" s="15"/>
      <c r="O7" s="15"/>
    </row>
    <row r="8" spans="1:17" x14ac:dyDescent="0.2">
      <c r="E8" s="80"/>
      <c r="F8" s="37">
        <v>12550</v>
      </c>
      <c r="G8" s="15">
        <v>59.2</v>
      </c>
      <c r="H8" s="15">
        <v>62.4</v>
      </c>
      <c r="I8" s="15">
        <v>59.2</v>
      </c>
      <c r="J8" s="15">
        <v>58.9</v>
      </c>
      <c r="K8" s="15"/>
      <c r="L8" s="15"/>
      <c r="M8" s="15"/>
      <c r="N8" s="15"/>
      <c r="O8" s="15"/>
    </row>
    <row r="9" spans="1:17" x14ac:dyDescent="0.2">
      <c r="A9" s="83" t="s">
        <v>1098</v>
      </c>
      <c r="B9" s="80"/>
      <c r="E9" s="80"/>
      <c r="F9" s="37">
        <v>12771</v>
      </c>
      <c r="G9" s="15">
        <v>64.7</v>
      </c>
      <c r="H9" s="15">
        <v>56.2</v>
      </c>
      <c r="I9" s="15">
        <v>56.1</v>
      </c>
      <c r="J9" s="15">
        <v>67.2</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1715</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1894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700-000000000000}">
      <formula1>"Line,Clustered Bar,Stacked Bar,Bar,Horizontal Stacked Bar"</formula1>
    </dataValidation>
    <dataValidation type="list" allowBlank="1" showInputMessage="1" showErrorMessage="1" sqref="B2" xr:uid="{00000000-0002-0000-9700-000001000000}">
      <formula1>"Table,Figure,Both"</formula1>
    </dataValidation>
    <dataValidation type="list" allowBlank="1" showInputMessage="1" showErrorMessage="1" sqref="B6 B15:B16" xr:uid="{00000000-0002-0000-9700-000002000000}">
      <formula1>"True,False"</formula1>
    </dataValidation>
  </dataValidation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3"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484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tbl-late-no-pnc-age-rande-zip</v>
      </c>
    </row>
    <row r="4" spans="1:17" x14ac:dyDescent="0.2">
      <c r="A4" s="16" t="s">
        <v>7</v>
      </c>
      <c r="B4" t="str">
        <f>IF($B$1="","",_xlfn.XLOOKUP($B$1,Master!$F$2:$F$321,Master!$H$2:$H$321,""))</f>
        <v>fig-late-no-pnc-age-rande-zip</v>
      </c>
      <c r="E4" s="8"/>
      <c r="F4" s="10" t="s">
        <v>968</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G5" s="81">
        <v>2020</v>
      </c>
      <c r="H5" s="80"/>
      <c r="I5" s="81">
        <v>2021</v>
      </c>
      <c r="J5" s="80"/>
      <c r="K5" s="81">
        <v>2022</v>
      </c>
      <c r="L5" s="80"/>
      <c r="M5" s="81">
        <v>2023</v>
      </c>
      <c r="N5" s="80"/>
      <c r="O5" s="81" t="s">
        <v>1271</v>
      </c>
      <c r="P5" s="80"/>
    </row>
    <row r="6" spans="1:17" x14ac:dyDescent="0.2">
      <c r="A6" t="s">
        <v>1088</v>
      </c>
      <c r="B6" t="b">
        <v>1</v>
      </c>
      <c r="E6" s="80"/>
      <c r="G6" s="15" t="s">
        <v>1864</v>
      </c>
      <c r="H6" s="15" t="s">
        <v>1865</v>
      </c>
      <c r="I6" s="15" t="s">
        <v>1864</v>
      </c>
      <c r="J6" s="15" t="s">
        <v>1865</v>
      </c>
      <c r="K6" s="15" t="s">
        <v>1864</v>
      </c>
      <c r="L6" s="15" t="s">
        <v>1865</v>
      </c>
      <c r="M6" s="15" t="s">
        <v>1864</v>
      </c>
      <c r="N6" s="15" t="s">
        <v>1865</v>
      </c>
      <c r="O6" s="15" t="s">
        <v>1864</v>
      </c>
      <c r="P6" s="15" t="s">
        <v>1866</v>
      </c>
    </row>
    <row r="7" spans="1:17" ht="15.75" customHeight="1" x14ac:dyDescent="0.2">
      <c r="E7" s="80"/>
      <c r="F7" t="s">
        <v>1867</v>
      </c>
      <c r="G7" s="15">
        <v>4808</v>
      </c>
      <c r="H7" s="15">
        <v>100</v>
      </c>
      <c r="I7" s="15">
        <v>5125</v>
      </c>
      <c r="J7" s="15">
        <v>100</v>
      </c>
      <c r="K7" s="15">
        <v>4965</v>
      </c>
      <c r="L7" s="15">
        <v>100</v>
      </c>
      <c r="M7" s="15">
        <v>5253</v>
      </c>
      <c r="N7" s="15">
        <v>100</v>
      </c>
      <c r="O7" s="15">
        <v>20151</v>
      </c>
      <c r="P7" s="15">
        <v>100</v>
      </c>
    </row>
    <row r="8" spans="1:17" x14ac:dyDescent="0.2">
      <c r="E8" s="80"/>
      <c r="F8" t="s">
        <v>1895</v>
      </c>
      <c r="G8" s="15">
        <v>241</v>
      </c>
      <c r="H8" s="15">
        <v>5</v>
      </c>
      <c r="I8" s="15">
        <v>302</v>
      </c>
      <c r="J8" s="15">
        <v>5.9</v>
      </c>
      <c r="K8" s="15">
        <v>362</v>
      </c>
      <c r="L8" s="15">
        <v>7.3</v>
      </c>
      <c r="M8" s="15">
        <v>345</v>
      </c>
      <c r="N8" s="15">
        <v>6.6</v>
      </c>
      <c r="O8" s="15">
        <v>1250</v>
      </c>
      <c r="P8" s="15">
        <v>6.2</v>
      </c>
    </row>
    <row r="9" spans="1:17" x14ac:dyDescent="0.2">
      <c r="A9" s="83" t="s">
        <v>1098</v>
      </c>
      <c r="B9" s="80"/>
      <c r="E9" s="80"/>
      <c r="F9" s="91" t="s">
        <v>1276</v>
      </c>
      <c r="G9" s="80"/>
      <c r="H9" s="80"/>
      <c r="I9" s="80"/>
      <c r="J9" s="80"/>
      <c r="K9" s="80"/>
      <c r="L9" s="80"/>
      <c r="M9" s="80"/>
      <c r="N9" s="80"/>
      <c r="O9" s="80"/>
      <c r="P9" s="80"/>
    </row>
    <row r="10" spans="1:17" x14ac:dyDescent="0.2">
      <c r="A10" t="s">
        <v>1100</v>
      </c>
      <c r="E10" s="80"/>
      <c r="F10" s="49" t="s">
        <v>1869</v>
      </c>
      <c r="G10" s="15">
        <v>0</v>
      </c>
      <c r="H10" s="15">
        <v>0</v>
      </c>
      <c r="I10" s="15">
        <v>0</v>
      </c>
      <c r="J10" s="17">
        <v>0</v>
      </c>
      <c r="K10" s="17" t="s">
        <v>1031</v>
      </c>
      <c r="L10" s="17" t="s">
        <v>1031</v>
      </c>
      <c r="M10" s="17" t="s">
        <v>1031</v>
      </c>
      <c r="N10" s="17" t="s">
        <v>1031</v>
      </c>
      <c r="O10" s="15" t="s">
        <v>1031</v>
      </c>
      <c r="P10" s="15" t="s">
        <v>1031</v>
      </c>
    </row>
    <row r="11" spans="1:17" x14ac:dyDescent="0.2">
      <c r="A11" t="s">
        <v>1102</v>
      </c>
      <c r="E11" s="80"/>
      <c r="F11" s="48" t="s">
        <v>1870</v>
      </c>
      <c r="G11" s="17" t="s">
        <v>1031</v>
      </c>
      <c r="H11" s="17" t="s">
        <v>1031</v>
      </c>
      <c r="I11" s="15" t="s">
        <v>1031</v>
      </c>
      <c r="J11" s="15" t="s">
        <v>1031</v>
      </c>
      <c r="K11" s="15" t="s">
        <v>1031</v>
      </c>
      <c r="L11" s="15" t="s">
        <v>1031</v>
      </c>
      <c r="M11" s="15" t="s">
        <v>1031</v>
      </c>
      <c r="N11" s="15" t="s">
        <v>1031</v>
      </c>
      <c r="O11" s="15">
        <v>21</v>
      </c>
      <c r="P11" s="15">
        <v>19</v>
      </c>
    </row>
    <row r="12" spans="1:17" x14ac:dyDescent="0.2">
      <c r="A12" t="s">
        <v>1104</v>
      </c>
      <c r="E12" s="80"/>
      <c r="F12" s="47" t="s">
        <v>1876</v>
      </c>
      <c r="G12" s="15" t="s">
        <v>1031</v>
      </c>
      <c r="H12" s="15" t="s">
        <v>1031</v>
      </c>
      <c r="I12" s="15">
        <v>10</v>
      </c>
      <c r="J12" s="15">
        <v>9.1</v>
      </c>
      <c r="K12" s="15">
        <v>19</v>
      </c>
      <c r="L12" s="15">
        <v>13.6</v>
      </c>
      <c r="M12" s="15">
        <v>13</v>
      </c>
      <c r="N12" s="15">
        <v>10</v>
      </c>
      <c r="O12" s="15">
        <v>50</v>
      </c>
      <c r="P12" s="15">
        <v>10.1</v>
      </c>
    </row>
    <row r="13" spans="1:17" x14ac:dyDescent="0.2">
      <c r="A13" t="s">
        <v>1108</v>
      </c>
      <c r="E13" s="80"/>
      <c r="F13" s="47" t="s">
        <v>1701</v>
      </c>
      <c r="G13" s="15">
        <v>41</v>
      </c>
      <c r="H13" s="15">
        <v>4.3</v>
      </c>
      <c r="I13" s="15">
        <v>67</v>
      </c>
      <c r="J13" s="15">
        <v>6.8</v>
      </c>
      <c r="K13" s="15">
        <v>77</v>
      </c>
      <c r="L13" s="15">
        <v>7.8</v>
      </c>
      <c r="M13" s="15">
        <v>74</v>
      </c>
      <c r="N13" s="15">
        <v>10</v>
      </c>
      <c r="O13" s="15">
        <v>259</v>
      </c>
      <c r="P13" s="15">
        <v>10.1</v>
      </c>
    </row>
    <row r="14" spans="1:17" x14ac:dyDescent="0.2">
      <c r="A14" t="s">
        <v>1112</v>
      </c>
      <c r="E14" s="80"/>
      <c r="F14" s="47" t="s">
        <v>1861</v>
      </c>
      <c r="G14" s="15">
        <v>188</v>
      </c>
      <c r="H14" s="15">
        <v>5.0999999999999996</v>
      </c>
      <c r="I14" s="15">
        <v>219</v>
      </c>
      <c r="J14" s="15">
        <v>5.5</v>
      </c>
      <c r="K14" s="15">
        <v>260</v>
      </c>
      <c r="L14" s="15">
        <v>6.9</v>
      </c>
      <c r="M14" s="15">
        <v>248</v>
      </c>
      <c r="N14" s="15">
        <v>6.2</v>
      </c>
      <c r="O14" s="15">
        <v>915</v>
      </c>
      <c r="P14" s="15">
        <v>5.9</v>
      </c>
    </row>
    <row r="15" spans="1:17" x14ac:dyDescent="0.2">
      <c r="A15" t="s">
        <v>1114</v>
      </c>
      <c r="E15" s="80"/>
      <c r="F15" s="47" t="s">
        <v>1877</v>
      </c>
      <c r="G15" s="15">
        <v>0</v>
      </c>
      <c r="H15" s="15">
        <v>0</v>
      </c>
      <c r="I15" s="15">
        <v>0</v>
      </c>
      <c r="J15" s="15">
        <v>0</v>
      </c>
      <c r="K15" s="15" t="s">
        <v>1031</v>
      </c>
      <c r="L15" s="15" t="s">
        <v>1031</v>
      </c>
      <c r="M15" s="15">
        <v>0</v>
      </c>
      <c r="N15" s="15">
        <v>0</v>
      </c>
      <c r="O15" s="15" t="s">
        <v>1031</v>
      </c>
      <c r="P15" s="15" t="s">
        <v>1031</v>
      </c>
    </row>
    <row r="16" spans="1:17" x14ac:dyDescent="0.2">
      <c r="A16" t="s">
        <v>1116</v>
      </c>
      <c r="E16" s="80"/>
      <c r="F16" s="91" t="s">
        <v>1289</v>
      </c>
      <c r="G16" s="80"/>
      <c r="H16" s="80"/>
      <c r="I16" s="80"/>
      <c r="J16" s="80"/>
      <c r="K16" s="80"/>
      <c r="L16" s="80"/>
      <c r="M16" s="80"/>
      <c r="N16" s="80"/>
      <c r="O16" s="80"/>
      <c r="P16" s="80"/>
    </row>
    <row r="17" spans="1:16" x14ac:dyDescent="0.2">
      <c r="E17" s="80"/>
      <c r="F17" s="47" t="s">
        <v>1290</v>
      </c>
      <c r="G17" s="15">
        <v>118</v>
      </c>
      <c r="H17" s="15">
        <v>4</v>
      </c>
      <c r="I17" s="15">
        <v>110</v>
      </c>
      <c r="J17" s="15">
        <v>3.6</v>
      </c>
      <c r="K17" s="15">
        <v>139</v>
      </c>
      <c r="L17" s="15">
        <v>4.5999999999999996</v>
      </c>
      <c r="M17" s="15">
        <v>132</v>
      </c>
      <c r="N17" s="15">
        <v>4.0999999999999996</v>
      </c>
      <c r="O17" s="15">
        <v>499</v>
      </c>
      <c r="P17" s="15">
        <v>4.0999999999999996</v>
      </c>
    </row>
    <row r="18" spans="1:16" x14ac:dyDescent="0.2">
      <c r="A18" s="83" t="s">
        <v>1119</v>
      </c>
      <c r="B18" s="80"/>
      <c r="E18" s="80"/>
      <c r="F18" s="47" t="s">
        <v>1235</v>
      </c>
      <c r="G18" s="15">
        <v>31</v>
      </c>
      <c r="H18" s="15">
        <v>7.9</v>
      </c>
      <c r="I18" s="15">
        <v>36</v>
      </c>
      <c r="J18" s="15">
        <v>9.1</v>
      </c>
      <c r="K18" s="15">
        <v>50</v>
      </c>
      <c r="L18" s="15">
        <v>12.3</v>
      </c>
      <c r="M18" s="15">
        <v>40</v>
      </c>
      <c r="N18" s="15">
        <v>11.5</v>
      </c>
      <c r="O18" s="15">
        <v>157</v>
      </c>
      <c r="P18" s="15">
        <v>10.199999999999999</v>
      </c>
    </row>
    <row r="19" spans="1:16" x14ac:dyDescent="0.2">
      <c r="A19" t="s">
        <v>1121</v>
      </c>
      <c r="B19" t="s">
        <v>1287</v>
      </c>
      <c r="E19" s="80"/>
      <c r="F19" s="47" t="s">
        <v>1293</v>
      </c>
      <c r="G19" s="15">
        <v>70</v>
      </c>
      <c r="H19" s="15">
        <v>5.8</v>
      </c>
      <c r="I19" s="15">
        <v>133</v>
      </c>
      <c r="J19" s="15">
        <v>10.3</v>
      </c>
      <c r="K19" s="15">
        <v>149</v>
      </c>
      <c r="L19" s="15">
        <v>11.5</v>
      </c>
      <c r="M19" s="15">
        <v>145</v>
      </c>
      <c r="N19" s="15">
        <v>10.1</v>
      </c>
      <c r="O19" s="15">
        <v>497</v>
      </c>
      <c r="P19" s="15">
        <v>9.4</v>
      </c>
    </row>
    <row r="20" spans="1:16" x14ac:dyDescent="0.2">
      <c r="E20" s="80"/>
      <c r="F20" s="47" t="s">
        <v>1015</v>
      </c>
      <c r="G20" s="15">
        <v>22</v>
      </c>
      <c r="H20" s="15">
        <v>9.1</v>
      </c>
      <c r="I20" s="15">
        <v>23</v>
      </c>
      <c r="J20" s="15">
        <v>6.3</v>
      </c>
      <c r="K20" s="15">
        <v>24</v>
      </c>
      <c r="L20" s="15">
        <v>10.6</v>
      </c>
      <c r="M20" s="15">
        <v>28</v>
      </c>
      <c r="N20" s="15">
        <v>12.6</v>
      </c>
      <c r="O20" s="15">
        <v>97</v>
      </c>
      <c r="P20" s="15">
        <v>9.6999999999999993</v>
      </c>
    </row>
    <row r="21" spans="1:16" x14ac:dyDescent="0.2">
      <c r="A21" s="81" t="s">
        <v>1125</v>
      </c>
      <c r="B21" s="80"/>
      <c r="E21" s="80"/>
      <c r="F21" s="91" t="s">
        <v>1294</v>
      </c>
      <c r="G21" s="80"/>
      <c r="H21" s="80"/>
      <c r="I21" s="80"/>
      <c r="J21" s="80"/>
      <c r="K21" s="80"/>
      <c r="L21" s="80"/>
      <c r="M21" s="80"/>
      <c r="N21" s="80"/>
      <c r="O21" s="80"/>
      <c r="P21" s="80"/>
    </row>
    <row r="22" spans="1:16" x14ac:dyDescent="0.2">
      <c r="A22" t="s">
        <v>1135</v>
      </c>
      <c r="B22" t="s">
        <v>1896</v>
      </c>
      <c r="E22" s="80"/>
      <c r="F22" s="47">
        <v>10940</v>
      </c>
      <c r="G22" s="15">
        <v>34</v>
      </c>
      <c r="H22" s="15">
        <v>5.9</v>
      </c>
      <c r="I22" s="15">
        <v>71</v>
      </c>
      <c r="J22" s="15">
        <v>12.3</v>
      </c>
      <c r="K22" s="15">
        <v>80</v>
      </c>
      <c r="L22" s="15">
        <v>14.6</v>
      </c>
      <c r="M22" s="15">
        <v>51</v>
      </c>
      <c r="N22" s="15">
        <v>8.4</v>
      </c>
      <c r="O22" s="15">
        <v>236</v>
      </c>
      <c r="P22" s="15">
        <v>10.3</v>
      </c>
    </row>
    <row r="23" spans="1:16" x14ac:dyDescent="0.2">
      <c r="E23" s="80"/>
      <c r="F23" s="47" t="s">
        <v>1873</v>
      </c>
      <c r="G23" s="15">
        <v>54</v>
      </c>
      <c r="H23" s="15">
        <v>3.5</v>
      </c>
      <c r="I23" s="15">
        <v>32</v>
      </c>
      <c r="J23" s="15">
        <v>1.9</v>
      </c>
      <c r="K23" s="15">
        <v>56</v>
      </c>
      <c r="L23" s="15">
        <v>3.3</v>
      </c>
      <c r="M23" s="15">
        <v>57</v>
      </c>
      <c r="N23" s="15">
        <v>3</v>
      </c>
      <c r="O23" s="15">
        <v>199</v>
      </c>
      <c r="P23" s="15">
        <v>2.9</v>
      </c>
    </row>
    <row r="24" spans="1:16" x14ac:dyDescent="0.2">
      <c r="E24" s="80"/>
      <c r="F24" s="47">
        <v>12550</v>
      </c>
      <c r="G24" s="15">
        <v>43</v>
      </c>
      <c r="H24" s="15">
        <v>6.4</v>
      </c>
      <c r="I24" s="15">
        <v>52</v>
      </c>
      <c r="J24" s="15">
        <v>7.8</v>
      </c>
      <c r="K24" s="15">
        <v>66</v>
      </c>
      <c r="L24" s="15">
        <v>9.6999999999999993</v>
      </c>
      <c r="M24" s="15">
        <v>84</v>
      </c>
      <c r="N24" s="15">
        <v>12.2</v>
      </c>
      <c r="O24" s="15">
        <v>245</v>
      </c>
      <c r="P24" s="15">
        <v>9</v>
      </c>
    </row>
    <row r="25" spans="1:16" x14ac:dyDescent="0.2">
      <c r="E25" s="80"/>
      <c r="F25" s="47">
        <v>12771</v>
      </c>
      <c r="G25" s="15">
        <v>13</v>
      </c>
      <c r="H25" s="15">
        <v>8.3000000000000007</v>
      </c>
      <c r="I25" s="15">
        <v>19</v>
      </c>
      <c r="J25" s="15">
        <v>13</v>
      </c>
      <c r="K25" s="15">
        <v>27</v>
      </c>
      <c r="L25" s="15">
        <v>17.399999999999999</v>
      </c>
      <c r="M25" s="15" t="s">
        <v>1031</v>
      </c>
      <c r="N25" s="15" t="s">
        <v>1031</v>
      </c>
      <c r="O25" s="15">
        <v>66</v>
      </c>
      <c r="P25" s="15">
        <v>11</v>
      </c>
    </row>
    <row r="26" spans="1:16" x14ac:dyDescent="0.2">
      <c r="E26" s="80"/>
    </row>
    <row r="27" spans="1:16" x14ac:dyDescent="0.2">
      <c r="A27" s="81"/>
      <c r="B27" s="80"/>
      <c r="E27" s="80"/>
      <c r="F27" s="15"/>
      <c r="G27" s="15"/>
      <c r="H27" s="15"/>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9:P9"/>
    <mergeCell ref="E5:E57"/>
    <mergeCell ref="O5:P5"/>
    <mergeCell ref="A9:B9"/>
    <mergeCell ref="F21:P21"/>
    <mergeCell ref="F16:P16"/>
    <mergeCell ref="A5:B5"/>
    <mergeCell ref="G5:H5"/>
    <mergeCell ref="K5:L5"/>
    <mergeCell ref="I5:J5"/>
    <mergeCell ref="M5:N5"/>
    <mergeCell ref="A18:B18"/>
    <mergeCell ref="A27:B27"/>
  </mergeCells>
  <dataValidations count="3">
    <dataValidation type="list" allowBlank="1" showInputMessage="1" showErrorMessage="1" sqref="B10" xr:uid="{00000000-0002-0000-9800-000000000000}">
      <formula1>"Line,Clustered Bar,Stacked Bar,Bar,Horizontal Stacked Bar"</formula1>
    </dataValidation>
    <dataValidation type="list" allowBlank="1" showInputMessage="1" showErrorMessage="1" sqref="B2" xr:uid="{00000000-0002-0000-9800-000001000000}">
      <formula1>"Table,Figure,Both"</formula1>
    </dataValidation>
    <dataValidation type="list" allowBlank="1" showInputMessage="1" showErrorMessage="1" sqref="B6 B15:B16" xr:uid="{00000000-0002-0000-9800-000002000000}">
      <formula1>"True,False"</formula1>
    </dataValidation>
  </dataValidation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487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tbl-late-no-pnc</v>
      </c>
    </row>
    <row r="4" spans="1:17" x14ac:dyDescent="0.2">
      <c r="A4" s="16" t="s">
        <v>7</v>
      </c>
      <c r="B4" t="str">
        <f>IF($B$1="","",_xlfn.XLOOKUP($B$1,Master!$F$2:$F$321,Master!$H$2:$H$321,""))</f>
        <v>fig-late-no-pnc</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1096</v>
      </c>
      <c r="G6" s="15">
        <v>5</v>
      </c>
      <c r="H6" s="15">
        <v>5.9</v>
      </c>
      <c r="I6" s="15">
        <v>7.3</v>
      </c>
      <c r="J6" s="15">
        <v>6.6</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1897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900-000000000000}">
      <formula1>"Line,Clustered Bar,Stacked Bar,Bar,Horizontal Stacked Bar"</formula1>
    </dataValidation>
    <dataValidation type="list" allowBlank="1" showInputMessage="1" showErrorMessage="1" sqref="B2" xr:uid="{00000000-0002-0000-9900-000001000000}">
      <formula1>"Table,Figure,Both"</formula1>
    </dataValidation>
    <dataValidation type="list" allowBlank="1" showInputMessage="1" showErrorMessage="1" sqref="B6 B15:B16" xr:uid="{00000000-0002-0000-9900-000002000000}">
      <formula1>"True,False"</formula1>
    </dataValidation>
  </dataValidation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490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tbl-late-no-pnc-rande</v>
      </c>
    </row>
    <row r="4" spans="1:17" x14ac:dyDescent="0.2">
      <c r="A4" s="16" t="s">
        <v>7</v>
      </c>
      <c r="B4" t="str">
        <f>IF($B$1="","",_xlfn.XLOOKUP($B$1,Master!$F$2:$F$321,Master!$H$2:$H$321,""))</f>
        <v>fig-late-no-pnc-rande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1289</v>
      </c>
      <c r="G5">
        <v>2020</v>
      </c>
      <c r="H5">
        <v>2021</v>
      </c>
      <c r="I5">
        <v>2022</v>
      </c>
      <c r="J5">
        <v>2023</v>
      </c>
    </row>
    <row r="6" spans="1:17" ht="15" customHeight="1" x14ac:dyDescent="0.2">
      <c r="A6" t="s">
        <v>1088</v>
      </c>
      <c r="B6" t="b">
        <v>0</v>
      </c>
      <c r="E6" s="80"/>
      <c r="F6" t="s">
        <v>1290</v>
      </c>
      <c r="G6" s="15">
        <v>4</v>
      </c>
      <c r="H6" s="15">
        <v>3.6</v>
      </c>
      <c r="I6" s="15">
        <v>4.5999999999999996</v>
      </c>
      <c r="J6" s="15">
        <v>4.0999999999999996</v>
      </c>
      <c r="K6" s="15"/>
      <c r="L6" s="15"/>
      <c r="M6" s="15"/>
      <c r="N6" s="15"/>
      <c r="O6" s="15"/>
    </row>
    <row r="7" spans="1:17" ht="15.75" customHeight="1" x14ac:dyDescent="0.2">
      <c r="E7" s="80"/>
      <c r="F7" t="s">
        <v>1235</v>
      </c>
      <c r="G7" s="15">
        <v>7.9</v>
      </c>
      <c r="H7" s="15">
        <v>9.1</v>
      </c>
      <c r="I7" s="15">
        <v>12.3</v>
      </c>
      <c r="J7" s="15">
        <v>11.5</v>
      </c>
      <c r="K7" s="15"/>
      <c r="L7" s="15"/>
      <c r="M7" s="15"/>
      <c r="N7" s="15"/>
      <c r="O7" s="15"/>
    </row>
    <row r="8" spans="1:17" x14ac:dyDescent="0.2">
      <c r="E8" s="80"/>
      <c r="F8" t="s">
        <v>1293</v>
      </c>
      <c r="G8" s="15">
        <v>5.8</v>
      </c>
      <c r="H8" s="15">
        <v>10.3</v>
      </c>
      <c r="I8" s="15">
        <v>11.5</v>
      </c>
      <c r="J8" s="15">
        <v>10.1</v>
      </c>
      <c r="K8" s="15"/>
      <c r="L8" s="15"/>
      <c r="M8" s="15"/>
      <c r="N8" s="15"/>
      <c r="O8" s="15"/>
    </row>
    <row r="9" spans="1:17" x14ac:dyDescent="0.2">
      <c r="A9" s="83" t="s">
        <v>1098</v>
      </c>
      <c r="B9" s="80"/>
      <c r="E9" s="80"/>
      <c r="F9" t="s">
        <v>1015</v>
      </c>
      <c r="G9" s="15">
        <v>9.1</v>
      </c>
      <c r="H9" s="15">
        <v>6.3</v>
      </c>
      <c r="I9" s="15">
        <v>10.6</v>
      </c>
      <c r="J9" s="15">
        <v>12.6</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1289</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1898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A00-000000000000}">
      <formula1>"Line,Clustered Bar,Stacked Bar,Bar,Horizontal Stacked Bar"</formula1>
    </dataValidation>
    <dataValidation type="list" allowBlank="1" showInputMessage="1" showErrorMessage="1" sqref="B2" xr:uid="{00000000-0002-0000-9A00-000001000000}">
      <formula1>"Table,Figure,Both"</formula1>
    </dataValidation>
    <dataValidation type="list" allowBlank="1" showInputMessage="1" showErrorMessage="1" sqref="B6 B15:B16" xr:uid="{00000000-0002-0000-9A00-000002000000}">
      <formula1>"True,False"</formula1>
    </dataValidation>
  </dataValidation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493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tbl-late-no-pnc-zip</v>
      </c>
    </row>
    <row r="4" spans="1:17" x14ac:dyDescent="0.2">
      <c r="A4" s="16" t="s">
        <v>7</v>
      </c>
      <c r="B4" t="str">
        <f>IF($B$1="","",_xlfn.XLOOKUP($B$1,Master!$F$2:$F$321,Master!$H$2:$H$321,""))</f>
        <v>fig-late-no-pnc-zip</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1715</v>
      </c>
      <c r="G5">
        <v>2020</v>
      </c>
      <c r="H5">
        <v>2021</v>
      </c>
      <c r="I5">
        <v>2022</v>
      </c>
      <c r="J5">
        <v>2023</v>
      </c>
    </row>
    <row r="6" spans="1:17" ht="15" customHeight="1" x14ac:dyDescent="0.2">
      <c r="A6" t="s">
        <v>1088</v>
      </c>
      <c r="B6" t="b">
        <v>0</v>
      </c>
      <c r="E6" s="80"/>
      <c r="F6" s="37">
        <v>10940</v>
      </c>
      <c r="G6" s="15">
        <v>5.9</v>
      </c>
      <c r="H6" s="15">
        <v>12.3</v>
      </c>
      <c r="I6" s="15">
        <v>14.6</v>
      </c>
      <c r="J6" s="15">
        <v>8.4</v>
      </c>
      <c r="K6" s="15"/>
      <c r="L6" s="15"/>
      <c r="M6" s="15"/>
      <c r="N6" s="15"/>
      <c r="O6" s="15"/>
    </row>
    <row r="7" spans="1:17" ht="15.75" customHeight="1" x14ac:dyDescent="0.2">
      <c r="E7" s="80"/>
      <c r="F7" s="37" t="s">
        <v>1873</v>
      </c>
      <c r="G7" s="15">
        <v>3.5</v>
      </c>
      <c r="H7" s="15">
        <v>1.9</v>
      </c>
      <c r="I7" s="15">
        <v>3.3</v>
      </c>
      <c r="J7" s="15">
        <v>3</v>
      </c>
      <c r="K7" s="15"/>
      <c r="L7" s="15"/>
      <c r="M7" s="15"/>
      <c r="N7" s="15"/>
      <c r="O7" s="15"/>
    </row>
    <row r="8" spans="1:17" x14ac:dyDescent="0.2">
      <c r="E8" s="80"/>
      <c r="F8" s="37">
        <v>12550</v>
      </c>
      <c r="G8" s="15">
        <v>6.4</v>
      </c>
      <c r="H8" s="15">
        <v>7.8</v>
      </c>
      <c r="I8" s="15">
        <v>9.6999999999999993</v>
      </c>
      <c r="J8" s="15">
        <v>12.2</v>
      </c>
      <c r="K8" s="15"/>
      <c r="L8" s="15"/>
      <c r="M8" s="15"/>
      <c r="N8" s="15"/>
      <c r="O8" s="15"/>
    </row>
    <row r="9" spans="1:17" x14ac:dyDescent="0.2">
      <c r="A9" s="83" t="s">
        <v>1098</v>
      </c>
      <c r="B9" s="80"/>
      <c r="E9" s="80"/>
      <c r="F9" s="37">
        <v>12771</v>
      </c>
      <c r="G9" s="15">
        <v>8.3000000000000007</v>
      </c>
      <c r="H9" s="15">
        <v>13</v>
      </c>
      <c r="I9" s="15">
        <v>17.399999999999999</v>
      </c>
      <c r="J9" s="15">
        <v>5.2</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1715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1899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B00-000000000000}">
      <formula1>"Line,Clustered Bar,Stacked Bar,Bar,Horizontal Stacked Bar"</formula1>
    </dataValidation>
    <dataValidation type="list" allowBlank="1" showInputMessage="1" showErrorMessage="1" sqref="B2" xr:uid="{00000000-0002-0000-9B00-000001000000}">
      <formula1>"Table,Figure,Both"</formula1>
    </dataValidation>
    <dataValidation type="list" allowBlank="1" showInputMessage="1" showErrorMessage="1" sqref="B6 B15:B16" xr:uid="{00000000-0002-0000-9B00-000002000000}">
      <formula1>"True,False"</formula1>
    </dataValidation>
  </dataValidation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496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tbl-adequate-pnc</v>
      </c>
    </row>
    <row r="4" spans="1:17" x14ac:dyDescent="0.2">
      <c r="A4" s="16" t="s">
        <v>7</v>
      </c>
      <c r="B4" t="str">
        <f>IF($B$1="","",_xlfn.XLOOKUP($B$1,Master!$F$2:$F$321,Master!$H$2:$H$321,""))</f>
        <v>fig-adequate-pnc</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2018</v>
      </c>
      <c r="H5">
        <v>2019</v>
      </c>
      <c r="I5">
        <v>2020</v>
      </c>
      <c r="J5">
        <v>2021</v>
      </c>
    </row>
    <row r="6" spans="1:17" ht="15" customHeight="1" x14ac:dyDescent="0.2">
      <c r="A6" t="s">
        <v>1088</v>
      </c>
      <c r="B6" t="b">
        <v>0</v>
      </c>
      <c r="E6" s="80"/>
      <c r="F6" t="s">
        <v>1297</v>
      </c>
      <c r="G6" s="15">
        <v>63.2</v>
      </c>
      <c r="H6" s="15">
        <v>65.5</v>
      </c>
      <c r="I6" s="15">
        <v>67.400000000000006</v>
      </c>
      <c r="J6" s="15">
        <v>66.099999999999994</v>
      </c>
      <c r="K6" s="15"/>
      <c r="L6" s="15"/>
      <c r="M6" s="15"/>
      <c r="N6" s="15"/>
      <c r="O6" s="15"/>
    </row>
    <row r="7" spans="1:17" ht="15.75" customHeight="1" x14ac:dyDescent="0.2">
      <c r="E7" s="80"/>
      <c r="F7" t="s">
        <v>1645</v>
      </c>
      <c r="G7" s="15">
        <v>73.8</v>
      </c>
      <c r="H7" s="15">
        <v>74.3</v>
      </c>
      <c r="I7" s="15">
        <v>72.8</v>
      </c>
      <c r="J7" s="15">
        <v>72.2</v>
      </c>
      <c r="K7" s="15"/>
      <c r="L7" s="15"/>
      <c r="M7" s="15"/>
      <c r="N7" s="15"/>
      <c r="O7" s="15"/>
    </row>
    <row r="8" spans="1:17" x14ac:dyDescent="0.2">
      <c r="E8" s="80"/>
      <c r="F8" t="s">
        <v>1298</v>
      </c>
      <c r="G8" s="15">
        <v>77.3</v>
      </c>
      <c r="H8" s="15">
        <v>78.2</v>
      </c>
      <c r="I8" s="15">
        <v>76.900000000000006</v>
      </c>
      <c r="J8" s="15">
        <v>78.2</v>
      </c>
      <c r="K8" s="15"/>
      <c r="L8" s="15"/>
      <c r="M8" s="15"/>
      <c r="N8" s="15"/>
      <c r="O8" s="15"/>
    </row>
    <row r="9" spans="1:17" x14ac:dyDescent="0.2">
      <c r="A9" s="83" t="s">
        <v>1098</v>
      </c>
      <c r="B9" s="80"/>
      <c r="E9" s="80"/>
      <c r="F9" t="s">
        <v>1299</v>
      </c>
      <c r="G9" s="15">
        <v>75.2</v>
      </c>
      <c r="H9" s="15">
        <v>76</v>
      </c>
      <c r="I9" s="15">
        <v>74.099999999999994</v>
      </c>
      <c r="J9" s="15">
        <v>75.3</v>
      </c>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1755</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1900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C00-000000000000}">
      <formula1>"Line,Clustered Bar,Stacked Bar,Bar,Horizontal Stacked Bar"</formula1>
    </dataValidation>
    <dataValidation type="list" allowBlank="1" showInputMessage="1" showErrorMessage="1" sqref="B2" xr:uid="{00000000-0002-0000-9C00-000001000000}">
      <formula1>"Table,Figure,Both"</formula1>
    </dataValidation>
    <dataValidation type="list" allowBlank="1" showInputMessage="1" showErrorMessage="1" sqref="B6 B15:B16" xr:uid="{00000000-0002-0000-9C00-000002000000}">
      <formula1>"True,False"</formula1>
    </dataValidation>
  </dataValidation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499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tbl-premature-birth-age-rande-zip</v>
      </c>
    </row>
    <row r="4" spans="1:17" x14ac:dyDescent="0.2">
      <c r="A4" s="16" t="s">
        <v>7</v>
      </c>
      <c r="B4" t="str">
        <f>IF($B$1="","",_xlfn.XLOOKUP($B$1,Master!$F$2:$F$321,Master!$H$2:$H$321,""))</f>
        <v>fig-premature-birth-age-rande-zip</v>
      </c>
      <c r="E4" s="8"/>
      <c r="F4" s="10" t="s">
        <v>1009</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G5" s="81">
        <v>2020</v>
      </c>
      <c r="H5" s="80"/>
      <c r="I5" s="81">
        <v>2021</v>
      </c>
      <c r="J5" s="80"/>
      <c r="K5" s="81">
        <v>2022</v>
      </c>
      <c r="L5" s="80"/>
      <c r="M5" s="81">
        <v>2023</v>
      </c>
      <c r="N5" s="80"/>
      <c r="O5" s="81" t="s">
        <v>1271</v>
      </c>
      <c r="P5" s="80"/>
    </row>
    <row r="6" spans="1:17" ht="15" customHeight="1" x14ac:dyDescent="0.2">
      <c r="A6" t="s">
        <v>1088</v>
      </c>
      <c r="B6" t="b">
        <v>1</v>
      </c>
      <c r="E6" s="80"/>
      <c r="G6" s="15" t="s">
        <v>1864</v>
      </c>
      <c r="H6" s="15" t="s">
        <v>1865</v>
      </c>
      <c r="I6" s="15" t="s">
        <v>1864</v>
      </c>
      <c r="J6" s="15" t="s">
        <v>1865</v>
      </c>
      <c r="K6" s="15" t="s">
        <v>1864</v>
      </c>
      <c r="L6" s="15" t="s">
        <v>1865</v>
      </c>
      <c r="M6" s="15" t="s">
        <v>1864</v>
      </c>
      <c r="N6" s="15" t="s">
        <v>1865</v>
      </c>
      <c r="O6" s="15" t="s">
        <v>1864</v>
      </c>
      <c r="P6" s="15" t="s">
        <v>1866</v>
      </c>
    </row>
    <row r="7" spans="1:17" ht="15.75" customHeight="1" x14ac:dyDescent="0.2">
      <c r="E7" s="80"/>
      <c r="F7" t="s">
        <v>1867</v>
      </c>
      <c r="G7" s="15">
        <v>4808</v>
      </c>
      <c r="H7" s="15">
        <v>100</v>
      </c>
      <c r="I7" s="15">
        <v>5125</v>
      </c>
      <c r="J7" s="15">
        <v>100</v>
      </c>
      <c r="K7" s="15">
        <v>4965</v>
      </c>
      <c r="L7" s="15">
        <v>100</v>
      </c>
      <c r="M7" s="15">
        <v>5253</v>
      </c>
      <c r="N7" s="15">
        <v>100</v>
      </c>
      <c r="O7" s="15">
        <v>20151</v>
      </c>
      <c r="P7" s="15">
        <v>100</v>
      </c>
    </row>
    <row r="8" spans="1:17" x14ac:dyDescent="0.2">
      <c r="E8" s="80"/>
      <c r="F8" t="s">
        <v>1901</v>
      </c>
      <c r="G8" s="15">
        <v>409</v>
      </c>
      <c r="H8" s="15">
        <v>8.5</v>
      </c>
      <c r="I8" s="15">
        <v>375</v>
      </c>
      <c r="J8" s="15">
        <v>7.3</v>
      </c>
      <c r="K8" s="15">
        <v>387</v>
      </c>
      <c r="L8" s="15">
        <v>7.8</v>
      </c>
      <c r="M8" s="15">
        <v>420</v>
      </c>
      <c r="N8" s="15">
        <v>8</v>
      </c>
      <c r="O8" s="15">
        <v>1591</v>
      </c>
      <c r="P8" s="15">
        <v>7.9</v>
      </c>
    </row>
    <row r="9" spans="1:17" x14ac:dyDescent="0.2">
      <c r="A9" s="83" t="s">
        <v>1098</v>
      </c>
      <c r="B9" s="80"/>
      <c r="E9" s="80"/>
      <c r="F9" s="91" t="s">
        <v>1276</v>
      </c>
      <c r="G9" s="80"/>
      <c r="H9" s="80"/>
      <c r="I9" s="80"/>
      <c r="J9" s="80"/>
      <c r="K9" s="80"/>
      <c r="L9" s="80"/>
      <c r="M9" s="80"/>
      <c r="N9" s="80"/>
      <c r="O9" s="80"/>
      <c r="P9" s="80"/>
    </row>
    <row r="10" spans="1:17" x14ac:dyDescent="0.2">
      <c r="A10" t="s">
        <v>1100</v>
      </c>
      <c r="E10" s="80"/>
      <c r="F10" s="49" t="s">
        <v>1869</v>
      </c>
      <c r="G10" s="15">
        <v>0</v>
      </c>
      <c r="H10" s="15">
        <v>0</v>
      </c>
      <c r="I10" s="15">
        <v>0</v>
      </c>
      <c r="J10" s="17">
        <v>0</v>
      </c>
      <c r="K10" s="17">
        <v>0</v>
      </c>
      <c r="L10" s="17">
        <v>0</v>
      </c>
      <c r="M10" s="17" t="s">
        <v>1031</v>
      </c>
      <c r="N10" s="17" t="s">
        <v>1031</v>
      </c>
      <c r="O10" s="15" t="s">
        <v>1031</v>
      </c>
      <c r="P10" s="15" t="s">
        <v>1031</v>
      </c>
    </row>
    <row r="11" spans="1:17" x14ac:dyDescent="0.2">
      <c r="A11" t="s">
        <v>1102</v>
      </c>
      <c r="E11" s="80"/>
      <c r="F11" s="48" t="s">
        <v>1870</v>
      </c>
      <c r="G11" s="17" t="s">
        <v>1031</v>
      </c>
      <c r="H11" s="17" t="s">
        <v>1031</v>
      </c>
      <c r="I11" s="15" t="s">
        <v>1031</v>
      </c>
      <c r="J11" s="15" t="s">
        <v>1031</v>
      </c>
      <c r="K11" s="15" t="s">
        <v>1031</v>
      </c>
      <c r="L11" s="15" t="s">
        <v>1031</v>
      </c>
      <c r="M11" s="15" t="s">
        <v>1031</v>
      </c>
      <c r="N11" s="15" t="s">
        <v>1031</v>
      </c>
      <c r="O11" s="15" t="s">
        <v>1031</v>
      </c>
      <c r="P11" s="15" t="s">
        <v>1031</v>
      </c>
    </row>
    <row r="12" spans="1:17" x14ac:dyDescent="0.2">
      <c r="A12" t="s">
        <v>1104</v>
      </c>
      <c r="E12" s="80"/>
      <c r="F12" s="47" t="s">
        <v>1876</v>
      </c>
      <c r="G12" s="15" t="s">
        <v>1031</v>
      </c>
      <c r="H12" s="15" t="s">
        <v>1031</v>
      </c>
      <c r="I12" s="15" t="s">
        <v>1031</v>
      </c>
      <c r="J12" s="15" t="s">
        <v>1031</v>
      </c>
      <c r="K12" s="15" t="s">
        <v>1031</v>
      </c>
      <c r="L12" s="15" t="s">
        <v>1031</v>
      </c>
      <c r="M12" s="15">
        <v>13</v>
      </c>
      <c r="N12" s="15">
        <v>10</v>
      </c>
      <c r="O12" s="15">
        <v>36</v>
      </c>
      <c r="P12" s="15">
        <v>7.4</v>
      </c>
    </row>
    <row r="13" spans="1:17" x14ac:dyDescent="0.2">
      <c r="A13" t="s">
        <v>1108</v>
      </c>
      <c r="E13" s="80"/>
      <c r="F13" s="47" t="s">
        <v>1701</v>
      </c>
      <c r="G13" s="15">
        <v>64</v>
      </c>
      <c r="H13" s="15">
        <v>6.7</v>
      </c>
      <c r="I13" s="15">
        <v>53</v>
      </c>
      <c r="J13" s="15">
        <v>5.4</v>
      </c>
      <c r="K13" s="15">
        <v>60</v>
      </c>
      <c r="L13" s="15">
        <v>6</v>
      </c>
      <c r="M13" s="15">
        <v>67</v>
      </c>
      <c r="N13" s="15">
        <v>6.1</v>
      </c>
      <c r="O13" s="15">
        <v>244</v>
      </c>
      <c r="P13" s="15">
        <v>6.1</v>
      </c>
    </row>
    <row r="14" spans="1:17" x14ac:dyDescent="0.2">
      <c r="A14" t="s">
        <v>1112</v>
      </c>
      <c r="E14" s="80"/>
      <c r="F14" s="47" t="s">
        <v>1861</v>
      </c>
      <c r="G14" s="15">
        <v>333</v>
      </c>
      <c r="H14" s="15">
        <v>9</v>
      </c>
      <c r="I14" s="15">
        <v>313</v>
      </c>
      <c r="J14" s="15">
        <v>7.9</v>
      </c>
      <c r="K14" s="15">
        <v>317</v>
      </c>
      <c r="L14" s="15">
        <v>8.4</v>
      </c>
      <c r="M14" s="15">
        <v>333</v>
      </c>
      <c r="N14" s="15">
        <v>8.4</v>
      </c>
      <c r="O14" s="15">
        <v>1296</v>
      </c>
      <c r="P14" s="15">
        <v>8.4</v>
      </c>
    </row>
    <row r="15" spans="1:17" x14ac:dyDescent="0.2">
      <c r="A15" t="s">
        <v>1114</v>
      </c>
      <c r="E15" s="80"/>
      <c r="F15" s="47" t="s">
        <v>1877</v>
      </c>
      <c r="G15" s="15" t="s">
        <v>1031</v>
      </c>
      <c r="H15" s="15" t="s">
        <v>1031</v>
      </c>
      <c r="I15" s="15" t="s">
        <v>1031</v>
      </c>
      <c r="J15" s="15" t="s">
        <v>1031</v>
      </c>
      <c r="K15" s="15">
        <v>0</v>
      </c>
      <c r="L15" s="15">
        <v>0</v>
      </c>
      <c r="M15" s="15" t="s">
        <v>1031</v>
      </c>
      <c r="N15" s="15" t="s">
        <v>1031</v>
      </c>
      <c r="O15" s="15" t="s">
        <v>1031</v>
      </c>
      <c r="P15" s="15" t="s">
        <v>1031</v>
      </c>
    </row>
    <row r="16" spans="1:17" x14ac:dyDescent="0.2">
      <c r="A16" t="s">
        <v>1116</v>
      </c>
      <c r="E16" s="80"/>
      <c r="F16" s="91" t="s">
        <v>1289</v>
      </c>
      <c r="G16" s="80"/>
      <c r="H16" s="80"/>
      <c r="I16" s="80"/>
      <c r="J16" s="80"/>
      <c r="K16" s="80"/>
      <c r="L16" s="80"/>
      <c r="M16" s="80"/>
      <c r="N16" s="80"/>
      <c r="O16" s="80"/>
      <c r="P16" s="80"/>
    </row>
    <row r="17" spans="1:16" x14ac:dyDescent="0.2">
      <c r="E17" s="80"/>
      <c r="F17" s="47" t="s">
        <v>1290</v>
      </c>
      <c r="G17" s="15">
        <v>183</v>
      </c>
      <c r="H17" s="15">
        <v>6.2</v>
      </c>
      <c r="I17" s="15">
        <v>185</v>
      </c>
      <c r="J17" s="15">
        <v>6</v>
      </c>
      <c r="K17" s="15">
        <v>189</v>
      </c>
      <c r="L17" s="15">
        <v>6.2</v>
      </c>
      <c r="M17" s="15">
        <v>199</v>
      </c>
      <c r="N17" s="15">
        <v>6.1</v>
      </c>
      <c r="O17" s="15">
        <v>756</v>
      </c>
      <c r="P17" s="15">
        <v>6.1</v>
      </c>
    </row>
    <row r="18" spans="1:16" x14ac:dyDescent="0.2">
      <c r="A18" s="83" t="s">
        <v>1119</v>
      </c>
      <c r="B18" s="80"/>
      <c r="E18" s="80"/>
      <c r="F18" s="47" t="s">
        <v>1235</v>
      </c>
      <c r="G18" s="15">
        <v>56</v>
      </c>
      <c r="H18" s="15">
        <v>14.4</v>
      </c>
      <c r="I18" s="15">
        <v>59</v>
      </c>
      <c r="J18" s="15">
        <v>14.9</v>
      </c>
      <c r="K18" s="15">
        <v>48</v>
      </c>
      <c r="L18" s="15">
        <v>11.8</v>
      </c>
      <c r="M18" s="15">
        <v>48</v>
      </c>
      <c r="N18" s="15">
        <v>13.8</v>
      </c>
      <c r="O18" s="15">
        <v>211</v>
      </c>
      <c r="P18" s="15">
        <v>13.7</v>
      </c>
    </row>
    <row r="19" spans="1:16" x14ac:dyDescent="0.2">
      <c r="A19" t="s">
        <v>1121</v>
      </c>
      <c r="B19" t="s">
        <v>1287</v>
      </c>
      <c r="E19" s="80"/>
      <c r="F19" s="47" t="s">
        <v>1293</v>
      </c>
      <c r="G19" s="15">
        <v>144</v>
      </c>
      <c r="H19" s="15">
        <v>12</v>
      </c>
      <c r="I19" s="15">
        <v>116</v>
      </c>
      <c r="J19" s="15">
        <v>8.9</v>
      </c>
      <c r="K19" s="15">
        <v>131</v>
      </c>
      <c r="L19" s="15">
        <v>10.1</v>
      </c>
      <c r="M19" s="15">
        <v>150</v>
      </c>
      <c r="N19" s="15">
        <v>10.4</v>
      </c>
      <c r="O19" s="15">
        <v>541</v>
      </c>
      <c r="P19" s="15">
        <v>10.4</v>
      </c>
    </row>
    <row r="20" spans="1:16" x14ac:dyDescent="0.2">
      <c r="E20" s="80"/>
      <c r="F20" s="47" t="s">
        <v>1015</v>
      </c>
      <c r="G20" s="15">
        <v>26</v>
      </c>
      <c r="H20" s="15">
        <v>10.8</v>
      </c>
      <c r="I20" s="15">
        <v>15</v>
      </c>
      <c r="J20" s="15">
        <v>4.0999999999999996</v>
      </c>
      <c r="K20" s="15">
        <v>19</v>
      </c>
      <c r="L20" s="15">
        <v>8.4</v>
      </c>
      <c r="M20" s="15">
        <v>23</v>
      </c>
      <c r="N20" s="15">
        <v>10.3</v>
      </c>
      <c r="O20" s="15">
        <v>83</v>
      </c>
      <c r="P20" s="15">
        <v>8.4</v>
      </c>
    </row>
    <row r="21" spans="1:16" x14ac:dyDescent="0.2">
      <c r="A21" s="81" t="s">
        <v>1125</v>
      </c>
      <c r="B21" s="80"/>
      <c r="E21" s="80"/>
      <c r="F21" s="91" t="s">
        <v>1294</v>
      </c>
      <c r="G21" s="80"/>
      <c r="H21" s="80"/>
      <c r="I21" s="80"/>
      <c r="J21" s="80"/>
      <c r="K21" s="80"/>
      <c r="L21" s="80"/>
      <c r="M21" s="80"/>
      <c r="N21" s="80"/>
      <c r="O21" s="80"/>
      <c r="P21" s="80"/>
    </row>
    <row r="22" spans="1:16" x14ac:dyDescent="0.2">
      <c r="A22" t="s">
        <v>1135</v>
      </c>
      <c r="B22" t="s">
        <v>1902</v>
      </c>
      <c r="E22" s="80"/>
      <c r="F22" s="47">
        <v>10940</v>
      </c>
      <c r="G22" s="15">
        <v>86</v>
      </c>
      <c r="H22" s="15">
        <v>15</v>
      </c>
      <c r="I22" s="15">
        <v>61</v>
      </c>
      <c r="J22" s="15">
        <v>10.6</v>
      </c>
      <c r="K22" s="15">
        <v>56</v>
      </c>
      <c r="L22" s="15">
        <v>10.199999999999999</v>
      </c>
      <c r="M22" s="15">
        <v>75</v>
      </c>
      <c r="N22" s="15">
        <v>12.4</v>
      </c>
      <c r="O22" s="15">
        <v>278</v>
      </c>
      <c r="P22" s="15">
        <v>12.1</v>
      </c>
    </row>
    <row r="23" spans="1:16" x14ac:dyDescent="0.2">
      <c r="E23" s="80"/>
      <c r="F23" s="47" t="s">
        <v>1873</v>
      </c>
      <c r="G23" s="15">
        <v>50</v>
      </c>
      <c r="H23" s="15">
        <v>3.3</v>
      </c>
      <c r="I23" s="15">
        <v>46</v>
      </c>
      <c r="J23" s="15">
        <v>2.7</v>
      </c>
      <c r="K23" s="15">
        <v>59</v>
      </c>
      <c r="L23" s="15">
        <v>3.5</v>
      </c>
      <c r="M23" s="15">
        <v>71</v>
      </c>
      <c r="N23" s="15">
        <v>3.8</v>
      </c>
      <c r="O23" s="15">
        <v>226</v>
      </c>
      <c r="P23" s="15">
        <v>3.3</v>
      </c>
    </row>
    <row r="24" spans="1:16" x14ac:dyDescent="0.2">
      <c r="E24" s="80"/>
      <c r="F24" s="47">
        <v>12550</v>
      </c>
      <c r="G24" s="15">
        <v>75</v>
      </c>
      <c r="H24" s="15">
        <v>11.2</v>
      </c>
      <c r="I24" s="15">
        <v>70</v>
      </c>
      <c r="J24" s="15">
        <v>10.5</v>
      </c>
      <c r="K24" s="15">
        <v>61</v>
      </c>
      <c r="L24" s="15">
        <v>9</v>
      </c>
      <c r="M24" s="15">
        <v>82</v>
      </c>
      <c r="N24" s="15">
        <v>11.9</v>
      </c>
      <c r="O24" s="15">
        <v>288</v>
      </c>
      <c r="P24" s="15">
        <v>10.6</v>
      </c>
    </row>
    <row r="25" spans="1:16" x14ac:dyDescent="0.2">
      <c r="E25" s="80"/>
      <c r="F25" s="47">
        <v>12771</v>
      </c>
      <c r="G25" s="15">
        <v>16</v>
      </c>
      <c r="H25" s="15">
        <v>10.3</v>
      </c>
      <c r="I25" s="15">
        <v>19</v>
      </c>
      <c r="J25" s="15">
        <v>13</v>
      </c>
      <c r="K25" s="15">
        <v>31</v>
      </c>
      <c r="L25" s="15">
        <v>20</v>
      </c>
      <c r="M25" s="15">
        <v>15</v>
      </c>
      <c r="N25" s="15">
        <v>11.2</v>
      </c>
      <c r="O25" s="15">
        <v>81</v>
      </c>
      <c r="P25" s="15">
        <v>13.6</v>
      </c>
    </row>
    <row r="26" spans="1:16" x14ac:dyDescent="0.2">
      <c r="E26" s="80"/>
    </row>
    <row r="27" spans="1:16" x14ac:dyDescent="0.2">
      <c r="A27" s="81"/>
      <c r="B27" s="80"/>
      <c r="E27" s="80"/>
      <c r="F27" s="15"/>
      <c r="G27" s="15"/>
      <c r="H27" s="15"/>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9:P9"/>
    <mergeCell ref="E5:E57"/>
    <mergeCell ref="O5:P5"/>
    <mergeCell ref="A9:B9"/>
    <mergeCell ref="F21:P21"/>
    <mergeCell ref="F16:P16"/>
    <mergeCell ref="A5:B5"/>
    <mergeCell ref="G5:H5"/>
    <mergeCell ref="K5:L5"/>
    <mergeCell ref="I5:J5"/>
    <mergeCell ref="M5:N5"/>
    <mergeCell ref="A18:B18"/>
    <mergeCell ref="A27:B27"/>
  </mergeCells>
  <dataValidations count="3">
    <dataValidation type="list" allowBlank="1" showInputMessage="1" showErrorMessage="1" sqref="B10" xr:uid="{00000000-0002-0000-9D00-000000000000}">
      <formula1>"Line,Clustered Bar,Stacked Bar,Bar,Horizontal Stacked Bar"</formula1>
    </dataValidation>
    <dataValidation type="list" allowBlank="1" showInputMessage="1" showErrorMessage="1" sqref="B2" xr:uid="{00000000-0002-0000-9D00-000001000000}">
      <formula1>"Table,Figure,Both"</formula1>
    </dataValidation>
    <dataValidation type="list" allowBlank="1" showInputMessage="1" showErrorMessage="1" sqref="B6 B15:B16" xr:uid="{00000000-0002-0000-9D00-000002000000}">
      <formula1>"True,False"</formula1>
    </dataValidation>
  </dataValidation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502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tbl-premature-birth</v>
      </c>
    </row>
    <row r="4" spans="1:17" x14ac:dyDescent="0.2">
      <c r="A4" s="16" t="s">
        <v>7</v>
      </c>
      <c r="B4" t="str">
        <f>IF($B$1="","",_xlfn.XLOOKUP($B$1,Master!$F$2:$F$321,Master!$H$2:$H$321,""))</f>
        <v>fig-premature-birth</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s="34" t="s">
        <v>1391</v>
      </c>
      <c r="G5">
        <v>2020</v>
      </c>
      <c r="H5">
        <v>2021</v>
      </c>
      <c r="I5">
        <v>2022</v>
      </c>
      <c r="J5">
        <v>2023</v>
      </c>
    </row>
    <row r="6" spans="1:17" ht="15" customHeight="1" x14ac:dyDescent="0.2">
      <c r="A6" t="s">
        <v>1088</v>
      </c>
      <c r="B6" t="b">
        <v>0</v>
      </c>
      <c r="E6" s="80"/>
      <c r="F6" t="s">
        <v>1096</v>
      </c>
      <c r="G6" s="15">
        <v>8.5</v>
      </c>
      <c r="H6" s="15">
        <v>7.3</v>
      </c>
      <c r="I6" s="15">
        <v>7.8</v>
      </c>
      <c r="J6" s="15">
        <v>8</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1903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E00-000000000000}">
      <formula1>"Line,Clustered Bar,Stacked Bar,Bar,Horizontal Stacked Bar"</formula1>
    </dataValidation>
    <dataValidation type="list" allowBlank="1" showInputMessage="1" showErrorMessage="1" sqref="B2" xr:uid="{00000000-0002-0000-9E00-000001000000}">
      <formula1>"Table,Figure,Both"</formula1>
    </dataValidation>
    <dataValidation type="list" allowBlank="1" showInputMessage="1" showErrorMessage="1" sqref="B6 B15:B16" xr:uid="{00000000-0002-0000-9E00-000002000000}">
      <formula1>"True,False"</formula1>
    </dataValidation>
  </dataValidation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505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tbl-premature-birth-rande</v>
      </c>
    </row>
    <row r="4" spans="1:17" x14ac:dyDescent="0.2">
      <c r="A4" s="16" t="s">
        <v>7</v>
      </c>
      <c r="B4" t="str">
        <f>IF($B$1="","",_xlfn.XLOOKUP($B$1,Master!$F$2:$F$321,Master!$H$2:$H$321,""))</f>
        <v>fig-premature-birth-rande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s="34" t="s">
        <v>1391</v>
      </c>
      <c r="G5" t="s">
        <v>1089</v>
      </c>
      <c r="H5" t="s">
        <v>1290</v>
      </c>
      <c r="I5" t="s">
        <v>1292</v>
      </c>
      <c r="J5" t="s">
        <v>1296</v>
      </c>
      <c r="K5" t="s">
        <v>1293</v>
      </c>
    </row>
    <row r="6" spans="1:17" ht="15" customHeight="1" x14ac:dyDescent="0.2">
      <c r="A6" t="s">
        <v>1088</v>
      </c>
      <c r="B6" t="b">
        <v>0</v>
      </c>
      <c r="E6" s="80"/>
      <c r="F6" t="s">
        <v>1297</v>
      </c>
      <c r="G6" s="15">
        <v>8.4</v>
      </c>
      <c r="H6" s="15">
        <v>6.7</v>
      </c>
      <c r="I6" s="15">
        <v>14.9</v>
      </c>
      <c r="J6" s="15">
        <v>8.6999999999999993</v>
      </c>
      <c r="K6" s="15">
        <v>10.5</v>
      </c>
      <c r="L6" s="15"/>
      <c r="M6" s="15"/>
      <c r="N6" s="15"/>
      <c r="O6" s="15"/>
    </row>
    <row r="7" spans="1:17" ht="15.75" customHeight="1" x14ac:dyDescent="0.2">
      <c r="E7" s="80"/>
      <c r="F7" t="s">
        <v>1298</v>
      </c>
      <c r="G7" s="15">
        <v>9.5</v>
      </c>
      <c r="H7" s="15">
        <v>8.5</v>
      </c>
      <c r="I7" s="15">
        <v>13.9</v>
      </c>
      <c r="J7" s="15">
        <v>9.1</v>
      </c>
      <c r="K7" s="15">
        <v>10.3</v>
      </c>
      <c r="L7" s="15"/>
      <c r="M7" s="15"/>
      <c r="N7" s="15"/>
      <c r="O7" s="15"/>
    </row>
    <row r="8" spans="1:17" x14ac:dyDescent="0.2">
      <c r="E8" s="80"/>
      <c r="F8" t="s">
        <v>1299</v>
      </c>
      <c r="G8" s="15">
        <v>9.5</v>
      </c>
      <c r="H8" s="15">
        <v>7.9</v>
      </c>
      <c r="I8" s="15">
        <v>13.7</v>
      </c>
      <c r="J8" s="15">
        <v>8.9</v>
      </c>
      <c r="K8" s="15">
        <v>10.4</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1889</v>
      </c>
      <c r="E19" s="80"/>
    </row>
    <row r="20" spans="1:11" x14ac:dyDescent="0.2">
      <c r="E20" s="80"/>
      <c r="F20" s="15"/>
      <c r="G20" s="15"/>
      <c r="H20" s="15"/>
    </row>
    <row r="21" spans="1:11" x14ac:dyDescent="0.2">
      <c r="A21" s="81"/>
      <c r="B21" s="80"/>
      <c r="E21" s="80"/>
      <c r="F21" s="15"/>
      <c r="G21" s="15"/>
      <c r="H21" s="15"/>
    </row>
    <row r="22" spans="1:11" x14ac:dyDescent="0.2">
      <c r="A22" t="s">
        <v>1135</v>
      </c>
      <c r="B22" t="s">
        <v>1904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9F00-000000000000}">
      <formula1>"Line,Clustered Bar,Stacked Bar,Bar,Horizontal Stacked Bar"</formula1>
    </dataValidation>
    <dataValidation type="list" allowBlank="1" showInputMessage="1" showErrorMessage="1" sqref="B2" xr:uid="{00000000-0002-0000-9F00-000001000000}">
      <formula1>"Table,Figure,Both"</formula1>
    </dataValidation>
    <dataValidation type="list" allowBlank="1" showInputMessage="1" showErrorMessage="1" sqref="B6 B15:B16" xr:uid="{00000000-0002-0000-9F00-000002000000}">
      <formula1>"True,False"</formula1>
    </dataValidation>
  </dataValidation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13.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508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tbl-lbw-age-rande-zip</v>
      </c>
    </row>
    <row r="4" spans="1:17" x14ac:dyDescent="0.2">
      <c r="A4" s="16" t="s">
        <v>7</v>
      </c>
      <c r="B4" t="str">
        <f>IF($B$1="","",_xlfn.XLOOKUP($B$1,Master!$F$2:$F$321,Master!$H$2:$H$321,""))</f>
        <v>fig-lbw-age-rande-zip</v>
      </c>
      <c r="E4" s="8"/>
      <c r="F4" s="10" t="s">
        <v>1009</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G5" s="81">
        <v>2020</v>
      </c>
      <c r="H5" s="80"/>
      <c r="I5" s="81">
        <v>2021</v>
      </c>
      <c r="J5" s="80"/>
      <c r="K5" s="81">
        <v>2022</v>
      </c>
      <c r="L5" s="80"/>
      <c r="M5" s="81">
        <v>2023</v>
      </c>
      <c r="N5" s="80"/>
      <c r="O5" s="81" t="s">
        <v>1271</v>
      </c>
      <c r="P5" s="80"/>
    </row>
    <row r="6" spans="1:17" x14ac:dyDescent="0.2">
      <c r="A6" t="s">
        <v>1088</v>
      </c>
      <c r="B6" t="b">
        <v>1</v>
      </c>
      <c r="E6" s="80"/>
      <c r="F6" s="37"/>
      <c r="G6" s="15" t="s">
        <v>1864</v>
      </c>
      <c r="H6" s="15" t="s">
        <v>1865</v>
      </c>
      <c r="I6" s="15" t="s">
        <v>1864</v>
      </c>
      <c r="J6" s="15" t="s">
        <v>1865</v>
      </c>
      <c r="K6" s="15" t="s">
        <v>1864</v>
      </c>
      <c r="L6" s="15" t="s">
        <v>1865</v>
      </c>
      <c r="M6" s="15" t="s">
        <v>1864</v>
      </c>
      <c r="N6" s="15" t="s">
        <v>1865</v>
      </c>
      <c r="O6" s="15" t="s">
        <v>1864</v>
      </c>
      <c r="P6" s="15" t="s">
        <v>1866</v>
      </c>
    </row>
    <row r="7" spans="1:17" ht="15.75" customHeight="1" x14ac:dyDescent="0.2">
      <c r="E7" s="80"/>
      <c r="F7" s="37" t="s">
        <v>1867</v>
      </c>
      <c r="G7" s="15">
        <v>4808</v>
      </c>
      <c r="H7" s="15">
        <v>100</v>
      </c>
      <c r="I7" s="15">
        <v>5125</v>
      </c>
      <c r="J7" s="15">
        <v>100</v>
      </c>
      <c r="K7" s="15">
        <v>4965</v>
      </c>
      <c r="L7" s="15">
        <v>100</v>
      </c>
      <c r="M7" s="15">
        <v>5253</v>
      </c>
      <c r="N7" s="15">
        <v>100</v>
      </c>
      <c r="O7" s="15">
        <v>20151</v>
      </c>
      <c r="P7" s="15">
        <v>100</v>
      </c>
    </row>
    <row r="8" spans="1:17" x14ac:dyDescent="0.2">
      <c r="E8" s="80"/>
      <c r="F8" s="37" t="s">
        <v>1905</v>
      </c>
      <c r="G8" s="15">
        <v>331</v>
      </c>
      <c r="H8" s="15">
        <v>6.9</v>
      </c>
      <c r="I8" s="15">
        <v>318</v>
      </c>
      <c r="J8" s="17">
        <v>6.2</v>
      </c>
      <c r="K8" s="17">
        <v>341</v>
      </c>
      <c r="L8" s="17">
        <v>6.9</v>
      </c>
      <c r="M8" s="17">
        <v>346</v>
      </c>
      <c r="N8" s="17">
        <v>6.6</v>
      </c>
      <c r="O8" s="15">
        <v>1336</v>
      </c>
      <c r="P8" s="15">
        <v>6.6</v>
      </c>
    </row>
    <row r="9" spans="1:17" x14ac:dyDescent="0.2">
      <c r="A9" s="83" t="s">
        <v>1098</v>
      </c>
      <c r="B9" s="80"/>
      <c r="E9" s="80"/>
      <c r="F9" s="94" t="s">
        <v>1276</v>
      </c>
      <c r="G9" s="80"/>
      <c r="H9" s="80"/>
      <c r="I9" s="80"/>
      <c r="J9" s="80"/>
      <c r="K9" s="80"/>
      <c r="L9" s="80"/>
      <c r="M9" s="80"/>
      <c r="N9" s="80"/>
      <c r="O9" s="80"/>
      <c r="P9" s="80"/>
    </row>
    <row r="10" spans="1:17" x14ac:dyDescent="0.2">
      <c r="A10" t="s">
        <v>1100</v>
      </c>
      <c r="E10" s="80"/>
      <c r="F10" s="49" t="s">
        <v>1869</v>
      </c>
      <c r="G10" s="15">
        <v>0</v>
      </c>
      <c r="H10" s="15">
        <v>0</v>
      </c>
      <c r="I10" s="15">
        <v>0</v>
      </c>
      <c r="J10" s="15">
        <v>0</v>
      </c>
      <c r="K10" s="15">
        <v>0</v>
      </c>
      <c r="L10" s="15">
        <v>0</v>
      </c>
      <c r="M10" s="15">
        <v>0</v>
      </c>
      <c r="N10" s="15">
        <v>0</v>
      </c>
      <c r="O10" s="15">
        <v>0</v>
      </c>
      <c r="P10" s="15">
        <v>0</v>
      </c>
    </row>
    <row r="11" spans="1:17" x14ac:dyDescent="0.2">
      <c r="A11" t="s">
        <v>1102</v>
      </c>
      <c r="E11" s="80"/>
      <c r="F11" s="47" t="s">
        <v>1870</v>
      </c>
      <c r="G11" s="15" t="s">
        <v>1031</v>
      </c>
      <c r="H11" s="15" t="s">
        <v>1031</v>
      </c>
      <c r="I11" s="15" t="s">
        <v>1031</v>
      </c>
      <c r="J11" s="15" t="s">
        <v>1031</v>
      </c>
      <c r="K11" s="15" t="s">
        <v>1031</v>
      </c>
      <c r="L11" s="15" t="s">
        <v>1031</v>
      </c>
      <c r="M11" s="15" t="s">
        <v>1031</v>
      </c>
      <c r="N11" s="15" t="s">
        <v>1031</v>
      </c>
      <c r="O11" s="15" t="s">
        <v>1031</v>
      </c>
      <c r="P11" s="15" t="s">
        <v>1031</v>
      </c>
    </row>
    <row r="12" spans="1:17" x14ac:dyDescent="0.2">
      <c r="A12" t="s">
        <v>1104</v>
      </c>
      <c r="E12" s="80"/>
      <c r="F12" s="47" t="s">
        <v>1876</v>
      </c>
      <c r="G12" s="15" t="s">
        <v>1031</v>
      </c>
      <c r="H12" s="15" t="s">
        <v>1031</v>
      </c>
      <c r="I12" s="15" t="s">
        <v>1031</v>
      </c>
      <c r="J12" s="15" t="s">
        <v>1031</v>
      </c>
      <c r="K12" s="15">
        <v>10</v>
      </c>
      <c r="L12" s="15">
        <v>7.1</v>
      </c>
      <c r="M12" s="15">
        <v>12</v>
      </c>
      <c r="N12" s="15">
        <v>9.1999999999999993</v>
      </c>
      <c r="O12" s="15">
        <v>35</v>
      </c>
      <c r="P12" s="15">
        <v>7.1</v>
      </c>
    </row>
    <row r="13" spans="1:17" x14ac:dyDescent="0.2">
      <c r="A13" t="s">
        <v>1108</v>
      </c>
      <c r="E13" s="80"/>
      <c r="F13" s="47" t="s">
        <v>1701</v>
      </c>
      <c r="G13" s="15">
        <v>59</v>
      </c>
      <c r="H13" s="15">
        <v>6.2</v>
      </c>
      <c r="I13" s="15">
        <v>50</v>
      </c>
      <c r="J13" s="15">
        <v>5.0999999999999996</v>
      </c>
      <c r="K13" s="15">
        <v>60</v>
      </c>
      <c r="L13" s="15">
        <v>6</v>
      </c>
      <c r="M13" s="15">
        <v>54</v>
      </c>
      <c r="N13" s="15">
        <v>4.9000000000000004</v>
      </c>
      <c r="O13" s="15">
        <v>223</v>
      </c>
      <c r="P13" s="15">
        <v>5.5</v>
      </c>
    </row>
    <row r="14" spans="1:17" x14ac:dyDescent="0.2">
      <c r="A14" t="s">
        <v>1112</v>
      </c>
      <c r="E14" s="80"/>
      <c r="F14" s="47" t="s">
        <v>1861</v>
      </c>
      <c r="G14" s="15">
        <v>262</v>
      </c>
      <c r="H14" s="15">
        <v>7.1</v>
      </c>
      <c r="I14" s="15">
        <v>260</v>
      </c>
      <c r="J14" s="15">
        <v>6.5</v>
      </c>
      <c r="K14" s="15">
        <v>269</v>
      </c>
      <c r="L14" s="15">
        <v>7.1</v>
      </c>
      <c r="M14" s="15">
        <v>276</v>
      </c>
      <c r="N14" s="15">
        <v>6.9</v>
      </c>
      <c r="O14" s="15">
        <v>1067</v>
      </c>
      <c r="P14" s="15">
        <v>6.9</v>
      </c>
    </row>
    <row r="15" spans="1:17" x14ac:dyDescent="0.2">
      <c r="A15" t="s">
        <v>1114</v>
      </c>
      <c r="E15" s="80"/>
      <c r="F15" s="47" t="s">
        <v>1877</v>
      </c>
      <c r="G15" s="15" t="s">
        <v>1031</v>
      </c>
      <c r="H15" s="15" t="s">
        <v>1031</v>
      </c>
      <c r="I15" s="15" t="s">
        <v>1031</v>
      </c>
      <c r="J15" s="15" t="s">
        <v>1031</v>
      </c>
      <c r="K15" s="15" t="s">
        <v>1031</v>
      </c>
      <c r="L15" s="15" t="s">
        <v>1031</v>
      </c>
      <c r="M15" s="15" t="s">
        <v>1031</v>
      </c>
      <c r="N15" s="15" t="s">
        <v>1031</v>
      </c>
      <c r="O15" s="15" t="s">
        <v>1031</v>
      </c>
      <c r="P15" s="15" t="s">
        <v>1031</v>
      </c>
    </row>
    <row r="16" spans="1:17" x14ac:dyDescent="0.2">
      <c r="A16" t="s">
        <v>1116</v>
      </c>
      <c r="E16" s="80"/>
      <c r="F16" s="91" t="s">
        <v>1289</v>
      </c>
      <c r="G16" s="80"/>
      <c r="H16" s="80"/>
      <c r="I16" s="80"/>
      <c r="J16" s="80"/>
      <c r="K16" s="80"/>
      <c r="L16" s="80"/>
      <c r="M16" s="80"/>
      <c r="N16" s="80"/>
      <c r="O16" s="80"/>
      <c r="P16" s="80"/>
    </row>
    <row r="17" spans="1:16" x14ac:dyDescent="0.2">
      <c r="E17" s="80"/>
      <c r="F17" s="47" t="s">
        <v>1290</v>
      </c>
      <c r="G17" s="15">
        <v>148</v>
      </c>
      <c r="H17" s="15">
        <v>5</v>
      </c>
      <c r="I17" s="15">
        <v>161</v>
      </c>
      <c r="J17" s="15">
        <v>5.2</v>
      </c>
      <c r="K17" s="15">
        <v>162</v>
      </c>
      <c r="L17" s="15">
        <v>5.3</v>
      </c>
      <c r="M17" s="15">
        <v>174</v>
      </c>
      <c r="N17" s="15">
        <v>5.4</v>
      </c>
      <c r="O17" s="15">
        <v>645</v>
      </c>
      <c r="P17" s="15">
        <v>5.2</v>
      </c>
    </row>
    <row r="18" spans="1:16" x14ac:dyDescent="0.2">
      <c r="A18" s="83" t="s">
        <v>1119</v>
      </c>
      <c r="B18" s="80"/>
      <c r="E18" s="80"/>
      <c r="F18" s="47" t="s">
        <v>1235</v>
      </c>
      <c r="G18" s="15">
        <v>53</v>
      </c>
      <c r="H18" s="15">
        <v>13.6</v>
      </c>
      <c r="I18" s="15">
        <v>50</v>
      </c>
      <c r="J18" s="15">
        <v>12.6</v>
      </c>
      <c r="K18" s="15">
        <v>44</v>
      </c>
      <c r="L18" s="15">
        <v>10.8</v>
      </c>
      <c r="M18" s="15">
        <v>49</v>
      </c>
      <c r="N18" s="15">
        <v>14</v>
      </c>
      <c r="O18" s="15">
        <v>196</v>
      </c>
      <c r="P18" s="15">
        <v>12.8</v>
      </c>
    </row>
    <row r="19" spans="1:16" x14ac:dyDescent="0.2">
      <c r="A19" t="s">
        <v>1121</v>
      </c>
      <c r="B19" t="s">
        <v>1287</v>
      </c>
      <c r="E19" s="80"/>
      <c r="F19" s="47" t="s">
        <v>1293</v>
      </c>
      <c r="G19" s="15">
        <v>108</v>
      </c>
      <c r="H19" s="15">
        <v>9</v>
      </c>
      <c r="I19" s="15">
        <v>92</v>
      </c>
      <c r="J19" s="15">
        <v>7.1</v>
      </c>
      <c r="K19" s="15">
        <v>113</v>
      </c>
      <c r="L19" s="15">
        <v>8.6999999999999993</v>
      </c>
      <c r="M19" s="15">
        <v>103</v>
      </c>
      <c r="N19" s="15">
        <v>7.2</v>
      </c>
      <c r="O19" s="15">
        <v>416</v>
      </c>
      <c r="P19" s="15">
        <v>8</v>
      </c>
    </row>
    <row r="20" spans="1:16" x14ac:dyDescent="0.2">
      <c r="E20" s="80"/>
      <c r="F20" s="47" t="s">
        <v>1015</v>
      </c>
      <c r="G20" s="15">
        <v>22</v>
      </c>
      <c r="H20" s="15">
        <v>9.1</v>
      </c>
      <c r="I20" s="15">
        <v>15</v>
      </c>
      <c r="J20" s="15">
        <v>4.0999999999999996</v>
      </c>
      <c r="K20" s="15">
        <v>22</v>
      </c>
      <c r="L20" s="15">
        <v>9.6999999999999993</v>
      </c>
      <c r="M20" s="15">
        <v>20</v>
      </c>
      <c r="N20" s="15">
        <v>9</v>
      </c>
      <c r="O20" s="15">
        <v>79</v>
      </c>
      <c r="P20" s="15">
        <v>8</v>
      </c>
    </row>
    <row r="21" spans="1:16" x14ac:dyDescent="0.2">
      <c r="A21" s="81" t="s">
        <v>1125</v>
      </c>
      <c r="B21" s="80"/>
      <c r="E21" s="80"/>
      <c r="F21" s="91" t="s">
        <v>1294</v>
      </c>
      <c r="G21" s="80"/>
      <c r="H21" s="80"/>
      <c r="I21" s="80"/>
      <c r="J21" s="80"/>
      <c r="K21" s="80"/>
      <c r="L21" s="80"/>
      <c r="M21" s="80"/>
      <c r="N21" s="80"/>
      <c r="O21" s="80"/>
      <c r="P21" s="80"/>
    </row>
    <row r="22" spans="1:16" x14ac:dyDescent="0.2">
      <c r="A22" t="s">
        <v>1135</v>
      </c>
      <c r="B22" t="s">
        <v>1906</v>
      </c>
      <c r="E22" s="80"/>
      <c r="F22" s="47">
        <v>10940</v>
      </c>
      <c r="G22" s="15">
        <v>67</v>
      </c>
      <c r="H22" s="15">
        <v>11.1</v>
      </c>
      <c r="I22" s="15">
        <v>48</v>
      </c>
      <c r="J22" s="15">
        <v>8.3000000000000007</v>
      </c>
      <c r="K22" s="15">
        <v>53</v>
      </c>
      <c r="L22" s="15">
        <v>9.6999999999999993</v>
      </c>
      <c r="M22" s="15">
        <v>71</v>
      </c>
      <c r="N22" s="15">
        <v>11.8</v>
      </c>
      <c r="O22" s="15">
        <v>236</v>
      </c>
      <c r="P22" s="15">
        <v>10.199999999999999</v>
      </c>
    </row>
    <row r="23" spans="1:16" x14ac:dyDescent="0.2">
      <c r="E23" s="80"/>
      <c r="F23" s="47" t="s">
        <v>1873</v>
      </c>
      <c r="G23" s="15">
        <v>48</v>
      </c>
      <c r="H23" s="15">
        <v>3.1</v>
      </c>
      <c r="I23" s="15">
        <v>47</v>
      </c>
      <c r="J23" s="15">
        <v>2.8</v>
      </c>
      <c r="K23" s="15">
        <v>67</v>
      </c>
      <c r="L23" s="15">
        <v>4</v>
      </c>
      <c r="M23" s="15">
        <v>56</v>
      </c>
      <c r="N23" s="15">
        <v>3</v>
      </c>
      <c r="O23" s="15">
        <v>218</v>
      </c>
      <c r="P23" s="15">
        <v>3.2</v>
      </c>
    </row>
    <row r="24" spans="1:16" x14ac:dyDescent="0.2">
      <c r="E24" s="80"/>
      <c r="F24" s="47">
        <v>12550</v>
      </c>
      <c r="G24" s="15">
        <v>59</v>
      </c>
      <c r="H24" s="15">
        <v>8.8000000000000007</v>
      </c>
      <c r="I24" s="15">
        <v>61</v>
      </c>
      <c r="J24" s="15">
        <v>9.1</v>
      </c>
      <c r="K24" s="15">
        <v>55</v>
      </c>
      <c r="L24" s="15">
        <v>8.1</v>
      </c>
      <c r="M24" s="15">
        <v>58</v>
      </c>
      <c r="N24" s="15">
        <v>8.4</v>
      </c>
      <c r="O24" s="15">
        <v>233</v>
      </c>
      <c r="P24" s="15">
        <v>8.6</v>
      </c>
    </row>
    <row r="25" spans="1:16" x14ac:dyDescent="0.2">
      <c r="E25" s="80"/>
      <c r="F25" s="47">
        <v>12771</v>
      </c>
      <c r="G25" s="15">
        <v>15</v>
      </c>
      <c r="H25" s="15">
        <v>9.6</v>
      </c>
      <c r="I25" s="15">
        <v>13</v>
      </c>
      <c r="J25" s="15">
        <v>8.9</v>
      </c>
      <c r="K25" s="15">
        <v>22</v>
      </c>
      <c r="L25" s="15">
        <v>14.2</v>
      </c>
      <c r="M25" s="15">
        <v>10</v>
      </c>
      <c r="N25" s="15">
        <v>7.5</v>
      </c>
      <c r="O25" s="15">
        <v>60</v>
      </c>
      <c r="P25" s="15">
        <v>10</v>
      </c>
    </row>
    <row r="26" spans="1:16" x14ac:dyDescent="0.2">
      <c r="E26" s="80"/>
    </row>
    <row r="27" spans="1:16" x14ac:dyDescent="0.2">
      <c r="A27" s="81"/>
      <c r="B27" s="80"/>
      <c r="E27" s="80"/>
    </row>
    <row r="28" spans="1:16" x14ac:dyDescent="0.2">
      <c r="E28" s="80"/>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5">
    <mergeCell ref="B1:O1"/>
    <mergeCell ref="A21:B21"/>
    <mergeCell ref="F9:P9"/>
    <mergeCell ref="E5:E57"/>
    <mergeCell ref="O5:P5"/>
    <mergeCell ref="A9:B9"/>
    <mergeCell ref="F21:P21"/>
    <mergeCell ref="F16:P16"/>
    <mergeCell ref="A5:B5"/>
    <mergeCell ref="G5:H5"/>
    <mergeCell ref="K5:L5"/>
    <mergeCell ref="I5:J5"/>
    <mergeCell ref="M5:N5"/>
    <mergeCell ref="A18:B18"/>
    <mergeCell ref="A27:B27"/>
  </mergeCells>
  <dataValidations count="3">
    <dataValidation type="list" allowBlank="1" showInputMessage="1" showErrorMessage="1" sqref="B10" xr:uid="{00000000-0002-0000-A000-000000000000}">
      <formula1>"Line,Clustered Bar,Stacked Bar,Bar,Horizontal Stacked Bar"</formula1>
    </dataValidation>
    <dataValidation type="list" allowBlank="1" showInputMessage="1" showErrorMessage="1" sqref="B2" xr:uid="{00000000-0002-0000-A000-000001000000}">
      <formula1>"Table,Figure,Both"</formula1>
    </dataValidation>
    <dataValidation type="list" allowBlank="1" showInputMessage="1" showErrorMessage="1" sqref="B6 B15:B16" xr:uid="{00000000-0002-0000-A000-000002000000}">
      <formula1>"True,False"</formula1>
    </dataValidation>
  </dataValidation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511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tbl-lbw-birth</v>
      </c>
    </row>
    <row r="4" spans="1:17" x14ac:dyDescent="0.2">
      <c r="A4" s="16" t="s">
        <v>7</v>
      </c>
      <c r="B4" t="str">
        <f>IF($B$1="","",_xlfn.XLOOKUP($B$1,Master!$F$2:$F$321,Master!$H$2:$H$321,""))</f>
        <v>fig-lbw-birth</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s="34" t="s">
        <v>1391</v>
      </c>
      <c r="G5">
        <v>2020</v>
      </c>
      <c r="H5">
        <v>2021</v>
      </c>
      <c r="I5">
        <v>2022</v>
      </c>
      <c r="J5">
        <v>2023</v>
      </c>
    </row>
    <row r="6" spans="1:17" ht="15" customHeight="1" x14ac:dyDescent="0.2">
      <c r="A6" t="s">
        <v>1088</v>
      </c>
      <c r="B6" t="b">
        <v>0</v>
      </c>
      <c r="E6" s="80"/>
      <c r="F6" t="s">
        <v>1096</v>
      </c>
      <c r="G6" s="15">
        <v>6.9</v>
      </c>
      <c r="H6" s="15">
        <v>6.2</v>
      </c>
      <c r="I6" s="15">
        <v>6.9</v>
      </c>
      <c r="J6" s="15">
        <v>6.6</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990</v>
      </c>
      <c r="E14" s="80"/>
    </row>
    <row r="15" spans="1:17" x14ac:dyDescent="0.2">
      <c r="A15" t="s">
        <v>1114</v>
      </c>
      <c r="B15" t="b">
        <v>0</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1903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100-000000000000}">
      <formula1>"Line,Clustered Bar,Stacked Bar,Bar,Horizontal Stacked Bar"</formula1>
    </dataValidation>
    <dataValidation type="list" allowBlank="1" showInputMessage="1" showErrorMessage="1" sqref="B2" xr:uid="{00000000-0002-0000-A100-000001000000}">
      <formula1>"Table,Figure,Both"</formula1>
    </dataValidation>
    <dataValidation type="list" allowBlank="1" showInputMessage="1" showErrorMessage="1" sqref="B6 B15:B16" xr:uid="{00000000-0002-0000-A100-000002000000}">
      <formula1>"True,False"</formula1>
    </dataValidation>
  </dataValidation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514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tbl-lbw-birth-rande</v>
      </c>
    </row>
    <row r="4" spans="1:17" x14ac:dyDescent="0.2">
      <c r="A4" s="16" t="s">
        <v>7</v>
      </c>
      <c r="B4" t="str">
        <f>IF($B$1="","",_xlfn.XLOOKUP($B$1,Master!$F$2:$F$321,Master!$H$2:$H$321,""))</f>
        <v>fig-lbw-birth-rande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s="34" t="s">
        <v>1391</v>
      </c>
      <c r="G5" t="s">
        <v>1089</v>
      </c>
      <c r="H5" t="s">
        <v>1290</v>
      </c>
      <c r="I5" t="s">
        <v>1292</v>
      </c>
      <c r="J5" t="s">
        <v>1296</v>
      </c>
      <c r="K5" t="s">
        <v>1293</v>
      </c>
    </row>
    <row r="6" spans="1:17" ht="15" customHeight="1" x14ac:dyDescent="0.2">
      <c r="A6" t="s">
        <v>1088</v>
      </c>
      <c r="B6" t="b">
        <v>0</v>
      </c>
      <c r="E6" s="80"/>
      <c r="F6" t="s">
        <v>1297</v>
      </c>
      <c r="G6" s="15">
        <v>7.1</v>
      </c>
      <c r="H6" s="15">
        <v>5.7</v>
      </c>
      <c r="I6" s="15">
        <v>13.4</v>
      </c>
      <c r="J6" s="15">
        <v>8.1</v>
      </c>
      <c r="K6" s="15">
        <v>8.5</v>
      </c>
      <c r="L6" s="15"/>
      <c r="M6" s="15"/>
      <c r="N6" s="15"/>
      <c r="O6" s="15"/>
    </row>
    <row r="7" spans="1:17" ht="15.75" customHeight="1" x14ac:dyDescent="0.2">
      <c r="E7" s="80"/>
      <c r="F7" t="s">
        <v>1298</v>
      </c>
      <c r="G7" s="15">
        <v>8</v>
      </c>
      <c r="H7" s="15">
        <v>6.7</v>
      </c>
      <c r="I7" s="15">
        <v>14.2</v>
      </c>
      <c r="J7" s="15">
        <v>9.3000000000000007</v>
      </c>
      <c r="K7" s="15">
        <v>8.3000000000000007</v>
      </c>
      <c r="L7" s="15"/>
      <c r="M7" s="15"/>
      <c r="N7" s="15"/>
      <c r="O7" s="15"/>
    </row>
    <row r="8" spans="1:17" x14ac:dyDescent="0.2">
      <c r="E8" s="80"/>
      <c r="F8" t="s">
        <v>1299</v>
      </c>
      <c r="G8" s="15">
        <v>8.4</v>
      </c>
      <c r="H8" s="15">
        <v>6.4</v>
      </c>
      <c r="I8" s="15">
        <v>13.8</v>
      </c>
      <c r="J8" s="15">
        <v>9.5</v>
      </c>
      <c r="K8" s="15">
        <v>8.6999999999999993</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1889</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1907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200-000000000000}">
      <formula1>"Line,Clustered Bar,Stacked Bar,Bar,Horizontal Stacked Bar"</formula1>
    </dataValidation>
    <dataValidation type="list" allowBlank="1" showInputMessage="1" showErrorMessage="1" sqref="B2" xr:uid="{00000000-0002-0000-A200-000001000000}">
      <formula1>"Table,Figure,Both"</formula1>
    </dataValidation>
    <dataValidation type="list" allowBlank="1" showInputMessage="1" showErrorMessage="1" sqref="B6 B15:B16" xr:uid="{00000000-0002-0000-A200-000002000000}">
      <formula1>"True,False"</formula1>
    </dataValidation>
  </dataValidation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517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tbl-ed-any-drug-od-aar</v>
      </c>
    </row>
    <row r="4" spans="1:17" x14ac:dyDescent="0.2">
      <c r="A4" s="16" t="s">
        <v>7</v>
      </c>
      <c r="B4" t="str">
        <f>IF($B$1="","",_xlfn.XLOOKUP($B$1,Master!$F$2:$F$321,Master!$H$2:$H$321,""))</f>
        <v>fig-ed-any-drug-od-aar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s="34" t="s">
        <v>1391</v>
      </c>
      <c r="G5">
        <v>2018</v>
      </c>
      <c r="H5">
        <v>2019</v>
      </c>
      <c r="I5">
        <v>2020</v>
      </c>
      <c r="J5">
        <v>2021</v>
      </c>
      <c r="K5">
        <v>2022</v>
      </c>
    </row>
    <row r="6" spans="1:17" ht="15" customHeight="1" x14ac:dyDescent="0.2">
      <c r="A6" t="s">
        <v>1088</v>
      </c>
      <c r="B6" t="b">
        <v>0</v>
      </c>
      <c r="E6" s="80"/>
      <c r="F6" t="s">
        <v>1297</v>
      </c>
      <c r="G6" s="15">
        <v>237.8</v>
      </c>
      <c r="H6" s="15">
        <v>194.5</v>
      </c>
      <c r="I6" s="15">
        <v>212.4</v>
      </c>
      <c r="J6" s="15">
        <v>183.8</v>
      </c>
      <c r="K6" s="15">
        <v>178</v>
      </c>
      <c r="L6" s="15"/>
      <c r="M6" s="15"/>
      <c r="N6" s="15"/>
      <c r="O6" s="15"/>
    </row>
    <row r="7" spans="1:17" ht="15.75" customHeight="1" x14ac:dyDescent="0.2">
      <c r="E7" s="80"/>
      <c r="F7" t="s">
        <v>1645</v>
      </c>
      <c r="G7" s="15">
        <v>187.7</v>
      </c>
      <c r="H7" s="15">
        <v>171.6</v>
      </c>
      <c r="I7" s="15">
        <v>167.3</v>
      </c>
      <c r="J7" s="15">
        <v>165.1</v>
      </c>
      <c r="K7" s="15">
        <v>150.19999999999999</v>
      </c>
      <c r="L7" s="15"/>
      <c r="M7" s="15"/>
      <c r="N7" s="15"/>
      <c r="O7" s="15"/>
    </row>
    <row r="8" spans="1:17" x14ac:dyDescent="0.2">
      <c r="E8" s="80"/>
      <c r="F8" t="s">
        <v>1298</v>
      </c>
      <c r="G8" s="15">
        <v>214.3</v>
      </c>
      <c r="H8" s="15">
        <v>205.4</v>
      </c>
      <c r="I8" s="15">
        <v>206.5</v>
      </c>
      <c r="J8" s="15">
        <v>212.6</v>
      </c>
      <c r="K8" s="15">
        <v>201.4</v>
      </c>
      <c r="L8" s="15"/>
      <c r="M8" s="15"/>
      <c r="N8" s="15"/>
      <c r="O8" s="15"/>
    </row>
    <row r="9" spans="1:17" x14ac:dyDescent="0.2">
      <c r="A9" s="83" t="s">
        <v>1098</v>
      </c>
      <c r="B9" s="80"/>
      <c r="E9" s="80"/>
      <c r="F9" t="s">
        <v>1299</v>
      </c>
      <c r="G9" s="15">
        <v>184.5</v>
      </c>
      <c r="H9" s="15">
        <v>182.6</v>
      </c>
      <c r="I9" s="15">
        <v>175.5</v>
      </c>
      <c r="J9" s="15">
        <v>191.3</v>
      </c>
      <c r="K9" s="15">
        <v>192</v>
      </c>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1908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1909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300-000000000000}">
      <formula1>"Line,Clustered Bar,Stacked Bar,Bar,Horizontal Stacked Bar"</formula1>
    </dataValidation>
    <dataValidation type="list" allowBlank="1" showInputMessage="1" showErrorMessage="1" sqref="B2" xr:uid="{00000000-0002-0000-A300-000001000000}">
      <formula1>"Table,Figure,Both"</formula1>
    </dataValidation>
    <dataValidation type="list" allowBlank="1" showInputMessage="1" showErrorMessage="1" sqref="B6 B15:B16" xr:uid="{00000000-0002-0000-A300-000002000000}">
      <formula1>"True,False"</formula1>
    </dataValidation>
  </dataValidation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Q57"/>
  <sheetViews>
    <sheetView workbookViewId="0">
      <selection activeCell="I27" sqref="I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520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tbl-outpatiented-hopsitaldc-opioid-abuse-depend-crude</v>
      </c>
    </row>
    <row r="4" spans="1:17" x14ac:dyDescent="0.2">
      <c r="A4" s="16" t="s">
        <v>7</v>
      </c>
      <c r="B4" t="str">
        <f>IF($B$1="","",_xlfn.XLOOKUP($B$1,Master!$F$2:$F$321,Master!$H$2:$H$321,""))</f>
        <v>fig-outpatiented-hopsitaldc-opioid-abuse-depend-crude</v>
      </c>
      <c r="E4" s="8"/>
      <c r="F4" s="10" t="s">
        <v>1009</v>
      </c>
      <c r="G4" s="10" t="s">
        <v>979</v>
      </c>
      <c r="H4" s="10" t="s">
        <v>979</v>
      </c>
      <c r="I4" s="10" t="s">
        <v>979</v>
      </c>
      <c r="J4" s="10" t="s">
        <v>979</v>
      </c>
      <c r="K4" s="10" t="s">
        <v>979</v>
      </c>
      <c r="L4" s="10" t="s">
        <v>979</v>
      </c>
      <c r="M4" s="10" t="s">
        <v>979</v>
      </c>
      <c r="N4" s="10"/>
      <c r="O4" s="10"/>
      <c r="P4" s="10"/>
      <c r="Q4" s="10"/>
    </row>
    <row r="5" spans="1:17" x14ac:dyDescent="0.2">
      <c r="A5" s="83" t="s">
        <v>1081</v>
      </c>
      <c r="B5" s="80"/>
      <c r="E5" s="82" t="s">
        <v>1082</v>
      </c>
      <c r="F5" t="s">
        <v>1295</v>
      </c>
      <c r="G5">
        <v>2016</v>
      </c>
      <c r="H5">
        <v>2017</v>
      </c>
      <c r="I5">
        <v>2018</v>
      </c>
      <c r="J5">
        <v>2019</v>
      </c>
      <c r="K5">
        <v>2020</v>
      </c>
      <c r="L5">
        <v>2021</v>
      </c>
      <c r="M5">
        <v>2022</v>
      </c>
    </row>
    <row r="6" spans="1:17" ht="15" customHeight="1" x14ac:dyDescent="0.2">
      <c r="A6" t="s">
        <v>1088</v>
      </c>
      <c r="B6" t="b">
        <v>0</v>
      </c>
      <c r="E6" s="80"/>
      <c r="F6" t="s">
        <v>1297</v>
      </c>
      <c r="G6" s="15">
        <v>308.3</v>
      </c>
      <c r="H6" s="15">
        <v>246.4</v>
      </c>
      <c r="I6" s="15">
        <v>187.2</v>
      </c>
      <c r="J6" s="15">
        <v>175.5</v>
      </c>
      <c r="K6" s="15">
        <v>156.4</v>
      </c>
      <c r="L6" s="15">
        <v>137.5</v>
      </c>
      <c r="M6" s="15">
        <v>114.1</v>
      </c>
      <c r="N6" s="15"/>
      <c r="O6" s="15"/>
    </row>
    <row r="7" spans="1:17" ht="15.75" customHeight="1" x14ac:dyDescent="0.2">
      <c r="E7" s="80"/>
      <c r="F7" t="s">
        <v>1645</v>
      </c>
      <c r="G7" s="15">
        <v>248.9</v>
      </c>
      <c r="H7" s="15">
        <v>238.1</v>
      </c>
      <c r="I7" s="15">
        <v>212.7</v>
      </c>
      <c r="J7" s="15">
        <v>194.3</v>
      </c>
      <c r="K7" s="15">
        <v>141.9</v>
      </c>
      <c r="L7" s="15">
        <v>139.9</v>
      </c>
      <c r="M7" s="15">
        <v>116.4</v>
      </c>
      <c r="N7" s="15"/>
      <c r="O7" s="15"/>
    </row>
    <row r="8" spans="1:17" x14ac:dyDescent="0.2">
      <c r="E8" s="80"/>
      <c r="F8" t="s">
        <v>1298</v>
      </c>
      <c r="G8" s="15">
        <v>206.6</v>
      </c>
      <c r="H8" s="15">
        <v>193.5</v>
      </c>
      <c r="I8" s="15">
        <v>172.6</v>
      </c>
      <c r="J8" s="15">
        <v>154</v>
      </c>
      <c r="K8" s="15">
        <v>119</v>
      </c>
      <c r="L8" s="15">
        <v>110.3</v>
      </c>
      <c r="M8" s="15">
        <v>99</v>
      </c>
      <c r="N8" s="15"/>
      <c r="O8" s="15"/>
    </row>
    <row r="9" spans="1:17" x14ac:dyDescent="0.2">
      <c r="A9" s="83" t="s">
        <v>1098</v>
      </c>
      <c r="B9" s="80"/>
      <c r="E9" s="80"/>
      <c r="F9" t="s">
        <v>1299</v>
      </c>
      <c r="G9" s="15">
        <v>223.3</v>
      </c>
      <c r="H9" s="15">
        <v>222.7</v>
      </c>
      <c r="I9" s="15">
        <v>210.2</v>
      </c>
      <c r="J9" s="15">
        <v>190</v>
      </c>
      <c r="K9" s="15">
        <v>133.5</v>
      </c>
      <c r="L9" s="15">
        <v>128.19999999999999</v>
      </c>
      <c r="M9" s="15">
        <v>133.6</v>
      </c>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1908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400-000000000000}">
      <formula1>"Line,Clustered Bar,Stacked Bar,Bar,Horizontal Stacked Bar"</formula1>
    </dataValidation>
    <dataValidation type="list" allowBlank="1" showInputMessage="1" showErrorMessage="1" sqref="B2" xr:uid="{00000000-0002-0000-A400-000001000000}">
      <formula1>"Table,Figure,Both"</formula1>
    </dataValidation>
    <dataValidation type="list" allowBlank="1" showInputMessage="1" showErrorMessage="1" sqref="B6 B15:B16" xr:uid="{00000000-0002-0000-A400-000002000000}">
      <formula1>"True,False"</formula1>
    </dataValidation>
  </dataValidation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523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tbl-neonatal-withdraw-maternal-drug-crude</v>
      </c>
    </row>
    <row r="4" spans="1:17" x14ac:dyDescent="0.2">
      <c r="A4" s="16" t="s">
        <v>7</v>
      </c>
      <c r="B4" t="str">
        <f>IF($B$1="","",_xlfn.XLOOKUP($B$1,Master!$F$2:$F$321,Master!$H$2:$H$321,""))</f>
        <v>fig-neonatal-withdraw-maternal-drug-crude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t="s">
        <v>1297</v>
      </c>
      <c r="H5" t="s">
        <v>1645</v>
      </c>
      <c r="I5" t="s">
        <v>1298</v>
      </c>
      <c r="J5" t="s">
        <v>1299</v>
      </c>
    </row>
    <row r="6" spans="1:17" ht="15" customHeight="1" x14ac:dyDescent="0.2">
      <c r="A6" t="s">
        <v>1088</v>
      </c>
      <c r="B6" t="b">
        <v>0</v>
      </c>
      <c r="E6" s="80"/>
      <c r="F6">
        <v>2018</v>
      </c>
      <c r="G6" s="15">
        <v>12.2</v>
      </c>
      <c r="H6" s="15">
        <v>8.9</v>
      </c>
      <c r="I6" s="15">
        <v>15.2</v>
      </c>
      <c r="J6" s="15">
        <v>9.9</v>
      </c>
      <c r="K6" s="15"/>
      <c r="L6" s="15"/>
      <c r="M6" s="15"/>
      <c r="N6" s="15"/>
      <c r="O6" s="15"/>
    </row>
    <row r="7" spans="1:17" ht="15.75" customHeight="1" x14ac:dyDescent="0.2">
      <c r="E7" s="80"/>
      <c r="F7">
        <v>2019</v>
      </c>
      <c r="G7" s="15">
        <v>9.1999999999999993</v>
      </c>
      <c r="H7" s="15">
        <v>7</v>
      </c>
      <c r="I7" s="15">
        <v>12.6</v>
      </c>
      <c r="J7" s="15">
        <v>7.9</v>
      </c>
      <c r="K7" s="15"/>
      <c r="L7" s="15"/>
      <c r="M7" s="15"/>
      <c r="N7" s="15"/>
      <c r="O7" s="15"/>
    </row>
    <row r="8" spans="1:17" x14ac:dyDescent="0.2">
      <c r="E8" s="80"/>
      <c r="F8">
        <v>2020</v>
      </c>
      <c r="G8" s="15">
        <v>10.7</v>
      </c>
      <c r="H8" s="15">
        <v>9.5</v>
      </c>
      <c r="I8" s="15">
        <v>13.7</v>
      </c>
      <c r="J8" s="15">
        <v>8.8000000000000007</v>
      </c>
      <c r="K8" s="15"/>
      <c r="L8" s="15"/>
      <c r="M8" s="15"/>
      <c r="N8" s="15"/>
      <c r="O8" s="15"/>
    </row>
    <row r="9" spans="1:17" x14ac:dyDescent="0.2">
      <c r="A9" s="83" t="s">
        <v>1098</v>
      </c>
      <c r="B9" s="80"/>
      <c r="E9" s="80"/>
      <c r="F9">
        <v>2021</v>
      </c>
      <c r="G9" s="15">
        <v>8.4</v>
      </c>
      <c r="H9" s="15">
        <v>6.7</v>
      </c>
      <c r="I9" s="15">
        <v>10.9</v>
      </c>
      <c r="J9" s="15">
        <v>7.1</v>
      </c>
      <c r="K9" s="15"/>
      <c r="L9" s="15"/>
      <c r="M9" s="15"/>
      <c r="N9" s="15"/>
      <c r="O9" s="15"/>
    </row>
    <row r="10" spans="1:17" x14ac:dyDescent="0.2">
      <c r="A10" t="s">
        <v>1100</v>
      </c>
      <c r="B10" t="s">
        <v>1304</v>
      </c>
      <c r="E10" s="80"/>
      <c r="F10">
        <v>2022</v>
      </c>
      <c r="G10" s="15">
        <v>6.7</v>
      </c>
      <c r="H10">
        <v>5.3</v>
      </c>
      <c r="I10">
        <v>9.6</v>
      </c>
      <c r="J10">
        <v>6</v>
      </c>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995</v>
      </c>
      <c r="E14" s="80"/>
    </row>
    <row r="15" spans="1:17" x14ac:dyDescent="0.2">
      <c r="A15" t="s">
        <v>1114</v>
      </c>
      <c r="B15" t="b">
        <v>1</v>
      </c>
      <c r="E15" s="80"/>
    </row>
    <row r="16" spans="1:17" x14ac:dyDescent="0.2">
      <c r="A16" t="s">
        <v>1116</v>
      </c>
      <c r="B16" t="b">
        <v>0</v>
      </c>
      <c r="E16" s="80"/>
    </row>
    <row r="17" spans="1:11" x14ac:dyDescent="0.2">
      <c r="E17" s="80"/>
    </row>
    <row r="18" spans="1:11" x14ac:dyDescent="0.2">
      <c r="A18" s="83" t="s">
        <v>1119</v>
      </c>
      <c r="B18" s="80"/>
      <c r="E18" s="80"/>
    </row>
    <row r="19" spans="1:11" x14ac:dyDescent="0.2">
      <c r="A19" t="s">
        <v>1121</v>
      </c>
      <c r="B19" t="s">
        <v>1908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500-000000000000}">
      <formula1>"Line,Clustered Bar,Stacked Bar,Bar,Horizontal Stacked Bar"</formula1>
    </dataValidation>
    <dataValidation type="list" allowBlank="1" showInputMessage="1" showErrorMessage="1" sqref="B2" xr:uid="{00000000-0002-0000-A500-000001000000}">
      <formula1>"Table,Figure,Both"</formula1>
    </dataValidation>
    <dataValidation type="list" allowBlank="1" showInputMessage="1" showErrorMessage="1" sqref="B6 B15:B16" xr:uid="{00000000-0002-0000-A500-000002000000}">
      <formula1>"True,False"</formula1>
    </dataValidation>
  </dataValidation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Q57"/>
  <sheetViews>
    <sheetView workbookViewId="0">
      <selection activeCell="N30" sqref="N3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526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tbl-opioid-rx-aar</v>
      </c>
    </row>
    <row r="4" spans="1:17" x14ac:dyDescent="0.2">
      <c r="A4" s="16" t="s">
        <v>7</v>
      </c>
      <c r="B4" t="str">
        <f>IF($B$1="","",_xlfn.XLOOKUP($B$1,Master!$F$2:$F$321,Master!$H$2:$H$321,""))</f>
        <v>fig-opioid-rx-aar</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1391</v>
      </c>
      <c r="G5">
        <v>2019</v>
      </c>
      <c r="H5">
        <v>2020</v>
      </c>
      <c r="I5">
        <v>2021</v>
      </c>
      <c r="J5">
        <v>2022</v>
      </c>
      <c r="K5">
        <v>2023</v>
      </c>
      <c r="L5">
        <v>2024</v>
      </c>
    </row>
    <row r="6" spans="1:17" ht="15" customHeight="1" x14ac:dyDescent="0.2">
      <c r="A6" t="s">
        <v>1088</v>
      </c>
      <c r="B6" t="b">
        <v>0</v>
      </c>
      <c r="E6" s="80"/>
      <c r="F6" t="s">
        <v>1297</v>
      </c>
      <c r="G6" s="15">
        <v>363.7</v>
      </c>
      <c r="H6" s="15">
        <v>321.2</v>
      </c>
      <c r="I6" s="15">
        <v>292.5</v>
      </c>
      <c r="J6" s="15">
        <v>269.60000000000002</v>
      </c>
      <c r="K6" s="15">
        <v>250.5</v>
      </c>
      <c r="L6" s="15">
        <v>236.9</v>
      </c>
      <c r="M6" s="15"/>
      <c r="N6" s="15"/>
      <c r="O6" s="15"/>
    </row>
    <row r="7" spans="1:17" ht="15.75" customHeight="1" x14ac:dyDescent="0.2">
      <c r="E7" s="80"/>
      <c r="F7" t="s">
        <v>1298</v>
      </c>
      <c r="G7" s="15">
        <v>377.2</v>
      </c>
      <c r="H7" s="15">
        <v>342.4</v>
      </c>
      <c r="I7" s="15">
        <v>321.2</v>
      </c>
      <c r="J7" s="15">
        <v>300.2</v>
      </c>
      <c r="K7" s="15">
        <v>283.8</v>
      </c>
      <c r="L7" s="15">
        <v>271.5</v>
      </c>
      <c r="M7" s="15"/>
      <c r="N7" s="15"/>
      <c r="O7" s="15"/>
    </row>
    <row r="8" spans="1:17" x14ac:dyDescent="0.2">
      <c r="E8" s="80"/>
      <c r="F8" t="s">
        <v>1299</v>
      </c>
      <c r="G8" s="15">
        <v>301.8</v>
      </c>
      <c r="H8" s="15">
        <v>270.60000000000002</v>
      </c>
      <c r="I8" s="15">
        <v>254.1</v>
      </c>
      <c r="J8" s="15">
        <v>238.1</v>
      </c>
      <c r="K8" s="15">
        <v>225.6</v>
      </c>
      <c r="L8" s="15">
        <v>215.6</v>
      </c>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1912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600-000000000000}">
      <formula1>"Line,Clustered Bar,Stacked Bar,Bar,Horizontal Stacked Bar"</formula1>
    </dataValidation>
    <dataValidation type="list" allowBlank="1" showInputMessage="1" showErrorMessage="1" sqref="B2" xr:uid="{00000000-0002-0000-A600-000001000000}">
      <formula1>"Table,Figure,Both"</formula1>
    </dataValidation>
    <dataValidation type="list" allowBlank="1" showInputMessage="1" showErrorMessage="1" sqref="B6 B15:B16" xr:uid="{00000000-0002-0000-A600-000002000000}">
      <formula1>"True,False"</formula1>
    </dataValidation>
  </dataValidation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Q57"/>
  <sheetViews>
    <sheetView workbookViewId="0">
      <selection activeCell="N22" sqref="N2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529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tbl-opioid-naïve-7day-rx</v>
      </c>
    </row>
    <row r="4" spans="1:17" x14ac:dyDescent="0.2">
      <c r="A4" s="16" t="s">
        <v>7</v>
      </c>
      <c r="B4" t="str">
        <f>IF($B$1="","",_xlfn.XLOOKUP($B$1,Master!$F$2:$F$321,Master!$H$2:$H$321,""))</f>
        <v>fig-opioid-naïve-7day-rx</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1297</v>
      </c>
      <c r="G6" s="15">
        <v>14.9</v>
      </c>
      <c r="H6" s="15">
        <v>15.1</v>
      </c>
      <c r="I6" s="15">
        <v>15.6</v>
      </c>
      <c r="J6" s="15">
        <v>15.8</v>
      </c>
      <c r="K6" s="15"/>
      <c r="L6" s="15"/>
      <c r="M6" s="15"/>
      <c r="N6" s="15"/>
      <c r="O6" s="15"/>
    </row>
    <row r="7" spans="1:17" ht="15.75" customHeight="1" x14ac:dyDescent="0.2">
      <c r="E7" s="80"/>
      <c r="F7" t="s">
        <v>1298</v>
      </c>
      <c r="G7" s="15">
        <v>14.9</v>
      </c>
      <c r="H7" s="15">
        <v>15.1</v>
      </c>
      <c r="I7" s="15">
        <v>15.5</v>
      </c>
      <c r="J7" s="15">
        <v>15</v>
      </c>
      <c r="K7" s="15"/>
      <c r="L7" s="15"/>
      <c r="M7" s="15"/>
      <c r="N7" s="15"/>
      <c r="O7" s="15"/>
    </row>
    <row r="8" spans="1:17" x14ac:dyDescent="0.2">
      <c r="E8" s="80"/>
      <c r="F8" t="s">
        <v>1299</v>
      </c>
      <c r="G8" s="15">
        <v>14.6</v>
      </c>
      <c r="H8" s="15">
        <v>14.7</v>
      </c>
      <c r="I8" s="15">
        <v>15.1</v>
      </c>
      <c r="J8" s="15">
        <v>14.7</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1912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700-000000000000}">
      <formula1>"Line,Clustered Bar,Stacked Bar,Bar,Horizontal Stacked Bar"</formula1>
    </dataValidation>
    <dataValidation type="list" allowBlank="1" showInputMessage="1" showErrorMessage="1" sqref="B2" xr:uid="{00000000-0002-0000-A700-000001000000}">
      <formula1>"Table,Figure,Both"</formula1>
    </dataValidation>
    <dataValidation type="list" allowBlank="1" showInputMessage="1" showErrorMessage="1" sqref="B6 B15:B16" xr:uid="{00000000-0002-0000-A700-000002000000}">
      <formula1>"True,False"</formula1>
    </dataValidation>
  </dataValidation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532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tbl-benzo-rx-aar</v>
      </c>
    </row>
    <row r="4" spans="1:17" x14ac:dyDescent="0.2">
      <c r="A4" s="16" t="s">
        <v>7</v>
      </c>
      <c r="B4" t="str">
        <f>IF($B$1="","",_xlfn.XLOOKUP($B$1,Master!$F$2:$F$321,Master!$H$2:$H$321,""))</f>
        <v>fig-benzo-rx-aar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1297</v>
      </c>
      <c r="G6" s="15">
        <v>245.1</v>
      </c>
      <c r="H6" s="15">
        <v>237.2</v>
      </c>
      <c r="I6" s="15">
        <v>225.2</v>
      </c>
      <c r="J6" s="15">
        <v>221.3</v>
      </c>
      <c r="K6" s="15"/>
      <c r="L6" s="15"/>
      <c r="M6" s="15"/>
      <c r="N6" s="15"/>
      <c r="O6" s="15"/>
    </row>
    <row r="7" spans="1:17" ht="15.75" customHeight="1" x14ac:dyDescent="0.2">
      <c r="E7" s="80"/>
      <c r="F7" t="s">
        <v>1298</v>
      </c>
      <c r="G7" s="15">
        <v>269.39999999999998</v>
      </c>
      <c r="H7" s="15">
        <v>261.7</v>
      </c>
      <c r="I7" s="15">
        <v>254.1</v>
      </c>
      <c r="J7" s="15">
        <v>250.6</v>
      </c>
      <c r="K7" s="15"/>
      <c r="L7" s="15"/>
      <c r="M7" s="15"/>
      <c r="N7" s="15"/>
      <c r="O7" s="15"/>
    </row>
    <row r="8" spans="1:17" x14ac:dyDescent="0.2">
      <c r="E8" s="80"/>
      <c r="F8" t="s">
        <v>1299</v>
      </c>
      <c r="G8" s="15">
        <v>224.7</v>
      </c>
      <c r="H8" s="15">
        <v>219.2</v>
      </c>
      <c r="I8" s="15">
        <v>213</v>
      </c>
      <c r="J8" s="15">
        <v>209.9</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1912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800-000000000000}">
      <formula1>"Line,Clustered Bar,Stacked Bar,Bar,Horizontal Stacked Bar"</formula1>
    </dataValidation>
    <dataValidation type="list" allowBlank="1" showInputMessage="1" showErrorMessage="1" sqref="B2" xr:uid="{00000000-0002-0000-A800-000001000000}">
      <formula1>"Table,Figure,Both"</formula1>
    </dataValidation>
    <dataValidation type="list" allowBlank="1" showInputMessage="1" showErrorMessage="1" sqref="B6 B15:B16" xr:uid="{00000000-0002-0000-A800-000002000000}">
      <formula1>"True,False"</formula1>
    </dataValidation>
  </dataValidation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Q57"/>
  <sheetViews>
    <sheetView workbookViewId="0">
      <selection activeCell="F6" sqref="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535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tbl-overlap-opioid-benzo-rx</v>
      </c>
    </row>
    <row r="4" spans="1:17" x14ac:dyDescent="0.2">
      <c r="A4" s="16" t="s">
        <v>7</v>
      </c>
      <c r="B4" t="str">
        <f>IF($B$1="","",_xlfn.XLOOKUP($B$1,Master!$F$2:$F$321,Master!$H$2:$H$321,""))</f>
        <v>fig-overlap-opioid-benzo-rx</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1297</v>
      </c>
      <c r="G6" s="15">
        <v>9.1</v>
      </c>
      <c r="H6" s="15">
        <v>8.5</v>
      </c>
      <c r="I6" s="15">
        <v>8.3000000000000007</v>
      </c>
      <c r="J6" s="15">
        <v>8</v>
      </c>
      <c r="K6" s="15"/>
      <c r="L6" s="15"/>
      <c r="M6" s="15"/>
      <c r="N6" s="15"/>
      <c r="O6" s="15"/>
    </row>
    <row r="7" spans="1:17" ht="15.75" customHeight="1" x14ac:dyDescent="0.2">
      <c r="E7" s="80"/>
      <c r="F7" t="s">
        <v>1298</v>
      </c>
      <c r="G7" s="15">
        <v>8.9</v>
      </c>
      <c r="H7" s="15">
        <v>8.6</v>
      </c>
      <c r="I7" s="15">
        <v>8.4</v>
      </c>
      <c r="J7" s="15">
        <v>8.1999999999999993</v>
      </c>
      <c r="K7" s="15"/>
      <c r="L7" s="15"/>
      <c r="M7" s="15"/>
      <c r="N7" s="15"/>
      <c r="O7" s="15"/>
    </row>
    <row r="8" spans="1:17" x14ac:dyDescent="0.2">
      <c r="E8" s="80"/>
      <c r="F8" t="s">
        <v>1299</v>
      </c>
      <c r="G8" s="15">
        <v>8.1</v>
      </c>
      <c r="H8" s="15">
        <v>7.8</v>
      </c>
      <c r="I8" s="15">
        <v>7.6</v>
      </c>
      <c r="J8" s="15">
        <v>7.4</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1912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900-000000000000}">
      <formula1>"Line,Clustered Bar,Stacked Bar,Bar,Horizontal Stacked Bar"</formula1>
    </dataValidation>
    <dataValidation type="list" allowBlank="1" showInputMessage="1" showErrorMessage="1" sqref="B2" xr:uid="{00000000-0002-0000-A900-000001000000}">
      <formula1>"Table,Figure,Both"</formula1>
    </dataValidation>
    <dataValidation type="list" allowBlank="1" showInputMessage="1" showErrorMessage="1" sqref="B6 B15:B16" xr:uid="{00000000-0002-0000-A900-000002000000}">
      <formula1>"True,False"</formula1>
    </dataValidation>
  </dataValidation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Q57"/>
  <sheetViews>
    <sheetView workbookViewId="0">
      <selection activeCell="G5" sqref="G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538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tbl-opioidud-atleast1rx-bup-aar</v>
      </c>
    </row>
    <row r="4" spans="1:17" x14ac:dyDescent="0.2">
      <c r="A4" s="16" t="s">
        <v>7</v>
      </c>
      <c r="B4" t="str">
        <f>IF($B$1="","",_xlfn.XLOOKUP($B$1,Master!$F$2:$F$321,Master!$H$2:$H$321,""))</f>
        <v>fig-opioidud-atleast1rx-bup-aar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v>2020</v>
      </c>
      <c r="H5">
        <v>2021</v>
      </c>
      <c r="I5">
        <v>2022</v>
      </c>
      <c r="J5">
        <v>2023</v>
      </c>
      <c r="K5">
        <v>2024</v>
      </c>
    </row>
    <row r="6" spans="1:17" ht="15" customHeight="1" x14ac:dyDescent="0.2">
      <c r="A6" t="s">
        <v>1088</v>
      </c>
      <c r="B6" t="b">
        <v>0</v>
      </c>
      <c r="E6" s="80"/>
      <c r="F6" t="s">
        <v>1297</v>
      </c>
      <c r="G6" s="15">
        <v>608.70000000000005</v>
      </c>
      <c r="H6" s="15">
        <v>527.6</v>
      </c>
      <c r="I6" s="15">
        <v>514.20000000000005</v>
      </c>
      <c r="J6" s="15">
        <v>520.4</v>
      </c>
      <c r="K6" s="15">
        <v>497.5</v>
      </c>
      <c r="L6" s="15"/>
      <c r="M6" s="15"/>
      <c r="N6" s="15"/>
      <c r="O6" s="15"/>
    </row>
    <row r="7" spans="1:17" ht="15.75" customHeight="1" x14ac:dyDescent="0.2">
      <c r="E7" s="80"/>
      <c r="F7" t="s">
        <v>1298</v>
      </c>
      <c r="G7" s="15">
        <v>638.4</v>
      </c>
      <c r="H7" s="15">
        <v>637.70000000000005</v>
      </c>
      <c r="I7" s="15">
        <v>657.2</v>
      </c>
      <c r="J7" s="15">
        <v>705.5</v>
      </c>
      <c r="K7" s="15">
        <v>695.3</v>
      </c>
      <c r="L7" s="15"/>
      <c r="M7" s="15"/>
      <c r="N7" s="15"/>
      <c r="O7" s="15"/>
    </row>
    <row r="8" spans="1:17" x14ac:dyDescent="0.2">
      <c r="E8" s="80"/>
      <c r="F8" t="s">
        <v>1299</v>
      </c>
      <c r="G8" s="15">
        <v>419.1</v>
      </c>
      <c r="H8" s="15">
        <v>419.8</v>
      </c>
      <c r="I8" s="15">
        <v>433.9</v>
      </c>
      <c r="J8" s="15">
        <v>464</v>
      </c>
      <c r="K8" s="15">
        <v>462.4</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1917</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1912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1918</v>
      </c>
      <c r="C22" t="s">
        <v>1226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A00-000000000000}">
      <formula1>"Line,Clustered Bar,Stacked Bar,Bar,Horizontal Stacked Bar"</formula1>
    </dataValidation>
    <dataValidation type="list" allowBlank="1" showInputMessage="1" showErrorMessage="1" sqref="B2" xr:uid="{00000000-0002-0000-AA00-000001000000}">
      <formula1>"Table,Figure,Both"</formula1>
    </dataValidation>
    <dataValidation type="list" allowBlank="1" showInputMessage="1" showErrorMessage="1" sqref="B6 B15:B16" xr:uid="{00000000-0002-0000-AA00-000002000000}">
      <formula1>"True,False"</formula1>
    </dataValidation>
  </dataValidation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Q57"/>
  <sheetViews>
    <sheetView workbookViewId="0">
      <selection activeCell="G6" sqref="G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541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tbl-opioidud-continuous-bup-rx</v>
      </c>
    </row>
    <row r="4" spans="1:17" x14ac:dyDescent="0.2">
      <c r="A4" s="16" t="s">
        <v>7</v>
      </c>
      <c r="B4" t="str">
        <f>IF($B$1="","",_xlfn.XLOOKUP($B$1,Master!$F$2:$F$321,Master!$H$2:$H$321,""))</f>
        <v>fig-opioidud-continuous-bup-rx</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1297</v>
      </c>
      <c r="G6" s="15">
        <v>71.3</v>
      </c>
      <c r="H6" s="15">
        <v>75.5</v>
      </c>
      <c r="I6" s="15">
        <v>73.2</v>
      </c>
      <c r="J6" s="15">
        <v>74.2</v>
      </c>
      <c r="K6" s="15"/>
      <c r="L6" s="15"/>
      <c r="M6" s="15"/>
      <c r="N6" s="15"/>
      <c r="O6" s="15"/>
    </row>
    <row r="7" spans="1:17" ht="15.75" customHeight="1" x14ac:dyDescent="0.2">
      <c r="E7" s="80"/>
      <c r="F7" t="s">
        <v>1298</v>
      </c>
      <c r="G7" s="15">
        <v>75.099999999999994</v>
      </c>
      <c r="H7" s="15">
        <v>74.5</v>
      </c>
      <c r="I7" s="15">
        <v>72.2</v>
      </c>
      <c r="J7" s="15">
        <v>70.400000000000006</v>
      </c>
      <c r="K7" s="15"/>
      <c r="L7" s="15"/>
      <c r="M7" s="15"/>
      <c r="N7" s="15"/>
      <c r="O7" s="15"/>
    </row>
    <row r="8" spans="1:17" x14ac:dyDescent="0.2">
      <c r="E8" s="80"/>
      <c r="F8" t="s">
        <v>1299</v>
      </c>
      <c r="G8" s="15">
        <v>71.8</v>
      </c>
      <c r="H8" s="15">
        <v>71.400000000000006</v>
      </c>
      <c r="I8" s="15">
        <v>69.5</v>
      </c>
      <c r="J8" s="15">
        <v>67.900000000000006</v>
      </c>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1912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1919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B00-000000000000}">
      <formula1>"Line,Clustered Bar,Stacked Bar,Bar,Horizontal Stacked Bar"</formula1>
    </dataValidation>
    <dataValidation type="list" allowBlank="1" showInputMessage="1" showErrorMessage="1" sqref="B2" xr:uid="{00000000-0002-0000-AB00-000001000000}">
      <formula1>"Table,Figure,Both"</formula1>
    </dataValidation>
    <dataValidation type="list" allowBlank="1" showInputMessage="1" showErrorMessage="1" sqref="B6 B15:B16" xr:uid="{00000000-0002-0000-AB00-000002000000}">
      <formula1>"True,False"</formula1>
    </dataValidation>
  </dataValidation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544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tbl-perception-harm-su</v>
      </c>
    </row>
    <row r="4" spans="1:17" x14ac:dyDescent="0.2">
      <c r="A4" s="16" t="s">
        <v>7</v>
      </c>
      <c r="B4" t="str">
        <f>IF($B$1="","",_xlfn.XLOOKUP($B$1,Master!$F$2:$F$321,Master!$H$2:$H$321,""))</f>
        <v>fig-perception-harm-su</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1920</v>
      </c>
      <c r="G5" t="s">
        <v>1921</v>
      </c>
      <c r="H5" t="s">
        <v>1922</v>
      </c>
      <c r="I5" t="s">
        <v>1923</v>
      </c>
      <c r="J5" t="s">
        <v>1924</v>
      </c>
      <c r="K5" t="s">
        <v>1089</v>
      </c>
    </row>
    <row r="6" spans="1:17" ht="15" customHeight="1" x14ac:dyDescent="0.2">
      <c r="A6" t="s">
        <v>1088</v>
      </c>
      <c r="B6" t="b">
        <v>0</v>
      </c>
      <c r="E6" s="80"/>
      <c r="F6" t="s">
        <v>1925</v>
      </c>
      <c r="G6" s="15">
        <v>70</v>
      </c>
      <c r="H6" s="15">
        <v>70.5</v>
      </c>
      <c r="I6" s="15">
        <v>70.5</v>
      </c>
      <c r="J6" s="15">
        <v>73.900000000000006</v>
      </c>
      <c r="K6" s="15">
        <v>71</v>
      </c>
      <c r="L6" s="15"/>
      <c r="M6" s="15"/>
      <c r="N6" s="15"/>
      <c r="O6" s="15"/>
    </row>
    <row r="7" spans="1:17" ht="15.75" customHeight="1" x14ac:dyDescent="0.2">
      <c r="E7" s="80"/>
      <c r="F7" t="s">
        <v>1926</v>
      </c>
      <c r="G7" s="15">
        <v>76.099999999999994</v>
      </c>
      <c r="H7" s="15">
        <v>79.900000000000006</v>
      </c>
      <c r="I7" s="15">
        <v>76.2</v>
      </c>
      <c r="J7" s="15">
        <v>84.5</v>
      </c>
      <c r="K7" s="15">
        <v>79</v>
      </c>
      <c r="L7" s="15"/>
      <c r="M7" s="15"/>
      <c r="N7" s="15"/>
      <c r="O7" s="15"/>
    </row>
    <row r="8" spans="1:17" x14ac:dyDescent="0.2">
      <c r="E8" s="80"/>
      <c r="F8" t="s">
        <v>1927</v>
      </c>
      <c r="G8" s="15">
        <v>65</v>
      </c>
      <c r="H8" s="15">
        <v>57</v>
      </c>
      <c r="I8" s="15">
        <v>57</v>
      </c>
      <c r="J8" s="15">
        <v>54.7</v>
      </c>
      <c r="K8" s="15">
        <v>59.6</v>
      </c>
      <c r="L8" s="15"/>
      <c r="M8" s="15"/>
      <c r="N8" s="15"/>
      <c r="O8" s="15"/>
    </row>
    <row r="9" spans="1:17" x14ac:dyDescent="0.2">
      <c r="A9" s="83" t="s">
        <v>1098</v>
      </c>
      <c r="B9" s="80"/>
      <c r="E9" s="80"/>
      <c r="F9" t="s">
        <v>1928</v>
      </c>
      <c r="G9" s="15">
        <v>72.900000000000006</v>
      </c>
      <c r="H9" s="15">
        <v>77.099999999999994</v>
      </c>
      <c r="I9" s="15">
        <v>73.900000000000006</v>
      </c>
      <c r="J9" s="15">
        <v>84</v>
      </c>
      <c r="K9" s="15">
        <v>76.599999999999994</v>
      </c>
      <c r="L9" s="15"/>
      <c r="M9" s="15"/>
      <c r="N9" s="15"/>
      <c r="O9" s="15"/>
    </row>
    <row r="10" spans="1:17" x14ac:dyDescent="0.2">
      <c r="A10" t="s">
        <v>1100</v>
      </c>
      <c r="B10" t="s">
        <v>1304</v>
      </c>
      <c r="E10" s="80"/>
      <c r="G10" s="15"/>
    </row>
    <row r="11" spans="1:17" x14ac:dyDescent="0.2">
      <c r="A11" t="s">
        <v>1102</v>
      </c>
      <c r="B11" t="s">
        <v>1929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1920</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1930</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1931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AC00-000000000000}">
      <formula1>"Line,Clustered Bar,Stacked Bar,Bar,Horizontal Stacked Bar"</formula1>
    </dataValidation>
    <dataValidation type="list" allowBlank="1" showInputMessage="1" showErrorMessage="1" sqref="B2" xr:uid="{00000000-0002-0000-AC00-000001000000}">
      <formula1>"Table,Figure,Both"</formula1>
    </dataValidation>
    <dataValidation type="list" allowBlank="1" showInputMessage="1" showErrorMessage="1" sqref="B6 B15:B16" xr:uid="{00000000-0002-0000-AC00-000002000000}">
      <formula1>"True,False"</formula1>
    </dataValidation>
  </dataValidation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103.5" bestFit="1" customWidth="1"/>
    <col min="7" max="8" width="8.83203125" bestFit="1" customWidth="1"/>
    <col min="9" max="9" width="9.5" customWidth="1"/>
    <col min="10"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547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tbl-lifetime-su</v>
      </c>
    </row>
    <row r="4" spans="1:17" x14ac:dyDescent="0.2">
      <c r="A4" s="16" t="s">
        <v>7</v>
      </c>
      <c r="B4" t="str">
        <f>IF($B$1="","",_xlfn.XLOOKUP($B$1,Master!$F$2:$F$321,Master!$H$2:$H$321,""))</f>
        <v>fig-lifetime-su</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s="91" t="s">
        <v>1932</v>
      </c>
      <c r="G5" s="85" t="s">
        <v>1933</v>
      </c>
      <c r="H5" s="80"/>
      <c r="I5" s="80"/>
      <c r="J5" s="80"/>
      <c r="K5" s="80"/>
    </row>
    <row r="6" spans="1:17" ht="15" customHeight="1" x14ac:dyDescent="0.2">
      <c r="A6" t="s">
        <v>1088</v>
      </c>
      <c r="B6" t="b">
        <v>1</v>
      </c>
      <c r="E6" s="80"/>
      <c r="F6" s="80"/>
      <c r="G6" s="60" t="s">
        <v>1934</v>
      </c>
      <c r="H6" s="60" t="s">
        <v>1935</v>
      </c>
      <c r="I6" s="60" t="s">
        <v>1936</v>
      </c>
      <c r="J6" s="60" t="s">
        <v>1937</v>
      </c>
      <c r="K6" s="60" t="s">
        <v>1089</v>
      </c>
      <c r="L6" s="15"/>
      <c r="M6" s="15"/>
      <c r="N6" s="15"/>
      <c r="O6" s="15"/>
    </row>
    <row r="7" spans="1:17" ht="15.75" customHeight="1" x14ac:dyDescent="0.2">
      <c r="E7" s="80"/>
      <c r="F7" s="47" t="s">
        <v>1938</v>
      </c>
      <c r="G7" s="15">
        <v>17.899999999999999</v>
      </c>
      <c r="H7" s="15">
        <v>31.8</v>
      </c>
      <c r="I7" s="15">
        <v>18.7</v>
      </c>
      <c r="J7" s="15">
        <v>50</v>
      </c>
      <c r="K7" s="15">
        <v>28.8</v>
      </c>
      <c r="L7" s="15"/>
      <c r="M7" s="15"/>
      <c r="N7" s="15"/>
      <c r="O7" s="15"/>
    </row>
    <row r="8" spans="1:17" x14ac:dyDescent="0.2">
      <c r="E8" s="80"/>
      <c r="F8" s="47" t="s">
        <v>1939</v>
      </c>
      <c r="G8" s="15">
        <v>2.7</v>
      </c>
      <c r="H8" s="15">
        <v>11.6</v>
      </c>
      <c r="I8" s="15">
        <v>9.8000000000000007</v>
      </c>
      <c r="J8" s="15">
        <v>23.2</v>
      </c>
      <c r="K8" s="15">
        <v>10.3</v>
      </c>
      <c r="L8" s="15"/>
      <c r="M8" s="15"/>
      <c r="N8" s="15"/>
      <c r="O8" s="15"/>
    </row>
    <row r="9" spans="1:17" x14ac:dyDescent="0.2">
      <c r="A9" s="83" t="s">
        <v>1098</v>
      </c>
      <c r="B9" s="80"/>
      <c r="E9" s="80"/>
      <c r="F9" s="47" t="s">
        <v>1940</v>
      </c>
      <c r="G9" s="15">
        <v>4.9000000000000004</v>
      </c>
      <c r="H9" s="15">
        <v>3.5</v>
      </c>
      <c r="I9" s="15">
        <v>2.8</v>
      </c>
      <c r="J9" s="15">
        <v>1.6</v>
      </c>
      <c r="K9" s="15">
        <v>3.6</v>
      </c>
      <c r="L9" s="15"/>
      <c r="M9" s="15"/>
      <c r="N9" s="15"/>
      <c r="O9" s="15"/>
    </row>
    <row r="10" spans="1:17" x14ac:dyDescent="0.2">
      <c r="A10" t="s">
        <v>1100</v>
      </c>
      <c r="E10" s="80"/>
      <c r="F10" s="47" t="s">
        <v>1941</v>
      </c>
      <c r="G10" s="15">
        <v>4.5</v>
      </c>
      <c r="H10" s="15">
        <v>3.5</v>
      </c>
      <c r="I10" s="15">
        <v>3.3</v>
      </c>
      <c r="J10" s="15">
        <v>3</v>
      </c>
      <c r="K10" s="15">
        <v>3.7</v>
      </c>
    </row>
    <row r="11" spans="1:17" x14ac:dyDescent="0.2">
      <c r="A11" t="s">
        <v>1102</v>
      </c>
      <c r="E11" s="80"/>
      <c r="F11" s="47" t="s">
        <v>1942</v>
      </c>
      <c r="G11" s="15">
        <v>0.7</v>
      </c>
      <c r="H11" s="15">
        <v>2.7</v>
      </c>
      <c r="I11" s="15">
        <v>2.5</v>
      </c>
      <c r="J11" s="15">
        <v>5.6</v>
      </c>
      <c r="K11" s="15">
        <v>2.5</v>
      </c>
      <c r="L11" s="17"/>
      <c r="M11" s="17"/>
      <c r="N11" s="17"/>
    </row>
    <row r="12" spans="1:17" x14ac:dyDescent="0.2">
      <c r="A12" t="s">
        <v>1104</v>
      </c>
      <c r="E12" s="80"/>
      <c r="F12" s="47" t="s">
        <v>1943</v>
      </c>
      <c r="G12" s="15">
        <v>2.8</v>
      </c>
      <c r="H12" s="15">
        <v>7.1</v>
      </c>
      <c r="I12" s="15">
        <v>7.5</v>
      </c>
      <c r="J12" s="17">
        <v>16.100000000000001</v>
      </c>
      <c r="K12" s="17">
        <v>7.3</v>
      </c>
      <c r="L12" s="15"/>
    </row>
    <row r="13" spans="1:17" x14ac:dyDescent="0.2">
      <c r="A13" t="s">
        <v>1108</v>
      </c>
      <c r="E13" s="80"/>
      <c r="F13" s="48" t="s">
        <v>1944</v>
      </c>
      <c r="G13" s="17">
        <v>0</v>
      </c>
      <c r="H13" s="17">
        <v>0.3</v>
      </c>
      <c r="I13" s="15">
        <v>0.3</v>
      </c>
      <c r="J13" s="15">
        <v>0</v>
      </c>
      <c r="K13" s="15">
        <v>0.1</v>
      </c>
    </row>
    <row r="14" spans="1:17" x14ac:dyDescent="0.2">
      <c r="A14" t="s">
        <v>1112</v>
      </c>
      <c r="E14" s="80"/>
      <c r="F14" s="47" t="s">
        <v>1945</v>
      </c>
      <c r="G14" s="15">
        <v>1.8</v>
      </c>
      <c r="H14" s="15">
        <v>1.7</v>
      </c>
      <c r="I14" s="15">
        <v>0.8</v>
      </c>
      <c r="J14" s="15">
        <v>1.7</v>
      </c>
      <c r="K14" s="15">
        <v>1.7</v>
      </c>
    </row>
    <row r="15" spans="1:17" x14ac:dyDescent="0.2">
      <c r="A15" t="s">
        <v>1114</v>
      </c>
      <c r="E15" s="80"/>
      <c r="F15" s="47" t="s">
        <v>1946</v>
      </c>
      <c r="G15" s="15">
        <v>52.3</v>
      </c>
      <c r="H15" s="15">
        <v>60.3</v>
      </c>
      <c r="I15" s="15">
        <v>52.1</v>
      </c>
      <c r="J15" s="15">
        <v>62.9</v>
      </c>
      <c r="K15" s="15">
        <v>57</v>
      </c>
    </row>
    <row r="16" spans="1:17" x14ac:dyDescent="0.2">
      <c r="A16" t="s">
        <v>1116</v>
      </c>
      <c r="E16" s="80"/>
      <c r="F16" s="47" t="s">
        <v>1947</v>
      </c>
      <c r="G16" s="15">
        <v>0.2</v>
      </c>
      <c r="H16" s="15">
        <v>1.5</v>
      </c>
      <c r="I16" s="15">
        <v>1.9</v>
      </c>
      <c r="J16" s="15">
        <v>3.1</v>
      </c>
      <c r="K16" s="15">
        <v>1.4</v>
      </c>
    </row>
    <row r="17" spans="1:11" x14ac:dyDescent="0.2">
      <c r="E17" s="80"/>
      <c r="F17" s="47" t="s">
        <v>1948</v>
      </c>
      <c r="G17" s="15">
        <v>0</v>
      </c>
      <c r="H17" s="15">
        <v>0.2</v>
      </c>
      <c r="I17" s="15">
        <v>0.3</v>
      </c>
      <c r="J17" s="15">
        <v>0.6</v>
      </c>
      <c r="K17" s="15">
        <v>0.2</v>
      </c>
    </row>
    <row r="18" spans="1:11" x14ac:dyDescent="0.2">
      <c r="A18" s="83" t="s">
        <v>1119</v>
      </c>
      <c r="B18" s="80"/>
      <c r="E18" s="80"/>
      <c r="F18" s="47" t="s">
        <v>1949</v>
      </c>
      <c r="G18" s="15">
        <v>0.2</v>
      </c>
      <c r="H18" s="15">
        <v>0.5</v>
      </c>
      <c r="I18" s="15">
        <v>0.6</v>
      </c>
      <c r="J18" s="15">
        <v>0.9</v>
      </c>
      <c r="K18" s="15">
        <v>0.5</v>
      </c>
    </row>
    <row r="19" spans="1:11" x14ac:dyDescent="0.2">
      <c r="A19" t="s">
        <v>1121</v>
      </c>
      <c r="B19" t="s">
        <v>1930</v>
      </c>
      <c r="E19" s="80"/>
      <c r="F19" s="47" t="s">
        <v>1950</v>
      </c>
      <c r="G19" s="15">
        <v>6.7</v>
      </c>
      <c r="H19" s="15">
        <v>13.7</v>
      </c>
      <c r="I19" s="15">
        <v>8.6</v>
      </c>
      <c r="J19" s="15">
        <v>19.600000000000001</v>
      </c>
      <c r="K19" s="15">
        <v>11.7</v>
      </c>
    </row>
    <row r="20" spans="1:11" x14ac:dyDescent="0.2">
      <c r="E20" s="80"/>
      <c r="F20" s="47" t="s">
        <v>1951</v>
      </c>
      <c r="G20" s="15">
        <v>3.2</v>
      </c>
      <c r="H20" s="15">
        <v>9.9</v>
      </c>
      <c r="I20" s="15">
        <v>7.8</v>
      </c>
      <c r="J20" s="15">
        <v>17.600000000000001</v>
      </c>
      <c r="K20" s="15">
        <v>8.6999999999999993</v>
      </c>
    </row>
    <row r="21" spans="1:11" x14ac:dyDescent="0.2">
      <c r="A21" s="81" t="s">
        <v>1125</v>
      </c>
      <c r="B21" s="80"/>
      <c r="E21" s="80"/>
      <c r="F21" s="47" t="s">
        <v>1952</v>
      </c>
      <c r="G21" s="15">
        <v>2.6</v>
      </c>
      <c r="H21" s="15">
        <v>6</v>
      </c>
      <c r="I21" s="15">
        <v>5.8</v>
      </c>
      <c r="J21" s="15">
        <v>11.9</v>
      </c>
      <c r="K21" s="15">
        <v>5.9</v>
      </c>
    </row>
    <row r="22" spans="1:11" x14ac:dyDescent="0.2">
      <c r="A22" t="s">
        <v>1135</v>
      </c>
      <c r="B22" t="s">
        <v>1953</v>
      </c>
      <c r="E22" s="80"/>
      <c r="F22" s="47" t="s">
        <v>1954</v>
      </c>
      <c r="G22" s="15">
        <v>3.3</v>
      </c>
      <c r="H22" s="15">
        <v>5.6</v>
      </c>
      <c r="I22" s="15">
        <v>5</v>
      </c>
      <c r="J22" s="15">
        <v>10.1</v>
      </c>
      <c r="K22" s="15">
        <v>5.6</v>
      </c>
    </row>
    <row r="23" spans="1:11" x14ac:dyDescent="0.2">
      <c r="E23" s="80"/>
      <c r="F23" s="47" t="s">
        <v>1955</v>
      </c>
      <c r="G23" s="15">
        <v>0.4</v>
      </c>
      <c r="H23" s="15">
        <v>1.7</v>
      </c>
      <c r="I23" s="15">
        <v>1.4</v>
      </c>
      <c r="J23" s="15">
        <v>2.7</v>
      </c>
      <c r="K23" s="15">
        <v>1.4</v>
      </c>
    </row>
    <row r="24" spans="1:11" x14ac:dyDescent="0.2">
      <c r="E24" s="80"/>
      <c r="F24" s="47" t="s">
        <v>1956</v>
      </c>
      <c r="G24" s="15">
        <v>0.2</v>
      </c>
      <c r="H24" s="15">
        <v>0.2</v>
      </c>
      <c r="I24" s="15">
        <v>0</v>
      </c>
      <c r="J24" s="15">
        <v>0.1</v>
      </c>
      <c r="K24" s="15">
        <v>0.1</v>
      </c>
    </row>
    <row r="25" spans="1:11" x14ac:dyDescent="0.2">
      <c r="E25" s="80"/>
      <c r="F25" s="47" t="s">
        <v>1957</v>
      </c>
      <c r="G25" s="15">
        <v>3.6</v>
      </c>
      <c r="H25" s="15">
        <v>3.1</v>
      </c>
      <c r="I25" s="15">
        <v>0.3</v>
      </c>
      <c r="J25" s="15">
        <v>2</v>
      </c>
      <c r="K25" s="15">
        <v>2.8</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9">
    <mergeCell ref="B1:O1"/>
    <mergeCell ref="A21:B21"/>
    <mergeCell ref="E5:E57"/>
    <mergeCell ref="A9:B9"/>
    <mergeCell ref="A5:B5"/>
    <mergeCell ref="G5:K5"/>
    <mergeCell ref="F5:F6"/>
    <mergeCell ref="A18:B18"/>
    <mergeCell ref="A27:B27"/>
  </mergeCells>
  <dataValidations count="3">
    <dataValidation type="list" allowBlank="1" showInputMessage="1" showErrorMessage="1" sqref="B10" xr:uid="{00000000-0002-0000-AD00-000000000000}">
      <formula1>"Line,Clustered Bar,Stacked Bar,Bar,Horizontal Stacked Bar"</formula1>
    </dataValidation>
    <dataValidation type="list" allowBlank="1" showInputMessage="1" showErrorMessage="1" sqref="B2" xr:uid="{00000000-0002-0000-AD00-000001000000}">
      <formula1>"Table,Figure,Both"</formula1>
    </dataValidation>
    <dataValidation type="list" allowBlank="1" showInputMessage="1" showErrorMessage="1" sqref="B6 B15:B16" xr:uid="{00000000-0002-0000-AD00-000002000000}">
      <formula1>"True,False"</formula1>
    </dataValidation>
  </dataValidation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103.5" bestFit="1" customWidth="1"/>
    <col min="7" max="7" width="8.83203125"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550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tlb-past-30day-su</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s="91" t="s">
        <v>1932</v>
      </c>
      <c r="G5" s="85" t="s">
        <v>1933</v>
      </c>
      <c r="H5" s="80"/>
      <c r="I5" s="80"/>
      <c r="J5" s="80"/>
      <c r="K5" s="80"/>
    </row>
    <row r="6" spans="1:17" ht="15" customHeight="1" x14ac:dyDescent="0.2">
      <c r="A6" t="s">
        <v>1088</v>
      </c>
      <c r="B6" t="b">
        <v>1</v>
      </c>
      <c r="E6" s="80"/>
      <c r="F6" s="80"/>
      <c r="G6" s="60" t="s">
        <v>1934</v>
      </c>
      <c r="H6" s="60" t="s">
        <v>1935</v>
      </c>
      <c r="I6" s="60" t="s">
        <v>1936</v>
      </c>
      <c r="J6" s="60" t="s">
        <v>1937</v>
      </c>
      <c r="K6" s="60" t="s">
        <v>1089</v>
      </c>
      <c r="L6" s="15"/>
      <c r="M6" s="15"/>
      <c r="N6" s="15"/>
      <c r="O6" s="15"/>
    </row>
    <row r="7" spans="1:17" ht="15.75" customHeight="1" x14ac:dyDescent="0.2">
      <c r="E7" s="80"/>
      <c r="F7" s="47" t="s">
        <v>1938</v>
      </c>
      <c r="G7" s="15">
        <v>7.2</v>
      </c>
      <c r="H7" s="15">
        <v>12.3</v>
      </c>
      <c r="I7" s="15">
        <v>6.4</v>
      </c>
      <c r="J7" s="15">
        <v>28.6</v>
      </c>
      <c r="K7" s="15">
        <v>13</v>
      </c>
      <c r="L7" s="15"/>
      <c r="M7" s="15"/>
      <c r="N7" s="15"/>
      <c r="O7" s="15"/>
    </row>
    <row r="8" spans="1:17" x14ac:dyDescent="0.2">
      <c r="E8" s="80"/>
      <c r="F8" s="47" t="s">
        <v>1939</v>
      </c>
      <c r="G8" s="15">
        <v>1.7</v>
      </c>
      <c r="H8" s="15">
        <v>6</v>
      </c>
      <c r="I8" s="15">
        <v>5.3</v>
      </c>
      <c r="J8" s="17">
        <v>11.4</v>
      </c>
      <c r="K8" s="17">
        <v>5.4</v>
      </c>
      <c r="L8" s="15"/>
      <c r="M8" s="15"/>
      <c r="N8" s="15"/>
      <c r="O8" s="15"/>
    </row>
    <row r="9" spans="1:17" x14ac:dyDescent="0.2">
      <c r="A9" s="83" t="s">
        <v>1098</v>
      </c>
      <c r="B9" s="80"/>
      <c r="E9" s="80"/>
      <c r="F9" s="48" t="s">
        <v>1940</v>
      </c>
      <c r="G9" s="17">
        <v>1.3</v>
      </c>
      <c r="H9" s="17">
        <v>1.5</v>
      </c>
      <c r="I9" s="15">
        <v>0.3</v>
      </c>
      <c r="J9" s="15">
        <v>0.1</v>
      </c>
      <c r="K9" s="15">
        <v>1</v>
      </c>
      <c r="L9" s="15"/>
      <c r="M9" s="15"/>
      <c r="N9" s="15"/>
      <c r="O9" s="15"/>
    </row>
    <row r="10" spans="1:17" x14ac:dyDescent="0.2">
      <c r="A10" t="s">
        <v>1100</v>
      </c>
      <c r="E10" s="80"/>
      <c r="F10" s="47" t="s">
        <v>1941</v>
      </c>
      <c r="G10" s="15">
        <v>1.5</v>
      </c>
      <c r="H10" s="15">
        <v>1.3</v>
      </c>
      <c r="I10" s="15">
        <v>0.8</v>
      </c>
      <c r="J10" s="15">
        <v>0.4</v>
      </c>
      <c r="K10" s="15">
        <v>1.2</v>
      </c>
    </row>
    <row r="11" spans="1:17" x14ac:dyDescent="0.2">
      <c r="A11" t="s">
        <v>1102</v>
      </c>
      <c r="E11" s="80"/>
      <c r="F11" s="47" t="s">
        <v>1942</v>
      </c>
      <c r="G11" s="15">
        <v>0.5</v>
      </c>
      <c r="H11" s="15">
        <v>1</v>
      </c>
      <c r="I11" s="15">
        <v>1.7</v>
      </c>
      <c r="J11" s="15">
        <v>1.4</v>
      </c>
      <c r="K11" s="15">
        <v>1</v>
      </c>
      <c r="L11" s="17"/>
      <c r="M11" s="17"/>
      <c r="N11" s="17"/>
    </row>
    <row r="12" spans="1:17" x14ac:dyDescent="0.2">
      <c r="A12" t="s">
        <v>1104</v>
      </c>
      <c r="E12" s="80"/>
      <c r="F12" s="47" t="s">
        <v>1943</v>
      </c>
      <c r="G12" s="15">
        <v>1.3</v>
      </c>
      <c r="H12" s="15">
        <v>2.2000000000000002</v>
      </c>
      <c r="I12" s="15">
        <v>2.2000000000000002</v>
      </c>
      <c r="J12" s="15">
        <v>3.4</v>
      </c>
      <c r="K12" s="15">
        <v>2.1</v>
      </c>
      <c r="L12" s="15"/>
    </row>
    <row r="13" spans="1:17" x14ac:dyDescent="0.2">
      <c r="A13" t="s">
        <v>1108</v>
      </c>
      <c r="E13" s="80"/>
      <c r="F13" s="47" t="s">
        <v>1944</v>
      </c>
      <c r="G13" s="15">
        <v>0</v>
      </c>
      <c r="H13" s="15">
        <v>0.1</v>
      </c>
      <c r="I13" s="15">
        <v>0</v>
      </c>
      <c r="J13" s="15">
        <v>0</v>
      </c>
      <c r="K13" s="15">
        <v>0</v>
      </c>
    </row>
    <row r="14" spans="1:17" x14ac:dyDescent="0.2">
      <c r="A14" t="s">
        <v>1112</v>
      </c>
      <c r="E14" s="80"/>
      <c r="F14" s="47" t="s">
        <v>1945</v>
      </c>
      <c r="G14" s="15">
        <v>0.5</v>
      </c>
      <c r="H14" s="15">
        <v>0.2</v>
      </c>
      <c r="I14" s="15">
        <v>0.3</v>
      </c>
      <c r="J14" s="15">
        <v>0.1</v>
      </c>
      <c r="K14" s="15">
        <v>0.3</v>
      </c>
    </row>
    <row r="15" spans="1:17" x14ac:dyDescent="0.2">
      <c r="A15" t="s">
        <v>1114</v>
      </c>
      <c r="E15" s="80"/>
      <c r="F15" s="47" t="s">
        <v>1946</v>
      </c>
      <c r="G15" s="15">
        <v>30.3</v>
      </c>
      <c r="H15" s="15">
        <v>32.5</v>
      </c>
      <c r="I15" s="15">
        <v>25.4</v>
      </c>
      <c r="J15" s="15">
        <v>33.200000000000003</v>
      </c>
      <c r="K15" s="15">
        <v>31.1</v>
      </c>
    </row>
    <row r="16" spans="1:17" x14ac:dyDescent="0.2">
      <c r="A16" t="s">
        <v>1116</v>
      </c>
      <c r="E16" s="80"/>
      <c r="F16" s="47" t="s">
        <v>1947</v>
      </c>
      <c r="G16" s="15">
        <v>0</v>
      </c>
      <c r="H16" s="15">
        <v>0.2</v>
      </c>
      <c r="I16" s="15">
        <v>0.3</v>
      </c>
      <c r="J16" s="15">
        <v>0.6</v>
      </c>
      <c r="K16" s="15">
        <v>0.2</v>
      </c>
    </row>
    <row r="17" spans="1:11" x14ac:dyDescent="0.2">
      <c r="E17" s="80"/>
      <c r="F17" s="47" t="s">
        <v>1948</v>
      </c>
      <c r="G17" s="15">
        <v>0</v>
      </c>
      <c r="H17" s="15">
        <v>0.1</v>
      </c>
      <c r="I17" s="15">
        <v>0</v>
      </c>
      <c r="J17" s="15">
        <v>0.1</v>
      </c>
      <c r="K17" s="15">
        <v>0.1</v>
      </c>
    </row>
    <row r="18" spans="1:11" x14ac:dyDescent="0.2">
      <c r="A18" s="83" t="s">
        <v>1119</v>
      </c>
      <c r="B18" s="80"/>
      <c r="E18" s="80"/>
      <c r="F18" s="47" t="s">
        <v>1949</v>
      </c>
      <c r="G18" s="15">
        <v>0</v>
      </c>
      <c r="H18" s="15">
        <v>0.1</v>
      </c>
      <c r="I18" s="15">
        <v>0.6</v>
      </c>
      <c r="J18" s="15">
        <v>0.1</v>
      </c>
      <c r="K18" s="15">
        <v>0.1</v>
      </c>
    </row>
    <row r="19" spans="1:11" x14ac:dyDescent="0.2">
      <c r="A19" t="s">
        <v>1121</v>
      </c>
      <c r="B19" t="s">
        <v>1930</v>
      </c>
      <c r="E19" s="80"/>
      <c r="F19" s="47" t="s">
        <v>1950</v>
      </c>
      <c r="G19" s="15">
        <v>3.2</v>
      </c>
      <c r="H19" s="15">
        <v>6.4</v>
      </c>
      <c r="I19" s="15">
        <v>3.3</v>
      </c>
      <c r="J19" s="15">
        <v>9.3000000000000007</v>
      </c>
      <c r="K19" s="15">
        <v>5.4</v>
      </c>
    </row>
    <row r="20" spans="1:11" x14ac:dyDescent="0.2">
      <c r="E20" s="80"/>
      <c r="F20" s="47" t="s">
        <v>1951</v>
      </c>
      <c r="G20" s="15">
        <v>1.9</v>
      </c>
      <c r="H20" s="15">
        <v>4.5999999999999996</v>
      </c>
      <c r="I20" s="15">
        <v>3.9</v>
      </c>
      <c r="J20" s="15">
        <v>8</v>
      </c>
      <c r="K20" s="15">
        <v>4.2</v>
      </c>
    </row>
    <row r="21" spans="1:11" x14ac:dyDescent="0.2">
      <c r="A21" s="81" t="s">
        <v>1125</v>
      </c>
      <c r="B21" s="80"/>
      <c r="E21" s="80"/>
      <c r="F21" s="47" t="s">
        <v>1952</v>
      </c>
      <c r="G21" s="15">
        <v>1.1000000000000001</v>
      </c>
      <c r="H21" s="15">
        <v>1.6</v>
      </c>
      <c r="I21" s="15">
        <v>0.8</v>
      </c>
      <c r="J21" s="15">
        <v>2.8</v>
      </c>
      <c r="K21" s="15">
        <v>1.6</v>
      </c>
    </row>
    <row r="22" spans="1:11" x14ac:dyDescent="0.2">
      <c r="A22" t="s">
        <v>1135</v>
      </c>
      <c r="B22" t="s">
        <v>1958</v>
      </c>
      <c r="E22" s="80"/>
      <c r="F22" s="47" t="s">
        <v>1954</v>
      </c>
      <c r="G22" s="15">
        <v>1.1000000000000001</v>
      </c>
      <c r="H22" s="15">
        <v>2</v>
      </c>
      <c r="I22" s="15">
        <v>1.1000000000000001</v>
      </c>
      <c r="J22" s="15">
        <v>3.1</v>
      </c>
      <c r="K22" s="15">
        <v>1.8</v>
      </c>
    </row>
    <row r="23" spans="1:11" x14ac:dyDescent="0.2">
      <c r="E23" s="80"/>
      <c r="F23" s="47" t="s">
        <v>1955</v>
      </c>
      <c r="G23" s="15">
        <v>0.2</v>
      </c>
      <c r="H23" s="15">
        <v>0.5</v>
      </c>
      <c r="I23" s="15">
        <v>0.3</v>
      </c>
      <c r="J23" s="15">
        <v>0.7</v>
      </c>
      <c r="K23" s="15">
        <v>0.4</v>
      </c>
    </row>
    <row r="24" spans="1:11" x14ac:dyDescent="0.2">
      <c r="E24" s="80"/>
      <c r="F24" s="47" t="s">
        <v>1956</v>
      </c>
      <c r="G24" s="15">
        <v>0.1</v>
      </c>
      <c r="H24" s="15">
        <v>0.1</v>
      </c>
      <c r="I24" s="15">
        <v>0</v>
      </c>
      <c r="J24" s="15">
        <v>0</v>
      </c>
      <c r="K24" s="15">
        <v>0.1</v>
      </c>
    </row>
    <row r="25" spans="1:11" x14ac:dyDescent="0.2">
      <c r="E25" s="80"/>
      <c r="F25" s="47" t="s">
        <v>1957</v>
      </c>
      <c r="G25" s="15">
        <v>2.1</v>
      </c>
      <c r="H25" s="15">
        <v>0.8</v>
      </c>
      <c r="I25" s="15">
        <v>0</v>
      </c>
      <c r="J25" s="15">
        <v>0.4</v>
      </c>
      <c r="K25" s="15">
        <v>1.1000000000000001</v>
      </c>
    </row>
    <row r="26" spans="1:11" x14ac:dyDescent="0.2">
      <c r="E26" s="80"/>
    </row>
    <row r="27" spans="1:11" x14ac:dyDescent="0.2">
      <c r="A27" s="81"/>
      <c r="B27" s="80"/>
      <c r="E27" s="80"/>
    </row>
    <row r="28" spans="1:11" x14ac:dyDescent="0.2">
      <c r="E28" s="80"/>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9">
    <mergeCell ref="B1:O1"/>
    <mergeCell ref="A21:B21"/>
    <mergeCell ref="E5:E57"/>
    <mergeCell ref="A9:B9"/>
    <mergeCell ref="A5:B5"/>
    <mergeCell ref="G5:K5"/>
    <mergeCell ref="F5:F6"/>
    <mergeCell ref="A18:B18"/>
    <mergeCell ref="A27:B27"/>
  </mergeCells>
  <dataValidations count="3">
    <dataValidation type="list" allowBlank="1" showInputMessage="1" showErrorMessage="1" sqref="B10" xr:uid="{00000000-0002-0000-AE00-000000000000}">
      <formula1>"Line,Clustered Bar,Stacked Bar,Bar,Horizontal Stacked Bar"</formula1>
    </dataValidation>
    <dataValidation type="list" allowBlank="1" showInputMessage="1" showErrorMessage="1" sqref="B2" xr:uid="{00000000-0002-0000-AE00-000001000000}">
      <formula1>"Table,Figure,Both"</formula1>
    </dataValidation>
    <dataValidation type="list" allowBlank="1" showInputMessage="1" showErrorMessage="1" sqref="B6 B15:B16" xr:uid="{00000000-0002-0000-AE00-000002000000}">
      <formula1>"True,False"</formula1>
    </dataValidation>
  </dataValidation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119.3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553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tbl-source-marijuana-ifused</v>
      </c>
    </row>
    <row r="4" spans="1:17" x14ac:dyDescent="0.2">
      <c r="A4" s="16" t="s">
        <v>7</v>
      </c>
      <c r="B4" t="str">
        <f>IF($B$1="","",_xlfn.XLOOKUP($B$1,Master!$F$2:$F$321,Master!$H$2:$H$321,""))</f>
        <v>fig-source-marijuana-ifused</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G5" s="60" t="s">
        <v>1934</v>
      </c>
      <c r="H5" s="60" t="s">
        <v>1935</v>
      </c>
      <c r="I5" s="60" t="s">
        <v>1936</v>
      </c>
      <c r="J5" s="60" t="s">
        <v>1937</v>
      </c>
      <c r="K5" s="60" t="s">
        <v>1089</v>
      </c>
    </row>
    <row r="6" spans="1:17" ht="15" customHeight="1" x14ac:dyDescent="0.2">
      <c r="A6" t="s">
        <v>1088</v>
      </c>
      <c r="B6" t="b">
        <v>1</v>
      </c>
      <c r="E6" s="80"/>
      <c r="F6" s="16" t="s">
        <v>1959</v>
      </c>
      <c r="G6" s="15">
        <v>94.3</v>
      </c>
      <c r="H6" s="15">
        <v>87.7</v>
      </c>
      <c r="I6" s="15">
        <v>87.7</v>
      </c>
      <c r="J6" s="15">
        <v>81.2</v>
      </c>
      <c r="K6" s="15">
        <v>89</v>
      </c>
      <c r="L6" s="15"/>
      <c r="M6" s="15"/>
      <c r="N6" s="15"/>
      <c r="O6" s="15"/>
    </row>
    <row r="7" spans="1:17" ht="15.75" customHeight="1" x14ac:dyDescent="0.2">
      <c r="E7" s="80"/>
      <c r="F7" s="91" t="s">
        <v>1960</v>
      </c>
      <c r="G7" s="80"/>
      <c r="H7" s="80"/>
      <c r="I7" s="80"/>
      <c r="J7" s="80"/>
      <c r="K7" s="80"/>
      <c r="L7" s="15"/>
      <c r="M7" s="15"/>
      <c r="N7" s="15"/>
      <c r="O7" s="15"/>
    </row>
    <row r="8" spans="1:17" x14ac:dyDescent="0.2">
      <c r="E8" s="80"/>
      <c r="F8" s="47" t="s">
        <v>1961</v>
      </c>
      <c r="G8" s="15">
        <v>26.2</v>
      </c>
      <c r="H8" s="15">
        <v>15.4</v>
      </c>
      <c r="I8" s="15">
        <v>27.3</v>
      </c>
      <c r="J8" s="15">
        <v>12.8</v>
      </c>
      <c r="K8" s="15">
        <v>18</v>
      </c>
      <c r="L8" s="15"/>
      <c r="M8" s="15"/>
      <c r="N8" s="15"/>
      <c r="O8" s="15"/>
    </row>
    <row r="9" spans="1:17" x14ac:dyDescent="0.2">
      <c r="A9" s="83" t="s">
        <v>1098</v>
      </c>
      <c r="B9" s="80"/>
      <c r="E9" s="80"/>
      <c r="F9" s="47" t="s">
        <v>1962</v>
      </c>
      <c r="G9" s="15">
        <v>7.7</v>
      </c>
      <c r="H9" s="15">
        <v>11.5</v>
      </c>
      <c r="I9" s="15">
        <v>15.2</v>
      </c>
      <c r="J9" s="15">
        <v>10.1</v>
      </c>
      <c r="K9" s="15">
        <v>10.6</v>
      </c>
      <c r="L9" s="15"/>
      <c r="M9" s="15"/>
      <c r="N9" s="15"/>
      <c r="O9" s="15"/>
    </row>
    <row r="10" spans="1:17" x14ac:dyDescent="0.2">
      <c r="A10" t="s">
        <v>1100</v>
      </c>
      <c r="E10" s="80"/>
      <c r="F10" s="47" t="s">
        <v>1963</v>
      </c>
      <c r="G10" s="15">
        <v>47.7</v>
      </c>
      <c r="H10" s="15">
        <v>48.1</v>
      </c>
      <c r="I10" s="15">
        <v>60.6</v>
      </c>
      <c r="J10" s="17">
        <v>47.7</v>
      </c>
      <c r="K10" s="17">
        <v>49.2</v>
      </c>
    </row>
    <row r="11" spans="1:17" x14ac:dyDescent="0.2">
      <c r="A11" t="s">
        <v>1102</v>
      </c>
      <c r="E11" s="80"/>
      <c r="F11" s="48" t="s">
        <v>1964</v>
      </c>
      <c r="G11" s="17">
        <v>23.1</v>
      </c>
      <c r="H11" s="17">
        <v>15.4</v>
      </c>
      <c r="I11" s="15">
        <v>24.2</v>
      </c>
      <c r="J11" s="15">
        <v>25.7</v>
      </c>
      <c r="K11" s="15">
        <v>21.5</v>
      </c>
      <c r="L11" s="17"/>
      <c r="M11" s="17"/>
      <c r="N11" s="17"/>
    </row>
    <row r="12" spans="1:17" x14ac:dyDescent="0.2">
      <c r="A12" t="s">
        <v>1104</v>
      </c>
      <c r="E12" s="80"/>
      <c r="F12" s="47" t="s">
        <v>1965</v>
      </c>
      <c r="G12" s="15">
        <v>15.4</v>
      </c>
      <c r="H12" s="15">
        <v>23.1</v>
      </c>
      <c r="I12" s="15">
        <v>18.2</v>
      </c>
      <c r="J12" s="15">
        <v>24.8</v>
      </c>
      <c r="K12" s="15">
        <v>21.5</v>
      </c>
      <c r="L12" s="15"/>
    </row>
    <row r="13" spans="1:17" x14ac:dyDescent="0.2">
      <c r="A13" t="s">
        <v>1108</v>
      </c>
      <c r="E13" s="80"/>
      <c r="F13" s="47" t="s">
        <v>1966</v>
      </c>
      <c r="G13" s="15">
        <v>7.7</v>
      </c>
      <c r="H13" s="15">
        <v>1.9</v>
      </c>
      <c r="I13" s="15">
        <v>6.1</v>
      </c>
      <c r="J13" s="15">
        <v>3.7</v>
      </c>
      <c r="K13" s="15">
        <v>4.2</v>
      </c>
    </row>
    <row r="14" spans="1:17" x14ac:dyDescent="0.2">
      <c r="A14" t="s">
        <v>1112</v>
      </c>
      <c r="E14" s="80"/>
      <c r="F14" s="47" t="s">
        <v>1967</v>
      </c>
      <c r="G14" s="15">
        <v>13.8</v>
      </c>
      <c r="H14" s="15">
        <v>12.5</v>
      </c>
      <c r="I14" s="15">
        <v>6.1</v>
      </c>
      <c r="J14" s="15">
        <v>15.6</v>
      </c>
      <c r="K14" s="15">
        <v>13.2</v>
      </c>
    </row>
    <row r="15" spans="1:17" x14ac:dyDescent="0.2">
      <c r="A15" t="s">
        <v>1114</v>
      </c>
      <c r="E15" s="80"/>
      <c r="F15" s="47" t="s">
        <v>1968</v>
      </c>
      <c r="G15" s="15">
        <v>18.5</v>
      </c>
      <c r="H15" s="15">
        <v>10.6</v>
      </c>
      <c r="I15" s="15">
        <v>12.1</v>
      </c>
      <c r="J15" s="15">
        <v>7.3</v>
      </c>
      <c r="K15" s="15">
        <v>11.3</v>
      </c>
    </row>
    <row r="16" spans="1:17" x14ac:dyDescent="0.2">
      <c r="A16" t="s">
        <v>1116</v>
      </c>
      <c r="E16" s="80"/>
      <c r="F16" s="47" t="s">
        <v>1969</v>
      </c>
      <c r="G16" s="15">
        <v>4.5999999999999996</v>
      </c>
      <c r="H16" s="15">
        <v>1.9</v>
      </c>
      <c r="I16" s="15">
        <v>6.1</v>
      </c>
      <c r="J16" s="15">
        <v>4.5999999999999996</v>
      </c>
      <c r="K16" s="15">
        <v>3.9</v>
      </c>
    </row>
    <row r="17" spans="1:11" x14ac:dyDescent="0.2">
      <c r="E17" s="80"/>
      <c r="F17" s="47" t="s">
        <v>1970</v>
      </c>
      <c r="G17" s="15">
        <v>4.5999999999999996</v>
      </c>
      <c r="H17" s="15">
        <v>1.9</v>
      </c>
      <c r="I17" s="15">
        <v>3</v>
      </c>
      <c r="J17" s="15">
        <v>10.1</v>
      </c>
      <c r="K17" s="15">
        <v>5.5</v>
      </c>
    </row>
    <row r="18" spans="1:11" x14ac:dyDescent="0.2">
      <c r="A18" s="83" t="s">
        <v>1119</v>
      </c>
      <c r="B18" s="80"/>
      <c r="E18" s="80"/>
      <c r="F18" s="47" t="s">
        <v>1971</v>
      </c>
      <c r="G18" s="15">
        <v>4.5999999999999996</v>
      </c>
      <c r="H18" s="15">
        <v>3.8</v>
      </c>
      <c r="I18" s="15">
        <v>3</v>
      </c>
      <c r="J18" s="15">
        <v>2.8</v>
      </c>
      <c r="K18" s="15">
        <v>3.5</v>
      </c>
    </row>
    <row r="19" spans="1:11" x14ac:dyDescent="0.2">
      <c r="A19" t="s">
        <v>1121</v>
      </c>
      <c r="B19" t="s">
        <v>1930</v>
      </c>
      <c r="E19" s="80"/>
      <c r="F19" s="47" t="s">
        <v>1972</v>
      </c>
      <c r="G19" s="15">
        <v>7.7</v>
      </c>
      <c r="H19" s="15">
        <v>1.9</v>
      </c>
      <c r="I19" s="15">
        <v>0</v>
      </c>
      <c r="J19" s="15">
        <v>0</v>
      </c>
      <c r="K19" s="15">
        <v>2.2999999999999998</v>
      </c>
    </row>
    <row r="20" spans="1:11" x14ac:dyDescent="0.2">
      <c r="E20" s="80"/>
      <c r="F20" s="47" t="s">
        <v>1973</v>
      </c>
      <c r="G20" s="15">
        <v>3.1</v>
      </c>
      <c r="H20" s="15">
        <v>1</v>
      </c>
      <c r="I20" s="15">
        <v>9.1</v>
      </c>
      <c r="J20" s="15">
        <v>5.5</v>
      </c>
      <c r="K20" s="15">
        <v>3.9</v>
      </c>
    </row>
    <row r="21" spans="1:11" x14ac:dyDescent="0.2">
      <c r="A21" s="81" t="s">
        <v>1125</v>
      </c>
      <c r="B21" s="80"/>
      <c r="E21" s="80"/>
      <c r="F21" s="47" t="s">
        <v>1974</v>
      </c>
      <c r="G21" s="15">
        <v>9.1999999999999993</v>
      </c>
      <c r="H21" s="15">
        <v>5.8</v>
      </c>
      <c r="I21" s="15">
        <v>3</v>
      </c>
      <c r="J21" s="15">
        <v>5.5</v>
      </c>
      <c r="K21" s="15">
        <v>6.1</v>
      </c>
    </row>
    <row r="22" spans="1:11" x14ac:dyDescent="0.2">
      <c r="A22" t="s">
        <v>1135</v>
      </c>
      <c r="B22" t="s">
        <v>1975</v>
      </c>
      <c r="E22" s="80"/>
      <c r="F22" s="47" t="s">
        <v>1976</v>
      </c>
      <c r="G22" s="15">
        <v>13.8</v>
      </c>
      <c r="H22" s="15">
        <v>17.3</v>
      </c>
      <c r="I22" s="15">
        <v>12.1</v>
      </c>
      <c r="J22" s="15">
        <v>11</v>
      </c>
      <c r="K22" s="15">
        <v>13.8</v>
      </c>
    </row>
    <row r="23" spans="1:11" x14ac:dyDescent="0.2">
      <c r="E23" s="80"/>
      <c r="F23" s="47" t="s">
        <v>1015</v>
      </c>
      <c r="G23" s="15">
        <v>33.799999999999997</v>
      </c>
      <c r="H23" s="15">
        <v>14.4</v>
      </c>
      <c r="I23" s="15">
        <v>15.2</v>
      </c>
      <c r="J23" s="15">
        <v>13.8</v>
      </c>
      <c r="K23" s="15">
        <v>18.3</v>
      </c>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8">
    <mergeCell ref="B1:O1"/>
    <mergeCell ref="A21:B21"/>
    <mergeCell ref="E5:E57"/>
    <mergeCell ref="A9:B9"/>
    <mergeCell ref="A5:B5"/>
    <mergeCell ref="F7:K7"/>
    <mergeCell ref="A18:B18"/>
    <mergeCell ref="A27:B27"/>
  </mergeCells>
  <dataValidations count="3">
    <dataValidation type="list" allowBlank="1" showInputMessage="1" showErrorMessage="1" sqref="B10" xr:uid="{00000000-0002-0000-AF00-000000000000}">
      <formula1>"Line,Clustered Bar,Stacked Bar,Bar,Horizontal Stacked Bar"</formula1>
    </dataValidation>
    <dataValidation type="list" allowBlank="1" showInputMessage="1" showErrorMessage="1" sqref="B2" xr:uid="{00000000-0002-0000-AF00-000001000000}">
      <formula1>"Table,Figure,Both"</formula1>
    </dataValidation>
    <dataValidation type="list" allowBlank="1" showInputMessage="1" showErrorMessage="1" sqref="B6 B15:B16" xr:uid="{00000000-0002-0000-AF00-000002000000}">
      <formula1>"True,False"</formula1>
    </dataValidation>
  </dataValidation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2.8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556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tbl-opioid-od-fatal-age-sex</v>
      </c>
    </row>
    <row r="4" spans="1:17" x14ac:dyDescent="0.2">
      <c r="A4" s="16" t="s">
        <v>7</v>
      </c>
      <c r="B4" t="str">
        <f>IF($B$1="","",_xlfn.XLOOKUP($B$1,Master!$F$2:$F$321,Master!$H$2:$H$321,""))</f>
        <v>fig-opioid-od-fatal-age-sex</v>
      </c>
      <c r="E4" s="8"/>
      <c r="F4" s="10" t="s">
        <v>1009</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s="95" t="s">
        <v>1977</v>
      </c>
      <c r="G5" s="85">
        <v>2021</v>
      </c>
      <c r="H5" s="80"/>
      <c r="I5" s="85">
        <v>2022</v>
      </c>
      <c r="J5" s="80"/>
      <c r="K5" s="85">
        <v>2023</v>
      </c>
      <c r="L5" s="80"/>
      <c r="M5" s="85">
        <v>2024</v>
      </c>
      <c r="N5" s="80"/>
      <c r="O5" s="85" t="s">
        <v>1978</v>
      </c>
      <c r="P5" s="80"/>
    </row>
    <row r="6" spans="1:17" ht="15" customHeight="1" x14ac:dyDescent="0.2">
      <c r="A6" t="s">
        <v>1088</v>
      </c>
      <c r="B6" t="b">
        <v>1</v>
      </c>
      <c r="E6" s="80"/>
      <c r="F6" s="80"/>
      <c r="G6" s="60" t="s">
        <v>1272</v>
      </c>
      <c r="H6" s="60" t="s">
        <v>1273</v>
      </c>
      <c r="I6" s="60" t="s">
        <v>1272</v>
      </c>
      <c r="J6" s="60" t="s">
        <v>1273</v>
      </c>
      <c r="K6" s="60" t="s">
        <v>1272</v>
      </c>
      <c r="L6" s="60" t="s">
        <v>1273</v>
      </c>
      <c r="M6" s="60" t="s">
        <v>1272</v>
      </c>
      <c r="N6" s="60" t="s">
        <v>1273</v>
      </c>
      <c r="O6" s="60" t="s">
        <v>1272</v>
      </c>
      <c r="P6" s="60" t="s">
        <v>1273</v>
      </c>
    </row>
    <row r="7" spans="1:17" ht="15.75" customHeight="1" x14ac:dyDescent="0.2">
      <c r="E7" s="80"/>
      <c r="F7" s="25" t="s">
        <v>1698</v>
      </c>
      <c r="G7" s="15">
        <v>146</v>
      </c>
      <c r="H7" s="15">
        <v>36.700000000000003</v>
      </c>
      <c r="I7" s="15">
        <v>143</v>
      </c>
      <c r="J7" s="15">
        <v>35.6</v>
      </c>
      <c r="K7" s="15">
        <v>116</v>
      </c>
      <c r="L7" s="15">
        <v>28.7</v>
      </c>
      <c r="M7" s="15">
        <v>78</v>
      </c>
      <c r="N7" s="15">
        <v>19.3</v>
      </c>
      <c r="O7" s="15">
        <v>483</v>
      </c>
      <c r="P7" s="15">
        <v>30.1</v>
      </c>
    </row>
    <row r="8" spans="1:17" x14ac:dyDescent="0.2">
      <c r="E8" s="80"/>
      <c r="F8" s="16" t="s">
        <v>1276</v>
      </c>
      <c r="G8" s="15"/>
      <c r="H8" s="15"/>
      <c r="I8" s="15"/>
      <c r="J8" s="15"/>
      <c r="K8" s="15"/>
      <c r="L8" s="15"/>
      <c r="M8" s="15"/>
      <c r="N8" s="15"/>
      <c r="O8" s="15"/>
      <c r="P8" s="15"/>
    </row>
    <row r="9" spans="1:17" x14ac:dyDescent="0.2">
      <c r="A9" s="83" t="s">
        <v>1098</v>
      </c>
      <c r="B9" s="80"/>
      <c r="E9" s="80"/>
      <c r="F9" s="47" t="s">
        <v>1979</v>
      </c>
      <c r="G9" s="15">
        <v>29</v>
      </c>
      <c r="H9" s="15">
        <v>15.2</v>
      </c>
      <c r="I9" s="15">
        <v>21</v>
      </c>
      <c r="J9" s="15">
        <v>10.9</v>
      </c>
      <c r="K9" s="15">
        <v>21</v>
      </c>
      <c r="L9" s="15">
        <v>10.9</v>
      </c>
      <c r="M9" s="15">
        <v>18</v>
      </c>
      <c r="N9" s="15">
        <v>9.3000000000000007</v>
      </c>
      <c r="O9" s="15">
        <v>89</v>
      </c>
      <c r="P9" s="15">
        <v>11.6</v>
      </c>
    </row>
    <row r="10" spans="1:17" x14ac:dyDescent="0.2">
      <c r="A10" t="s">
        <v>1100</v>
      </c>
      <c r="E10" s="80"/>
      <c r="F10" s="47" t="s">
        <v>1703</v>
      </c>
      <c r="G10" s="15">
        <v>43</v>
      </c>
      <c r="H10" s="15">
        <v>90.1</v>
      </c>
      <c r="I10" s="15">
        <v>35</v>
      </c>
      <c r="J10" s="15">
        <v>71.8</v>
      </c>
      <c r="K10" s="15">
        <v>31</v>
      </c>
      <c r="L10" s="15">
        <v>62.3</v>
      </c>
      <c r="M10" s="15">
        <v>55</v>
      </c>
      <c r="N10" s="15">
        <v>110.6</v>
      </c>
      <c r="O10" s="15">
        <v>164</v>
      </c>
      <c r="P10" s="15">
        <v>83.7</v>
      </c>
    </row>
    <row r="11" spans="1:17" x14ac:dyDescent="0.2">
      <c r="A11" t="s">
        <v>1102</v>
      </c>
      <c r="E11" s="80"/>
      <c r="F11" s="47" t="s">
        <v>1704</v>
      </c>
      <c r="G11" s="15">
        <v>33</v>
      </c>
      <c r="H11" s="15">
        <v>61.8</v>
      </c>
      <c r="I11" s="15">
        <v>31</v>
      </c>
      <c r="J11" s="17">
        <v>59.2</v>
      </c>
      <c r="K11" s="17">
        <v>30</v>
      </c>
      <c r="L11" s="17">
        <v>58.2</v>
      </c>
      <c r="M11" s="17">
        <v>17</v>
      </c>
      <c r="N11" s="17">
        <v>33</v>
      </c>
      <c r="O11" s="15">
        <v>111</v>
      </c>
      <c r="P11" s="15">
        <v>53.1</v>
      </c>
    </row>
    <row r="12" spans="1:17" x14ac:dyDescent="0.2">
      <c r="A12" t="s">
        <v>1104</v>
      </c>
      <c r="E12" s="80"/>
      <c r="F12" s="48" t="s">
        <v>1980</v>
      </c>
      <c r="G12" s="17">
        <v>39</v>
      </c>
      <c r="H12" s="17">
        <v>36.5</v>
      </c>
      <c r="I12" s="15">
        <v>55</v>
      </c>
      <c r="J12" s="15">
        <v>51</v>
      </c>
      <c r="K12" s="15">
        <v>31</v>
      </c>
      <c r="L12" s="15">
        <v>28.3</v>
      </c>
      <c r="M12" s="15">
        <v>23</v>
      </c>
      <c r="N12" s="15">
        <v>21</v>
      </c>
      <c r="O12" s="15">
        <v>148</v>
      </c>
      <c r="P12" s="15">
        <v>34.200000000000003</v>
      </c>
    </row>
    <row r="13" spans="1:17" x14ac:dyDescent="0.2">
      <c r="A13" t="s">
        <v>1108</v>
      </c>
      <c r="E13" s="80"/>
      <c r="F13" s="16" t="s">
        <v>1981</v>
      </c>
      <c r="G13" s="15"/>
      <c r="H13" s="15"/>
      <c r="I13" s="15"/>
      <c r="J13" s="15"/>
      <c r="K13" s="15"/>
      <c r="L13" s="15"/>
      <c r="M13" s="15"/>
      <c r="N13" s="15"/>
      <c r="O13" s="15"/>
      <c r="P13" s="15"/>
    </row>
    <row r="14" spans="1:17" x14ac:dyDescent="0.2">
      <c r="A14" t="s">
        <v>1112</v>
      </c>
      <c r="E14" s="80"/>
      <c r="F14" s="47" t="s">
        <v>1305</v>
      </c>
      <c r="G14" s="15">
        <v>96</v>
      </c>
      <c r="H14" s="15">
        <v>47.9</v>
      </c>
      <c r="I14" s="15">
        <v>104</v>
      </c>
      <c r="J14" s="15">
        <v>51.8</v>
      </c>
      <c r="K14" s="15">
        <v>80</v>
      </c>
      <c r="L14" s="15">
        <v>39.700000000000003</v>
      </c>
      <c r="M14" s="15">
        <v>53</v>
      </c>
      <c r="N14" s="15">
        <v>26.3</v>
      </c>
      <c r="O14" s="15">
        <v>333</v>
      </c>
      <c r="P14" s="15">
        <v>41.4</v>
      </c>
    </row>
    <row r="15" spans="1:17" x14ac:dyDescent="0.2">
      <c r="A15" t="s">
        <v>1114</v>
      </c>
      <c r="E15" s="80"/>
      <c r="F15" s="47" t="s">
        <v>1306</v>
      </c>
      <c r="G15" s="15">
        <v>49</v>
      </c>
      <c r="H15" s="15">
        <v>24.8</v>
      </c>
      <c r="I15" s="15">
        <v>38</v>
      </c>
      <c r="J15" s="15">
        <v>19</v>
      </c>
      <c r="K15" s="15">
        <v>36</v>
      </c>
      <c r="L15" s="15">
        <v>17.8</v>
      </c>
      <c r="M15" s="15">
        <v>22</v>
      </c>
      <c r="N15" s="15">
        <v>10.9</v>
      </c>
      <c r="O15" s="15">
        <v>145</v>
      </c>
      <c r="P15" s="15">
        <v>18.100000000000001</v>
      </c>
    </row>
    <row r="16" spans="1:17" x14ac:dyDescent="0.2">
      <c r="A16" t="s">
        <v>1116</v>
      </c>
      <c r="E16" s="80"/>
    </row>
    <row r="17" spans="1:11" x14ac:dyDescent="0.2">
      <c r="E17" s="80"/>
    </row>
    <row r="18" spans="1:11" x14ac:dyDescent="0.2">
      <c r="A18" s="83" t="s">
        <v>1119</v>
      </c>
      <c r="B18" s="80"/>
      <c r="E18" s="80"/>
    </row>
    <row r="19" spans="1:11" x14ac:dyDescent="0.2">
      <c r="A19" t="s">
        <v>1121</v>
      </c>
      <c r="B19" t="s">
        <v>1982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1983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3">
    <mergeCell ref="B1:O1"/>
    <mergeCell ref="A21:B21"/>
    <mergeCell ref="E5:E57"/>
    <mergeCell ref="O5:P5"/>
    <mergeCell ref="A9:B9"/>
    <mergeCell ref="A5:B5"/>
    <mergeCell ref="G5:H5"/>
    <mergeCell ref="K5:L5"/>
    <mergeCell ref="I5:J5"/>
    <mergeCell ref="M5:N5"/>
    <mergeCell ref="F5:F6"/>
    <mergeCell ref="A18:B18"/>
    <mergeCell ref="A27:B27"/>
  </mergeCells>
  <dataValidations count="3">
    <dataValidation type="list" allowBlank="1" showInputMessage="1" showErrorMessage="1" sqref="B10" xr:uid="{00000000-0002-0000-B000-000000000000}">
      <formula1>"Line,Clustered Bar,Stacked Bar,Bar,Horizontal Stacked Bar"</formula1>
    </dataValidation>
    <dataValidation type="list" allowBlank="1" showInputMessage="1" showErrorMessage="1" sqref="B2" xr:uid="{00000000-0002-0000-B000-000001000000}">
      <formula1>"Table,Figure,Both"</formula1>
    </dataValidation>
    <dataValidation type="list" allowBlank="1" showInputMessage="1" showErrorMessage="1" sqref="B6 B15:B16" xr:uid="{00000000-0002-0000-B000-000002000000}">
      <formula1>"True,False"</formula1>
    </dataValidation>
  </dataValidation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Q57"/>
  <sheetViews>
    <sheetView workbookViewId="0">
      <selection activeCell="G5" sqref="G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559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tbl-opioid-od-fatal</v>
      </c>
    </row>
    <row r="4" spans="1:17" x14ac:dyDescent="0.2">
      <c r="A4" s="16" t="s">
        <v>7</v>
      </c>
      <c r="B4" t="str">
        <f>IF($B$1="","",_xlfn.XLOOKUP($B$1,Master!$F$2:$F$321,Master!$H$2:$H$321,""))</f>
        <v>fig-opioid-od-fatal</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2021</v>
      </c>
      <c r="H5">
        <v>2022</v>
      </c>
      <c r="I5">
        <v>2023</v>
      </c>
      <c r="J5">
        <v>2024</v>
      </c>
    </row>
    <row r="6" spans="1:17" ht="15" customHeight="1" x14ac:dyDescent="0.2">
      <c r="A6" t="s">
        <v>1088</v>
      </c>
      <c r="B6" t="b">
        <v>0</v>
      </c>
      <c r="E6" s="80"/>
      <c r="F6" t="s">
        <v>1096</v>
      </c>
      <c r="G6" s="15">
        <v>36.700000000000003</v>
      </c>
      <c r="H6" s="15">
        <v>35.6</v>
      </c>
      <c r="I6" s="15">
        <v>28.7</v>
      </c>
      <c r="J6" s="15">
        <v>19.3</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1709</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1984</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1985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100-000000000000}">
      <formula1>"Line,Clustered Bar,Stacked Bar,Bar,Horizontal Stacked Bar"</formula1>
    </dataValidation>
    <dataValidation type="list" allowBlank="1" showInputMessage="1" showErrorMessage="1" sqref="B2" xr:uid="{00000000-0002-0000-B100-000001000000}">
      <formula1>"Table,Figure,Both"</formula1>
    </dataValidation>
    <dataValidation type="list" allowBlank="1" showInputMessage="1" showErrorMessage="1" sqref="B6 B15:B16" xr:uid="{00000000-0002-0000-B100-000002000000}">
      <formula1>"True,False"</formula1>
    </dataValidation>
  </dataValidation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562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tbl-opioid-od-fatal-age</v>
      </c>
    </row>
    <row r="4" spans="1:17" x14ac:dyDescent="0.2">
      <c r="A4" s="16" t="s">
        <v>7</v>
      </c>
      <c r="B4" t="str">
        <f>IF($B$1="","",_xlfn.XLOOKUP($B$1,Master!$F$2:$F$321,Master!$H$2:$H$321,""))</f>
        <v>fig-opioid-od-fatal-age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1085</v>
      </c>
      <c r="G5">
        <v>2021</v>
      </c>
      <c r="H5">
        <v>2022</v>
      </c>
      <c r="I5">
        <v>2023</v>
      </c>
      <c r="J5">
        <v>2024</v>
      </c>
    </row>
    <row r="6" spans="1:17" ht="15" customHeight="1" x14ac:dyDescent="0.2">
      <c r="A6" t="s">
        <v>1088</v>
      </c>
      <c r="B6" t="b">
        <v>0</v>
      </c>
      <c r="E6" s="80"/>
      <c r="F6" t="s">
        <v>1979</v>
      </c>
      <c r="G6" s="15">
        <v>15.2</v>
      </c>
      <c r="H6" s="15">
        <v>10.9</v>
      </c>
      <c r="I6" s="15">
        <v>10.9</v>
      </c>
      <c r="J6" s="15">
        <v>9.3000000000000007</v>
      </c>
      <c r="K6" s="15"/>
      <c r="L6" s="15"/>
      <c r="M6" s="15"/>
      <c r="N6" s="15"/>
      <c r="O6" s="15"/>
    </row>
    <row r="7" spans="1:17" ht="15.75" customHeight="1" x14ac:dyDescent="0.2">
      <c r="E7" s="80"/>
      <c r="F7" t="s">
        <v>1703</v>
      </c>
      <c r="G7" s="15">
        <v>90.1</v>
      </c>
      <c r="H7" s="15">
        <v>71.8</v>
      </c>
      <c r="I7" s="15">
        <v>62.3</v>
      </c>
      <c r="J7" s="15">
        <v>110.6</v>
      </c>
      <c r="K7" s="15"/>
      <c r="L7" s="15"/>
      <c r="M7" s="15"/>
      <c r="N7" s="15"/>
      <c r="O7" s="15"/>
    </row>
    <row r="8" spans="1:17" x14ac:dyDescent="0.2">
      <c r="E8" s="80"/>
      <c r="F8" t="s">
        <v>1704</v>
      </c>
      <c r="G8" s="15">
        <v>61.8</v>
      </c>
      <c r="H8" s="15">
        <v>59.2</v>
      </c>
      <c r="I8" s="15">
        <v>58.2</v>
      </c>
      <c r="J8" s="15">
        <v>33</v>
      </c>
      <c r="K8" s="15"/>
      <c r="L8" s="15"/>
      <c r="M8" s="15"/>
      <c r="N8" s="15"/>
      <c r="O8" s="15"/>
    </row>
    <row r="9" spans="1:17" x14ac:dyDescent="0.2">
      <c r="A9" s="83" t="s">
        <v>1098</v>
      </c>
      <c r="B9" s="80"/>
      <c r="E9" s="80"/>
      <c r="F9" t="s">
        <v>1980</v>
      </c>
      <c r="G9" s="15">
        <v>36.5</v>
      </c>
      <c r="H9" s="15">
        <v>51</v>
      </c>
      <c r="I9" s="15">
        <v>28.3</v>
      </c>
      <c r="J9" s="15">
        <v>21</v>
      </c>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1984</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1985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200-000000000000}">
      <formula1>"Line,Clustered Bar,Stacked Bar,Bar,Horizontal Stacked Bar"</formula1>
    </dataValidation>
    <dataValidation type="list" allowBlank="1" showInputMessage="1" showErrorMessage="1" sqref="B2" xr:uid="{00000000-0002-0000-B200-000001000000}">
      <formula1>"Table,Figure,Both"</formula1>
    </dataValidation>
    <dataValidation type="list" allowBlank="1" showInputMessage="1" showErrorMessage="1" sqref="B6 B15:B16" xr:uid="{00000000-0002-0000-B200-000002000000}">
      <formula1>"True,False"</formula1>
    </dataValidation>
  </dataValidation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565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tbl-opioid-od-fatal-sex</v>
      </c>
    </row>
    <row r="4" spans="1:17" x14ac:dyDescent="0.2">
      <c r="A4" s="16" t="s">
        <v>7</v>
      </c>
      <c r="B4" t="str">
        <f>IF($B$1="","",_xlfn.XLOOKUP($B$1,Master!$F$2:$F$321,Master!$H$2:$H$321,""))</f>
        <v>fig-opioid-od-fatal-sex</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1086</v>
      </c>
      <c r="G5">
        <v>2021</v>
      </c>
      <c r="H5">
        <v>2022</v>
      </c>
      <c r="I5">
        <v>2023</v>
      </c>
      <c r="J5">
        <v>2024</v>
      </c>
    </row>
    <row r="6" spans="1:17" ht="15" customHeight="1" x14ac:dyDescent="0.2">
      <c r="A6" t="s">
        <v>1088</v>
      </c>
      <c r="B6" t="b">
        <v>0</v>
      </c>
      <c r="E6" s="80"/>
      <c r="F6" t="s">
        <v>1305</v>
      </c>
      <c r="G6" s="15">
        <v>47.9</v>
      </c>
      <c r="H6" s="15">
        <v>51.8</v>
      </c>
      <c r="I6" s="15">
        <v>39.700000000000003</v>
      </c>
      <c r="J6" s="15">
        <v>26.3</v>
      </c>
      <c r="K6" s="15"/>
      <c r="L6" s="15"/>
      <c r="M6" s="15"/>
      <c r="N6" s="15"/>
      <c r="O6" s="15"/>
    </row>
    <row r="7" spans="1:17" ht="15.75" customHeight="1" x14ac:dyDescent="0.2">
      <c r="E7" s="80"/>
      <c r="F7" t="s">
        <v>1306</v>
      </c>
      <c r="G7" s="15">
        <v>24.8</v>
      </c>
      <c r="H7" s="15">
        <v>19</v>
      </c>
      <c r="I7" s="15">
        <v>17.8</v>
      </c>
      <c r="J7" s="15">
        <v>10.9</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1984</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1985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300-000000000000}">
      <formula1>"Line,Clustered Bar,Stacked Bar,Bar,Horizontal Stacked Bar"</formula1>
    </dataValidation>
    <dataValidation type="list" allowBlank="1" showInputMessage="1" showErrorMessage="1" sqref="B2" xr:uid="{00000000-0002-0000-B300-000001000000}">
      <formula1>"Table,Figure,Both"</formula1>
    </dataValidation>
    <dataValidation type="list" allowBlank="1" showInputMessage="1" showErrorMessage="1" sqref="B6 B15:B16" xr:uid="{00000000-0002-0000-B300-000002000000}">
      <formula1>"True,False"</formula1>
    </dataValidation>
  </dataValidation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568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tbl-binge-drinking-last-month</v>
      </c>
    </row>
    <row r="4" spans="1:17" x14ac:dyDescent="0.2">
      <c r="A4" s="16" t="s">
        <v>7</v>
      </c>
      <c r="B4" t="str">
        <f>IF($B$1="","",_xlfn.XLOOKUP($B$1,Master!$F$2:$F$321,Master!$H$2:$H$321,""))</f>
        <v>fig-binge-drinking-last-month</v>
      </c>
      <c r="E4" s="8"/>
      <c r="F4" s="10" t="s">
        <v>1009</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1303</v>
      </c>
      <c r="G5" t="s">
        <v>1741</v>
      </c>
      <c r="H5" t="s">
        <v>1297</v>
      </c>
      <c r="I5" t="s">
        <v>1742</v>
      </c>
      <c r="J5" t="s">
        <v>1743</v>
      </c>
      <c r="K5" t="s">
        <v>1744</v>
      </c>
      <c r="L5" t="s">
        <v>1745</v>
      </c>
      <c r="M5" t="s">
        <v>1746</v>
      </c>
      <c r="N5" t="s">
        <v>1645</v>
      </c>
      <c r="O5" t="s">
        <v>1298</v>
      </c>
      <c r="P5" t="s">
        <v>1299</v>
      </c>
    </row>
    <row r="6" spans="1:17" ht="15" customHeight="1" x14ac:dyDescent="0.2">
      <c r="A6" t="s">
        <v>1088</v>
      </c>
      <c r="B6" t="b">
        <v>0</v>
      </c>
      <c r="E6" s="80"/>
      <c r="F6">
        <v>2016</v>
      </c>
      <c r="G6" s="15">
        <v>17.5</v>
      </c>
      <c r="H6" s="15">
        <v>15.7</v>
      </c>
      <c r="I6" s="15">
        <v>21.7</v>
      </c>
      <c r="J6" s="15">
        <v>11</v>
      </c>
      <c r="K6" s="15">
        <v>15.7</v>
      </c>
      <c r="L6" s="15">
        <v>22.2</v>
      </c>
      <c r="M6" s="15">
        <v>20.7</v>
      </c>
      <c r="N6" s="15">
        <v>18.100000000000001</v>
      </c>
      <c r="O6" s="15">
        <v>19.100000000000001</v>
      </c>
      <c r="P6">
        <v>18.3</v>
      </c>
    </row>
    <row r="7" spans="1:17" ht="15.75" customHeight="1" x14ac:dyDescent="0.2">
      <c r="E7" s="80"/>
      <c r="F7">
        <v>2018</v>
      </c>
      <c r="G7" s="15">
        <v>20.7</v>
      </c>
      <c r="H7" s="15">
        <v>16.100000000000001</v>
      </c>
      <c r="I7" s="15">
        <v>14.1</v>
      </c>
      <c r="J7" s="15">
        <v>12.6</v>
      </c>
      <c r="K7" s="15">
        <v>22.1</v>
      </c>
      <c r="L7" s="15">
        <v>18.5</v>
      </c>
      <c r="M7" s="15">
        <v>16.7</v>
      </c>
      <c r="N7" s="15">
        <v>16.100000000000001</v>
      </c>
      <c r="O7" s="15">
        <v>18.399999999999999</v>
      </c>
      <c r="P7">
        <v>17.5</v>
      </c>
    </row>
    <row r="8" spans="1:17" x14ac:dyDescent="0.2">
      <c r="E8" s="80"/>
      <c r="F8">
        <v>2021</v>
      </c>
      <c r="G8" s="15">
        <v>15.1</v>
      </c>
      <c r="H8" s="15">
        <v>13.8</v>
      </c>
      <c r="I8" s="15">
        <v>18.7</v>
      </c>
      <c r="J8" s="15">
        <v>12.2</v>
      </c>
      <c r="K8" s="15">
        <v>17.8</v>
      </c>
      <c r="L8" s="15">
        <v>13.9</v>
      </c>
      <c r="M8" s="15">
        <v>13</v>
      </c>
      <c r="N8" s="15">
        <v>13.1</v>
      </c>
      <c r="O8" s="15">
        <v>16.100000000000001</v>
      </c>
      <c r="P8">
        <v>16</v>
      </c>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1986</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1986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400-000000000000}">
      <formula1>"Line,Clustered Bar,Stacked Bar,Bar,Horizontal Stacked Bar"</formula1>
    </dataValidation>
    <dataValidation type="list" allowBlank="1" showInputMessage="1" showErrorMessage="1" sqref="B2" xr:uid="{00000000-0002-0000-B400-000001000000}">
      <formula1>"Table,Figure,Both"</formula1>
    </dataValidation>
    <dataValidation type="list" allowBlank="1" showInputMessage="1" showErrorMessage="1" sqref="B6 B15:B16" xr:uid="{00000000-0002-0000-B400-000002000000}">
      <formula1>"True,False"</formula1>
    </dataValidation>
  </dataValidation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Q57"/>
  <sheetViews>
    <sheetView workbookViewId="0">
      <selection activeCell="H21" sqref="H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571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tbl-alcohol-mva-injury-death</v>
      </c>
    </row>
    <row r="4" spans="1:17" x14ac:dyDescent="0.2">
      <c r="A4" s="16" t="s">
        <v>7</v>
      </c>
      <c r="B4" t="str">
        <f>IF($B$1="","",_xlfn.XLOOKUP($B$1,Master!$F$2:$F$321,Master!$H$2:$H$321,""))</f>
        <v>fig-alcohol-mva-injury-death</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v>2017</v>
      </c>
      <c r="H5">
        <v>2018</v>
      </c>
      <c r="I5">
        <v>2019</v>
      </c>
      <c r="J5">
        <v>2020</v>
      </c>
      <c r="K5">
        <v>2021</v>
      </c>
    </row>
    <row r="6" spans="1:17" ht="15" customHeight="1" x14ac:dyDescent="0.2">
      <c r="A6" t="s">
        <v>1088</v>
      </c>
      <c r="B6" t="b">
        <v>0</v>
      </c>
      <c r="E6" s="80"/>
      <c r="F6" t="s">
        <v>1297</v>
      </c>
      <c r="G6" s="15">
        <v>39.6</v>
      </c>
      <c r="H6" s="15">
        <v>34.9</v>
      </c>
      <c r="I6" s="15">
        <v>34.200000000000003</v>
      </c>
      <c r="J6" s="15">
        <v>34.4</v>
      </c>
      <c r="K6" s="15">
        <v>38.700000000000003</v>
      </c>
      <c r="L6" s="15"/>
      <c r="M6" s="15"/>
      <c r="N6" s="15"/>
      <c r="O6" s="15"/>
    </row>
    <row r="7" spans="1:17" ht="15.75" customHeight="1" x14ac:dyDescent="0.2">
      <c r="E7" s="80"/>
      <c r="F7" t="s">
        <v>1645</v>
      </c>
      <c r="G7" s="15">
        <v>33</v>
      </c>
      <c r="H7" s="15">
        <v>34.200000000000003</v>
      </c>
      <c r="I7" s="15">
        <v>32.6</v>
      </c>
      <c r="J7" s="15">
        <v>26.9</v>
      </c>
      <c r="K7" s="15">
        <v>28.7</v>
      </c>
      <c r="L7" s="15"/>
      <c r="M7" s="15"/>
      <c r="N7" s="15"/>
      <c r="O7" s="15"/>
    </row>
    <row r="8" spans="1:17" x14ac:dyDescent="0.2">
      <c r="E8" s="80"/>
      <c r="F8" t="s">
        <v>1298</v>
      </c>
      <c r="G8" s="15">
        <v>35.5</v>
      </c>
      <c r="H8" s="15">
        <v>35.1</v>
      </c>
      <c r="I8" s="15">
        <v>33.5</v>
      </c>
      <c r="J8" s="15">
        <v>28.6</v>
      </c>
      <c r="K8" s="15">
        <v>31.4</v>
      </c>
      <c r="L8" s="15"/>
      <c r="M8" s="15"/>
      <c r="N8" s="15"/>
      <c r="O8" s="15"/>
    </row>
    <row r="9" spans="1:17" x14ac:dyDescent="0.2">
      <c r="A9" s="83" t="s">
        <v>1098</v>
      </c>
      <c r="B9" s="80"/>
      <c r="E9" s="80"/>
      <c r="F9" t="s">
        <v>1299</v>
      </c>
      <c r="G9" s="15">
        <v>30.1</v>
      </c>
      <c r="H9" s="15">
        <v>28.8</v>
      </c>
      <c r="I9" s="15">
        <v>27.6</v>
      </c>
      <c r="J9" s="15">
        <v>23</v>
      </c>
      <c r="K9" s="15">
        <v>25.4</v>
      </c>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1987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500-000000000000}">
      <formula1>"Line,Clustered Bar,Stacked Bar,Bar,Horizontal Stacked Bar"</formula1>
    </dataValidation>
    <dataValidation type="list" allowBlank="1" showInputMessage="1" showErrorMessage="1" sqref="B2" xr:uid="{00000000-0002-0000-B500-000001000000}">
      <formula1>"Table,Figure,Both"</formula1>
    </dataValidation>
    <dataValidation type="list" allowBlank="1" showInputMessage="1" showErrorMessage="1" sqref="B6 B15:B16" xr:uid="{00000000-0002-0000-B500-000002000000}">
      <formula1>"True,False"</formula1>
    </dataValidation>
  </dataValidation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81.8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574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tlb-source-alcohol-ifused</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s="91" t="s">
        <v>1988</v>
      </c>
      <c r="G5" s="81" t="s">
        <v>990</v>
      </c>
      <c r="H5" s="80"/>
      <c r="I5" s="80"/>
      <c r="J5" s="80"/>
      <c r="K5" s="80"/>
    </row>
    <row r="6" spans="1:17" ht="15" customHeight="1" x14ac:dyDescent="0.2">
      <c r="A6" t="s">
        <v>1088</v>
      </c>
      <c r="B6" t="b">
        <v>1</v>
      </c>
      <c r="E6" s="80"/>
      <c r="F6" s="80"/>
      <c r="G6" s="15" t="s">
        <v>1934</v>
      </c>
      <c r="H6" s="15" t="s">
        <v>1935</v>
      </c>
      <c r="I6" s="15" t="s">
        <v>1936</v>
      </c>
      <c r="J6" s="15" t="s">
        <v>1937</v>
      </c>
      <c r="K6" s="15" t="s">
        <v>1089</v>
      </c>
      <c r="L6" s="15"/>
      <c r="M6" s="15"/>
      <c r="N6" s="15"/>
      <c r="O6" s="15"/>
    </row>
    <row r="7" spans="1:17" ht="15.75" customHeight="1" x14ac:dyDescent="0.2">
      <c r="E7" s="80"/>
      <c r="F7" s="16" t="s">
        <v>1989</v>
      </c>
      <c r="G7" s="15">
        <v>84</v>
      </c>
      <c r="H7" s="15">
        <v>70.5</v>
      </c>
      <c r="I7" s="15">
        <v>83.7</v>
      </c>
      <c r="J7" s="15">
        <v>53.1</v>
      </c>
      <c r="K7" s="15">
        <v>73.599999999999994</v>
      </c>
      <c r="L7" s="15"/>
      <c r="M7" s="15"/>
      <c r="N7" s="15"/>
      <c r="O7" s="15"/>
    </row>
    <row r="8" spans="1:17" x14ac:dyDescent="0.2">
      <c r="E8" s="80"/>
      <c r="F8" s="91" t="s">
        <v>1990</v>
      </c>
      <c r="G8" s="80"/>
      <c r="H8" s="80"/>
      <c r="I8" s="80"/>
      <c r="J8" s="80"/>
      <c r="K8" s="80"/>
      <c r="L8" s="15"/>
      <c r="M8" s="15"/>
      <c r="N8" s="15"/>
      <c r="O8" s="15"/>
    </row>
    <row r="9" spans="1:17" x14ac:dyDescent="0.2">
      <c r="A9" s="83" t="s">
        <v>1098</v>
      </c>
      <c r="B9" s="80"/>
      <c r="E9" s="80"/>
      <c r="F9" s="47" t="s">
        <v>1961</v>
      </c>
      <c r="G9" s="15">
        <v>25</v>
      </c>
      <c r="H9" s="15">
        <v>22</v>
      </c>
      <c r="I9" s="15">
        <v>25.6</v>
      </c>
      <c r="J9" s="15">
        <v>18.399999999999999</v>
      </c>
      <c r="K9" s="15">
        <v>21.6</v>
      </c>
      <c r="L9" s="15"/>
      <c r="M9" s="15"/>
      <c r="N9" s="15"/>
      <c r="O9" s="15"/>
    </row>
    <row r="10" spans="1:17" x14ac:dyDescent="0.2">
      <c r="A10" t="s">
        <v>1100</v>
      </c>
      <c r="E10" s="80"/>
      <c r="F10" s="47" t="s">
        <v>1962</v>
      </c>
      <c r="G10" s="15">
        <v>53.9</v>
      </c>
      <c r="H10" s="15">
        <v>41.1</v>
      </c>
      <c r="I10" s="15">
        <v>37.200000000000003</v>
      </c>
      <c r="J10" s="15">
        <v>46</v>
      </c>
      <c r="K10" s="15">
        <v>45.7</v>
      </c>
    </row>
    <row r="11" spans="1:17" x14ac:dyDescent="0.2">
      <c r="A11" t="s">
        <v>1102</v>
      </c>
      <c r="E11" s="80"/>
      <c r="F11" s="47" t="s">
        <v>1963</v>
      </c>
      <c r="G11" s="15">
        <v>17.2</v>
      </c>
      <c r="H11" s="15">
        <v>25.6</v>
      </c>
      <c r="I11" s="15">
        <v>32.6</v>
      </c>
      <c r="J11" s="17">
        <v>33.799999999999997</v>
      </c>
      <c r="K11" s="17">
        <v>27</v>
      </c>
      <c r="L11" s="17"/>
      <c r="M11" s="17"/>
      <c r="N11" s="17"/>
    </row>
    <row r="12" spans="1:17" x14ac:dyDescent="0.2">
      <c r="A12" t="s">
        <v>1104</v>
      </c>
      <c r="E12" s="80"/>
      <c r="F12" s="48" t="s">
        <v>1964</v>
      </c>
      <c r="G12" s="17">
        <v>24.4</v>
      </c>
      <c r="H12" s="17">
        <v>23.6</v>
      </c>
      <c r="I12" s="15">
        <v>25.6</v>
      </c>
      <c r="J12" s="15">
        <v>29.4</v>
      </c>
      <c r="K12" s="15">
        <v>26</v>
      </c>
      <c r="L12" s="15"/>
    </row>
    <row r="13" spans="1:17" x14ac:dyDescent="0.2">
      <c r="A13" t="s">
        <v>1108</v>
      </c>
      <c r="E13" s="80"/>
      <c r="F13" s="47" t="s">
        <v>1965</v>
      </c>
      <c r="G13" s="15">
        <v>21.7</v>
      </c>
      <c r="H13" s="15">
        <v>37.799999999999997</v>
      </c>
      <c r="I13" s="15">
        <v>48.8</v>
      </c>
      <c r="J13" s="15">
        <v>51.8</v>
      </c>
      <c r="K13" s="15">
        <v>39.700000000000003</v>
      </c>
    </row>
    <row r="14" spans="1:17" x14ac:dyDescent="0.2">
      <c r="A14" t="s">
        <v>1112</v>
      </c>
      <c r="E14" s="80"/>
      <c r="F14" s="47" t="s">
        <v>1966</v>
      </c>
      <c r="G14" s="15">
        <v>7.2</v>
      </c>
      <c r="H14" s="15">
        <v>6.1</v>
      </c>
      <c r="I14" s="15">
        <v>4.7</v>
      </c>
      <c r="J14" s="15">
        <v>4.8</v>
      </c>
      <c r="K14" s="15">
        <v>5.8</v>
      </c>
    </row>
    <row r="15" spans="1:17" x14ac:dyDescent="0.2">
      <c r="A15" t="s">
        <v>1114</v>
      </c>
      <c r="E15" s="80"/>
      <c r="F15" s="47" t="s">
        <v>1967</v>
      </c>
      <c r="G15" s="15">
        <v>11.7</v>
      </c>
      <c r="H15" s="15">
        <v>14.2</v>
      </c>
      <c r="I15" s="15">
        <v>9.3000000000000007</v>
      </c>
      <c r="J15" s="15">
        <v>15.8</v>
      </c>
      <c r="K15" s="15">
        <v>13.9</v>
      </c>
    </row>
    <row r="16" spans="1:17" x14ac:dyDescent="0.2">
      <c r="A16" t="s">
        <v>1116</v>
      </c>
      <c r="E16" s="80"/>
      <c r="F16" s="47" t="s">
        <v>1968</v>
      </c>
      <c r="G16" s="15">
        <v>16.7</v>
      </c>
      <c r="H16" s="15">
        <v>18.3</v>
      </c>
      <c r="I16" s="15">
        <v>7</v>
      </c>
      <c r="J16" s="15">
        <v>12.9</v>
      </c>
      <c r="K16" s="15">
        <v>15.2</v>
      </c>
    </row>
    <row r="17" spans="1:11" x14ac:dyDescent="0.2">
      <c r="E17" s="80"/>
      <c r="F17" s="47" t="s">
        <v>1969</v>
      </c>
      <c r="G17" s="15">
        <v>1.1000000000000001</v>
      </c>
      <c r="H17" s="15">
        <v>1.6</v>
      </c>
      <c r="I17" s="15">
        <v>0</v>
      </c>
      <c r="J17" s="15">
        <v>3.3</v>
      </c>
      <c r="K17" s="15">
        <v>2</v>
      </c>
    </row>
    <row r="18" spans="1:11" x14ac:dyDescent="0.2">
      <c r="A18" s="83" t="s">
        <v>1119</v>
      </c>
      <c r="B18" s="80"/>
      <c r="E18" s="80"/>
      <c r="F18" s="47" t="s">
        <v>1970</v>
      </c>
      <c r="G18" s="15">
        <v>1.1000000000000001</v>
      </c>
      <c r="H18" s="15">
        <v>1.6</v>
      </c>
      <c r="I18" s="15">
        <v>4.7</v>
      </c>
      <c r="J18" s="15">
        <v>5.5</v>
      </c>
      <c r="K18" s="15">
        <v>3.1</v>
      </c>
    </row>
    <row r="19" spans="1:11" x14ac:dyDescent="0.2">
      <c r="A19" t="s">
        <v>1121</v>
      </c>
      <c r="B19" t="s">
        <v>1930</v>
      </c>
      <c r="E19" s="80"/>
      <c r="F19" s="47" t="s">
        <v>1971</v>
      </c>
      <c r="G19" s="15">
        <v>1.7</v>
      </c>
      <c r="H19" s="15">
        <v>2.4</v>
      </c>
      <c r="I19" s="15">
        <v>4.7</v>
      </c>
      <c r="J19" s="15">
        <v>1.5</v>
      </c>
      <c r="K19" s="15">
        <v>2</v>
      </c>
    </row>
    <row r="20" spans="1:11" x14ac:dyDescent="0.2">
      <c r="E20" s="80"/>
      <c r="F20" s="47" t="s">
        <v>1972</v>
      </c>
      <c r="G20" s="15">
        <v>1.7</v>
      </c>
      <c r="H20" s="15">
        <v>2.8</v>
      </c>
      <c r="I20" s="15">
        <v>2.2999999999999998</v>
      </c>
      <c r="J20" s="15">
        <v>1.1000000000000001</v>
      </c>
      <c r="K20" s="15">
        <v>1.9</v>
      </c>
    </row>
    <row r="21" spans="1:11" x14ac:dyDescent="0.2">
      <c r="A21" s="81" t="s">
        <v>1125</v>
      </c>
      <c r="B21" s="80"/>
      <c r="E21" s="80"/>
      <c r="F21" s="47" t="s">
        <v>1973</v>
      </c>
      <c r="G21" s="15">
        <v>0.6</v>
      </c>
      <c r="H21" s="15">
        <v>1.6</v>
      </c>
      <c r="I21" s="15">
        <v>2.2999999999999998</v>
      </c>
      <c r="J21" s="15">
        <v>1.5</v>
      </c>
      <c r="K21" s="15">
        <v>1.3</v>
      </c>
    </row>
    <row r="22" spans="1:11" x14ac:dyDescent="0.2">
      <c r="A22" t="s">
        <v>1135</v>
      </c>
      <c r="B22" t="s">
        <v>1975</v>
      </c>
      <c r="E22" s="80"/>
      <c r="F22" s="47" t="s">
        <v>1974</v>
      </c>
      <c r="G22" s="15">
        <v>1.1000000000000001</v>
      </c>
      <c r="H22" s="15">
        <v>2</v>
      </c>
      <c r="I22" s="15">
        <v>0</v>
      </c>
      <c r="J22" s="15">
        <v>0.7</v>
      </c>
      <c r="K22" s="15">
        <v>1.2</v>
      </c>
    </row>
    <row r="23" spans="1:11" x14ac:dyDescent="0.2">
      <c r="E23" s="80"/>
      <c r="F23" s="47" t="s">
        <v>1015</v>
      </c>
      <c r="G23" s="15">
        <v>17.8</v>
      </c>
      <c r="H23" s="15">
        <v>12.2</v>
      </c>
      <c r="I23" s="15">
        <v>16.3</v>
      </c>
      <c r="J23" s="15">
        <v>10.3</v>
      </c>
      <c r="K23" s="15">
        <v>13.1</v>
      </c>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0">
    <mergeCell ref="B1:O1"/>
    <mergeCell ref="A21:B21"/>
    <mergeCell ref="E5:E57"/>
    <mergeCell ref="A9:B9"/>
    <mergeCell ref="A5:B5"/>
    <mergeCell ref="G5:K5"/>
    <mergeCell ref="F8:K8"/>
    <mergeCell ref="F5:F6"/>
    <mergeCell ref="A18:B18"/>
    <mergeCell ref="A27:B27"/>
  </mergeCells>
  <dataValidations count="3">
    <dataValidation type="list" allowBlank="1" showInputMessage="1" showErrorMessage="1" sqref="B10" xr:uid="{00000000-0002-0000-B600-000000000000}">
      <formula1>"Line,Clustered Bar,Stacked Bar,Bar,Horizontal Stacked Bar"</formula1>
    </dataValidation>
    <dataValidation type="list" allowBlank="1" showInputMessage="1" showErrorMessage="1" sqref="B2" xr:uid="{00000000-0002-0000-B600-000001000000}">
      <formula1>"Table,Figure,Both"</formula1>
    </dataValidation>
    <dataValidation type="list" allowBlank="1" showInputMessage="1" showErrorMessage="1" sqref="B6 B15:B16" xr:uid="{00000000-0002-0000-B600-000002000000}">
      <formula1>"True,False"</formula1>
    </dataValidation>
  </dataValidation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Q57"/>
  <sheetViews>
    <sheetView workbookViewId="0">
      <selection activeCell="I14" sqref="I1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577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tbl-current-smoker</v>
      </c>
    </row>
    <row r="4" spans="1:17" x14ac:dyDescent="0.2">
      <c r="A4" s="16" t="s">
        <v>7</v>
      </c>
      <c r="B4" t="str">
        <f>IF($B$1="","",_xlfn.XLOOKUP($B$1,Master!$F$2:$F$321,Master!$H$2:$H$321,""))</f>
        <v>fig-current-smoker</v>
      </c>
      <c r="E4" s="8"/>
      <c r="F4" s="10" t="s">
        <v>1009</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1303</v>
      </c>
      <c r="G5" t="s">
        <v>1741</v>
      </c>
      <c r="H5" t="s">
        <v>1297</v>
      </c>
      <c r="I5" t="s">
        <v>1742</v>
      </c>
      <c r="J5" t="s">
        <v>1743</v>
      </c>
      <c r="K5" t="s">
        <v>1744</v>
      </c>
      <c r="L5" t="s">
        <v>1745</v>
      </c>
      <c r="M5" t="s">
        <v>1746</v>
      </c>
      <c r="N5" t="s">
        <v>1645</v>
      </c>
      <c r="O5" t="s">
        <v>1298</v>
      </c>
      <c r="P5" t="s">
        <v>1299</v>
      </c>
    </row>
    <row r="6" spans="1:17" ht="15" customHeight="1" x14ac:dyDescent="0.2">
      <c r="A6" t="s">
        <v>1088</v>
      </c>
      <c r="B6" t="b">
        <v>0</v>
      </c>
      <c r="E6" s="80"/>
      <c r="F6">
        <v>2016</v>
      </c>
      <c r="G6" s="15">
        <v>16.399999999999999</v>
      </c>
      <c r="H6" s="15">
        <v>13.2</v>
      </c>
      <c r="I6" s="15">
        <v>18.3</v>
      </c>
      <c r="J6" s="15">
        <v>6.6</v>
      </c>
      <c r="K6" s="15">
        <v>20.100000000000001</v>
      </c>
      <c r="L6" s="15">
        <v>15.6</v>
      </c>
      <c r="M6" s="15">
        <v>9.4</v>
      </c>
      <c r="N6" s="15">
        <v>11.7</v>
      </c>
      <c r="O6" s="15">
        <v>17</v>
      </c>
      <c r="P6">
        <v>14.5</v>
      </c>
    </row>
    <row r="7" spans="1:17" ht="15.75" customHeight="1" x14ac:dyDescent="0.2">
      <c r="E7" s="80"/>
      <c r="F7">
        <v>2018</v>
      </c>
      <c r="G7" s="15">
        <v>12.2</v>
      </c>
      <c r="H7" s="15">
        <v>11.7</v>
      </c>
      <c r="I7" s="15" t="s">
        <v>1991</v>
      </c>
      <c r="J7" s="15">
        <v>7.6</v>
      </c>
      <c r="K7" s="15">
        <v>21.6</v>
      </c>
      <c r="L7" s="15">
        <v>14.7</v>
      </c>
      <c r="M7" s="15">
        <v>7.4</v>
      </c>
      <c r="N7" s="15">
        <v>10.199999999999999</v>
      </c>
      <c r="O7" s="15">
        <v>14.7</v>
      </c>
      <c r="P7">
        <v>13.2</v>
      </c>
    </row>
    <row r="8" spans="1:17" x14ac:dyDescent="0.2">
      <c r="E8" s="80"/>
      <c r="F8">
        <v>2021</v>
      </c>
      <c r="G8" s="15">
        <v>17.399999999999999</v>
      </c>
      <c r="H8" s="15">
        <v>12</v>
      </c>
      <c r="I8" s="15">
        <v>16.7</v>
      </c>
      <c r="J8" s="15">
        <v>14</v>
      </c>
      <c r="K8" s="15">
        <v>13.3</v>
      </c>
      <c r="L8" s="15">
        <v>12.7</v>
      </c>
      <c r="M8" s="15">
        <v>6.3</v>
      </c>
      <c r="N8" s="15">
        <v>11.1</v>
      </c>
      <c r="O8" s="15">
        <v>14.1</v>
      </c>
      <c r="P8">
        <v>12.5</v>
      </c>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1992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1993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700-000000000000}">
      <formula1>"Line,Clustered Bar,Stacked Bar,Bar,Horizontal Stacked Bar"</formula1>
    </dataValidation>
    <dataValidation type="list" allowBlank="1" showInputMessage="1" showErrorMessage="1" sqref="B2" xr:uid="{00000000-0002-0000-B700-000001000000}">
      <formula1>"Table,Figure,Both"</formula1>
    </dataValidation>
    <dataValidation type="list" allowBlank="1" showInputMessage="1" showErrorMessage="1" sqref="B6 B15:B16" xr:uid="{00000000-0002-0000-B700-000002000000}">
      <formula1>"True,False"</formula1>
    </dataValidation>
  </dataValidation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Q57"/>
  <sheetViews>
    <sheetView workbookViewId="0">
      <selection activeCell="M26" sqref="M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580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tbl-unintent-injury-hospital-rande-aar</v>
      </c>
    </row>
    <row r="4" spans="1:17" x14ac:dyDescent="0.2">
      <c r="A4" s="16" t="s">
        <v>7</v>
      </c>
      <c r="B4" t="str">
        <f>IF($B$1="","",_xlfn.XLOOKUP($B$1,Master!$F$2:$F$321,Master!$H$2:$H$321,""))</f>
        <v>fig-unintent-injury-hospital-rande-aar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70.099999999999994</v>
      </c>
      <c r="H6" s="15">
        <v>68.400000000000006</v>
      </c>
      <c r="I6" s="15">
        <v>58.7</v>
      </c>
      <c r="J6" s="15">
        <v>26.6</v>
      </c>
      <c r="K6" s="15">
        <v>42</v>
      </c>
      <c r="L6" s="15"/>
      <c r="M6" s="15"/>
      <c r="N6" s="15"/>
      <c r="O6" s="15"/>
    </row>
    <row r="7" spans="1:17" ht="15.75" customHeight="1" x14ac:dyDescent="0.2">
      <c r="E7" s="80"/>
      <c r="F7" t="s">
        <v>1298</v>
      </c>
      <c r="G7" s="15">
        <v>70.599999999999994</v>
      </c>
      <c r="H7" s="15">
        <v>65.7</v>
      </c>
      <c r="I7" s="15">
        <v>75.5</v>
      </c>
      <c r="J7" s="15">
        <v>26.9</v>
      </c>
      <c r="K7" s="15">
        <v>48.1</v>
      </c>
      <c r="L7" s="15"/>
      <c r="M7" s="15"/>
      <c r="N7" s="15"/>
      <c r="O7" s="15"/>
    </row>
    <row r="8" spans="1:17" x14ac:dyDescent="0.2">
      <c r="E8" s="80"/>
      <c r="F8" t="s">
        <v>1299</v>
      </c>
      <c r="G8" s="15">
        <v>68.400000000000006</v>
      </c>
      <c r="H8" s="15">
        <v>61.2</v>
      </c>
      <c r="I8" s="15">
        <v>64.099999999999994</v>
      </c>
      <c r="J8" s="15">
        <v>26.3</v>
      </c>
      <c r="K8" s="15">
        <v>54.5</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1722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1994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800-000000000000}">
      <formula1>"Line,Clustered Bar,Stacked Bar,Bar,Horizontal Stacked Bar"</formula1>
    </dataValidation>
    <dataValidation type="list" allowBlank="1" showInputMessage="1" showErrorMessage="1" sqref="B2" xr:uid="{00000000-0002-0000-B800-000001000000}">
      <formula1>"Table,Figure,Both"</formula1>
    </dataValidation>
    <dataValidation type="list" allowBlank="1" showInputMessage="1" showErrorMessage="1" sqref="B6 B15:B16" xr:uid="{00000000-0002-0000-B800-000002000000}">
      <formula1>"True,False"</formula1>
    </dataValidation>
  </dataValidation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583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tbl-unintent-injury-mortal-age-rande-zip</v>
      </c>
    </row>
    <row r="4" spans="1:17" x14ac:dyDescent="0.2">
      <c r="A4" s="16" t="s">
        <v>7</v>
      </c>
      <c r="B4" t="str">
        <f>IF($B$1="","",_xlfn.XLOOKUP($B$1,Master!$F$2:$F$321,Master!$H$2:$H$321,""))</f>
        <v>fig-unintent-injury-mortal-age-rande-zip</v>
      </c>
      <c r="E4" s="8"/>
      <c r="F4" s="10" t="s">
        <v>1009</v>
      </c>
      <c r="G4" s="10" t="s">
        <v>968</v>
      </c>
      <c r="H4" s="10" t="s">
        <v>979</v>
      </c>
      <c r="I4" s="10" t="s">
        <v>968</v>
      </c>
      <c r="J4" s="10" t="s">
        <v>979</v>
      </c>
      <c r="K4" s="10" t="s">
        <v>968</v>
      </c>
      <c r="L4" s="10" t="s">
        <v>979</v>
      </c>
      <c r="M4" s="10" t="s">
        <v>968</v>
      </c>
      <c r="N4" s="10" t="s">
        <v>979</v>
      </c>
      <c r="O4" s="10" t="s">
        <v>968</v>
      </c>
      <c r="P4" s="10" t="s">
        <v>979</v>
      </c>
      <c r="Q4" s="10"/>
    </row>
    <row r="5" spans="1:17" x14ac:dyDescent="0.2">
      <c r="A5" s="83" t="s">
        <v>1081</v>
      </c>
      <c r="B5" s="80"/>
      <c r="E5" s="82" t="s">
        <v>1082</v>
      </c>
      <c r="F5" s="84" t="s">
        <v>1316</v>
      </c>
      <c r="G5" s="81">
        <v>2020</v>
      </c>
      <c r="H5" s="80"/>
      <c r="I5" s="81">
        <v>2021</v>
      </c>
      <c r="J5" s="80"/>
      <c r="K5" s="81">
        <v>2022</v>
      </c>
      <c r="L5" s="80"/>
      <c r="M5" s="81">
        <v>2023</v>
      </c>
      <c r="N5" s="80"/>
      <c r="O5" s="81" t="s">
        <v>1271</v>
      </c>
      <c r="P5" s="80"/>
    </row>
    <row r="6" spans="1:17" ht="15" customHeight="1" x14ac:dyDescent="0.2">
      <c r="A6" t="s">
        <v>1088</v>
      </c>
      <c r="B6" t="b">
        <v>1</v>
      </c>
      <c r="E6" s="80"/>
      <c r="F6" s="80"/>
      <c r="G6" s="15" t="s">
        <v>1272</v>
      </c>
      <c r="H6" s="15" t="s">
        <v>1273</v>
      </c>
      <c r="I6" s="15" t="s">
        <v>1272</v>
      </c>
      <c r="J6" s="15" t="s">
        <v>1273</v>
      </c>
      <c r="K6" s="15" t="s">
        <v>1272</v>
      </c>
      <c r="L6" s="15" t="s">
        <v>1273</v>
      </c>
      <c r="M6" s="15" t="s">
        <v>1272</v>
      </c>
      <c r="N6" s="15" t="s">
        <v>1273</v>
      </c>
      <c r="O6" s="15" t="s">
        <v>1272</v>
      </c>
      <c r="P6" s="15" t="s">
        <v>1273</v>
      </c>
    </row>
    <row r="7" spans="1:17" ht="15.75" customHeight="1" x14ac:dyDescent="0.2">
      <c r="E7" s="80"/>
      <c r="F7" s="25" t="s">
        <v>1698</v>
      </c>
      <c r="G7" s="15">
        <v>182</v>
      </c>
      <c r="H7" s="15">
        <v>47.6</v>
      </c>
      <c r="I7" s="15">
        <v>204</v>
      </c>
      <c r="J7" s="15">
        <v>51.2</v>
      </c>
      <c r="K7" s="15">
        <v>246</v>
      </c>
      <c r="L7" s="15">
        <v>61.3</v>
      </c>
      <c r="M7" s="15">
        <v>184</v>
      </c>
      <c r="N7" s="15">
        <v>45.6</v>
      </c>
      <c r="O7" s="15">
        <v>816</v>
      </c>
      <c r="P7" s="15">
        <v>51.4</v>
      </c>
    </row>
    <row r="8" spans="1:17" x14ac:dyDescent="0.2">
      <c r="E8" s="80"/>
      <c r="F8" s="25" t="s">
        <v>1276</v>
      </c>
      <c r="G8" s="15"/>
      <c r="H8" s="15"/>
      <c r="I8" s="15"/>
      <c r="J8" s="15"/>
      <c r="K8" s="15"/>
      <c r="L8" s="15"/>
      <c r="M8" s="15"/>
      <c r="N8" s="15"/>
      <c r="O8" s="15"/>
      <c r="P8" s="15"/>
    </row>
    <row r="9" spans="1:17" x14ac:dyDescent="0.2">
      <c r="A9" s="83" t="s">
        <v>1098</v>
      </c>
      <c r="B9" s="80"/>
      <c r="E9" s="80"/>
      <c r="F9" s="47" t="s">
        <v>1995</v>
      </c>
      <c r="G9" s="15" t="s">
        <v>1031</v>
      </c>
      <c r="H9" s="15" t="s">
        <v>1031</v>
      </c>
      <c r="I9" s="15" t="s">
        <v>1031</v>
      </c>
      <c r="J9" s="15" t="s">
        <v>1031</v>
      </c>
      <c r="K9" s="15" t="s">
        <v>1031</v>
      </c>
      <c r="L9" s="15" t="s">
        <v>1031</v>
      </c>
      <c r="M9" s="15" t="s">
        <v>1031</v>
      </c>
      <c r="N9" s="15" t="s">
        <v>1031</v>
      </c>
      <c r="O9" s="15" t="s">
        <v>1031</v>
      </c>
      <c r="P9" s="15" t="s">
        <v>1031</v>
      </c>
    </row>
    <row r="10" spans="1:17" x14ac:dyDescent="0.2">
      <c r="A10" t="s">
        <v>1100</v>
      </c>
      <c r="E10" s="80"/>
      <c r="F10" s="47" t="s">
        <v>1701</v>
      </c>
      <c r="G10" s="15">
        <v>13</v>
      </c>
      <c r="H10" s="15">
        <v>45.6</v>
      </c>
      <c r="I10" s="15" t="s">
        <v>1031</v>
      </c>
      <c r="J10" s="15" t="s">
        <v>1031</v>
      </c>
      <c r="K10" s="15">
        <v>15</v>
      </c>
      <c r="L10" s="15">
        <v>50.6</v>
      </c>
      <c r="M10" s="15" t="s">
        <v>1031</v>
      </c>
      <c r="N10" s="15" t="s">
        <v>1031</v>
      </c>
      <c r="O10" s="15">
        <v>41</v>
      </c>
      <c r="P10" s="15">
        <v>35.200000000000003</v>
      </c>
    </row>
    <row r="11" spans="1:17" x14ac:dyDescent="0.2">
      <c r="A11" t="s">
        <v>1102</v>
      </c>
      <c r="E11" s="80"/>
      <c r="F11" s="47" t="s">
        <v>1702</v>
      </c>
      <c r="G11" s="15">
        <v>40</v>
      </c>
      <c r="H11" s="15">
        <v>89.1</v>
      </c>
      <c r="I11" s="15">
        <v>34</v>
      </c>
      <c r="J11" s="15">
        <v>73</v>
      </c>
      <c r="K11" s="15">
        <v>22</v>
      </c>
      <c r="L11" s="15">
        <v>46.4</v>
      </c>
      <c r="M11" s="15">
        <v>24</v>
      </c>
      <c r="N11" s="15">
        <v>50.1</v>
      </c>
      <c r="O11" s="15">
        <v>120</v>
      </c>
      <c r="P11" s="15">
        <v>64.599999999999994</v>
      </c>
    </row>
    <row r="12" spans="1:17" x14ac:dyDescent="0.2">
      <c r="A12" t="s">
        <v>1104</v>
      </c>
      <c r="E12" s="80"/>
      <c r="F12" s="47" t="s">
        <v>1703</v>
      </c>
      <c r="G12" s="15">
        <v>34</v>
      </c>
      <c r="H12" s="15">
        <v>75.2</v>
      </c>
      <c r="I12" s="15">
        <v>47</v>
      </c>
      <c r="J12" s="17">
        <v>98.5</v>
      </c>
      <c r="K12" s="17">
        <v>44</v>
      </c>
      <c r="L12" s="17">
        <v>90.3</v>
      </c>
      <c r="M12" s="17">
        <v>43</v>
      </c>
      <c r="N12" s="17">
        <v>86.4</v>
      </c>
      <c r="O12" s="15">
        <v>168</v>
      </c>
      <c r="P12" s="15">
        <v>87.6</v>
      </c>
    </row>
    <row r="13" spans="1:17" x14ac:dyDescent="0.2">
      <c r="A13" t="s">
        <v>1108</v>
      </c>
      <c r="E13" s="80"/>
      <c r="F13" s="48" t="s">
        <v>1704</v>
      </c>
      <c r="G13" s="17">
        <v>29</v>
      </c>
      <c r="H13" s="17">
        <v>55.4</v>
      </c>
      <c r="I13" s="15">
        <v>39</v>
      </c>
      <c r="J13" s="15">
        <v>73.099999999999994</v>
      </c>
      <c r="K13" s="15">
        <v>40</v>
      </c>
      <c r="L13" s="15">
        <v>76.400000000000006</v>
      </c>
      <c r="M13" s="15">
        <v>31</v>
      </c>
      <c r="N13" s="15">
        <v>60.2</v>
      </c>
      <c r="O13" s="15">
        <v>139</v>
      </c>
      <c r="P13" s="15">
        <v>66.3</v>
      </c>
    </row>
    <row r="14" spans="1:17" x14ac:dyDescent="0.2">
      <c r="A14" t="s">
        <v>1112</v>
      </c>
      <c r="E14" s="80"/>
      <c r="F14" s="47" t="s">
        <v>1705</v>
      </c>
      <c r="G14" s="15">
        <v>22</v>
      </c>
      <c r="H14" s="15">
        <v>45.2</v>
      </c>
      <c r="I14" s="15">
        <v>27</v>
      </c>
      <c r="J14" s="15">
        <v>52.5</v>
      </c>
      <c r="K14" s="15">
        <v>48</v>
      </c>
      <c r="L14" s="15">
        <v>93.8</v>
      </c>
      <c r="M14" s="15">
        <v>30</v>
      </c>
      <c r="N14" s="15">
        <v>58.2</v>
      </c>
      <c r="O14" s="15">
        <v>127</v>
      </c>
      <c r="P14" s="15">
        <v>62.4</v>
      </c>
    </row>
    <row r="15" spans="1:17" x14ac:dyDescent="0.2">
      <c r="A15" t="s">
        <v>1114</v>
      </c>
      <c r="E15" s="80"/>
      <c r="F15" s="47" t="s">
        <v>1706</v>
      </c>
      <c r="G15" s="15">
        <v>13</v>
      </c>
      <c r="H15" s="15">
        <v>41.2</v>
      </c>
      <c r="I15" s="15">
        <v>15</v>
      </c>
      <c r="J15" s="15">
        <v>44.8</v>
      </c>
      <c r="K15" s="15">
        <v>25</v>
      </c>
      <c r="L15" s="15">
        <v>73.900000000000006</v>
      </c>
      <c r="M15" s="15">
        <v>17</v>
      </c>
      <c r="N15" s="15">
        <v>48.8</v>
      </c>
      <c r="O15" s="15">
        <v>70</v>
      </c>
      <c r="P15" s="15">
        <v>52.2</v>
      </c>
    </row>
    <row r="16" spans="1:17" x14ac:dyDescent="0.2">
      <c r="A16" t="s">
        <v>1116</v>
      </c>
      <c r="E16" s="80"/>
      <c r="F16" s="47" t="s">
        <v>1707</v>
      </c>
      <c r="G16" s="15">
        <v>15</v>
      </c>
      <c r="H16" s="15">
        <v>101.7</v>
      </c>
      <c r="I16" s="15">
        <v>16</v>
      </c>
      <c r="J16" s="15">
        <v>104.8</v>
      </c>
      <c r="K16" s="15">
        <v>16</v>
      </c>
      <c r="L16" s="15">
        <v>101</v>
      </c>
      <c r="M16" s="15">
        <v>18</v>
      </c>
      <c r="N16" s="15">
        <v>109.8</v>
      </c>
      <c r="O16" s="15">
        <v>65</v>
      </c>
      <c r="P16" s="15">
        <v>104.3</v>
      </c>
    </row>
    <row r="17" spans="1:16" x14ac:dyDescent="0.2">
      <c r="E17" s="80"/>
      <c r="F17" s="47" t="s">
        <v>1288</v>
      </c>
      <c r="G17" s="15">
        <v>14</v>
      </c>
      <c r="H17" s="15">
        <v>195.8</v>
      </c>
      <c r="I17" s="15">
        <v>10</v>
      </c>
      <c r="J17" s="15">
        <v>146.80000000000001</v>
      </c>
      <c r="K17" s="15">
        <v>32</v>
      </c>
      <c r="L17" s="15">
        <v>455.8</v>
      </c>
      <c r="M17" s="15">
        <v>15</v>
      </c>
      <c r="N17" s="15">
        <v>223.6</v>
      </c>
      <c r="O17" s="15">
        <v>71</v>
      </c>
      <c r="P17" s="15">
        <v>255.5</v>
      </c>
    </row>
    <row r="18" spans="1:16" x14ac:dyDescent="0.2">
      <c r="A18" s="83" t="s">
        <v>1119</v>
      </c>
      <c r="B18" s="80"/>
      <c r="E18" s="80"/>
      <c r="F18" s="25" t="s">
        <v>1289</v>
      </c>
      <c r="G18" s="15"/>
      <c r="H18" s="15"/>
      <c r="I18" s="15"/>
      <c r="J18" s="15"/>
      <c r="K18" s="15"/>
      <c r="L18" s="15"/>
      <c r="M18" s="15"/>
      <c r="N18" s="15"/>
      <c r="O18" s="15"/>
      <c r="P18" s="15"/>
    </row>
    <row r="19" spans="1:16" x14ac:dyDescent="0.2">
      <c r="A19" t="s">
        <v>1121</v>
      </c>
      <c r="B19" t="s">
        <v>1287</v>
      </c>
      <c r="E19" s="80"/>
      <c r="F19" s="47" t="s">
        <v>1290</v>
      </c>
      <c r="G19" s="15">
        <v>128</v>
      </c>
      <c r="H19" s="15">
        <v>53.1</v>
      </c>
      <c r="I19" s="15">
        <v>144</v>
      </c>
      <c r="J19" s="15">
        <v>58.1</v>
      </c>
      <c r="K19" s="15">
        <v>161</v>
      </c>
      <c r="L19" s="15">
        <v>66.400000000000006</v>
      </c>
      <c r="M19" s="15">
        <v>127</v>
      </c>
      <c r="N19" s="15">
        <v>53.1</v>
      </c>
      <c r="O19" s="15">
        <v>560</v>
      </c>
      <c r="P19" s="15">
        <v>57.7</v>
      </c>
    </row>
    <row r="20" spans="1:16" x14ac:dyDescent="0.2">
      <c r="E20" s="80"/>
      <c r="F20" s="47" t="s">
        <v>1292</v>
      </c>
      <c r="G20" s="15">
        <v>24</v>
      </c>
      <c r="H20" s="15">
        <v>62.4</v>
      </c>
      <c r="I20" s="15">
        <v>17</v>
      </c>
      <c r="J20" s="15">
        <v>42.8</v>
      </c>
      <c r="K20" s="15">
        <v>38</v>
      </c>
      <c r="L20" s="15">
        <v>90.6</v>
      </c>
      <c r="M20" s="15">
        <v>19</v>
      </c>
      <c r="N20" s="15">
        <v>44.7</v>
      </c>
      <c r="O20" s="15">
        <v>98</v>
      </c>
      <c r="P20" s="15">
        <v>60.1</v>
      </c>
    </row>
    <row r="21" spans="1:16" x14ac:dyDescent="0.2">
      <c r="A21" s="81" t="s">
        <v>1125</v>
      </c>
      <c r="B21" s="80"/>
      <c r="E21" s="80"/>
      <c r="F21" s="47" t="s">
        <v>1293</v>
      </c>
      <c r="G21" s="15">
        <v>15</v>
      </c>
      <c r="H21" s="15">
        <v>18.7</v>
      </c>
      <c r="I21" s="15">
        <v>37</v>
      </c>
      <c r="J21" s="15">
        <v>43.4</v>
      </c>
      <c r="K21" s="15">
        <v>41</v>
      </c>
      <c r="L21" s="15">
        <v>45.8</v>
      </c>
      <c r="M21" s="15">
        <v>32</v>
      </c>
      <c r="N21" s="15">
        <v>34.200000000000003</v>
      </c>
      <c r="O21" s="15">
        <v>125</v>
      </c>
      <c r="P21" s="15">
        <v>35.5</v>
      </c>
    </row>
    <row r="22" spans="1:16" x14ac:dyDescent="0.2">
      <c r="A22" t="s">
        <v>1135</v>
      </c>
      <c r="B22" t="s">
        <v>1996</v>
      </c>
      <c r="E22" s="80"/>
      <c r="F22" s="47" t="s">
        <v>1015</v>
      </c>
      <c r="G22" s="15">
        <v>15</v>
      </c>
      <c r="H22" s="15">
        <v>67.599999999999994</v>
      </c>
      <c r="I22" s="15" t="s">
        <v>1031</v>
      </c>
      <c r="J22" s="15" t="s">
        <v>1031</v>
      </c>
      <c r="K22" s="15" t="s">
        <v>1031</v>
      </c>
      <c r="L22" s="15" t="s">
        <v>1031</v>
      </c>
      <c r="M22" s="15" t="s">
        <v>1031</v>
      </c>
      <c r="N22" s="15" t="s">
        <v>1031</v>
      </c>
      <c r="O22" s="15">
        <v>33</v>
      </c>
      <c r="P22" s="15">
        <v>33.6</v>
      </c>
    </row>
    <row r="23" spans="1:16" x14ac:dyDescent="0.2">
      <c r="E23" s="80"/>
      <c r="F23" s="25" t="s">
        <v>1294</v>
      </c>
      <c r="G23" s="15"/>
      <c r="H23" s="15"/>
      <c r="I23" s="15"/>
      <c r="J23" s="15"/>
      <c r="K23" s="15"/>
      <c r="L23" s="15"/>
      <c r="M23" s="15"/>
      <c r="N23" s="15"/>
      <c r="O23" s="15"/>
      <c r="P23" s="15"/>
    </row>
    <row r="24" spans="1:16" x14ac:dyDescent="0.2">
      <c r="E24" s="80"/>
      <c r="F24" s="47">
        <v>10940</v>
      </c>
      <c r="G24" s="15">
        <v>32</v>
      </c>
      <c r="H24" s="15">
        <v>64.7</v>
      </c>
      <c r="I24" s="15">
        <v>37</v>
      </c>
      <c r="J24" s="15">
        <v>72.599999999999994</v>
      </c>
      <c r="K24" s="15">
        <v>38</v>
      </c>
      <c r="L24" s="15">
        <v>73.3</v>
      </c>
      <c r="M24" s="15">
        <v>33</v>
      </c>
      <c r="N24" s="15">
        <v>62.1</v>
      </c>
      <c r="O24" s="15">
        <v>140</v>
      </c>
      <c r="P24" s="15">
        <v>68.2</v>
      </c>
    </row>
    <row r="25" spans="1:16" x14ac:dyDescent="0.2">
      <c r="E25" s="80"/>
      <c r="F25" s="47">
        <v>10950</v>
      </c>
      <c r="G25" s="15">
        <v>19</v>
      </c>
      <c r="H25" s="15">
        <v>142</v>
      </c>
      <c r="I25" s="15">
        <v>17</v>
      </c>
      <c r="J25" s="15">
        <v>117.9</v>
      </c>
      <c r="K25" s="15">
        <v>17</v>
      </c>
      <c r="L25" s="15">
        <v>117.2</v>
      </c>
      <c r="M25" s="15">
        <v>16</v>
      </c>
      <c r="N25" s="15">
        <v>108.4</v>
      </c>
      <c r="O25" s="15">
        <v>69</v>
      </c>
      <c r="P25" s="15">
        <v>121.4</v>
      </c>
    </row>
    <row r="26" spans="1:16" x14ac:dyDescent="0.2">
      <c r="E26" s="80"/>
      <c r="F26" s="47">
        <v>12550</v>
      </c>
      <c r="G26" s="15">
        <v>30</v>
      </c>
      <c r="H26" s="15">
        <v>112.5</v>
      </c>
      <c r="I26" s="15">
        <v>41</v>
      </c>
      <c r="J26" s="15">
        <v>153</v>
      </c>
      <c r="K26" s="15">
        <v>61</v>
      </c>
      <c r="L26" s="15">
        <v>222.6</v>
      </c>
      <c r="M26" s="15">
        <v>41</v>
      </c>
      <c r="N26" s="15">
        <v>150.19999999999999</v>
      </c>
      <c r="O26" s="15">
        <v>173</v>
      </c>
      <c r="P26" s="15">
        <v>159.5</v>
      </c>
    </row>
    <row r="27" spans="1:16" x14ac:dyDescent="0.2">
      <c r="A27" s="81"/>
      <c r="B27" s="80"/>
      <c r="E27" s="80"/>
      <c r="F27" s="47">
        <v>12771</v>
      </c>
      <c r="G27" s="15" t="s">
        <v>1031</v>
      </c>
      <c r="H27" s="15" t="s">
        <v>1031</v>
      </c>
      <c r="I27" s="15">
        <v>13</v>
      </c>
      <c r="J27" s="15">
        <v>87.6</v>
      </c>
      <c r="K27" s="15">
        <v>11</v>
      </c>
      <c r="L27" s="15">
        <v>76.099999999999994</v>
      </c>
      <c r="M27" s="15">
        <v>11</v>
      </c>
      <c r="N27" s="15">
        <v>76.7</v>
      </c>
      <c r="O27" s="15">
        <v>42</v>
      </c>
      <c r="P27" s="15">
        <v>72.2</v>
      </c>
    </row>
    <row r="28" spans="1:16" x14ac:dyDescent="0.2">
      <c r="E28" s="80"/>
      <c r="F28" s="15"/>
      <c r="G28" s="15"/>
      <c r="H28" s="15"/>
    </row>
    <row r="29" spans="1:16" x14ac:dyDescent="0.2">
      <c r="E29" s="80"/>
      <c r="F29" s="15"/>
      <c r="G29" s="15"/>
      <c r="H29" s="15"/>
    </row>
    <row r="30" spans="1:16" x14ac:dyDescent="0.2">
      <c r="E30" s="80"/>
      <c r="F30" s="15"/>
      <c r="G30" s="15"/>
      <c r="H30" s="15"/>
    </row>
    <row r="31" spans="1:16" x14ac:dyDescent="0.2">
      <c r="E31" s="80"/>
      <c r="F31" s="15"/>
      <c r="G31" s="15"/>
      <c r="H31" s="15"/>
    </row>
    <row r="32" spans="1:16"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3">
    <mergeCell ref="B1:O1"/>
    <mergeCell ref="A21:B21"/>
    <mergeCell ref="E5:E57"/>
    <mergeCell ref="O5:P5"/>
    <mergeCell ref="A9:B9"/>
    <mergeCell ref="A5:B5"/>
    <mergeCell ref="G5:H5"/>
    <mergeCell ref="K5:L5"/>
    <mergeCell ref="I5:J5"/>
    <mergeCell ref="M5:N5"/>
    <mergeCell ref="F5:F6"/>
    <mergeCell ref="A18:B18"/>
    <mergeCell ref="A27:B27"/>
  </mergeCells>
  <dataValidations disablePrompts="1" count="3">
    <dataValidation type="list" allowBlank="1" showInputMessage="1" showErrorMessage="1" sqref="B10" xr:uid="{00000000-0002-0000-B900-000000000000}">
      <formula1>"Line,Clustered Bar,Stacked Bar,Bar,Horizontal Stacked Bar"</formula1>
    </dataValidation>
    <dataValidation type="list" allowBlank="1" showInputMessage="1" showErrorMessage="1" sqref="B2" xr:uid="{00000000-0002-0000-B900-000001000000}">
      <formula1>"Table,Figure,Both"</formula1>
    </dataValidation>
    <dataValidation type="list" allowBlank="1" showInputMessage="1" showErrorMessage="1" sqref="B6 B15:B16" xr:uid="{00000000-0002-0000-B900-000002000000}">
      <formula1>"True,False"</formula1>
    </dataValidation>
  </dataValidation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Q57"/>
  <sheetViews>
    <sheetView workbookViewId="0">
      <selection activeCell="N27" sqref="N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586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tbl-unintent-injury-mortal-aar</v>
      </c>
    </row>
    <row r="4" spans="1:17" x14ac:dyDescent="0.2">
      <c r="A4" s="16" t="s">
        <v>7</v>
      </c>
      <c r="B4" t="str">
        <f>IF($B$1="","",_xlfn.XLOOKUP($B$1,Master!$F$2:$F$321,Master!$H$2:$H$321,""))</f>
        <v>fig-unintent-injury-mortal-aar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1391</v>
      </c>
      <c r="G5">
        <v>2020</v>
      </c>
      <c r="H5">
        <v>2021</v>
      </c>
      <c r="I5">
        <v>2022</v>
      </c>
      <c r="J5">
        <v>2023</v>
      </c>
    </row>
    <row r="6" spans="1:17" ht="15" customHeight="1" x14ac:dyDescent="0.2">
      <c r="A6" t="s">
        <v>1088</v>
      </c>
      <c r="B6" t="b">
        <v>0</v>
      </c>
      <c r="E6" s="80"/>
      <c r="F6" t="s">
        <v>1297</v>
      </c>
      <c r="G6" s="15">
        <v>814.4</v>
      </c>
      <c r="H6" s="15">
        <v>715.8</v>
      </c>
      <c r="I6" s="15">
        <v>713.7</v>
      </c>
      <c r="J6" s="15">
        <v>665.3</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1997</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1998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A00-000000000000}">
      <formula1>"Line,Clustered Bar,Stacked Bar,Bar,Horizontal Stacked Bar"</formula1>
    </dataValidation>
    <dataValidation type="list" allowBlank="1" showInputMessage="1" showErrorMessage="1" sqref="B2" xr:uid="{00000000-0002-0000-BA00-000001000000}">
      <formula1>"Table,Figure,Both"</formula1>
    </dataValidation>
    <dataValidation type="list" allowBlank="1" showInputMessage="1" showErrorMessage="1" sqref="B6 B15:B16" xr:uid="{00000000-0002-0000-BA00-000002000000}">
      <formula1>"True,False"</formula1>
    </dataValidation>
  </dataValidation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589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tbl-unintent-injury-mortal-age</v>
      </c>
    </row>
    <row r="4" spans="1:17" x14ac:dyDescent="0.2">
      <c r="A4" s="16" t="s">
        <v>7</v>
      </c>
      <c r="B4" t="str">
        <f>IF($B$1="","",_xlfn.XLOOKUP($B$1,Master!$F$2:$F$321,Master!$H$2:$H$321,""))</f>
        <v>fig-unintent-injury-mortal-age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1999</v>
      </c>
      <c r="G5">
        <v>2020</v>
      </c>
      <c r="H5">
        <v>2021</v>
      </c>
      <c r="I5">
        <v>2022</v>
      </c>
      <c r="J5">
        <v>2023</v>
      </c>
    </row>
    <row r="6" spans="1:17" ht="15" customHeight="1" x14ac:dyDescent="0.2">
      <c r="A6" t="s">
        <v>1088</v>
      </c>
      <c r="B6" t="b">
        <v>0</v>
      </c>
      <c r="E6" s="80"/>
      <c r="F6" s="37" t="s">
        <v>1995</v>
      </c>
      <c r="G6" s="15" t="s">
        <v>1031</v>
      </c>
      <c r="H6" s="15" t="s">
        <v>1031</v>
      </c>
      <c r="I6" s="15" t="s">
        <v>1031</v>
      </c>
      <c r="J6" s="15" t="s">
        <v>1031</v>
      </c>
      <c r="K6" s="15"/>
      <c r="L6" s="15"/>
      <c r="M6" s="15"/>
      <c r="N6" s="15"/>
      <c r="O6" s="15"/>
    </row>
    <row r="7" spans="1:17" ht="15.75" customHeight="1" x14ac:dyDescent="0.2">
      <c r="E7" s="80"/>
      <c r="F7" s="37" t="s">
        <v>1701</v>
      </c>
      <c r="G7" s="15">
        <v>45.6</v>
      </c>
      <c r="H7" s="15" t="s">
        <v>1031</v>
      </c>
      <c r="I7" s="15">
        <v>50.6</v>
      </c>
      <c r="J7" s="15" t="s">
        <v>1031</v>
      </c>
      <c r="K7" s="15"/>
      <c r="L7" s="15"/>
      <c r="M7" s="15"/>
      <c r="N7" s="15"/>
      <c r="O7" s="15"/>
    </row>
    <row r="8" spans="1:17" x14ac:dyDescent="0.2">
      <c r="E8" s="80"/>
      <c r="F8" s="37" t="s">
        <v>1702</v>
      </c>
      <c r="G8" s="15">
        <v>89.1</v>
      </c>
      <c r="H8" s="15">
        <v>73</v>
      </c>
      <c r="I8" s="15">
        <v>46.4</v>
      </c>
      <c r="J8" s="15">
        <v>50.1</v>
      </c>
      <c r="K8" s="15"/>
      <c r="L8" s="15"/>
      <c r="M8" s="15"/>
      <c r="N8" s="15"/>
      <c r="O8" s="15"/>
    </row>
    <row r="9" spans="1:17" x14ac:dyDescent="0.2">
      <c r="A9" s="83" t="s">
        <v>1098</v>
      </c>
      <c r="B9" s="80"/>
      <c r="E9" s="80"/>
      <c r="F9" s="37" t="s">
        <v>1703</v>
      </c>
      <c r="G9" s="15">
        <v>75.2</v>
      </c>
      <c r="H9" s="15">
        <v>98.5</v>
      </c>
      <c r="I9" s="15">
        <v>90.3</v>
      </c>
      <c r="J9" s="15">
        <v>86.4</v>
      </c>
      <c r="K9" s="15"/>
      <c r="L9" s="15"/>
      <c r="M9" s="15"/>
      <c r="N9" s="15"/>
      <c r="O9" s="15"/>
    </row>
    <row r="10" spans="1:17" x14ac:dyDescent="0.2">
      <c r="A10" t="s">
        <v>1100</v>
      </c>
      <c r="B10" t="s">
        <v>1304</v>
      </c>
      <c r="E10" s="80"/>
      <c r="F10" s="37" t="s">
        <v>1704</v>
      </c>
      <c r="G10" s="15">
        <v>55.4</v>
      </c>
      <c r="H10" s="15">
        <v>73.099999999999994</v>
      </c>
      <c r="I10" s="15">
        <v>76.400000000000006</v>
      </c>
      <c r="J10" s="15">
        <v>60.2</v>
      </c>
    </row>
    <row r="11" spans="1:17" x14ac:dyDescent="0.2">
      <c r="A11" t="s">
        <v>1102</v>
      </c>
      <c r="B11" t="s">
        <v>1303</v>
      </c>
      <c r="E11" s="80"/>
      <c r="F11" s="37" t="s">
        <v>1705</v>
      </c>
      <c r="G11" s="15">
        <v>45.2</v>
      </c>
      <c r="H11" s="15">
        <v>52.5</v>
      </c>
      <c r="I11" s="15">
        <v>93.8</v>
      </c>
      <c r="J11" s="17">
        <v>58.2</v>
      </c>
      <c r="K11" s="17"/>
      <c r="L11" s="17"/>
      <c r="M11" s="17"/>
      <c r="N11" s="17"/>
    </row>
    <row r="12" spans="1:17" x14ac:dyDescent="0.2">
      <c r="A12" t="s">
        <v>1104</v>
      </c>
      <c r="E12" s="80"/>
      <c r="F12" s="57" t="s">
        <v>1706</v>
      </c>
      <c r="G12" s="17">
        <v>41.2</v>
      </c>
      <c r="H12" s="17">
        <v>44.8</v>
      </c>
      <c r="I12" s="15">
        <v>73.900000000000006</v>
      </c>
      <c r="J12" s="15">
        <v>48.8</v>
      </c>
      <c r="K12" s="15"/>
      <c r="L12" s="15"/>
    </row>
    <row r="13" spans="1:17" x14ac:dyDescent="0.2">
      <c r="A13" t="s">
        <v>1108</v>
      </c>
      <c r="B13" t="s">
        <v>1999</v>
      </c>
      <c r="E13" s="80"/>
      <c r="F13" s="37" t="s">
        <v>1707</v>
      </c>
      <c r="G13" s="15">
        <v>101.7</v>
      </c>
      <c r="H13" s="15">
        <v>104.8</v>
      </c>
      <c r="I13" s="15">
        <v>101</v>
      </c>
      <c r="J13" s="15">
        <v>109.8</v>
      </c>
    </row>
    <row r="14" spans="1:17" x14ac:dyDescent="0.2">
      <c r="A14" t="s">
        <v>1112</v>
      </c>
      <c r="B14" t="s">
        <v>1005</v>
      </c>
      <c r="E14" s="80"/>
      <c r="F14" s="37" t="s">
        <v>1288</v>
      </c>
      <c r="G14" s="15">
        <v>195.8</v>
      </c>
      <c r="H14" s="15">
        <v>146.80000000000001</v>
      </c>
      <c r="I14" s="15">
        <v>455.8</v>
      </c>
      <c r="J14" s="15">
        <v>223.6</v>
      </c>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2000</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B00-000000000000}">
      <formula1>"Line,Clustered Bar,Stacked Bar,Bar,Horizontal Stacked Bar"</formula1>
    </dataValidation>
    <dataValidation type="list" allowBlank="1" showInputMessage="1" showErrorMessage="1" sqref="B2" xr:uid="{00000000-0002-0000-BB00-000001000000}">
      <formula1>"Table,Figure,Both"</formula1>
    </dataValidation>
    <dataValidation type="list" allowBlank="1" showInputMessage="1" showErrorMessage="1" sqref="B6 B15:B16" xr:uid="{00000000-0002-0000-BB00-000002000000}">
      <formula1>"True,False"</formula1>
    </dataValidation>
  </dataValidation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Q57"/>
  <sheetViews>
    <sheetView workbookViewId="0">
      <selection activeCell="I25" sqref="I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592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tbl-unintent-injury-mortal-zip</v>
      </c>
    </row>
    <row r="4" spans="1:17" x14ac:dyDescent="0.2">
      <c r="A4" s="16" t="s">
        <v>7</v>
      </c>
      <c r="B4" t="str">
        <f>IF($B$1="","",_xlfn.XLOOKUP($B$1,Master!$F$2:$F$321,Master!$H$2:$H$321,""))</f>
        <v>fig-unintent-injury-mortal-zip</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1294</v>
      </c>
      <c r="G5">
        <v>2020</v>
      </c>
      <c r="H5">
        <v>2021</v>
      </c>
      <c r="I5">
        <v>2022</v>
      </c>
      <c r="J5">
        <v>2023</v>
      </c>
    </row>
    <row r="6" spans="1:17" ht="15" customHeight="1" x14ac:dyDescent="0.2">
      <c r="A6" t="s">
        <v>1088</v>
      </c>
      <c r="B6" t="b">
        <v>0</v>
      </c>
      <c r="E6" s="80"/>
      <c r="F6">
        <v>10940</v>
      </c>
      <c r="G6" s="15">
        <v>64.7</v>
      </c>
      <c r="H6" s="15">
        <v>72.599999999999994</v>
      </c>
      <c r="I6" s="15">
        <v>73.3</v>
      </c>
      <c r="J6" s="15">
        <v>62.1</v>
      </c>
      <c r="K6" s="15"/>
      <c r="L6" s="15"/>
      <c r="M6" s="15"/>
      <c r="N6" s="15"/>
      <c r="O6" s="15"/>
    </row>
    <row r="7" spans="1:17" ht="15.75" customHeight="1" x14ac:dyDescent="0.2">
      <c r="E7" s="80"/>
      <c r="F7">
        <v>10950</v>
      </c>
      <c r="G7" s="15">
        <v>142</v>
      </c>
      <c r="H7" s="15">
        <v>117.9</v>
      </c>
      <c r="I7" s="15">
        <v>117.2</v>
      </c>
      <c r="J7" s="15">
        <v>108.4</v>
      </c>
      <c r="K7" s="15"/>
      <c r="L7" s="15"/>
      <c r="M7" s="15"/>
      <c r="N7" s="15"/>
      <c r="O7" s="15"/>
    </row>
    <row r="8" spans="1:17" x14ac:dyDescent="0.2">
      <c r="E8" s="80"/>
      <c r="F8">
        <v>12550</v>
      </c>
      <c r="G8" s="15">
        <v>112.5</v>
      </c>
      <c r="H8" s="15">
        <v>153</v>
      </c>
      <c r="I8" s="15">
        <v>222.6</v>
      </c>
      <c r="J8" s="15">
        <v>150.19999999999999</v>
      </c>
      <c r="K8" s="15"/>
      <c r="L8" s="15"/>
      <c r="M8" s="15"/>
      <c r="N8" s="15"/>
      <c r="O8" s="15"/>
    </row>
    <row r="9" spans="1:17" x14ac:dyDescent="0.2">
      <c r="A9" s="83" t="s">
        <v>1098</v>
      </c>
      <c r="B9" s="80"/>
      <c r="E9" s="80"/>
      <c r="F9">
        <v>12771</v>
      </c>
      <c r="G9" s="15">
        <v>48.6</v>
      </c>
      <c r="H9" s="15">
        <v>87.6</v>
      </c>
      <c r="I9" s="15">
        <v>76.099999999999994</v>
      </c>
      <c r="J9" s="15">
        <v>76.7</v>
      </c>
      <c r="K9" s="15"/>
      <c r="L9" s="15"/>
      <c r="M9" s="15"/>
      <c r="N9" s="15"/>
      <c r="O9" s="15"/>
    </row>
    <row r="10" spans="1:17" x14ac:dyDescent="0.2">
      <c r="A10" t="s">
        <v>1100</v>
      </c>
      <c r="B10" t="s">
        <v>1300</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1715</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1998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C00-000000000000}">
      <formula1>"Line,Clustered Bar,Stacked Bar,Bar,Horizontal Stacked Bar"</formula1>
    </dataValidation>
    <dataValidation type="list" allowBlank="1" showInputMessage="1" showErrorMessage="1" sqref="B2" xr:uid="{00000000-0002-0000-BC00-000001000000}">
      <formula1>"Table,Figure,Both"</formula1>
    </dataValidation>
    <dataValidation type="list" allowBlank="1" showInputMessage="1" showErrorMessage="1" sqref="B6 B15:B16" xr:uid="{00000000-0002-0000-BC00-000002000000}">
      <formula1>"True,False"</formula1>
    </dataValidation>
  </dataValidation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595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tbl-unintent-injury-mortal-sex-aar</v>
      </c>
    </row>
    <row r="4" spans="1:17" x14ac:dyDescent="0.2">
      <c r="A4" s="16" t="s">
        <v>7</v>
      </c>
      <c r="B4" t="str">
        <f>IF($B$1="","",_xlfn.XLOOKUP($B$1,Master!$F$2:$F$321,Master!$H$2:$H$321,""))</f>
        <v>fig-unintent-injury-mortal-sex-aar</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1086</v>
      </c>
      <c r="G5">
        <v>2020</v>
      </c>
      <c r="H5">
        <v>2021</v>
      </c>
      <c r="I5">
        <v>2022</v>
      </c>
      <c r="J5">
        <v>2023</v>
      </c>
    </row>
    <row r="6" spans="1:17" ht="15" customHeight="1" x14ac:dyDescent="0.2">
      <c r="A6" t="s">
        <v>1088</v>
      </c>
      <c r="B6" t="b">
        <v>0</v>
      </c>
      <c r="E6" s="80"/>
      <c r="F6" t="s">
        <v>1305</v>
      </c>
      <c r="G6" s="15">
        <v>69.599999999999994</v>
      </c>
      <c r="H6" s="15">
        <v>75.400000000000006</v>
      </c>
      <c r="I6" s="15">
        <v>88.3</v>
      </c>
      <c r="J6" s="15">
        <v>63.2</v>
      </c>
      <c r="K6" s="15"/>
      <c r="L6" s="15"/>
      <c r="M6" s="15"/>
      <c r="N6" s="15"/>
      <c r="O6" s="15"/>
    </row>
    <row r="7" spans="1:17" ht="15.75" customHeight="1" x14ac:dyDescent="0.2">
      <c r="E7" s="80"/>
      <c r="F7" t="s">
        <v>1306</v>
      </c>
      <c r="G7" s="15">
        <v>30.7</v>
      </c>
      <c r="H7" s="15">
        <v>32</v>
      </c>
      <c r="I7" s="15">
        <v>32.700000000000003</v>
      </c>
      <c r="J7" s="15">
        <v>32.5</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1086</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1287</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1998</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D00-000000000000}">
      <formula1>"Line,Clustered Bar,Stacked Bar,Bar,Horizontal Stacked Bar"</formula1>
    </dataValidation>
    <dataValidation type="list" allowBlank="1" showInputMessage="1" showErrorMessage="1" sqref="B2" xr:uid="{00000000-0002-0000-BD00-000001000000}">
      <formula1>"Table,Figure,Both"</formula1>
    </dataValidation>
    <dataValidation type="list" allowBlank="1" showInputMessage="1" showErrorMessage="1" sqref="B6 B15:B16" xr:uid="{00000000-0002-0000-BD00-000002000000}">
      <formula1>"True,False"</formula1>
    </dataValidation>
  </dataValidation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Q57"/>
  <sheetViews>
    <sheetView workbookViewId="0">
      <selection activeCell="J26" sqref="J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598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tbl-falls-65-rande</v>
      </c>
    </row>
    <row r="4" spans="1:17" x14ac:dyDescent="0.2">
      <c r="A4" s="16" t="s">
        <v>7</v>
      </c>
      <c r="B4" t="str">
        <f>IF($B$1="","",_xlfn.XLOOKUP($B$1,Master!$F$2:$F$321,Master!$H$2:$H$321,""))</f>
        <v>fig-falls-65-rande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t="s">
        <v>1089</v>
      </c>
      <c r="H5" t="s">
        <v>1290</v>
      </c>
      <c r="I5" t="s">
        <v>1292</v>
      </c>
      <c r="J5" t="s">
        <v>1296</v>
      </c>
      <c r="K5" t="s">
        <v>1293</v>
      </c>
    </row>
    <row r="6" spans="1:17" ht="15" customHeight="1" x14ac:dyDescent="0.2">
      <c r="A6" t="s">
        <v>1088</v>
      </c>
      <c r="B6" t="b">
        <v>0</v>
      </c>
      <c r="E6" s="80"/>
      <c r="F6" t="s">
        <v>1297</v>
      </c>
      <c r="G6" s="15">
        <v>212.8</v>
      </c>
      <c r="H6" s="15">
        <v>222.8</v>
      </c>
      <c r="I6" s="15">
        <v>112.7</v>
      </c>
      <c r="J6" s="15">
        <v>78.099999999999994</v>
      </c>
      <c r="K6" s="15">
        <v>106.8</v>
      </c>
      <c r="L6" s="15"/>
      <c r="M6" s="15"/>
      <c r="N6" s="15"/>
      <c r="O6" s="15"/>
    </row>
    <row r="7" spans="1:17" ht="15.75" customHeight="1" x14ac:dyDescent="0.2">
      <c r="E7" s="80"/>
      <c r="F7" t="s">
        <v>1298</v>
      </c>
      <c r="G7" s="15">
        <v>203.2</v>
      </c>
      <c r="H7" s="15">
        <v>202.9</v>
      </c>
      <c r="I7" s="15">
        <v>114.7</v>
      </c>
      <c r="J7" s="15">
        <v>76.400000000000006</v>
      </c>
      <c r="K7" s="15">
        <v>106.5</v>
      </c>
      <c r="L7" s="15"/>
      <c r="M7" s="15"/>
      <c r="N7" s="15"/>
      <c r="O7" s="15"/>
    </row>
    <row r="8" spans="1:17" x14ac:dyDescent="0.2">
      <c r="E8" s="80"/>
      <c r="F8" t="s">
        <v>1299</v>
      </c>
      <c r="G8" s="15">
        <v>188.7</v>
      </c>
      <c r="H8" s="15">
        <v>197.5</v>
      </c>
      <c r="I8" s="15">
        <v>103.7</v>
      </c>
      <c r="J8" s="15">
        <v>83.4</v>
      </c>
      <c r="K8" s="15">
        <v>120.5</v>
      </c>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1289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1722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2001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E00-000000000000}">
      <formula1>"Line,Clustered Bar,Stacked Bar,Bar,Horizontal Stacked Bar"</formula1>
    </dataValidation>
    <dataValidation type="list" allowBlank="1" showInputMessage="1" showErrorMessage="1" sqref="B2" xr:uid="{00000000-0002-0000-BE00-000001000000}">
      <formula1>"Table,Figure,Both"</formula1>
    </dataValidation>
    <dataValidation type="list" allowBlank="1" showInputMessage="1" showErrorMessage="1" sqref="B6 B15:B16" xr:uid="{00000000-0002-0000-BE00-000002000000}">
      <formula1>"True,False"</formula1>
    </dataValidation>
  </dataValidation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Q57"/>
  <sheetViews>
    <sheetView workbookViewId="0">
      <selection activeCell="J25" sqref="J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601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tbl-self-inflict-injury-hospital-aar</v>
      </c>
    </row>
    <row r="4" spans="1:17" x14ac:dyDescent="0.2">
      <c r="A4" s="16" t="s">
        <v>7</v>
      </c>
      <c r="B4" t="str">
        <f>IF($B$1="","",_xlfn.XLOOKUP($B$1,Master!$F$2:$F$321,Master!$H$2:$H$321,""))</f>
        <v>fig-self-inflict-injury-hospital-aar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v>2017</v>
      </c>
      <c r="H5">
        <v>2018</v>
      </c>
      <c r="I5">
        <v>2019</v>
      </c>
      <c r="J5">
        <v>2020</v>
      </c>
      <c r="K5">
        <v>2021</v>
      </c>
    </row>
    <row r="6" spans="1:17" ht="15" customHeight="1" x14ac:dyDescent="0.2">
      <c r="A6" t="s">
        <v>1088</v>
      </c>
      <c r="B6" t="b">
        <v>0</v>
      </c>
      <c r="E6" s="80"/>
      <c r="F6" t="s">
        <v>1297</v>
      </c>
      <c r="G6" s="15">
        <v>5.8</v>
      </c>
      <c r="H6" s="15">
        <v>5.7</v>
      </c>
      <c r="I6" s="15">
        <v>5.5</v>
      </c>
      <c r="J6" s="15">
        <v>4.9000000000000004</v>
      </c>
      <c r="K6" s="15">
        <v>4.5</v>
      </c>
      <c r="L6" s="15"/>
      <c r="M6" s="15"/>
      <c r="N6" s="15"/>
      <c r="O6" s="15"/>
    </row>
    <row r="7" spans="1:17" ht="15.75" customHeight="1" x14ac:dyDescent="0.2">
      <c r="E7" s="80"/>
      <c r="F7" t="s">
        <v>1645</v>
      </c>
      <c r="G7" s="15">
        <v>4.0999999999999996</v>
      </c>
      <c r="H7" s="15">
        <v>4.7</v>
      </c>
      <c r="I7" s="15">
        <v>4.9000000000000004</v>
      </c>
      <c r="J7" s="15">
        <v>4.7</v>
      </c>
      <c r="K7" s="15">
        <v>4.3</v>
      </c>
      <c r="L7" s="15"/>
      <c r="M7" s="15"/>
      <c r="N7" s="15"/>
      <c r="O7" s="15"/>
    </row>
    <row r="8" spans="1:17" x14ac:dyDescent="0.2">
      <c r="E8" s="80"/>
      <c r="F8" t="s">
        <v>1298</v>
      </c>
      <c r="G8" s="15">
        <v>5.6</v>
      </c>
      <c r="H8" s="15">
        <v>6.1</v>
      </c>
      <c r="I8" s="15">
        <v>6.1</v>
      </c>
      <c r="J8" s="15">
        <v>5.6</v>
      </c>
      <c r="K8" s="15">
        <v>5.6</v>
      </c>
      <c r="L8" s="15"/>
      <c r="M8" s="15"/>
      <c r="N8" s="15"/>
      <c r="O8" s="15"/>
    </row>
    <row r="9" spans="1:17" x14ac:dyDescent="0.2">
      <c r="A9" s="83" t="s">
        <v>1098</v>
      </c>
      <c r="B9" s="80"/>
      <c r="E9" s="80"/>
      <c r="F9" t="s">
        <v>1299</v>
      </c>
      <c r="G9" s="15">
        <v>4.5999999999999996</v>
      </c>
      <c r="H9" s="15">
        <v>4.9000000000000004</v>
      </c>
      <c r="I9" s="15">
        <v>4.9000000000000004</v>
      </c>
      <c r="J9" s="15">
        <v>4.5</v>
      </c>
      <c r="K9" s="15">
        <v>4.7</v>
      </c>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2002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2003</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BF00-000000000000}">
      <formula1>"Line,Clustered Bar,Stacked Bar,Bar,Horizontal Stacked Bar"</formula1>
    </dataValidation>
    <dataValidation type="list" allowBlank="1" showInputMessage="1" showErrorMessage="1" sqref="B2" xr:uid="{00000000-0002-0000-BF00-000001000000}">
      <formula1>"Table,Figure,Both"</formula1>
    </dataValidation>
    <dataValidation type="list" allowBlank="1" showInputMessage="1" showErrorMessage="1" sqref="B6 B15:B16" xr:uid="{00000000-0002-0000-BF00-000002000000}">
      <formula1>"True,False"</formula1>
    </dataValidation>
  </dataValidation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Q57"/>
  <sheetViews>
    <sheetView workbookViewId="0">
      <selection activeCell="O25" sqref="O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604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tbl-self-inflict-injury-hospital-15-19</v>
      </c>
    </row>
    <row r="4" spans="1:17" x14ac:dyDescent="0.2">
      <c r="A4" s="16" t="s">
        <v>7</v>
      </c>
      <c r="B4" t="str">
        <f>IF($B$1="","",_xlfn.XLOOKUP($B$1,Master!$F$2:$F$321,Master!$H$2:$H$321,""))</f>
        <v>fig-self-inflict-injury-hospital-15-19</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1391</v>
      </c>
      <c r="G5">
        <v>2017</v>
      </c>
      <c r="H5">
        <v>2018</v>
      </c>
      <c r="I5">
        <v>2019</v>
      </c>
      <c r="J5">
        <v>2020</v>
      </c>
      <c r="K5">
        <v>2021</v>
      </c>
    </row>
    <row r="6" spans="1:17" ht="15" customHeight="1" x14ac:dyDescent="0.2">
      <c r="A6" t="s">
        <v>1088</v>
      </c>
      <c r="B6" t="b">
        <v>0</v>
      </c>
      <c r="E6" s="80"/>
      <c r="F6" t="s">
        <v>1297</v>
      </c>
      <c r="G6" s="15">
        <v>8.1999999999999993</v>
      </c>
      <c r="H6" s="15">
        <v>8.3000000000000007</v>
      </c>
      <c r="I6" s="15">
        <v>8.6</v>
      </c>
      <c r="J6" s="15">
        <v>9.4</v>
      </c>
      <c r="K6" s="15">
        <v>10.199999999999999</v>
      </c>
      <c r="L6" s="15"/>
      <c r="M6" s="15"/>
      <c r="N6" s="15"/>
      <c r="O6" s="15"/>
    </row>
    <row r="7" spans="1:17" ht="15.75" customHeight="1" x14ac:dyDescent="0.2">
      <c r="E7" s="80"/>
      <c r="F7" t="s">
        <v>1645</v>
      </c>
      <c r="G7" s="15">
        <v>8.6</v>
      </c>
      <c r="H7" s="15">
        <v>8.9</v>
      </c>
      <c r="I7" s="15">
        <v>11</v>
      </c>
      <c r="J7" s="15">
        <v>10.5</v>
      </c>
      <c r="K7" s="15">
        <v>11.9</v>
      </c>
      <c r="L7" s="15"/>
      <c r="M7" s="15"/>
      <c r="N7" s="15"/>
      <c r="O7" s="15"/>
    </row>
    <row r="8" spans="1:17" x14ac:dyDescent="0.2">
      <c r="E8" s="80"/>
      <c r="F8" t="s">
        <v>1298</v>
      </c>
      <c r="G8" s="15">
        <v>12.8</v>
      </c>
      <c r="H8" s="15">
        <v>13.1</v>
      </c>
      <c r="I8" s="15">
        <v>12.9</v>
      </c>
      <c r="J8" s="15">
        <v>12.8</v>
      </c>
      <c r="K8" s="15">
        <v>13.7</v>
      </c>
      <c r="L8" s="15"/>
      <c r="M8" s="15"/>
      <c r="N8" s="15"/>
      <c r="O8" s="15"/>
    </row>
    <row r="9" spans="1:17" x14ac:dyDescent="0.2">
      <c r="A9" s="83" t="s">
        <v>1098</v>
      </c>
      <c r="B9" s="80"/>
      <c r="E9" s="80"/>
      <c r="F9" t="s">
        <v>1299</v>
      </c>
      <c r="G9" s="15">
        <v>11.1</v>
      </c>
      <c r="H9" s="15">
        <v>11.2</v>
      </c>
      <c r="I9" s="15">
        <v>10.9</v>
      </c>
      <c r="J9" s="15">
        <v>11</v>
      </c>
      <c r="K9" s="15">
        <v>12</v>
      </c>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1000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2002</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2004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000-000000000000}">
      <formula1>"Line,Clustered Bar,Stacked Bar,Bar,Horizontal Stacked Bar"</formula1>
    </dataValidation>
    <dataValidation type="list" allowBlank="1" showInputMessage="1" showErrorMessage="1" sqref="B2" xr:uid="{00000000-0002-0000-C000-000001000000}">
      <formula1>"Table,Figure,Both"</formula1>
    </dataValidation>
    <dataValidation type="list" allowBlank="1" showInputMessage="1" showErrorMessage="1" sqref="B6 B15:B16" xr:uid="{00000000-0002-0000-C000-000002000000}">
      <formula1>"True,False"</formula1>
    </dataValidation>
  </dataValidation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607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tbl-suicide-mortal-aar</v>
      </c>
    </row>
    <row r="4" spans="1:17" x14ac:dyDescent="0.2">
      <c r="A4" s="16" t="s">
        <v>7</v>
      </c>
      <c r="B4" t="str">
        <f>IF($B$1="","",_xlfn.XLOOKUP($B$1,Master!$F$2:$F$321,Master!$H$2:$H$321,""))</f>
        <v>fig-suicide-mortal-aar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G5" s="15">
        <v>2017</v>
      </c>
      <c r="H5" s="15">
        <v>2018</v>
      </c>
      <c r="I5" s="15">
        <v>2019</v>
      </c>
      <c r="J5" s="15">
        <v>2020</v>
      </c>
      <c r="K5" s="15">
        <v>2021</v>
      </c>
    </row>
    <row r="6" spans="1:17" ht="15" customHeight="1" x14ac:dyDescent="0.2">
      <c r="A6" t="s">
        <v>1088</v>
      </c>
      <c r="B6" t="b">
        <v>0</v>
      </c>
      <c r="E6" s="80"/>
      <c r="F6" t="s">
        <v>1297</v>
      </c>
      <c r="G6" s="15">
        <v>8.1</v>
      </c>
      <c r="H6" s="15">
        <v>10.1</v>
      </c>
      <c r="I6" s="15">
        <v>10.1</v>
      </c>
      <c r="J6" s="15">
        <v>9.3000000000000007</v>
      </c>
      <c r="K6" s="15">
        <v>9.1</v>
      </c>
      <c r="L6" s="15"/>
      <c r="M6" s="15"/>
      <c r="N6" s="15"/>
      <c r="O6" s="15"/>
    </row>
    <row r="7" spans="1:17" ht="15.75" customHeight="1" x14ac:dyDescent="0.2">
      <c r="E7" s="80"/>
      <c r="F7" t="s">
        <v>1645</v>
      </c>
      <c r="G7" s="15">
        <v>8.5</v>
      </c>
      <c r="H7" s="15">
        <v>8.6999999999999993</v>
      </c>
      <c r="I7" s="15">
        <v>8.6</v>
      </c>
      <c r="J7" s="15">
        <v>8.3000000000000007</v>
      </c>
      <c r="K7" s="15">
        <v>8.6</v>
      </c>
      <c r="L7" s="15"/>
      <c r="M7" s="15"/>
      <c r="N7" s="15"/>
      <c r="O7" s="15"/>
    </row>
    <row r="8" spans="1:17" x14ac:dyDescent="0.2">
      <c r="E8" s="80"/>
      <c r="F8" t="s">
        <v>1298</v>
      </c>
      <c r="G8" s="15">
        <v>9.9</v>
      </c>
      <c r="H8" s="15">
        <v>9.9</v>
      </c>
      <c r="I8" s="15">
        <v>9.8000000000000007</v>
      </c>
      <c r="J8" s="15">
        <v>9.6999999999999993</v>
      </c>
      <c r="K8" s="15">
        <v>9.6999999999999993</v>
      </c>
      <c r="L8" s="15"/>
      <c r="M8" s="15"/>
      <c r="N8" s="15"/>
      <c r="O8" s="15"/>
    </row>
    <row r="9" spans="1:17" x14ac:dyDescent="0.2">
      <c r="A9" s="83" t="s">
        <v>1098</v>
      </c>
      <c r="B9" s="80"/>
      <c r="E9" s="80"/>
      <c r="F9" t="s">
        <v>1299</v>
      </c>
      <c r="G9" s="15">
        <v>8.1999999999999993</v>
      </c>
      <c r="H9" s="15">
        <v>8.1999999999999993</v>
      </c>
      <c r="I9" s="15">
        <v>8.1</v>
      </c>
      <c r="J9" s="15">
        <v>8</v>
      </c>
      <c r="K9" s="15">
        <v>8</v>
      </c>
      <c r="L9" s="15"/>
      <c r="M9" s="15"/>
      <c r="N9" s="15"/>
      <c r="O9" s="15"/>
    </row>
    <row r="10" spans="1:17" x14ac:dyDescent="0.2">
      <c r="A10" t="s">
        <v>1100</v>
      </c>
      <c r="B10" t="s">
        <v>1304</v>
      </c>
      <c r="E10" s="80"/>
      <c r="F10" t="s">
        <v>1883</v>
      </c>
      <c r="G10" s="15">
        <v>7</v>
      </c>
      <c r="H10" s="15">
        <v>7</v>
      </c>
      <c r="I10" s="15">
        <v>7</v>
      </c>
      <c r="J10" s="15">
        <v>7</v>
      </c>
      <c r="K10" s="15">
        <v>7</v>
      </c>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1005</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2005</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2006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100-000000000000}">
      <formula1>"Line,Clustered Bar,Stacked Bar,Bar,Horizontal Stacked Bar"</formula1>
    </dataValidation>
    <dataValidation type="list" allowBlank="1" showInputMessage="1" showErrorMessage="1" sqref="B2" xr:uid="{00000000-0002-0000-C100-000001000000}">
      <formula1>"Table,Figure,Both"</formula1>
    </dataValidation>
    <dataValidation type="list" allowBlank="1" showInputMessage="1" showErrorMessage="1" sqref="B6 B15:B16" xr:uid="{00000000-0002-0000-C100-000002000000}">
      <formula1>"True,False"</formula1>
    </dataValidation>
  </dataValidation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7" width="12.5" bestFit="1" customWidth="1"/>
  </cols>
  <sheetData>
    <row r="1" spans="1:17" x14ac:dyDescent="0.2">
      <c r="A1" s="16" t="s">
        <v>1077</v>
      </c>
      <c r="B1" s="79" t="s">
        <v>610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tbl-50to64-colorectal-screen</v>
      </c>
    </row>
    <row r="4" spans="1:17" x14ac:dyDescent="0.2">
      <c r="A4" s="16" t="s">
        <v>7</v>
      </c>
      <c r="B4" t="str">
        <f>IF($B$1="","",_xlfn.XLOOKUP($B$1,Master!$F$2:$F$321,Master!$H$2:$H$321,""))</f>
        <v>fig-50to64-colorectal-screen</v>
      </c>
      <c r="E4" s="8"/>
      <c r="F4" s="10" t="s">
        <v>1009</v>
      </c>
      <c r="G4" s="10" t="s">
        <v>979</v>
      </c>
      <c r="H4" s="10" t="s">
        <v>979</v>
      </c>
      <c r="I4" s="10" t="s">
        <v>979</v>
      </c>
      <c r="J4" s="10" t="s">
        <v>979</v>
      </c>
      <c r="K4" s="10" t="s">
        <v>979</v>
      </c>
      <c r="L4" s="10" t="s">
        <v>979</v>
      </c>
      <c r="M4" s="10" t="s">
        <v>979</v>
      </c>
      <c r="N4" s="10" t="s">
        <v>979</v>
      </c>
      <c r="O4" s="10" t="s">
        <v>979</v>
      </c>
      <c r="P4" s="10" t="s">
        <v>979</v>
      </c>
      <c r="Q4" s="10" t="s">
        <v>979</v>
      </c>
    </row>
    <row r="5" spans="1:17" x14ac:dyDescent="0.2">
      <c r="A5" s="83" t="s">
        <v>1081</v>
      </c>
      <c r="B5" s="80"/>
      <c r="E5" s="82" t="s">
        <v>1082</v>
      </c>
      <c r="F5" t="s">
        <v>1303</v>
      </c>
      <c r="G5" t="s">
        <v>1741</v>
      </c>
      <c r="H5" t="s">
        <v>1297</v>
      </c>
      <c r="I5" t="s">
        <v>1742</v>
      </c>
      <c r="J5" t="s">
        <v>1743</v>
      </c>
      <c r="K5" t="s">
        <v>1744</v>
      </c>
      <c r="L5" t="s">
        <v>1745</v>
      </c>
      <c r="M5" t="s">
        <v>1746</v>
      </c>
      <c r="N5" t="s">
        <v>1645</v>
      </c>
      <c r="O5" t="s">
        <v>1298</v>
      </c>
      <c r="P5" t="s">
        <v>1299</v>
      </c>
      <c r="Q5" t="s">
        <v>2007</v>
      </c>
    </row>
    <row r="6" spans="1:17" ht="15" customHeight="1" x14ac:dyDescent="0.2">
      <c r="A6" t="s">
        <v>1088</v>
      </c>
      <c r="B6" t="b">
        <v>0</v>
      </c>
      <c r="E6" s="80"/>
      <c r="F6">
        <v>2016</v>
      </c>
      <c r="G6" s="15">
        <v>62.2</v>
      </c>
      <c r="H6" s="15">
        <v>68.8</v>
      </c>
      <c r="I6" s="15">
        <v>64.7</v>
      </c>
      <c r="J6" s="15">
        <v>61.9</v>
      </c>
      <c r="K6" s="15">
        <v>48.1</v>
      </c>
      <c r="L6" s="15">
        <v>60.2</v>
      </c>
      <c r="M6" s="15">
        <v>63.7</v>
      </c>
      <c r="N6" s="15">
        <v>63.3</v>
      </c>
      <c r="O6" s="15">
        <v>63.7</v>
      </c>
      <c r="P6">
        <v>63.1</v>
      </c>
      <c r="Q6">
        <v>66.3</v>
      </c>
    </row>
    <row r="7" spans="1:17" ht="15.75" customHeight="1" x14ac:dyDescent="0.2">
      <c r="E7" s="80"/>
      <c r="F7">
        <v>2018</v>
      </c>
      <c r="G7" s="15">
        <v>60.6</v>
      </c>
      <c r="H7" s="15">
        <v>61.7</v>
      </c>
      <c r="I7" s="15">
        <v>86.3</v>
      </c>
      <c r="J7" s="15">
        <v>62.3</v>
      </c>
      <c r="K7" s="15">
        <v>58.8</v>
      </c>
      <c r="L7" s="15">
        <v>68.8</v>
      </c>
      <c r="M7" s="15">
        <v>70</v>
      </c>
      <c r="N7" s="15">
        <v>64.099999999999994</v>
      </c>
      <c r="O7" s="15">
        <v>66.5</v>
      </c>
      <c r="P7">
        <v>65.400000000000006</v>
      </c>
      <c r="Q7">
        <v>66.3</v>
      </c>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2008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2009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200-000000000000}">
      <formula1>"Line,Clustered Bar,Stacked Bar,Bar,Horizontal Stacked Bar"</formula1>
    </dataValidation>
    <dataValidation type="list" allowBlank="1" showInputMessage="1" showErrorMessage="1" sqref="B2" xr:uid="{00000000-0002-0000-C200-000001000000}">
      <formula1>"Table,Figure,Both"</formula1>
    </dataValidation>
    <dataValidation type="list" allowBlank="1" showInputMessage="1" showErrorMessage="1" sqref="B6 B15:B16" xr:uid="{00000000-0002-0000-C200-000002000000}">
      <formula1>"True,False"</formula1>
    </dataValidation>
  </dataValidation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Q57"/>
  <sheetViews>
    <sheetView workbookViewId="0">
      <selection activeCell="J20" sqref="J2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tbl-21to64-women-cervical-ca-screen</v>
      </c>
    </row>
    <row r="4" spans="1:17" x14ac:dyDescent="0.2">
      <c r="A4" s="16" t="s">
        <v>7</v>
      </c>
      <c r="B4" t="str">
        <f>IF($B$1="","",_xlfn.XLOOKUP($B$1,Master!$F$2:$F$321,Master!$H$2:$H$321,""))</f>
        <v>fig-21to64-women-cervical-ca-screen</v>
      </c>
      <c r="E4" s="8"/>
      <c r="F4" s="10" t="s">
        <v>1009</v>
      </c>
      <c r="G4" s="10" t="s">
        <v>979</v>
      </c>
      <c r="H4" s="10" t="s">
        <v>979</v>
      </c>
      <c r="I4" s="10" t="s">
        <v>979</v>
      </c>
      <c r="J4" s="10" t="s">
        <v>979</v>
      </c>
      <c r="K4" s="10" t="s">
        <v>979</v>
      </c>
      <c r="L4" s="10" t="s">
        <v>979</v>
      </c>
      <c r="M4" s="10" t="s">
        <v>979</v>
      </c>
      <c r="N4" s="10" t="s">
        <v>979</v>
      </c>
      <c r="O4" s="10" t="s">
        <v>979</v>
      </c>
      <c r="P4" s="10"/>
      <c r="Q4" s="10"/>
    </row>
    <row r="5" spans="1:17" x14ac:dyDescent="0.2">
      <c r="A5" s="83" t="s">
        <v>1081</v>
      </c>
      <c r="B5" s="80"/>
      <c r="E5" s="82" t="s">
        <v>1082</v>
      </c>
      <c r="F5" t="s">
        <v>1303</v>
      </c>
      <c r="G5" t="s">
        <v>1741</v>
      </c>
      <c r="H5" t="s">
        <v>1297</v>
      </c>
      <c r="I5" t="s">
        <v>1742</v>
      </c>
      <c r="J5" t="s">
        <v>1743</v>
      </c>
      <c r="K5" t="s">
        <v>1744</v>
      </c>
      <c r="L5" t="s">
        <v>1745</v>
      </c>
      <c r="M5" t="s">
        <v>1746</v>
      </c>
      <c r="N5" t="s">
        <v>1645</v>
      </c>
      <c r="O5" t="s">
        <v>1299</v>
      </c>
    </row>
    <row r="6" spans="1:17" ht="15" customHeight="1" x14ac:dyDescent="0.2">
      <c r="A6" t="s">
        <v>1088</v>
      </c>
      <c r="B6" t="b">
        <v>0</v>
      </c>
      <c r="E6" s="80"/>
      <c r="F6">
        <v>2018</v>
      </c>
      <c r="G6" s="15">
        <v>90.6</v>
      </c>
      <c r="H6" s="15">
        <v>88.8</v>
      </c>
      <c r="I6" s="15">
        <v>96.2</v>
      </c>
      <c r="J6" s="15">
        <v>80.599999999999994</v>
      </c>
      <c r="K6" s="15">
        <v>81.7</v>
      </c>
      <c r="L6" s="15">
        <v>86.1</v>
      </c>
      <c r="M6" s="15">
        <v>87.8</v>
      </c>
      <c r="N6" s="15">
        <v>86.5</v>
      </c>
      <c r="O6" s="15">
        <v>84.7</v>
      </c>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1758</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1303</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2010</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2011</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300-000000000000}">
      <formula1>"Line,Clustered Bar,Stacked Bar,Bar,Horizontal Stacked Bar"</formula1>
    </dataValidation>
    <dataValidation type="list" allowBlank="1" showInputMessage="1" showErrorMessage="1" sqref="B2" xr:uid="{00000000-0002-0000-C300-000001000000}">
      <formula1>"Table,Figure,Both"</formula1>
    </dataValidation>
    <dataValidation type="list" allowBlank="1" showInputMessage="1" showErrorMessage="1" sqref="B6 B15:B16" xr:uid="{00000000-0002-0000-C300-000002000000}">
      <formula1>"True,False"</formula1>
    </dataValidation>
  </dataValidation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616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tbl-50to74-women-breast-ca-screen</v>
      </c>
    </row>
    <row r="4" spans="1:17" x14ac:dyDescent="0.2">
      <c r="A4" s="16" t="s">
        <v>7</v>
      </c>
      <c r="B4" t="str">
        <f>IF($B$1="","",_xlfn.XLOOKUP($B$1,Master!$F$2:$F$321,Master!$H$2:$H$321,""))</f>
        <v>fig-50to74-women-breast-ca-screen</v>
      </c>
      <c r="E4" s="8"/>
      <c r="F4" s="10" t="s">
        <v>1009</v>
      </c>
      <c r="G4" s="10" t="s">
        <v>979</v>
      </c>
      <c r="H4" s="10" t="s">
        <v>979</v>
      </c>
      <c r="I4" s="10" t="s">
        <v>979</v>
      </c>
      <c r="J4" s="10" t="s">
        <v>979</v>
      </c>
      <c r="K4" s="10" t="s">
        <v>979</v>
      </c>
      <c r="L4" s="10" t="s">
        <v>979</v>
      </c>
      <c r="M4" s="10" t="s">
        <v>979</v>
      </c>
      <c r="N4" s="10" t="s">
        <v>979</v>
      </c>
      <c r="O4" s="10" t="s">
        <v>979</v>
      </c>
      <c r="P4" s="10"/>
      <c r="Q4" s="10"/>
    </row>
    <row r="5" spans="1:17" x14ac:dyDescent="0.2">
      <c r="A5" s="83" t="s">
        <v>1081</v>
      </c>
      <c r="B5" s="80"/>
      <c r="E5" s="82" t="s">
        <v>1082</v>
      </c>
      <c r="F5" t="s">
        <v>1303</v>
      </c>
      <c r="G5" t="s">
        <v>1741</v>
      </c>
      <c r="H5" t="s">
        <v>1297</v>
      </c>
      <c r="I5" t="s">
        <v>1742</v>
      </c>
      <c r="J5" t="s">
        <v>1743</v>
      </c>
      <c r="K5" t="s">
        <v>1744</v>
      </c>
      <c r="L5" t="s">
        <v>1745</v>
      </c>
      <c r="M5" t="s">
        <v>1746</v>
      </c>
      <c r="N5" t="s">
        <v>1298</v>
      </c>
      <c r="O5" t="s">
        <v>1299</v>
      </c>
    </row>
    <row r="6" spans="1:17" ht="15" customHeight="1" x14ac:dyDescent="0.2">
      <c r="A6" t="s">
        <v>1088</v>
      </c>
      <c r="B6" t="b">
        <v>0</v>
      </c>
      <c r="E6" s="80"/>
      <c r="F6" t="s">
        <v>1747</v>
      </c>
      <c r="G6" s="15">
        <v>83.7</v>
      </c>
      <c r="H6" s="15">
        <v>76.8</v>
      </c>
      <c r="I6" s="15">
        <v>77.7</v>
      </c>
      <c r="J6" s="15">
        <v>81.7</v>
      </c>
      <c r="K6" s="15">
        <v>68.599999999999994</v>
      </c>
      <c r="L6" s="15">
        <v>66</v>
      </c>
      <c r="M6" s="15">
        <v>84.5</v>
      </c>
      <c r="N6" s="15">
        <v>80.400000000000006</v>
      </c>
      <c r="O6" s="15">
        <v>80.900000000000006</v>
      </c>
    </row>
    <row r="7" spans="1:17" ht="15.75" customHeight="1" x14ac:dyDescent="0.2">
      <c r="E7" s="80"/>
      <c r="F7">
        <v>2016</v>
      </c>
      <c r="G7" s="15">
        <v>87.2</v>
      </c>
      <c r="H7" s="15">
        <v>74.5</v>
      </c>
      <c r="I7" s="15">
        <v>69.5</v>
      </c>
      <c r="J7" s="15">
        <v>72</v>
      </c>
      <c r="K7" s="15">
        <v>64</v>
      </c>
      <c r="L7" s="15">
        <v>72.3</v>
      </c>
      <c r="M7" s="15">
        <v>84.8</v>
      </c>
      <c r="N7" s="15">
        <v>79.2</v>
      </c>
      <c r="O7" s="15">
        <v>79.7</v>
      </c>
    </row>
    <row r="8" spans="1:17" x14ac:dyDescent="0.2">
      <c r="E8" s="80"/>
      <c r="F8">
        <v>2018</v>
      </c>
      <c r="G8" s="15">
        <v>78</v>
      </c>
      <c r="H8" s="15">
        <v>78.8</v>
      </c>
      <c r="I8" s="15">
        <v>80.2</v>
      </c>
      <c r="J8" s="15">
        <v>69.8</v>
      </c>
      <c r="K8" s="15">
        <v>66.099999999999994</v>
      </c>
      <c r="L8" s="15">
        <v>73.3</v>
      </c>
      <c r="M8" s="15">
        <v>79.3</v>
      </c>
      <c r="N8" s="15">
        <v>80.900000000000006</v>
      </c>
      <c r="O8" s="15">
        <v>82.1</v>
      </c>
    </row>
    <row r="9" spans="1:17" x14ac:dyDescent="0.2">
      <c r="A9" s="83" t="s">
        <v>1098</v>
      </c>
      <c r="B9" s="80"/>
      <c r="E9" s="80"/>
      <c r="F9">
        <v>2021</v>
      </c>
      <c r="G9" s="15">
        <v>88.5</v>
      </c>
      <c r="H9" s="15">
        <v>73.3</v>
      </c>
      <c r="I9" s="15">
        <v>80.2</v>
      </c>
      <c r="J9" s="15">
        <v>72.7</v>
      </c>
      <c r="K9" s="15">
        <v>52.2</v>
      </c>
      <c r="L9" s="15">
        <v>77.099999999999994</v>
      </c>
      <c r="M9" s="15">
        <v>77.3</v>
      </c>
      <c r="N9" s="15">
        <v>78.8</v>
      </c>
      <c r="O9" s="15">
        <v>78.2</v>
      </c>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1748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2012</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400-000000000000}">
      <formula1>"Line,Clustered Bar,Stacked Bar,Bar,Horizontal Stacked Bar"</formula1>
    </dataValidation>
    <dataValidation type="list" allowBlank="1" showInputMessage="1" showErrorMessage="1" sqref="B2" xr:uid="{00000000-0002-0000-C400-000001000000}">
      <formula1>"Table,Figure,Both"</formula1>
    </dataValidation>
    <dataValidation type="list" allowBlank="1" showInputMessage="1" showErrorMessage="1" sqref="B6 B15:B16" xr:uid="{00000000-0002-0000-C400-000002000000}">
      <formula1>"True,False"</formula1>
    </dataValidation>
  </dataValidations>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619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tbl-adults-asthma</v>
      </c>
    </row>
    <row r="4" spans="1:17" x14ac:dyDescent="0.2">
      <c r="A4" s="16" t="s">
        <v>7</v>
      </c>
      <c r="B4" t="str">
        <f>IF($B$1="","",_xlfn.XLOOKUP($B$1,Master!$F$2:$F$321,Master!$H$2:$H$321,""))</f>
        <v>fig-adults-asthma</v>
      </c>
      <c r="E4" s="8"/>
      <c r="F4" s="10" t="s">
        <v>1009</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1303</v>
      </c>
      <c r="G5" t="s">
        <v>1741</v>
      </c>
      <c r="H5" t="s">
        <v>1297</v>
      </c>
      <c r="I5" t="s">
        <v>1742</v>
      </c>
      <c r="J5" t="s">
        <v>1743</v>
      </c>
      <c r="K5" t="s">
        <v>1744</v>
      </c>
      <c r="L5" t="s">
        <v>1745</v>
      </c>
      <c r="M5" t="s">
        <v>1746</v>
      </c>
      <c r="N5" t="s">
        <v>1645</v>
      </c>
      <c r="O5" t="s">
        <v>1298</v>
      </c>
      <c r="P5" t="s">
        <v>1299</v>
      </c>
    </row>
    <row r="6" spans="1:17" ht="15" customHeight="1" x14ac:dyDescent="0.2">
      <c r="A6" t="s">
        <v>1088</v>
      </c>
      <c r="B6" t="b">
        <v>0</v>
      </c>
      <c r="E6" s="80"/>
      <c r="F6">
        <v>2016</v>
      </c>
      <c r="G6" s="15">
        <v>10.6</v>
      </c>
      <c r="H6" s="15">
        <v>9</v>
      </c>
      <c r="I6" s="15">
        <v>13.2</v>
      </c>
      <c r="J6" s="15">
        <v>4.5999999999999996</v>
      </c>
      <c r="K6" s="15">
        <v>12.3</v>
      </c>
      <c r="L6" s="15">
        <v>5.7</v>
      </c>
      <c r="M6" s="15">
        <v>9.6</v>
      </c>
      <c r="N6" s="15">
        <v>8.8000000000000007</v>
      </c>
      <c r="O6" s="15">
        <v>10.4</v>
      </c>
      <c r="P6">
        <v>9.6</v>
      </c>
    </row>
    <row r="7" spans="1:17" ht="15.75" customHeight="1" x14ac:dyDescent="0.2">
      <c r="E7" s="80"/>
      <c r="F7">
        <v>2018</v>
      </c>
      <c r="G7" s="15">
        <v>9.9</v>
      </c>
      <c r="H7" s="15">
        <v>8.9</v>
      </c>
      <c r="I7" s="15">
        <v>8.9</v>
      </c>
      <c r="J7" s="15">
        <v>7.3</v>
      </c>
      <c r="K7" s="15">
        <v>12.7</v>
      </c>
      <c r="L7" s="15">
        <v>12.3</v>
      </c>
      <c r="M7" s="15">
        <v>11.5</v>
      </c>
      <c r="N7" s="15">
        <v>9.6999999999999993</v>
      </c>
      <c r="O7" s="15">
        <v>10.8</v>
      </c>
      <c r="P7">
        <v>10.1</v>
      </c>
    </row>
    <row r="8" spans="1:17" x14ac:dyDescent="0.2">
      <c r="E8" s="80"/>
      <c r="F8">
        <v>2021</v>
      </c>
      <c r="G8" s="15">
        <v>11.3</v>
      </c>
      <c r="H8" s="15">
        <v>9.6</v>
      </c>
      <c r="I8" s="15">
        <v>10.1</v>
      </c>
      <c r="J8" s="15">
        <v>7.4</v>
      </c>
      <c r="K8" s="15">
        <v>12.3</v>
      </c>
      <c r="L8" s="15">
        <v>11.8</v>
      </c>
      <c r="M8" s="15">
        <v>7.9</v>
      </c>
      <c r="N8" s="15">
        <v>8.9</v>
      </c>
      <c r="O8" s="15">
        <v>10.8</v>
      </c>
      <c r="P8">
        <v>10.1</v>
      </c>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2013</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2014</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500-000000000000}">
      <formula1>"Line,Clustered Bar,Stacked Bar,Bar,Horizontal Stacked Bar"</formula1>
    </dataValidation>
    <dataValidation type="list" allowBlank="1" showInputMessage="1" showErrorMessage="1" sqref="B2" xr:uid="{00000000-0002-0000-C500-000001000000}">
      <formula1>"Table,Figure,Both"</formula1>
    </dataValidation>
    <dataValidation type="list" allowBlank="1" showInputMessage="1" showErrorMessage="1" sqref="B6 B15:B16" xr:uid="{00000000-0002-0000-C500-000002000000}">
      <formula1>"True,False"</formula1>
    </dataValidation>
  </dataValidations>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622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tbl-md-dx-dm-predm</v>
      </c>
    </row>
    <row r="4" spans="1:17" x14ac:dyDescent="0.2">
      <c r="A4" s="16" t="s">
        <v>7</v>
      </c>
      <c r="B4" t="str">
        <f>IF($B$1="","",_xlfn.XLOOKUP($B$1,Master!$F$2:$F$321,Master!$H$2:$H$321,""))</f>
        <v>fig-md-dx-dm-predm</v>
      </c>
      <c r="E4" s="8"/>
      <c r="F4" s="10" t="s">
        <v>1009</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2015</v>
      </c>
      <c r="G5" t="s">
        <v>1741</v>
      </c>
      <c r="H5" t="s">
        <v>1297</v>
      </c>
      <c r="I5" t="s">
        <v>1742</v>
      </c>
      <c r="J5" t="s">
        <v>1743</v>
      </c>
      <c r="K5" t="s">
        <v>1744</v>
      </c>
      <c r="L5" t="s">
        <v>1745</v>
      </c>
      <c r="M5" t="s">
        <v>1746</v>
      </c>
      <c r="N5" t="s">
        <v>1645</v>
      </c>
      <c r="O5" t="s">
        <v>1298</v>
      </c>
      <c r="P5" t="s">
        <v>1299</v>
      </c>
    </row>
    <row r="6" spans="1:17" ht="15" customHeight="1" x14ac:dyDescent="0.2">
      <c r="A6" t="s">
        <v>1088</v>
      </c>
      <c r="B6" t="b">
        <v>0</v>
      </c>
      <c r="E6" s="80"/>
      <c r="F6" t="s">
        <v>2016</v>
      </c>
      <c r="G6" s="15">
        <v>12.7</v>
      </c>
      <c r="H6" s="15">
        <v>12.4</v>
      </c>
      <c r="I6" s="15">
        <v>6.7</v>
      </c>
      <c r="J6" s="15">
        <v>12.6</v>
      </c>
      <c r="K6" s="15">
        <v>13.3</v>
      </c>
      <c r="L6" s="15">
        <v>6</v>
      </c>
      <c r="M6" s="15">
        <v>10.7</v>
      </c>
      <c r="N6" s="15">
        <v>10.6</v>
      </c>
      <c r="O6" s="15">
        <v>10.1</v>
      </c>
      <c r="P6">
        <v>11.4</v>
      </c>
    </row>
    <row r="7" spans="1:17" ht="15.75" customHeight="1" x14ac:dyDescent="0.2">
      <c r="E7" s="80"/>
      <c r="F7" t="s">
        <v>1331</v>
      </c>
      <c r="G7" s="15">
        <v>9.1</v>
      </c>
      <c r="H7" s="15">
        <v>7.3</v>
      </c>
      <c r="I7" s="15">
        <v>4.7</v>
      </c>
      <c r="J7" s="15">
        <v>9.4</v>
      </c>
      <c r="K7" s="15">
        <v>7.9</v>
      </c>
      <c r="L7" s="15">
        <v>11.4</v>
      </c>
      <c r="M7" s="15">
        <v>8.6</v>
      </c>
      <c r="N7" s="15">
        <v>9</v>
      </c>
      <c r="O7" s="15">
        <v>9.4</v>
      </c>
      <c r="P7">
        <v>10.199999999999999</v>
      </c>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1300</v>
      </c>
      <c r="E10" s="80"/>
      <c r="G10" s="15"/>
    </row>
    <row r="11" spans="1:17" x14ac:dyDescent="0.2">
      <c r="A11" t="s">
        <v>1102</v>
      </c>
      <c r="B11" t="s">
        <v>1295</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2015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1748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2017</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600-000000000000}">
      <formula1>"Line,Clustered Bar,Stacked Bar,Bar,Horizontal Stacked Bar"</formula1>
    </dataValidation>
    <dataValidation type="list" allowBlank="1" showInputMessage="1" showErrorMessage="1" sqref="B2" xr:uid="{00000000-0002-0000-C600-000001000000}">
      <formula1>"Table,Figure,Both"</formula1>
    </dataValidation>
    <dataValidation type="list" allowBlank="1" showInputMessage="1" showErrorMessage="1" sqref="B6 B15:B16" xr:uid="{00000000-0002-0000-C600-000002000000}">
      <formula1>"True,False"</formula1>
    </dataValidation>
  </dataValidations>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625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tbl-test-high-bs-dm</v>
      </c>
    </row>
    <row r="4" spans="1:17" x14ac:dyDescent="0.2">
      <c r="A4" s="16" t="s">
        <v>7</v>
      </c>
      <c r="B4" t="str">
        <f>IF($B$1="","",_xlfn.XLOOKUP($B$1,Master!$F$2:$F$321,Master!$H$2:$H$321,""))</f>
        <v>fig-test-high-bs-dm</v>
      </c>
      <c r="E4" s="8"/>
      <c r="F4" s="10" t="s">
        <v>1009</v>
      </c>
      <c r="G4" s="10" t="s">
        <v>979</v>
      </c>
      <c r="H4" s="10" t="s">
        <v>979</v>
      </c>
      <c r="I4" s="10" t="s">
        <v>979</v>
      </c>
      <c r="J4" s="10" t="s">
        <v>979</v>
      </c>
      <c r="K4" s="10" t="s">
        <v>979</v>
      </c>
      <c r="L4" s="10" t="s">
        <v>979</v>
      </c>
      <c r="M4" s="10" t="s">
        <v>979</v>
      </c>
      <c r="N4" s="10" t="s">
        <v>979</v>
      </c>
      <c r="O4" s="10" t="s">
        <v>979</v>
      </c>
      <c r="P4" s="10" t="s">
        <v>979</v>
      </c>
      <c r="Q4" s="10"/>
    </row>
    <row r="5" spans="1:17" x14ac:dyDescent="0.2">
      <c r="A5" s="83" t="s">
        <v>1081</v>
      </c>
      <c r="B5" s="80"/>
      <c r="E5" s="82" t="s">
        <v>1082</v>
      </c>
      <c r="F5" t="s">
        <v>1303</v>
      </c>
      <c r="G5" t="s">
        <v>1741</v>
      </c>
      <c r="H5" t="s">
        <v>1297</v>
      </c>
      <c r="I5" t="s">
        <v>1742</v>
      </c>
      <c r="J5" t="s">
        <v>1743</v>
      </c>
      <c r="K5" t="s">
        <v>1744</v>
      </c>
      <c r="L5" t="s">
        <v>1745</v>
      </c>
      <c r="M5" t="s">
        <v>1746</v>
      </c>
      <c r="N5" t="s">
        <v>1645</v>
      </c>
      <c r="O5" t="s">
        <v>1298</v>
      </c>
      <c r="P5" t="s">
        <v>1299</v>
      </c>
    </row>
    <row r="6" spans="1:17" ht="15" customHeight="1" x14ac:dyDescent="0.2">
      <c r="A6" t="s">
        <v>1088</v>
      </c>
      <c r="B6" t="b">
        <v>0</v>
      </c>
      <c r="E6" s="80"/>
      <c r="F6" t="s">
        <v>2018</v>
      </c>
      <c r="G6" s="15">
        <v>56.4</v>
      </c>
      <c r="H6" s="15">
        <v>57.7</v>
      </c>
      <c r="I6" s="15">
        <v>59.3</v>
      </c>
      <c r="J6" s="15">
        <v>59.5</v>
      </c>
      <c r="K6" s="15">
        <v>55.5</v>
      </c>
      <c r="L6" s="15">
        <v>51.8</v>
      </c>
      <c r="M6" s="15">
        <v>57.8</v>
      </c>
      <c r="N6" s="15">
        <v>57.4</v>
      </c>
      <c r="O6" s="15">
        <v>57.2</v>
      </c>
      <c r="P6">
        <v>59.1</v>
      </c>
    </row>
    <row r="7" spans="1:17" ht="15.75" customHeight="1" x14ac:dyDescent="0.2">
      <c r="E7" s="80"/>
      <c r="F7">
        <v>2016</v>
      </c>
      <c r="G7" s="15">
        <v>60.8</v>
      </c>
      <c r="H7" s="15">
        <v>59.5</v>
      </c>
      <c r="I7" s="15">
        <v>55.9</v>
      </c>
      <c r="J7" s="15">
        <v>57.9</v>
      </c>
      <c r="K7" s="15">
        <v>61.8</v>
      </c>
      <c r="L7" s="15">
        <v>55.3</v>
      </c>
      <c r="M7" s="15">
        <v>55.2</v>
      </c>
      <c r="N7" s="15">
        <v>57.4</v>
      </c>
      <c r="O7" s="15">
        <v>56.8</v>
      </c>
      <c r="P7">
        <v>57.9</v>
      </c>
    </row>
    <row r="8" spans="1:17" x14ac:dyDescent="0.2">
      <c r="E8" s="80"/>
      <c r="F8">
        <v>2018</v>
      </c>
      <c r="G8" s="15">
        <v>48.1</v>
      </c>
      <c r="H8" s="15">
        <v>50.7</v>
      </c>
      <c r="I8" s="15">
        <v>50</v>
      </c>
      <c r="J8" s="15">
        <v>53.2</v>
      </c>
      <c r="K8" s="15">
        <v>55.6</v>
      </c>
      <c r="L8" s="15">
        <v>45.4</v>
      </c>
      <c r="M8" s="15">
        <v>51.1</v>
      </c>
      <c r="N8" s="15">
        <v>50.2</v>
      </c>
      <c r="O8" s="15">
        <v>48</v>
      </c>
      <c r="P8">
        <v>51</v>
      </c>
    </row>
    <row r="9" spans="1:17" x14ac:dyDescent="0.2">
      <c r="A9" s="83" t="s">
        <v>1098</v>
      </c>
      <c r="B9" s="80"/>
      <c r="E9" s="80"/>
      <c r="F9">
        <v>2021</v>
      </c>
      <c r="G9" s="15">
        <v>47.7</v>
      </c>
      <c r="H9" s="15">
        <v>55.3</v>
      </c>
      <c r="I9" s="15">
        <v>57.7</v>
      </c>
      <c r="J9" s="15">
        <v>45.4</v>
      </c>
      <c r="K9" s="15">
        <v>53.9</v>
      </c>
      <c r="L9" s="15">
        <v>47</v>
      </c>
      <c r="M9" s="15">
        <v>51.3</v>
      </c>
      <c r="N9" s="15">
        <v>49.7</v>
      </c>
      <c r="O9" s="15">
        <v>49.2</v>
      </c>
      <c r="P9">
        <v>50.2</v>
      </c>
    </row>
    <row r="10" spans="1:17" x14ac:dyDescent="0.2">
      <c r="A10" t="s">
        <v>1100</v>
      </c>
      <c r="B10" t="s">
        <v>1304</v>
      </c>
      <c r="E10" s="80"/>
      <c r="G10" s="15"/>
    </row>
    <row r="11" spans="1:17" x14ac:dyDescent="0.2">
      <c r="A11" t="s">
        <v>1102</v>
      </c>
      <c r="B11" t="s">
        <v>1303</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B13" t="s">
        <v>1295</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1748</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2019</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700-000000000000}">
      <formula1>"Line,Clustered Bar,Stacked Bar,Bar,Horizontal Stacked Bar"</formula1>
    </dataValidation>
    <dataValidation type="list" allowBlank="1" showInputMessage="1" showErrorMessage="1" sqref="B2" xr:uid="{00000000-0002-0000-C700-000001000000}">
      <formula1>"Table,Figure,Both"</formula1>
    </dataValidation>
    <dataValidation type="list" allowBlank="1" showInputMessage="1" showErrorMessage="1" sqref="B6 B15:B16" xr:uid="{00000000-0002-0000-C700-000002000000}">
      <formula1>"True,False"</formula1>
    </dataValidation>
  </dataValidations>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1.5" bestFit="1" customWidth="1"/>
    <col min="8" max="8" width="35.5" bestFit="1" customWidth="1"/>
    <col min="9" max="9" width="45.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628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tbl-excerpt</v>
      </c>
    </row>
    <row r="4" spans="1:17" x14ac:dyDescent="0.2">
      <c r="A4" s="16" t="s">
        <v>7</v>
      </c>
      <c r="B4" t="str">
        <f>IF($B$1="","",_xlfn.XLOOKUP($B$1,Master!$F$2:$F$321,Master!$H$2:$H$321,""))</f>
        <v>fig-excerpt</v>
      </c>
      <c r="E4" s="8"/>
      <c r="F4" s="10" t="s">
        <v>1009</v>
      </c>
      <c r="G4" s="10" t="s">
        <v>1009</v>
      </c>
      <c r="H4" s="10" t="s">
        <v>1009</v>
      </c>
      <c r="I4" s="10" t="s">
        <v>1009</v>
      </c>
      <c r="J4" s="10"/>
      <c r="K4" s="10"/>
      <c r="L4" s="10"/>
      <c r="M4" s="10"/>
      <c r="N4" s="10"/>
      <c r="O4" s="10"/>
      <c r="P4" s="10"/>
      <c r="Q4" s="10"/>
    </row>
    <row r="5" spans="1:17" x14ac:dyDescent="0.2">
      <c r="A5" s="83" t="s">
        <v>1081</v>
      </c>
      <c r="B5" s="80"/>
      <c r="E5" s="82" t="s">
        <v>1082</v>
      </c>
      <c r="F5" s="16" t="s">
        <v>2020</v>
      </c>
      <c r="G5" s="16" t="s">
        <v>2021</v>
      </c>
      <c r="H5" s="16" t="s">
        <v>2022</v>
      </c>
      <c r="I5" s="16" t="s">
        <v>2023</v>
      </c>
    </row>
    <row r="6" spans="1:17" ht="15" customHeight="1" x14ac:dyDescent="0.2">
      <c r="A6" t="s">
        <v>1088</v>
      </c>
      <c r="B6" t="b">
        <v>0</v>
      </c>
      <c r="E6" s="80"/>
      <c r="F6" s="16" t="s">
        <v>2024</v>
      </c>
      <c r="G6" s="15" t="s">
        <v>2025</v>
      </c>
      <c r="H6" s="15" t="s">
        <v>2026</v>
      </c>
      <c r="I6" s="15" t="s">
        <v>2027</v>
      </c>
      <c r="J6" s="15"/>
      <c r="K6" s="15"/>
      <c r="L6" s="15"/>
      <c r="M6" s="15"/>
      <c r="N6" s="15"/>
      <c r="O6" s="15"/>
    </row>
    <row r="7" spans="1:17" ht="15.75" customHeight="1" x14ac:dyDescent="0.2">
      <c r="E7" s="80"/>
      <c r="F7" s="16" t="s">
        <v>2028</v>
      </c>
      <c r="G7" s="15" t="s">
        <v>2029</v>
      </c>
      <c r="H7" s="15" t="s">
        <v>2030</v>
      </c>
      <c r="I7" s="15" t="s">
        <v>2025</v>
      </c>
      <c r="J7" s="15"/>
      <c r="K7" s="15"/>
      <c r="L7" s="15"/>
      <c r="M7" s="15"/>
      <c r="N7" s="15"/>
      <c r="O7" s="15"/>
    </row>
    <row r="8" spans="1:17" x14ac:dyDescent="0.2">
      <c r="E8" s="80"/>
      <c r="F8" s="16" t="s">
        <v>2031</v>
      </c>
      <c r="G8" s="15" t="s">
        <v>2032</v>
      </c>
      <c r="H8" s="15" t="s">
        <v>2033</v>
      </c>
      <c r="I8" s="15" t="s">
        <v>2034</v>
      </c>
      <c r="J8" s="15"/>
      <c r="K8" s="15"/>
      <c r="L8" s="15"/>
      <c r="M8" s="15"/>
      <c r="N8" s="15"/>
      <c r="O8" s="15"/>
    </row>
    <row r="9" spans="1:17" x14ac:dyDescent="0.2">
      <c r="A9" s="83" t="s">
        <v>1098</v>
      </c>
      <c r="B9" s="80"/>
      <c r="E9" s="80"/>
      <c r="F9" s="16" t="s">
        <v>2035</v>
      </c>
      <c r="G9" s="15" t="s">
        <v>2036</v>
      </c>
      <c r="H9" s="15" t="s">
        <v>2037</v>
      </c>
      <c r="I9" s="15" t="s">
        <v>2038</v>
      </c>
      <c r="J9" s="15"/>
      <c r="K9" s="15"/>
      <c r="L9" s="15"/>
      <c r="M9" s="15"/>
      <c r="N9" s="15"/>
      <c r="O9" s="15"/>
    </row>
    <row r="10" spans="1:17" x14ac:dyDescent="0.2">
      <c r="A10" t="s">
        <v>1100</v>
      </c>
      <c r="E10" s="80"/>
      <c r="F10" s="16" t="s">
        <v>2039</v>
      </c>
      <c r="G10" s="15" t="s">
        <v>2032</v>
      </c>
      <c r="H10" t="s">
        <v>2040</v>
      </c>
      <c r="I10" t="s">
        <v>2041</v>
      </c>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B19" t="s">
        <v>2042</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800-000000000000}">
      <formula1>"Line,Clustered Bar,Stacked Bar,Bar,Horizontal Stacked Bar"</formula1>
    </dataValidation>
    <dataValidation type="list" allowBlank="1" showInputMessage="1" showErrorMessage="1" sqref="B2" xr:uid="{00000000-0002-0000-C800-000001000000}">
      <formula1>"Table,Figure,Both"</formula1>
    </dataValidation>
    <dataValidation type="list" allowBlank="1" showInputMessage="1" showErrorMessage="1" sqref="B6 B15:B16" xr:uid="{00000000-0002-0000-C800-000002000000}">
      <formula1>"True,False"</formula1>
    </dataValidation>
  </dataValidations>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9.5" bestFit="1" customWidth="1"/>
    <col min="8" max="8" width="20.6640625" bestFit="1" customWidth="1"/>
    <col min="9" max="9" width="9" bestFit="1" customWidth="1"/>
    <col min="10" max="10" width="16.33203125" bestFit="1" customWidth="1"/>
    <col min="11" max="11" width="116.5" bestFit="1" customWidth="1"/>
    <col min="12" max="12" width="12.1640625" bestFit="1" customWidth="1"/>
    <col min="13" max="13" width="12.33203125" bestFit="1" customWidth="1"/>
    <col min="14" max="15" width="12.5" bestFit="1" customWidth="1"/>
  </cols>
  <sheetData>
    <row r="1" spans="1:16" x14ac:dyDescent="0.2">
      <c r="A1" s="16" t="s">
        <v>1077</v>
      </c>
      <c r="B1" s="79" t="s">
        <v>631</v>
      </c>
      <c r="C1" s="80"/>
      <c r="D1" s="80"/>
      <c r="E1" s="80"/>
      <c r="F1" s="80"/>
      <c r="G1" s="80"/>
      <c r="H1" s="80"/>
      <c r="I1" s="80"/>
      <c r="J1" s="80"/>
      <c r="K1" s="80"/>
      <c r="L1" s="80"/>
      <c r="M1" s="80"/>
      <c r="N1" s="80"/>
    </row>
    <row r="2" spans="1:16" x14ac:dyDescent="0.2">
      <c r="A2" s="16" t="s">
        <v>1078</v>
      </c>
      <c r="B2" t="s">
        <v>1079</v>
      </c>
    </row>
    <row r="3" spans="1:16" x14ac:dyDescent="0.2">
      <c r="A3" s="16" t="s">
        <v>1080</v>
      </c>
      <c r="B3" t="str">
        <f>IF($B$1="","",_xlfn.XLOOKUP($B$1,Master!$F$2:$F$321,Master!$G$2:$G$321,""))</f>
        <v>tbl-themes-focus-group</v>
      </c>
    </row>
    <row r="4" spans="1:16" x14ac:dyDescent="0.2">
      <c r="A4" s="16" t="s">
        <v>7</v>
      </c>
      <c r="B4" t="str">
        <f>IF($B$1="","",_xlfn.XLOOKUP($B$1,Master!$F$2:$F$321,Master!$H$2:$H$321,""))</f>
        <v>fig-themes-focus-group</v>
      </c>
      <c r="E4" s="8"/>
      <c r="F4" s="10" t="s">
        <v>1009</v>
      </c>
      <c r="G4" s="10" t="s">
        <v>1009</v>
      </c>
      <c r="H4" s="10" t="s">
        <v>1009</v>
      </c>
      <c r="I4" s="10" t="s">
        <v>1009</v>
      </c>
      <c r="J4" s="10" t="s">
        <v>1009</v>
      </c>
      <c r="K4" s="10" t="s">
        <v>1009</v>
      </c>
      <c r="L4" s="10"/>
      <c r="M4" s="10"/>
      <c r="N4" s="10"/>
      <c r="O4" s="10"/>
      <c r="P4" s="10"/>
    </row>
    <row r="5" spans="1:16" x14ac:dyDescent="0.2">
      <c r="A5" s="83" t="s">
        <v>1081</v>
      </c>
      <c r="B5" s="80"/>
      <c r="E5" s="82" t="s">
        <v>1082</v>
      </c>
      <c r="F5" s="16" t="s">
        <v>2043</v>
      </c>
      <c r="G5" s="16" t="s">
        <v>2044</v>
      </c>
      <c r="H5" s="16" t="s">
        <v>2045</v>
      </c>
      <c r="I5" s="16" t="s">
        <v>2046</v>
      </c>
      <c r="J5" s="16" t="s">
        <v>2047</v>
      </c>
      <c r="K5" s="16" t="s">
        <v>2048</v>
      </c>
    </row>
    <row r="6" spans="1:16" ht="15" customHeight="1" x14ac:dyDescent="0.2">
      <c r="A6" t="s">
        <v>1088</v>
      </c>
      <c r="B6" t="b">
        <v>0</v>
      </c>
      <c r="E6" s="80"/>
      <c r="F6" s="16" t="s">
        <v>2049</v>
      </c>
      <c r="G6" s="15" t="s">
        <v>2050</v>
      </c>
      <c r="H6" s="15" t="s">
        <v>2050</v>
      </c>
      <c r="I6" s="15" t="s">
        <v>2050</v>
      </c>
      <c r="J6" s="15" t="s">
        <v>2050</v>
      </c>
      <c r="K6" s="15" t="s">
        <v>2051</v>
      </c>
      <c r="L6" s="15"/>
      <c r="M6" s="15"/>
      <c r="N6" s="15"/>
    </row>
    <row r="7" spans="1:16" ht="15.75" customHeight="1" x14ac:dyDescent="0.2">
      <c r="E7" s="80"/>
      <c r="F7" s="16" t="s">
        <v>2052</v>
      </c>
      <c r="G7" s="15" t="s">
        <v>2050</v>
      </c>
      <c r="H7" s="15" t="s">
        <v>2050</v>
      </c>
      <c r="I7" s="15" t="s">
        <v>2053</v>
      </c>
      <c r="J7" s="15" t="s">
        <v>2050</v>
      </c>
      <c r="K7" s="15" t="s">
        <v>2054</v>
      </c>
      <c r="L7" s="15"/>
      <c r="M7" s="15"/>
      <c r="N7" s="15"/>
    </row>
    <row r="8" spans="1:16" x14ac:dyDescent="0.2">
      <c r="E8" s="80"/>
      <c r="F8" s="16" t="s">
        <v>2036</v>
      </c>
      <c r="G8" s="15" t="s">
        <v>2050</v>
      </c>
      <c r="H8" s="15" t="s">
        <v>2050</v>
      </c>
      <c r="I8" s="15" t="s">
        <v>2050</v>
      </c>
      <c r="J8" s="15" t="s">
        <v>2050</v>
      </c>
      <c r="K8" s="15" t="s">
        <v>2055</v>
      </c>
      <c r="L8" s="15"/>
      <c r="M8" s="15"/>
      <c r="N8" s="15"/>
    </row>
    <row r="9" spans="1:16" x14ac:dyDescent="0.2">
      <c r="A9" s="83" t="s">
        <v>1098</v>
      </c>
      <c r="B9" s="80"/>
      <c r="E9" s="80"/>
      <c r="F9" s="16" t="s">
        <v>2056</v>
      </c>
      <c r="G9" s="15" t="s">
        <v>2050</v>
      </c>
      <c r="H9" s="15" t="s">
        <v>2050</v>
      </c>
      <c r="I9" s="15" t="s">
        <v>2050</v>
      </c>
      <c r="J9" s="15" t="s">
        <v>2050</v>
      </c>
      <c r="K9" s="15" t="s">
        <v>2057</v>
      </c>
      <c r="L9" s="15"/>
      <c r="M9" s="15"/>
      <c r="N9" s="15"/>
    </row>
    <row r="10" spans="1:16" x14ac:dyDescent="0.2">
      <c r="A10" t="s">
        <v>1100</v>
      </c>
      <c r="E10" s="80"/>
      <c r="F10" s="16" t="s">
        <v>2058</v>
      </c>
      <c r="G10" s="15" t="s">
        <v>2050</v>
      </c>
      <c r="H10" s="15" t="s">
        <v>2050</v>
      </c>
      <c r="I10" s="15" t="s">
        <v>2050</v>
      </c>
      <c r="J10" s="15" t="s">
        <v>2050</v>
      </c>
      <c r="K10" t="s">
        <v>2059</v>
      </c>
    </row>
    <row r="11" spans="1:16" x14ac:dyDescent="0.2">
      <c r="A11" t="s">
        <v>1102</v>
      </c>
      <c r="E11" s="80"/>
      <c r="F11" s="16" t="s">
        <v>2060</v>
      </c>
      <c r="G11" s="15" t="s">
        <v>2050</v>
      </c>
      <c r="H11" s="15" t="s">
        <v>2050</v>
      </c>
      <c r="I11" s="15" t="s">
        <v>2050</v>
      </c>
      <c r="J11" s="17" t="s">
        <v>2050</v>
      </c>
      <c r="K11" s="17" t="s">
        <v>2061</v>
      </c>
      <c r="L11" s="17"/>
      <c r="M11" s="17"/>
    </row>
    <row r="12" spans="1:16" x14ac:dyDescent="0.2">
      <c r="A12" t="s">
        <v>1104</v>
      </c>
      <c r="E12" s="80"/>
      <c r="F12" s="21"/>
      <c r="G12" s="17"/>
      <c r="H12" s="17"/>
      <c r="I12" s="15"/>
      <c r="J12" s="15"/>
      <c r="K12" s="15"/>
    </row>
    <row r="13" spans="1:16" x14ac:dyDescent="0.2">
      <c r="A13" t="s">
        <v>1108</v>
      </c>
      <c r="E13" s="80"/>
    </row>
    <row r="14" spans="1:16" x14ac:dyDescent="0.2">
      <c r="A14" t="s">
        <v>1112</v>
      </c>
      <c r="E14" s="80"/>
    </row>
    <row r="15" spans="1:16" x14ac:dyDescent="0.2">
      <c r="A15" t="s">
        <v>1114</v>
      </c>
      <c r="E15" s="80"/>
    </row>
    <row r="16" spans="1:16" x14ac:dyDescent="0.2">
      <c r="A16" t="s">
        <v>1116</v>
      </c>
      <c r="E16" s="80"/>
    </row>
    <row r="17" spans="1:8" x14ac:dyDescent="0.2">
      <c r="E17" s="80"/>
    </row>
    <row r="18" spans="1:8" x14ac:dyDescent="0.2">
      <c r="A18" s="83" t="s">
        <v>1119</v>
      </c>
      <c r="B18" s="80"/>
      <c r="E18" s="80"/>
    </row>
    <row r="19" spans="1:8" x14ac:dyDescent="0.2">
      <c r="A19" t="s">
        <v>1121</v>
      </c>
      <c r="E19" s="80"/>
    </row>
    <row r="20" spans="1:8" x14ac:dyDescent="0.2">
      <c r="E20" s="80"/>
      <c r="F20" s="15"/>
      <c r="G20" s="15"/>
      <c r="H20" s="15"/>
    </row>
    <row r="21" spans="1:8" x14ac:dyDescent="0.2">
      <c r="A21" s="81" t="s">
        <v>1125</v>
      </c>
      <c r="B21" s="80"/>
      <c r="E21" s="80"/>
      <c r="F21" s="15"/>
      <c r="G21" s="15"/>
      <c r="H21" s="15"/>
    </row>
    <row r="22" spans="1:8" x14ac:dyDescent="0.2">
      <c r="A22" t="s">
        <v>1135</v>
      </c>
      <c r="E22" s="80"/>
      <c r="F22" s="15"/>
      <c r="G22" s="15"/>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A21:B21"/>
    <mergeCell ref="E5:E57"/>
    <mergeCell ref="B1:N1"/>
    <mergeCell ref="A9:B9"/>
    <mergeCell ref="A5:B5"/>
    <mergeCell ref="A18:B18"/>
    <mergeCell ref="A27:B27"/>
  </mergeCells>
  <dataValidations count="3">
    <dataValidation type="list" allowBlank="1" showInputMessage="1" showErrorMessage="1" sqref="B10" xr:uid="{00000000-0002-0000-C900-000000000000}">
      <formula1>"Line,Clustered Bar,Stacked Bar,Bar,Horizontal Stacked Bar"</formula1>
    </dataValidation>
    <dataValidation type="list" allowBlank="1" showInputMessage="1" showErrorMessage="1" sqref="B2" xr:uid="{00000000-0002-0000-C900-000001000000}">
      <formula1>"Table,Figure,Both"</formula1>
    </dataValidation>
    <dataValidation type="list" allowBlank="1" showInputMessage="1" showErrorMessage="1" sqref="B6 B15:B16" xr:uid="{00000000-0002-0000-C900-000002000000}">
      <formula1>"True,False"</formula1>
    </dataValidation>
  </dataValidations>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Q57"/>
  <sheetViews>
    <sheetView workbookViewId="0">
      <selection activeCell="I34" sqref="I3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0.6640625" bestFit="1" customWidth="1"/>
    <col min="8" max="8" width="19.1640625" bestFit="1" customWidth="1"/>
    <col min="9" max="9" width="34.6640625" bestFit="1" customWidth="1"/>
    <col min="10" max="10" width="57.6640625"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634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tbl-zip-code</v>
      </c>
    </row>
    <row r="4" spans="1:17" x14ac:dyDescent="0.2">
      <c r="A4" s="16" t="s">
        <v>7</v>
      </c>
      <c r="B4" t="str">
        <f>IF($B$1="","",_xlfn.XLOOKUP($B$1,Master!$F$2:$F$321,Master!$H$2:$H$321,""))</f>
        <v>fig-zip-code</v>
      </c>
      <c r="E4" s="8"/>
      <c r="F4" s="10" t="s">
        <v>1009</v>
      </c>
      <c r="G4" s="10" t="s">
        <v>968</v>
      </c>
      <c r="H4" s="10" t="s">
        <v>968</v>
      </c>
      <c r="I4" s="10" t="s">
        <v>979</v>
      </c>
      <c r="J4" s="10" t="s">
        <v>979</v>
      </c>
      <c r="K4" s="10"/>
      <c r="L4" s="10"/>
      <c r="M4" s="10"/>
      <c r="N4" s="10"/>
      <c r="O4" s="10"/>
      <c r="P4" s="10"/>
      <c r="Q4" s="10"/>
    </row>
    <row r="5" spans="1:17" x14ac:dyDescent="0.2">
      <c r="A5" s="83" t="s">
        <v>1081</v>
      </c>
      <c r="B5" s="80"/>
      <c r="E5" s="82" t="s">
        <v>1082</v>
      </c>
      <c r="F5" s="15" t="s">
        <v>1294</v>
      </c>
      <c r="G5" s="15" t="s">
        <v>2062</v>
      </c>
      <c r="H5" s="15" t="s">
        <v>2063</v>
      </c>
      <c r="I5" s="15" t="s">
        <v>2064</v>
      </c>
      <c r="J5" s="15" t="s">
        <v>2065</v>
      </c>
    </row>
    <row r="6" spans="1:17" ht="15" customHeight="1" x14ac:dyDescent="0.2">
      <c r="A6" t="s">
        <v>1088</v>
      </c>
      <c r="B6" t="b">
        <v>0</v>
      </c>
      <c r="E6" s="80"/>
      <c r="F6" s="15">
        <v>12550</v>
      </c>
      <c r="G6" s="15">
        <v>132</v>
      </c>
      <c r="H6" s="15">
        <v>54996</v>
      </c>
      <c r="I6" s="15">
        <v>13.6</v>
      </c>
      <c r="J6" s="15">
        <v>15.9</v>
      </c>
      <c r="K6" s="15"/>
      <c r="L6" s="15"/>
      <c r="M6" s="15"/>
      <c r="N6" s="15"/>
      <c r="O6" s="15"/>
    </row>
    <row r="7" spans="1:17" ht="15.75" customHeight="1" x14ac:dyDescent="0.2">
      <c r="E7" s="80"/>
      <c r="F7" s="15">
        <v>10940</v>
      </c>
      <c r="G7" s="15">
        <v>101</v>
      </c>
      <c r="H7" s="15">
        <v>53099</v>
      </c>
      <c r="I7" s="15">
        <v>13.1</v>
      </c>
      <c r="J7" s="15">
        <v>12.2</v>
      </c>
      <c r="K7" s="15"/>
      <c r="L7" s="15"/>
      <c r="M7" s="15"/>
      <c r="N7" s="15"/>
      <c r="O7" s="15"/>
    </row>
    <row r="8" spans="1:17" x14ac:dyDescent="0.2">
      <c r="E8" s="80"/>
      <c r="F8" s="15">
        <v>12553</v>
      </c>
      <c r="G8" s="15">
        <v>66</v>
      </c>
      <c r="H8" s="15">
        <v>27300</v>
      </c>
      <c r="I8" s="15">
        <v>6.8</v>
      </c>
      <c r="J8" s="15">
        <v>8</v>
      </c>
      <c r="K8" s="15"/>
      <c r="L8" s="15"/>
      <c r="M8" s="15"/>
      <c r="N8" s="15"/>
      <c r="O8" s="15"/>
    </row>
    <row r="9" spans="1:17" x14ac:dyDescent="0.2">
      <c r="A9" s="83" t="s">
        <v>1098</v>
      </c>
      <c r="B9" s="80"/>
      <c r="E9" s="80"/>
      <c r="F9" s="15">
        <v>10924</v>
      </c>
      <c r="G9" s="15">
        <v>62</v>
      </c>
      <c r="H9" s="15">
        <v>13612</v>
      </c>
      <c r="I9" s="15">
        <v>3.4</v>
      </c>
      <c r="J9" s="15">
        <v>7.5</v>
      </c>
      <c r="K9" s="15"/>
      <c r="L9" s="15"/>
      <c r="M9" s="15"/>
      <c r="N9" s="15"/>
      <c r="O9" s="15"/>
    </row>
    <row r="10" spans="1:17" x14ac:dyDescent="0.2">
      <c r="A10" t="s">
        <v>1100</v>
      </c>
      <c r="E10" s="80"/>
      <c r="F10" s="15">
        <v>10990</v>
      </c>
      <c r="G10" s="15">
        <v>45</v>
      </c>
      <c r="H10" s="15">
        <v>20370</v>
      </c>
      <c r="I10" s="15">
        <v>5</v>
      </c>
      <c r="J10" s="15">
        <v>5.4</v>
      </c>
    </row>
    <row r="11" spans="1:17" x14ac:dyDescent="0.2">
      <c r="A11" t="s">
        <v>1102</v>
      </c>
      <c r="E11" s="80"/>
      <c r="F11" s="15">
        <v>10950</v>
      </c>
      <c r="G11" s="15">
        <v>36</v>
      </c>
      <c r="H11" s="15">
        <v>65391</v>
      </c>
      <c r="I11" s="15">
        <v>16.2</v>
      </c>
      <c r="J11" s="17">
        <v>4.3</v>
      </c>
      <c r="K11" s="17"/>
      <c r="L11" s="17"/>
      <c r="M11" s="17"/>
      <c r="N11" s="17"/>
    </row>
    <row r="12" spans="1:17" x14ac:dyDescent="0.2">
      <c r="A12" t="s">
        <v>1104</v>
      </c>
      <c r="E12" s="80"/>
      <c r="F12" s="17">
        <v>12771</v>
      </c>
      <c r="G12" s="17">
        <v>35</v>
      </c>
      <c r="H12" s="17">
        <v>14345</v>
      </c>
      <c r="I12" s="15">
        <v>3.6</v>
      </c>
      <c r="J12" s="15">
        <v>4.2</v>
      </c>
      <c r="K12" s="15"/>
      <c r="L12" s="15"/>
    </row>
    <row r="13" spans="1:17" x14ac:dyDescent="0.2">
      <c r="A13" t="s">
        <v>1108</v>
      </c>
      <c r="E13" s="80"/>
      <c r="F13" s="15">
        <v>10941</v>
      </c>
      <c r="G13" s="15">
        <v>35</v>
      </c>
      <c r="H13" s="15">
        <v>14761</v>
      </c>
      <c r="I13" s="15">
        <v>3.7</v>
      </c>
      <c r="J13" s="15">
        <v>4.2</v>
      </c>
    </row>
    <row r="14" spans="1:17" x14ac:dyDescent="0.2">
      <c r="A14" t="s">
        <v>1112</v>
      </c>
      <c r="E14" s="80"/>
      <c r="F14" s="15">
        <v>10992</v>
      </c>
      <c r="G14" s="15">
        <v>33</v>
      </c>
      <c r="H14" s="15">
        <v>10412</v>
      </c>
      <c r="I14" s="15">
        <v>2.6</v>
      </c>
      <c r="J14" s="15">
        <v>4</v>
      </c>
    </row>
    <row r="15" spans="1:17" x14ac:dyDescent="0.2">
      <c r="A15" t="s">
        <v>1114</v>
      </c>
      <c r="E15" s="80"/>
      <c r="F15" s="15">
        <v>10918</v>
      </c>
      <c r="G15" s="15">
        <v>32</v>
      </c>
      <c r="H15" s="15">
        <v>11937</v>
      </c>
      <c r="I15" s="15">
        <v>3</v>
      </c>
      <c r="J15" s="15">
        <v>3.9</v>
      </c>
    </row>
    <row r="16" spans="1:17" x14ac:dyDescent="0.2">
      <c r="A16" t="s">
        <v>1116</v>
      </c>
      <c r="E16" s="80"/>
      <c r="F16" s="15">
        <v>12586</v>
      </c>
      <c r="G16" s="15">
        <v>29</v>
      </c>
      <c r="H16" s="15">
        <v>12874</v>
      </c>
      <c r="I16" s="15">
        <v>3.2</v>
      </c>
      <c r="J16" s="15">
        <v>3.5</v>
      </c>
    </row>
    <row r="17" spans="1:11" x14ac:dyDescent="0.2">
      <c r="E17" s="80"/>
      <c r="F17" s="15">
        <v>12549</v>
      </c>
      <c r="G17" s="15">
        <v>28</v>
      </c>
      <c r="H17" s="15">
        <v>10896</v>
      </c>
      <c r="I17" s="15">
        <v>2.7</v>
      </c>
      <c r="J17" s="15">
        <v>3.4</v>
      </c>
    </row>
    <row r="18" spans="1:11" x14ac:dyDescent="0.2">
      <c r="A18" s="83" t="s">
        <v>1119</v>
      </c>
      <c r="B18" s="80"/>
      <c r="E18" s="80"/>
      <c r="F18" s="15">
        <v>10916</v>
      </c>
      <c r="G18" s="15">
        <v>22</v>
      </c>
      <c r="H18" s="15">
        <v>4531</v>
      </c>
      <c r="I18" s="15">
        <v>1.1000000000000001</v>
      </c>
      <c r="J18" s="15">
        <v>2.7</v>
      </c>
    </row>
    <row r="19" spans="1:11" x14ac:dyDescent="0.2">
      <c r="A19" t="s">
        <v>1121</v>
      </c>
      <c r="E19" s="80"/>
      <c r="F19" s="15">
        <v>10998</v>
      </c>
      <c r="G19" s="15">
        <v>16</v>
      </c>
      <c r="H19" s="15">
        <v>3676</v>
      </c>
      <c r="I19" s="15">
        <v>0.9</v>
      </c>
      <c r="J19" s="15">
        <v>1.9</v>
      </c>
    </row>
    <row r="20" spans="1:11" x14ac:dyDescent="0.2">
      <c r="E20" s="80"/>
      <c r="F20" s="15">
        <v>12518</v>
      </c>
      <c r="G20" s="15">
        <v>15</v>
      </c>
      <c r="H20" s="15">
        <v>5728</v>
      </c>
      <c r="I20" s="15">
        <v>1.4</v>
      </c>
      <c r="J20" s="15">
        <v>1.8</v>
      </c>
    </row>
    <row r="21" spans="1:11" x14ac:dyDescent="0.2">
      <c r="A21" s="81" t="s">
        <v>1125</v>
      </c>
      <c r="B21" s="80"/>
      <c r="E21" s="80"/>
      <c r="F21" s="15">
        <v>12566</v>
      </c>
      <c r="G21" s="15">
        <v>14</v>
      </c>
      <c r="H21" s="15">
        <v>11718</v>
      </c>
      <c r="I21" s="15">
        <v>2.9</v>
      </c>
      <c r="J21" s="15">
        <v>1.7</v>
      </c>
    </row>
    <row r="22" spans="1:11" x14ac:dyDescent="0.2">
      <c r="A22" t="s">
        <v>1135</v>
      </c>
      <c r="B22" t="s">
        <v>2066</v>
      </c>
      <c r="E22" s="80"/>
      <c r="F22" s="15">
        <v>10930</v>
      </c>
      <c r="G22" s="15">
        <v>13</v>
      </c>
      <c r="H22" s="15">
        <v>10342</v>
      </c>
      <c r="I22" s="15">
        <v>2.6</v>
      </c>
      <c r="J22" s="15">
        <v>1.6</v>
      </c>
    </row>
    <row r="23" spans="1:11" x14ac:dyDescent="0.2">
      <c r="E23" s="80"/>
      <c r="F23" s="15">
        <v>12520</v>
      </c>
      <c r="G23" s="15">
        <v>12</v>
      </c>
      <c r="H23" s="15">
        <v>3088</v>
      </c>
      <c r="I23" s="15">
        <v>0.8</v>
      </c>
      <c r="J23" s="15">
        <v>1.4</v>
      </c>
    </row>
    <row r="24" spans="1:11" x14ac:dyDescent="0.2">
      <c r="E24" s="80"/>
      <c r="F24" s="15">
        <v>12543</v>
      </c>
      <c r="G24" s="15">
        <v>10</v>
      </c>
      <c r="H24" s="15">
        <v>3147</v>
      </c>
      <c r="I24" s="15">
        <v>0.8</v>
      </c>
      <c r="J24" s="15">
        <v>1.2</v>
      </c>
    </row>
    <row r="25" spans="1:11" x14ac:dyDescent="0.2">
      <c r="E25" s="80"/>
      <c r="F25" s="15">
        <v>10958</v>
      </c>
      <c r="G25" s="15">
        <v>9</v>
      </c>
      <c r="H25" s="15">
        <v>2717</v>
      </c>
      <c r="I25" s="15">
        <v>0.7</v>
      </c>
      <c r="J25" s="15">
        <v>1.1000000000000001</v>
      </c>
      <c r="K25" t="s">
        <v>1226</v>
      </c>
    </row>
    <row r="26" spans="1:11" x14ac:dyDescent="0.2">
      <c r="E26" s="80"/>
      <c r="F26" s="15">
        <v>12589</v>
      </c>
      <c r="G26" s="15">
        <v>8</v>
      </c>
      <c r="H26" s="15">
        <v>19639</v>
      </c>
      <c r="I26" s="15">
        <v>4.9000000000000004</v>
      </c>
      <c r="J26" s="15">
        <v>1</v>
      </c>
    </row>
    <row r="27" spans="1:11" x14ac:dyDescent="0.2">
      <c r="A27" s="81"/>
      <c r="B27" s="80"/>
      <c r="E27" s="80"/>
      <c r="F27" s="15">
        <v>10921</v>
      </c>
      <c r="G27" s="15">
        <v>8</v>
      </c>
      <c r="H27" s="15">
        <v>4358</v>
      </c>
      <c r="I27" s="15">
        <v>1.1000000000000001</v>
      </c>
      <c r="J27" s="15">
        <v>1</v>
      </c>
    </row>
    <row r="28" spans="1:11" x14ac:dyDescent="0.2">
      <c r="E28" s="80"/>
      <c r="F28" s="15">
        <v>12577</v>
      </c>
      <c r="G28" s="15">
        <v>7</v>
      </c>
      <c r="H28" s="15">
        <v>1613</v>
      </c>
      <c r="I28" s="15">
        <v>0.4</v>
      </c>
      <c r="J28" s="15">
        <v>0.8</v>
      </c>
    </row>
    <row r="29" spans="1:11" x14ac:dyDescent="0.2">
      <c r="E29" s="80"/>
      <c r="F29" s="15">
        <v>10925</v>
      </c>
      <c r="G29" s="15">
        <v>6</v>
      </c>
      <c r="H29" s="15">
        <v>4440</v>
      </c>
      <c r="I29" s="15">
        <v>1.1000000000000001</v>
      </c>
      <c r="J29" s="15">
        <v>0.7</v>
      </c>
    </row>
    <row r="30" spans="1:11" x14ac:dyDescent="0.2">
      <c r="E30" s="80"/>
      <c r="F30" s="15">
        <v>12746</v>
      </c>
      <c r="G30" s="15">
        <v>5</v>
      </c>
      <c r="H30" s="15">
        <v>598</v>
      </c>
      <c r="I30" s="15">
        <v>0.1</v>
      </c>
      <c r="J30" s="15">
        <v>0.6</v>
      </c>
    </row>
    <row r="31" spans="1:11" x14ac:dyDescent="0.2">
      <c r="E31" s="80"/>
      <c r="F31" s="15">
        <v>10963</v>
      </c>
      <c r="G31" s="15">
        <v>5</v>
      </c>
      <c r="H31" s="15">
        <v>3940</v>
      </c>
      <c r="I31" s="15">
        <v>1</v>
      </c>
      <c r="J31" s="15">
        <v>0.6</v>
      </c>
    </row>
    <row r="32" spans="1:11" x14ac:dyDescent="0.2">
      <c r="E32" s="80"/>
      <c r="F32" s="15">
        <v>12780</v>
      </c>
      <c r="G32" s="15">
        <v>4</v>
      </c>
      <c r="H32" s="15">
        <v>2245</v>
      </c>
      <c r="I32" s="15">
        <v>0.6</v>
      </c>
      <c r="J32" s="15">
        <v>0.5</v>
      </c>
    </row>
    <row r="33" spans="5:10" x14ac:dyDescent="0.2">
      <c r="E33" s="80"/>
      <c r="F33" s="15">
        <v>12575</v>
      </c>
      <c r="G33" s="15">
        <v>4</v>
      </c>
      <c r="H33" s="15">
        <v>1743</v>
      </c>
      <c r="I33" s="15">
        <v>0.4</v>
      </c>
      <c r="J33" s="15">
        <v>0.5</v>
      </c>
    </row>
    <row r="34" spans="5:10" x14ac:dyDescent="0.2">
      <c r="E34" s="80"/>
      <c r="F34" s="15">
        <v>12721</v>
      </c>
      <c r="G34" s="15">
        <v>3</v>
      </c>
      <c r="H34" s="15">
        <v>7590</v>
      </c>
      <c r="I34" s="17">
        <v>1.9</v>
      </c>
      <c r="J34" s="15">
        <v>0.4</v>
      </c>
    </row>
    <row r="35" spans="5:10" x14ac:dyDescent="0.2">
      <c r="E35" s="80"/>
      <c r="F35" s="15">
        <v>10987</v>
      </c>
      <c r="G35" s="15">
        <v>3</v>
      </c>
      <c r="H35" s="15">
        <v>4041</v>
      </c>
      <c r="I35" s="17">
        <v>1</v>
      </c>
      <c r="J35" s="15">
        <v>0.4</v>
      </c>
    </row>
    <row r="36" spans="5:10" x14ac:dyDescent="0.2">
      <c r="E36" s="80"/>
      <c r="F36" s="15">
        <v>10973</v>
      </c>
      <c r="G36" s="15">
        <v>3</v>
      </c>
      <c r="H36" s="15">
        <v>2300</v>
      </c>
      <c r="I36" s="17">
        <v>0.6</v>
      </c>
      <c r="J36" s="15">
        <v>0.4</v>
      </c>
    </row>
    <row r="37" spans="5:10" x14ac:dyDescent="0.2">
      <c r="E37" s="80"/>
      <c r="F37" s="15">
        <v>10969</v>
      </c>
      <c r="G37" s="15">
        <v>3</v>
      </c>
      <c r="H37" s="15">
        <v>1333</v>
      </c>
      <c r="I37" s="17">
        <v>0.3</v>
      </c>
      <c r="J37" s="15">
        <v>0.4</v>
      </c>
    </row>
    <row r="38" spans="5:10" x14ac:dyDescent="0.2">
      <c r="E38" s="80"/>
      <c r="F38" s="15">
        <v>10933</v>
      </c>
      <c r="G38" s="15">
        <v>3</v>
      </c>
      <c r="H38" s="15">
        <v>312</v>
      </c>
      <c r="I38" s="15">
        <v>0.1</v>
      </c>
      <c r="J38" s="15">
        <v>0.4</v>
      </c>
    </row>
    <row r="39" spans="5:10" x14ac:dyDescent="0.2">
      <c r="E39" s="80"/>
      <c r="F39" s="15">
        <v>10922</v>
      </c>
      <c r="G39" s="15">
        <v>3</v>
      </c>
      <c r="H39" s="15">
        <v>1072</v>
      </c>
      <c r="I39" s="15">
        <v>0.3</v>
      </c>
      <c r="J39" s="15">
        <v>0.4</v>
      </c>
    </row>
    <row r="40" spans="5:10" x14ac:dyDescent="0.2">
      <c r="E40" s="80"/>
      <c r="F40" s="15">
        <v>10919</v>
      </c>
      <c r="G40" s="15">
        <v>3</v>
      </c>
      <c r="H40" s="15">
        <v>1383</v>
      </c>
      <c r="I40" s="15">
        <v>0.3</v>
      </c>
      <c r="J40" s="15">
        <v>0.4</v>
      </c>
    </row>
    <row r="41" spans="5:10" x14ac:dyDescent="0.2">
      <c r="E41" s="80"/>
      <c r="F41" s="15">
        <v>10988</v>
      </c>
      <c r="G41" s="15">
        <v>2</v>
      </c>
      <c r="H41" s="15">
        <v>684</v>
      </c>
      <c r="I41" s="15">
        <v>0.2</v>
      </c>
      <c r="J41" s="15">
        <v>0.2</v>
      </c>
    </row>
    <row r="42" spans="5:10" x14ac:dyDescent="0.2">
      <c r="E42" s="80"/>
      <c r="F42" s="15">
        <v>10953</v>
      </c>
      <c r="G42" s="15">
        <v>2</v>
      </c>
      <c r="H42" s="15">
        <v>0</v>
      </c>
      <c r="I42" s="15">
        <v>0</v>
      </c>
      <c r="J42" s="15">
        <v>0.2</v>
      </c>
    </row>
    <row r="43" spans="5:10" x14ac:dyDescent="0.2">
      <c r="E43" s="80"/>
      <c r="F43" s="15">
        <v>10928</v>
      </c>
      <c r="G43" s="15">
        <v>2</v>
      </c>
      <c r="H43" s="15">
        <v>5273</v>
      </c>
      <c r="I43" s="15">
        <v>1.3</v>
      </c>
      <c r="J43" s="15">
        <v>0.2</v>
      </c>
    </row>
    <row r="44" spans="5:10" x14ac:dyDescent="0.2">
      <c r="E44" s="80"/>
      <c r="F44" s="15">
        <v>10926</v>
      </c>
      <c r="G44" s="15">
        <v>2</v>
      </c>
      <c r="H44" s="15">
        <v>3741</v>
      </c>
      <c r="I44" s="15">
        <v>0.9</v>
      </c>
      <c r="J44" s="15">
        <v>0.2</v>
      </c>
    </row>
    <row r="45" spans="5:10" x14ac:dyDescent="0.2">
      <c r="E45" s="80"/>
      <c r="F45" s="15">
        <v>10914</v>
      </c>
      <c r="G45" s="15">
        <v>2</v>
      </c>
      <c r="H45" s="15">
        <v>691</v>
      </c>
      <c r="I45" s="15">
        <v>0.2</v>
      </c>
      <c r="J45" s="15">
        <v>0.2</v>
      </c>
    </row>
    <row r="46" spans="5:10" x14ac:dyDescent="0.2">
      <c r="E46" s="80"/>
      <c r="F46" s="15">
        <v>12729</v>
      </c>
      <c r="G46" s="15">
        <v>1</v>
      </c>
      <c r="H46" s="15">
        <v>1307</v>
      </c>
      <c r="I46" s="15">
        <v>0.3</v>
      </c>
      <c r="J46" s="15">
        <v>0.1</v>
      </c>
    </row>
    <row r="47" spans="5:10" x14ac:dyDescent="0.2">
      <c r="E47" s="80"/>
      <c r="F47" s="15">
        <v>12542</v>
      </c>
      <c r="G47" s="15">
        <v>1</v>
      </c>
      <c r="H47" s="15">
        <v>5859</v>
      </c>
      <c r="I47" s="15">
        <v>1.5</v>
      </c>
      <c r="J47" s="15">
        <v>0.1</v>
      </c>
    </row>
    <row r="48" spans="5:10" x14ac:dyDescent="0.2">
      <c r="E48" s="80"/>
      <c r="F48" s="15">
        <v>10981</v>
      </c>
      <c r="G48" s="15">
        <v>1</v>
      </c>
      <c r="H48" s="15">
        <v>2228</v>
      </c>
      <c r="I48" s="15">
        <v>0.6</v>
      </c>
      <c r="J48" s="15">
        <v>0.1</v>
      </c>
    </row>
    <row r="49" spans="5:10" x14ac:dyDescent="0.2">
      <c r="E49" s="80"/>
      <c r="F49" s="15">
        <v>10943</v>
      </c>
      <c r="G49" s="15">
        <v>1</v>
      </c>
      <c r="H49" s="15" t="s">
        <v>1210</v>
      </c>
      <c r="I49" s="15" t="s">
        <v>1210</v>
      </c>
      <c r="J49" s="15">
        <v>0.1</v>
      </c>
    </row>
    <row r="50" spans="5:10" x14ac:dyDescent="0.2">
      <c r="E50" s="80"/>
      <c r="F50" s="15">
        <v>10917</v>
      </c>
      <c r="G50" s="15">
        <v>1</v>
      </c>
      <c r="H50" s="15">
        <v>1575</v>
      </c>
      <c r="I50" s="15">
        <v>0.4</v>
      </c>
      <c r="J50" s="15">
        <v>0.1</v>
      </c>
    </row>
    <row r="51" spans="5:10" x14ac:dyDescent="0.2">
      <c r="E51" s="80"/>
      <c r="F51" s="15">
        <v>10915</v>
      </c>
      <c r="G51" s="15">
        <v>1</v>
      </c>
      <c r="H51" s="15">
        <v>0</v>
      </c>
      <c r="I51" s="15">
        <v>0</v>
      </c>
      <c r="J51" s="15">
        <v>0.1</v>
      </c>
    </row>
    <row r="52" spans="5:10" x14ac:dyDescent="0.2">
      <c r="E52" s="80"/>
      <c r="F52" s="15">
        <v>10910</v>
      </c>
      <c r="G52" s="15">
        <v>1</v>
      </c>
      <c r="H52" s="15">
        <v>0</v>
      </c>
      <c r="I52" s="15">
        <v>0</v>
      </c>
      <c r="J52" s="15">
        <v>0.1</v>
      </c>
    </row>
    <row r="53" spans="5:10" x14ac:dyDescent="0.2">
      <c r="E53" s="80"/>
    </row>
    <row r="54" spans="5:10" x14ac:dyDescent="0.2">
      <c r="E54" s="80"/>
    </row>
    <row r="55" spans="5:10" x14ac:dyDescent="0.2">
      <c r="E55" s="80"/>
    </row>
    <row r="56" spans="5:10" x14ac:dyDescent="0.2">
      <c r="E56" s="80"/>
    </row>
    <row r="57" spans="5:10"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A00-000000000000}">
      <formula1>"Line,Clustered Bar,Stacked Bar,Bar,Horizontal Stacked Bar"</formula1>
    </dataValidation>
    <dataValidation type="list" allowBlank="1" showInputMessage="1" showErrorMessage="1" sqref="B2" xr:uid="{00000000-0002-0000-CA00-000001000000}">
      <formula1>"Table,Figure,Both"</formula1>
    </dataValidation>
    <dataValidation type="list" allowBlank="1" showInputMessage="1" showErrorMessage="1" sqref="B6 B15:B16" xr:uid="{00000000-0002-0000-CA00-000002000000}">
      <formula1>"True,False"</formula1>
    </dataValidation>
  </dataValidations>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71.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637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tbl-great-strengths-community</v>
      </c>
    </row>
    <row r="4" spans="1:17" x14ac:dyDescent="0.2">
      <c r="A4" s="16" t="s">
        <v>7</v>
      </c>
      <c r="B4" t="str">
        <f>IF($B$1="","",_xlfn.XLOOKUP($B$1,Master!$F$2:$F$321,Master!$H$2:$H$321,""))</f>
        <v>fig-great-strengths-community</v>
      </c>
      <c r="E4" s="8"/>
      <c r="F4" s="10" t="s">
        <v>1009</v>
      </c>
      <c r="G4" s="10" t="s">
        <v>968</v>
      </c>
      <c r="H4" s="10"/>
      <c r="I4" s="10"/>
      <c r="J4" s="10"/>
      <c r="K4" s="10"/>
      <c r="L4" s="10"/>
      <c r="M4" s="10"/>
      <c r="N4" s="10"/>
      <c r="O4" s="10"/>
      <c r="P4" s="10"/>
      <c r="Q4" s="10"/>
    </row>
    <row r="5" spans="1:17" x14ac:dyDescent="0.2">
      <c r="A5" s="83" t="s">
        <v>1081</v>
      </c>
      <c r="B5" s="80"/>
      <c r="E5" s="82" t="s">
        <v>1082</v>
      </c>
      <c r="F5" s="37" t="s">
        <v>2067</v>
      </c>
      <c r="G5" s="37">
        <v>340</v>
      </c>
    </row>
    <row r="6" spans="1:17" ht="15" customHeight="1" x14ac:dyDescent="0.2">
      <c r="A6" t="s">
        <v>1088</v>
      </c>
      <c r="B6" t="b">
        <v>0</v>
      </c>
      <c r="E6" s="80"/>
      <c r="F6" s="37" t="s">
        <v>2068</v>
      </c>
      <c r="G6" s="37">
        <v>301</v>
      </c>
      <c r="H6" s="15"/>
      <c r="I6" s="15"/>
      <c r="J6" s="15"/>
      <c r="K6" s="15"/>
      <c r="L6" s="15"/>
      <c r="M6" s="15"/>
      <c r="N6" s="15"/>
      <c r="O6" s="15"/>
    </row>
    <row r="7" spans="1:17" ht="15.75" customHeight="1" x14ac:dyDescent="0.2">
      <c r="E7" s="80"/>
      <c r="F7" s="37" t="s">
        <v>2069</v>
      </c>
      <c r="G7" s="37">
        <v>251</v>
      </c>
      <c r="H7" s="15"/>
      <c r="I7" s="15"/>
      <c r="J7" s="15"/>
      <c r="K7" s="15"/>
      <c r="L7" s="15"/>
      <c r="M7" s="15"/>
      <c r="N7" s="15"/>
      <c r="O7" s="15"/>
    </row>
    <row r="8" spans="1:17" x14ac:dyDescent="0.2">
      <c r="E8" s="80"/>
      <c r="F8" s="37" t="s">
        <v>2070</v>
      </c>
      <c r="G8" s="37">
        <v>247</v>
      </c>
      <c r="H8" s="15"/>
      <c r="I8" s="15"/>
      <c r="J8" s="15"/>
      <c r="K8" s="15"/>
      <c r="L8" s="15"/>
      <c r="M8" s="15"/>
      <c r="N8" s="15"/>
      <c r="O8" s="15"/>
    </row>
    <row r="9" spans="1:17" x14ac:dyDescent="0.2">
      <c r="A9" s="83" t="s">
        <v>1098</v>
      </c>
      <c r="B9" s="80"/>
      <c r="E9" s="80"/>
      <c r="F9" s="37" t="s">
        <v>2071</v>
      </c>
      <c r="G9" s="37">
        <v>162</v>
      </c>
      <c r="H9" s="15"/>
      <c r="I9" s="15"/>
      <c r="J9" s="15"/>
      <c r="K9" s="15"/>
      <c r="L9" s="15"/>
      <c r="M9" s="15"/>
      <c r="N9" s="15"/>
      <c r="O9" s="15"/>
    </row>
    <row r="10" spans="1:17" x14ac:dyDescent="0.2">
      <c r="A10" t="s">
        <v>1100</v>
      </c>
      <c r="B10" t="s">
        <v>2072</v>
      </c>
      <c r="E10" s="80"/>
      <c r="F10" s="37" t="s">
        <v>2073</v>
      </c>
      <c r="G10" s="37">
        <v>152</v>
      </c>
    </row>
    <row r="11" spans="1:17" x14ac:dyDescent="0.2">
      <c r="A11" t="s">
        <v>1102</v>
      </c>
      <c r="E11" s="80"/>
      <c r="F11" s="37" t="s">
        <v>2074</v>
      </c>
      <c r="G11" s="37">
        <v>142</v>
      </c>
      <c r="H11" s="15"/>
      <c r="I11" s="15"/>
      <c r="J11" s="17"/>
      <c r="K11" s="17"/>
      <c r="M11" s="17"/>
      <c r="N11" s="17"/>
    </row>
    <row r="12" spans="1:17" x14ac:dyDescent="0.2">
      <c r="A12" t="s">
        <v>1104</v>
      </c>
      <c r="E12" s="80"/>
      <c r="F12" s="37" t="s">
        <v>2075</v>
      </c>
      <c r="G12" s="57">
        <v>123</v>
      </c>
      <c r="H12" s="17"/>
      <c r="I12" s="15"/>
      <c r="J12" s="15"/>
      <c r="K12" s="15"/>
    </row>
    <row r="13" spans="1:17" x14ac:dyDescent="0.2">
      <c r="A13" t="s">
        <v>1108</v>
      </c>
      <c r="E13" s="80"/>
      <c r="F13" s="37" t="s">
        <v>2076</v>
      </c>
      <c r="G13" s="37">
        <v>88</v>
      </c>
    </row>
    <row r="14" spans="1:17" x14ac:dyDescent="0.2">
      <c r="A14" t="s">
        <v>1112</v>
      </c>
      <c r="E14" s="80"/>
      <c r="F14" s="37" t="s">
        <v>2077</v>
      </c>
      <c r="G14" s="37">
        <v>76</v>
      </c>
    </row>
    <row r="15" spans="1:17" x14ac:dyDescent="0.2">
      <c r="A15" t="s">
        <v>1114</v>
      </c>
      <c r="B15" t="b">
        <v>1</v>
      </c>
      <c r="E15" s="80"/>
      <c r="F15" s="37" t="s">
        <v>2078</v>
      </c>
      <c r="G15" s="37">
        <v>74</v>
      </c>
    </row>
    <row r="16" spans="1:17" x14ac:dyDescent="0.2">
      <c r="A16" t="s">
        <v>1116</v>
      </c>
      <c r="B16" t="b">
        <v>1</v>
      </c>
      <c r="E16" s="80"/>
      <c r="F16" s="37" t="s">
        <v>2079</v>
      </c>
      <c r="G16" s="37">
        <v>67</v>
      </c>
    </row>
    <row r="17" spans="1:8" x14ac:dyDescent="0.2">
      <c r="E17" s="80"/>
      <c r="F17" s="37" t="s">
        <v>2080</v>
      </c>
      <c r="G17" s="37">
        <v>66</v>
      </c>
    </row>
    <row r="18" spans="1:8" x14ac:dyDescent="0.2">
      <c r="A18" s="83" t="s">
        <v>1119</v>
      </c>
      <c r="B18" s="80"/>
      <c r="E18" s="80"/>
      <c r="F18" s="37" t="s">
        <v>2081</v>
      </c>
      <c r="G18" s="37">
        <v>59</v>
      </c>
    </row>
    <row r="19" spans="1:8" x14ac:dyDescent="0.2">
      <c r="A19" t="s">
        <v>1121</v>
      </c>
      <c r="E19" s="80"/>
      <c r="F19" s="37" t="s">
        <v>2082</v>
      </c>
      <c r="G19" s="37">
        <v>53</v>
      </c>
    </row>
    <row r="20" spans="1:8" x14ac:dyDescent="0.2">
      <c r="E20" s="80"/>
      <c r="F20" s="37" t="s">
        <v>2083</v>
      </c>
      <c r="G20" s="37">
        <v>37</v>
      </c>
      <c r="H20" s="15"/>
    </row>
    <row r="21" spans="1:8" x14ac:dyDescent="0.2">
      <c r="A21" s="81" t="s">
        <v>1125</v>
      </c>
      <c r="B21" s="80"/>
      <c r="E21" s="80"/>
      <c r="F21" s="57" t="s">
        <v>2084</v>
      </c>
      <c r="G21" s="37">
        <v>28</v>
      </c>
      <c r="H21" s="15"/>
    </row>
    <row r="22" spans="1:8" x14ac:dyDescent="0.2">
      <c r="A22" t="s">
        <v>1135</v>
      </c>
      <c r="B22" t="s">
        <v>2085</v>
      </c>
      <c r="E22" s="80"/>
      <c r="F22" s="37" t="s">
        <v>1015</v>
      </c>
      <c r="G22" s="37">
        <v>40</v>
      </c>
      <c r="H22" s="15"/>
    </row>
    <row r="23" spans="1:8" x14ac:dyDescent="0.2">
      <c r="E23" s="80"/>
      <c r="F23" s="15"/>
      <c r="G23" s="15"/>
      <c r="H23" s="15"/>
    </row>
    <row r="24" spans="1:8" x14ac:dyDescent="0.2">
      <c r="E24" s="80"/>
    </row>
    <row r="25" spans="1:8" x14ac:dyDescent="0.2">
      <c r="E25" s="80"/>
      <c r="F25" s="15"/>
      <c r="G25" s="15"/>
      <c r="H25" s="15"/>
    </row>
    <row r="26" spans="1:8" x14ac:dyDescent="0.2">
      <c r="E26" s="80"/>
      <c r="F26" s="15"/>
      <c r="G26" s="15"/>
      <c r="H26" s="15"/>
    </row>
    <row r="27" spans="1:8" x14ac:dyDescent="0.2">
      <c r="A27" s="81"/>
      <c r="B27" s="80"/>
      <c r="E27" s="80"/>
      <c r="F27" s="15"/>
      <c r="G27" s="15"/>
      <c r="H27" s="15"/>
    </row>
    <row r="28" spans="1:8" x14ac:dyDescent="0.2">
      <c r="E28" s="80"/>
      <c r="F28" s="15"/>
      <c r="G28" s="15"/>
      <c r="H28" s="15"/>
    </row>
    <row r="29" spans="1:8" x14ac:dyDescent="0.2">
      <c r="E29" s="80"/>
      <c r="F29" s="15"/>
      <c r="G29" s="15"/>
      <c r="H29" s="15"/>
    </row>
    <row r="30" spans="1:8" x14ac:dyDescent="0.2">
      <c r="E30" s="80"/>
      <c r="F30" s="15"/>
      <c r="G30" s="15"/>
      <c r="H30" s="15"/>
    </row>
    <row r="31" spans="1:8" x14ac:dyDescent="0.2">
      <c r="E31" s="80"/>
      <c r="F31" s="15"/>
      <c r="G31" s="15"/>
      <c r="H31" s="15"/>
    </row>
    <row r="32" spans="1:8"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B00-000000000000}">
      <formula1>"Line,Clustered Bar,Stacked Bar,Bar,Horizontal Stacked Bar"</formula1>
    </dataValidation>
    <dataValidation type="list" allowBlank="1" showInputMessage="1" showErrorMessage="1" sqref="B2" xr:uid="{00000000-0002-0000-CB00-000001000000}">
      <formula1>"Table,Figure,Both"</formula1>
    </dataValidation>
    <dataValidation type="list" allowBlank="1" showInputMessage="1" showErrorMessage="1" sqref="B6 B15:B16" xr:uid="{00000000-0002-0000-CB00-000002000000}">
      <formula1>"True,False"</formula1>
    </dataValidation>
  </dataValidations>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640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tbl-focus-resources-improve-life</v>
      </c>
    </row>
    <row r="4" spans="1:17" x14ac:dyDescent="0.2">
      <c r="A4" s="16" t="s">
        <v>7</v>
      </c>
      <c r="B4" t="str">
        <f>IF($B$1="","",_xlfn.XLOOKUP($B$1,Master!$F$2:$F$321,Master!$H$2:$H$321,""))</f>
        <v>fig-focus-resources-improve-life</v>
      </c>
      <c r="E4" s="8"/>
      <c r="F4" s="10" t="s">
        <v>1009</v>
      </c>
      <c r="G4" s="10" t="s">
        <v>968</v>
      </c>
      <c r="H4" s="10"/>
      <c r="I4" s="10"/>
      <c r="J4" s="10"/>
      <c r="K4" s="10"/>
      <c r="L4" s="10"/>
      <c r="M4" s="10"/>
      <c r="N4" s="10"/>
      <c r="O4" s="10"/>
      <c r="P4" s="10"/>
      <c r="Q4" s="10"/>
    </row>
    <row r="5" spans="1:17" x14ac:dyDescent="0.2">
      <c r="A5" s="83" t="s">
        <v>1081</v>
      </c>
      <c r="B5" s="80"/>
      <c r="E5" s="82" t="s">
        <v>1082</v>
      </c>
      <c r="F5" t="s">
        <v>2086</v>
      </c>
      <c r="G5" t="s">
        <v>1</v>
      </c>
    </row>
    <row r="6" spans="1:17" ht="15" customHeight="1" x14ac:dyDescent="0.2">
      <c r="A6" t="s">
        <v>1088</v>
      </c>
      <c r="B6" t="b">
        <v>0</v>
      </c>
      <c r="E6" s="80"/>
      <c r="F6" t="s">
        <v>2087</v>
      </c>
      <c r="G6" s="15">
        <v>360</v>
      </c>
      <c r="H6" s="15"/>
      <c r="I6" s="15"/>
      <c r="J6" s="15"/>
      <c r="K6" s="15"/>
      <c r="L6" s="15"/>
      <c r="M6" s="15"/>
      <c r="N6" s="15"/>
      <c r="O6" s="15"/>
    </row>
    <row r="7" spans="1:17" ht="15.75" customHeight="1" x14ac:dyDescent="0.2">
      <c r="E7" s="80"/>
      <c r="F7" t="s">
        <v>2088</v>
      </c>
      <c r="G7" s="15">
        <v>303</v>
      </c>
      <c r="H7" s="15"/>
      <c r="I7" s="15"/>
      <c r="J7" s="15"/>
      <c r="K7" s="15"/>
      <c r="L7" s="15"/>
      <c r="M7" s="15"/>
      <c r="N7" s="15"/>
      <c r="O7" s="15"/>
    </row>
    <row r="8" spans="1:17" x14ac:dyDescent="0.2">
      <c r="E8" s="80"/>
      <c r="F8" t="s">
        <v>2089</v>
      </c>
      <c r="G8" s="15">
        <v>207</v>
      </c>
      <c r="H8" s="15"/>
      <c r="I8" s="15"/>
      <c r="J8" s="15"/>
      <c r="K8" s="15"/>
      <c r="L8" s="15"/>
      <c r="M8" s="15"/>
      <c r="N8" s="15"/>
      <c r="O8" s="15"/>
    </row>
    <row r="9" spans="1:17" x14ac:dyDescent="0.2">
      <c r="A9" s="83" t="s">
        <v>1098</v>
      </c>
      <c r="B9" s="80"/>
      <c r="E9" s="80"/>
      <c r="F9" t="s">
        <v>2069</v>
      </c>
      <c r="G9" s="15">
        <v>177</v>
      </c>
      <c r="H9" s="15"/>
      <c r="I9" s="15"/>
      <c r="J9" s="15"/>
      <c r="K9" s="15"/>
      <c r="L9" s="15"/>
      <c r="M9" s="15"/>
      <c r="N9" s="15"/>
      <c r="O9" s="15"/>
    </row>
    <row r="10" spans="1:17" x14ac:dyDescent="0.2">
      <c r="A10" t="s">
        <v>1100</v>
      </c>
      <c r="B10" t="s">
        <v>2072</v>
      </c>
      <c r="E10" s="80"/>
      <c r="F10" t="s">
        <v>2090</v>
      </c>
      <c r="G10" s="15">
        <v>163</v>
      </c>
    </row>
    <row r="11" spans="1:17" x14ac:dyDescent="0.2">
      <c r="A11" t="s">
        <v>1102</v>
      </c>
      <c r="E11" s="80"/>
      <c r="F11" t="s">
        <v>2091</v>
      </c>
      <c r="G11" s="15">
        <v>158</v>
      </c>
      <c r="H11" s="15"/>
      <c r="I11" s="15"/>
      <c r="J11" s="17"/>
      <c r="K11" s="17"/>
      <c r="L11" s="17"/>
      <c r="M11" s="17"/>
      <c r="N11" s="17"/>
    </row>
    <row r="12" spans="1:17" x14ac:dyDescent="0.2">
      <c r="A12" t="s">
        <v>1104</v>
      </c>
      <c r="E12" s="80"/>
      <c r="F12" s="21" t="s">
        <v>2092</v>
      </c>
      <c r="G12" s="17">
        <v>141</v>
      </c>
      <c r="H12" s="17"/>
      <c r="I12" s="15"/>
      <c r="J12" s="15"/>
      <c r="K12" s="15"/>
      <c r="L12" s="15"/>
    </row>
    <row r="13" spans="1:17" x14ac:dyDescent="0.2">
      <c r="A13" t="s">
        <v>1108</v>
      </c>
      <c r="E13" s="80"/>
      <c r="F13" t="s">
        <v>2067</v>
      </c>
      <c r="G13" s="15">
        <v>120</v>
      </c>
    </row>
    <row r="14" spans="1:17" x14ac:dyDescent="0.2">
      <c r="A14" t="s">
        <v>1112</v>
      </c>
      <c r="E14" s="80"/>
      <c r="F14" t="s">
        <v>2093</v>
      </c>
      <c r="G14" s="15">
        <v>100</v>
      </c>
    </row>
    <row r="15" spans="1:17" x14ac:dyDescent="0.2">
      <c r="A15" t="s">
        <v>1114</v>
      </c>
      <c r="E15" s="80"/>
      <c r="F15" t="s">
        <v>2094</v>
      </c>
      <c r="G15" s="15">
        <v>92</v>
      </c>
    </row>
    <row r="16" spans="1:17" x14ac:dyDescent="0.2">
      <c r="A16" t="s">
        <v>1116</v>
      </c>
      <c r="E16" s="80"/>
      <c r="F16" t="s">
        <v>2095</v>
      </c>
      <c r="G16" s="15">
        <v>91</v>
      </c>
    </row>
    <row r="17" spans="1:11" x14ac:dyDescent="0.2">
      <c r="E17" s="80"/>
      <c r="F17" t="s">
        <v>2096</v>
      </c>
      <c r="G17" s="15">
        <v>83</v>
      </c>
    </row>
    <row r="18" spans="1:11" x14ac:dyDescent="0.2">
      <c r="A18" s="83" t="s">
        <v>1119</v>
      </c>
      <c r="B18" s="80"/>
      <c r="E18" s="80"/>
      <c r="F18" t="s">
        <v>2097</v>
      </c>
      <c r="G18" s="15">
        <v>81</v>
      </c>
    </row>
    <row r="19" spans="1:11" x14ac:dyDescent="0.2">
      <c r="A19" t="s">
        <v>1121</v>
      </c>
      <c r="E19" s="80"/>
      <c r="F19" t="s">
        <v>2098</v>
      </c>
      <c r="G19" s="15">
        <v>79</v>
      </c>
    </row>
    <row r="20" spans="1:11" x14ac:dyDescent="0.2">
      <c r="E20" s="80"/>
      <c r="F20" s="15" t="s">
        <v>2099</v>
      </c>
      <c r="G20" s="15">
        <v>65</v>
      </c>
      <c r="H20" s="15"/>
    </row>
    <row r="21" spans="1:11" x14ac:dyDescent="0.2">
      <c r="A21" s="81" t="s">
        <v>1125</v>
      </c>
      <c r="B21" s="80"/>
      <c r="E21" s="80"/>
      <c r="F21" s="15" t="s">
        <v>2100</v>
      </c>
      <c r="G21" s="15">
        <v>57</v>
      </c>
      <c r="H21" s="15"/>
    </row>
    <row r="22" spans="1:11" x14ac:dyDescent="0.2">
      <c r="A22" t="s">
        <v>1135</v>
      </c>
      <c r="B22" t="s">
        <v>2101</v>
      </c>
      <c r="E22" s="80"/>
      <c r="F22" s="15" t="s">
        <v>2102</v>
      </c>
      <c r="G22" s="15">
        <v>29</v>
      </c>
      <c r="H22" s="15"/>
    </row>
    <row r="23" spans="1:11" x14ac:dyDescent="0.2">
      <c r="E23" s="80"/>
      <c r="F23" s="15" t="s">
        <v>1015</v>
      </c>
      <c r="G23" s="15">
        <v>67</v>
      </c>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C00-000000000000}">
      <formula1>"Line,Clustered Bar,Stacked Bar,Bar,Horizontal Stacked Bar"</formula1>
    </dataValidation>
    <dataValidation type="list" allowBlank="1" showInputMessage="1" showErrorMessage="1" sqref="B2" xr:uid="{00000000-0002-0000-CC00-000001000000}">
      <formula1>"Table,Figure,Both"</formula1>
    </dataValidation>
    <dataValidation type="list" allowBlank="1" showInputMessage="1" showErrorMessage="1" sqref="B6 B15:B16" xr:uid="{00000000-0002-0000-CC00-000002000000}">
      <formula1>"True,False"</formula1>
    </dataValidation>
  </dataValidations>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643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tbl-important-health-issues</v>
      </c>
    </row>
    <row r="4" spans="1:17" x14ac:dyDescent="0.2">
      <c r="A4" s="16" t="s">
        <v>7</v>
      </c>
      <c r="B4" t="str">
        <f>IF($B$1="","",_xlfn.XLOOKUP($B$1,Master!$F$2:$F$321,Master!$H$2:$H$321,""))</f>
        <v>fig-important-health-issues</v>
      </c>
      <c r="E4" s="8"/>
      <c r="F4" s="10" t="s">
        <v>1009</v>
      </c>
      <c r="G4" s="10" t="s">
        <v>968</v>
      </c>
      <c r="H4" s="10"/>
      <c r="I4" s="10"/>
      <c r="J4" s="10"/>
      <c r="K4" s="10"/>
      <c r="L4" s="10"/>
      <c r="M4" s="10"/>
      <c r="N4" s="10"/>
      <c r="O4" s="10"/>
      <c r="P4" s="10"/>
      <c r="Q4" s="10"/>
    </row>
    <row r="5" spans="1:17" x14ac:dyDescent="0.2">
      <c r="A5" s="83" t="s">
        <v>1081</v>
      </c>
      <c r="B5" s="80"/>
      <c r="E5" s="82" t="s">
        <v>1082</v>
      </c>
      <c r="F5" t="s">
        <v>2103</v>
      </c>
      <c r="G5" t="s">
        <v>1</v>
      </c>
    </row>
    <row r="6" spans="1:17" ht="15" customHeight="1" x14ac:dyDescent="0.2">
      <c r="A6" t="s">
        <v>1088</v>
      </c>
      <c r="B6" t="b">
        <v>0</v>
      </c>
      <c r="E6" s="80"/>
      <c r="F6" t="s">
        <v>2104</v>
      </c>
      <c r="G6" s="15">
        <v>258</v>
      </c>
      <c r="H6" s="15"/>
      <c r="I6" s="15"/>
      <c r="J6" s="15"/>
      <c r="K6" s="15"/>
      <c r="L6" s="15"/>
      <c r="M6" s="15"/>
      <c r="N6" s="15"/>
      <c r="O6" s="15"/>
    </row>
    <row r="7" spans="1:17" ht="15.75" customHeight="1" x14ac:dyDescent="0.2">
      <c r="E7" s="80"/>
      <c r="F7" t="s">
        <v>2105</v>
      </c>
      <c r="G7" s="15">
        <v>243</v>
      </c>
      <c r="H7" s="15"/>
      <c r="I7" s="15"/>
      <c r="J7" s="15"/>
      <c r="K7" s="15"/>
      <c r="L7" s="15"/>
      <c r="M7" s="15"/>
      <c r="N7" s="15"/>
      <c r="O7" s="15"/>
    </row>
    <row r="8" spans="1:17" x14ac:dyDescent="0.2">
      <c r="E8" s="80"/>
      <c r="F8" t="s">
        <v>2106</v>
      </c>
      <c r="G8" s="15">
        <v>204</v>
      </c>
      <c r="H8" s="15"/>
      <c r="I8" s="15"/>
      <c r="J8" s="15"/>
      <c r="K8" s="15"/>
      <c r="L8" s="15"/>
      <c r="M8" s="15"/>
      <c r="N8" s="15"/>
      <c r="O8" s="15"/>
    </row>
    <row r="9" spans="1:17" x14ac:dyDescent="0.2">
      <c r="A9" s="83" t="s">
        <v>1098</v>
      </c>
      <c r="B9" s="80"/>
      <c r="E9" s="80"/>
      <c r="F9" t="s">
        <v>2107</v>
      </c>
      <c r="G9" s="15">
        <v>173</v>
      </c>
      <c r="H9" s="15"/>
      <c r="I9" s="15"/>
      <c r="J9" s="15"/>
      <c r="K9" s="15"/>
      <c r="L9" s="15"/>
      <c r="M9" s="15"/>
      <c r="N9" s="15"/>
      <c r="O9" s="15"/>
    </row>
    <row r="10" spans="1:17" x14ac:dyDescent="0.2">
      <c r="A10" t="s">
        <v>1100</v>
      </c>
      <c r="B10" t="s">
        <v>2072</v>
      </c>
      <c r="E10" s="80"/>
      <c r="F10" t="s">
        <v>2108</v>
      </c>
      <c r="G10" s="15">
        <v>166</v>
      </c>
    </row>
    <row r="11" spans="1:17" x14ac:dyDescent="0.2">
      <c r="A11" t="s">
        <v>1102</v>
      </c>
      <c r="E11" s="80"/>
      <c r="F11" t="s">
        <v>2109</v>
      </c>
      <c r="G11" s="15">
        <v>127</v>
      </c>
      <c r="H11" s="15"/>
      <c r="I11" s="15"/>
      <c r="J11" s="17"/>
      <c r="K11" s="17"/>
      <c r="L11" s="17"/>
      <c r="M11" s="17"/>
      <c r="N11" s="17"/>
    </row>
    <row r="12" spans="1:17" x14ac:dyDescent="0.2">
      <c r="A12" t="s">
        <v>1104</v>
      </c>
      <c r="E12" s="80"/>
      <c r="F12" s="21" t="s">
        <v>1315</v>
      </c>
      <c r="G12" s="17">
        <v>116</v>
      </c>
      <c r="H12" s="17"/>
      <c r="I12" s="15"/>
      <c r="J12" s="15"/>
      <c r="K12" s="15"/>
      <c r="L12" s="15"/>
    </row>
    <row r="13" spans="1:17" x14ac:dyDescent="0.2">
      <c r="A13" t="s">
        <v>1108</v>
      </c>
      <c r="E13" s="80"/>
      <c r="F13" t="s">
        <v>2110</v>
      </c>
      <c r="G13">
        <v>101</v>
      </c>
    </row>
    <row r="14" spans="1:17" x14ac:dyDescent="0.2">
      <c r="A14" t="s">
        <v>1112</v>
      </c>
      <c r="E14" s="80"/>
      <c r="F14" t="s">
        <v>2111</v>
      </c>
      <c r="G14">
        <v>100</v>
      </c>
    </row>
    <row r="15" spans="1:17" x14ac:dyDescent="0.2">
      <c r="A15" t="s">
        <v>1114</v>
      </c>
      <c r="B15" t="b">
        <v>1</v>
      </c>
      <c r="E15" s="80"/>
      <c r="F15" t="s">
        <v>2112</v>
      </c>
      <c r="G15">
        <v>85</v>
      </c>
    </row>
    <row r="16" spans="1:17" x14ac:dyDescent="0.2">
      <c r="A16" t="s">
        <v>1116</v>
      </c>
      <c r="B16" t="b">
        <v>1</v>
      </c>
      <c r="E16" s="80"/>
      <c r="F16" t="s">
        <v>2113</v>
      </c>
      <c r="G16">
        <v>83</v>
      </c>
    </row>
    <row r="17" spans="1:11" x14ac:dyDescent="0.2">
      <c r="E17" s="80"/>
      <c r="F17" t="s">
        <v>2114</v>
      </c>
      <c r="G17">
        <v>80</v>
      </c>
    </row>
    <row r="18" spans="1:11" x14ac:dyDescent="0.2">
      <c r="A18" s="83" t="s">
        <v>1119</v>
      </c>
      <c r="B18" s="80"/>
      <c r="E18" s="80"/>
      <c r="F18" t="s">
        <v>2115</v>
      </c>
      <c r="G18">
        <v>78</v>
      </c>
    </row>
    <row r="19" spans="1:11" x14ac:dyDescent="0.2">
      <c r="A19" t="s">
        <v>1121</v>
      </c>
      <c r="E19" s="80"/>
      <c r="F19" t="s">
        <v>2116</v>
      </c>
      <c r="G19">
        <v>71</v>
      </c>
    </row>
    <row r="20" spans="1:11" x14ac:dyDescent="0.2">
      <c r="E20" s="80"/>
      <c r="F20" s="15" t="s">
        <v>2117</v>
      </c>
      <c r="G20" s="15">
        <v>62</v>
      </c>
      <c r="H20" s="15"/>
    </row>
    <row r="21" spans="1:11" x14ac:dyDescent="0.2">
      <c r="A21" s="81" t="s">
        <v>1125</v>
      </c>
      <c r="B21" s="80"/>
      <c r="E21" s="80"/>
      <c r="F21" s="15" t="s">
        <v>1331</v>
      </c>
      <c r="G21" s="15">
        <v>62</v>
      </c>
      <c r="H21" s="15"/>
    </row>
    <row r="22" spans="1:11" x14ac:dyDescent="0.2">
      <c r="A22" t="s">
        <v>1135</v>
      </c>
      <c r="B22" t="s">
        <v>2118</v>
      </c>
      <c r="E22" s="80"/>
      <c r="F22" s="15" t="s">
        <v>2119</v>
      </c>
      <c r="G22" s="15">
        <v>60</v>
      </c>
      <c r="H22" s="15"/>
    </row>
    <row r="23" spans="1:11" x14ac:dyDescent="0.2">
      <c r="E23" s="80"/>
      <c r="F23" s="15" t="s">
        <v>2120</v>
      </c>
      <c r="G23" s="15">
        <v>57</v>
      </c>
      <c r="H23" s="15"/>
    </row>
    <row r="24" spans="1:11" x14ac:dyDescent="0.2">
      <c r="E24" s="80"/>
      <c r="F24" t="s">
        <v>2121</v>
      </c>
      <c r="G24">
        <v>56</v>
      </c>
    </row>
    <row r="25" spans="1:11" x14ac:dyDescent="0.2">
      <c r="E25" s="80"/>
      <c r="F25" s="15" t="s">
        <v>1334</v>
      </c>
      <c r="G25" s="15">
        <v>45</v>
      </c>
      <c r="H25" s="15"/>
      <c r="K25" t="s">
        <v>1226</v>
      </c>
    </row>
    <row r="26" spans="1:11" x14ac:dyDescent="0.2">
      <c r="E26" s="80"/>
      <c r="F26" s="15" t="s">
        <v>2122</v>
      </c>
      <c r="G26" s="15">
        <v>41</v>
      </c>
      <c r="H26" s="15"/>
    </row>
    <row r="27" spans="1:11" x14ac:dyDescent="0.2">
      <c r="A27" s="81"/>
      <c r="B27" s="80"/>
      <c r="E27" s="80"/>
      <c r="F27" s="15" t="s">
        <v>2123</v>
      </c>
      <c r="G27" s="15">
        <v>36</v>
      </c>
      <c r="H27" s="15"/>
    </row>
    <row r="28" spans="1:11" x14ac:dyDescent="0.2">
      <c r="E28" s="80"/>
      <c r="F28" s="15" t="s">
        <v>2124</v>
      </c>
      <c r="G28" s="15">
        <v>22</v>
      </c>
      <c r="H28" s="15"/>
    </row>
    <row r="29" spans="1:11" x14ac:dyDescent="0.2">
      <c r="E29" s="80"/>
      <c r="F29" s="15" t="s">
        <v>2125</v>
      </c>
      <c r="G29" s="15">
        <v>19</v>
      </c>
      <c r="H29" s="15"/>
    </row>
    <row r="30" spans="1:11" x14ac:dyDescent="0.2">
      <c r="E30" s="80"/>
      <c r="F30" s="15" t="s">
        <v>2126</v>
      </c>
      <c r="G30" s="15">
        <v>13</v>
      </c>
      <c r="H30" s="15"/>
    </row>
    <row r="31" spans="1:11" x14ac:dyDescent="0.2">
      <c r="E31" s="80"/>
      <c r="F31" s="15" t="s">
        <v>2127</v>
      </c>
      <c r="G31" s="15">
        <v>9</v>
      </c>
      <c r="H31" s="15"/>
    </row>
    <row r="32" spans="1:11" x14ac:dyDescent="0.2">
      <c r="E32" s="80"/>
      <c r="F32" t="s">
        <v>2128</v>
      </c>
      <c r="G32">
        <v>7</v>
      </c>
    </row>
    <row r="33" spans="5:9" x14ac:dyDescent="0.2">
      <c r="E33" s="80"/>
      <c r="F33" s="15" t="s">
        <v>1015</v>
      </c>
      <c r="G33" s="15">
        <v>34</v>
      </c>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CD00-000000000000}">
      <formula1>"Line,Clustered Bar,Stacked Bar,Bar,Horizontal Stacked Bar"</formula1>
    </dataValidation>
    <dataValidation type="list" allowBlank="1" showInputMessage="1" showErrorMessage="1" sqref="B2" xr:uid="{00000000-0002-0000-CD00-000001000000}">
      <formula1>"Table,Figure,Both"</formula1>
    </dataValidation>
    <dataValidation type="list" allowBlank="1" showInputMessage="1" showErrorMessage="1" sqref="B6 B15:B16" xr:uid="{00000000-0002-0000-CD00-000002000000}">
      <formula1>"True,False"</formula1>
    </dataValidation>
  </dataValidations>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58.83203125" bestFit="1" customWidth="1"/>
    <col min="7" max="7" width="34.83203125" bestFit="1" customWidth="1"/>
    <col min="8"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646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tbl-important-health-issues-PA-area</v>
      </c>
    </row>
    <row r="4" spans="1:17" x14ac:dyDescent="0.2">
      <c r="A4" s="16" t="s">
        <v>7</v>
      </c>
      <c r="B4" t="str">
        <f>IF($B$1="","",_xlfn.XLOOKUP($B$1,Master!$F$2:$F$321,Master!$H$2:$H$321,""))</f>
        <v>fig-important-health-issues-PA-area</v>
      </c>
      <c r="E4" s="8"/>
      <c r="F4" s="10" t="s">
        <v>1009</v>
      </c>
      <c r="G4" s="10" t="s">
        <v>979</v>
      </c>
      <c r="H4" s="10" t="s">
        <v>979</v>
      </c>
      <c r="I4" s="10"/>
      <c r="J4" s="10"/>
      <c r="K4" s="10"/>
      <c r="L4" s="10"/>
      <c r="M4" s="10"/>
      <c r="N4" s="10"/>
      <c r="O4" s="10"/>
      <c r="P4" s="10"/>
      <c r="Q4" s="10"/>
    </row>
    <row r="5" spans="1:17" x14ac:dyDescent="0.2">
      <c r="A5" s="83" t="s">
        <v>1081</v>
      </c>
      <c r="B5" s="80"/>
      <c r="E5" s="82" t="s">
        <v>1082</v>
      </c>
      <c r="F5" t="s">
        <v>2103</v>
      </c>
      <c r="G5" t="s">
        <v>2129</v>
      </c>
      <c r="H5" t="s">
        <v>1</v>
      </c>
    </row>
    <row r="6" spans="1:17" ht="15" customHeight="1" x14ac:dyDescent="0.2">
      <c r="A6" t="s">
        <v>1088</v>
      </c>
      <c r="B6" t="b">
        <v>0</v>
      </c>
      <c r="E6" s="80"/>
      <c r="F6" s="15" t="s">
        <v>2107</v>
      </c>
      <c r="G6" s="15" t="s">
        <v>2130</v>
      </c>
      <c r="H6" s="15">
        <v>173</v>
      </c>
      <c r="I6" s="15"/>
      <c r="J6" s="15"/>
      <c r="K6" s="15"/>
      <c r="L6" s="15"/>
      <c r="M6" s="15"/>
      <c r="N6" s="15"/>
      <c r="O6" s="15"/>
    </row>
    <row r="7" spans="1:17" ht="15.75" customHeight="1" x14ac:dyDescent="0.2">
      <c r="E7" s="80"/>
      <c r="F7" s="15" t="s">
        <v>2108</v>
      </c>
      <c r="G7" s="15" t="s">
        <v>2130</v>
      </c>
      <c r="H7" s="15">
        <v>166</v>
      </c>
      <c r="I7" s="15"/>
      <c r="J7" s="15"/>
      <c r="K7" s="15"/>
      <c r="L7" s="15"/>
      <c r="M7" s="15"/>
      <c r="N7" s="15"/>
      <c r="O7" s="15"/>
    </row>
    <row r="8" spans="1:17" x14ac:dyDescent="0.2">
      <c r="E8" s="80"/>
      <c r="F8" s="15" t="s">
        <v>2121</v>
      </c>
      <c r="G8" s="15" t="s">
        <v>2130</v>
      </c>
      <c r="H8" s="15">
        <v>56</v>
      </c>
      <c r="I8" s="15"/>
      <c r="J8" s="15"/>
      <c r="K8" s="15"/>
      <c r="L8" s="15"/>
      <c r="M8" s="15"/>
      <c r="N8" s="15"/>
      <c r="O8" s="15"/>
    </row>
    <row r="9" spans="1:17" x14ac:dyDescent="0.2">
      <c r="A9" s="83" t="s">
        <v>1098</v>
      </c>
      <c r="B9" s="80"/>
      <c r="E9" s="80"/>
      <c r="F9" s="15" t="s">
        <v>2104</v>
      </c>
      <c r="G9" s="15" t="s">
        <v>2131</v>
      </c>
      <c r="H9" s="15">
        <v>258</v>
      </c>
      <c r="I9" s="15"/>
      <c r="J9" s="15"/>
      <c r="K9" s="15"/>
      <c r="L9" s="15"/>
      <c r="M9" s="15"/>
      <c r="N9" s="15"/>
      <c r="O9" s="15"/>
    </row>
    <row r="10" spans="1:17" x14ac:dyDescent="0.2">
      <c r="A10" t="s">
        <v>1100</v>
      </c>
      <c r="B10" t="s">
        <v>2132</v>
      </c>
      <c r="E10" s="80"/>
      <c r="F10" s="15" t="s">
        <v>2105</v>
      </c>
      <c r="G10" s="15" t="s">
        <v>2131</v>
      </c>
      <c r="H10" s="15">
        <v>243</v>
      </c>
    </row>
    <row r="11" spans="1:17" x14ac:dyDescent="0.2">
      <c r="A11" t="s">
        <v>1102</v>
      </c>
      <c r="B11" t="s">
        <v>2103</v>
      </c>
      <c r="E11" s="80"/>
      <c r="F11" s="15" t="s">
        <v>2109</v>
      </c>
      <c r="G11" s="15" t="s">
        <v>2131</v>
      </c>
      <c r="H11" s="15">
        <v>127</v>
      </c>
      <c r="I11" s="15"/>
      <c r="J11" s="17"/>
      <c r="K11" s="17"/>
      <c r="L11" s="17"/>
      <c r="M11" s="17"/>
      <c r="N11" s="17"/>
    </row>
    <row r="12" spans="1:17" x14ac:dyDescent="0.2">
      <c r="A12" t="s">
        <v>1104</v>
      </c>
      <c r="B12" t="s">
        <v>1</v>
      </c>
      <c r="E12" s="80"/>
      <c r="F12" s="17" t="s">
        <v>2133</v>
      </c>
      <c r="G12" s="17" t="s">
        <v>2131</v>
      </c>
      <c r="H12" s="17">
        <v>83</v>
      </c>
      <c r="I12" s="15"/>
      <c r="J12" s="15"/>
      <c r="K12" s="15"/>
      <c r="L12" s="15"/>
    </row>
    <row r="13" spans="1:17" x14ac:dyDescent="0.2">
      <c r="A13" t="s">
        <v>1108</v>
      </c>
      <c r="B13" t="s">
        <v>2134</v>
      </c>
      <c r="E13" s="80"/>
      <c r="F13" s="15" t="s">
        <v>2119</v>
      </c>
      <c r="G13" s="15" t="s">
        <v>2131</v>
      </c>
      <c r="H13" s="15">
        <v>60</v>
      </c>
    </row>
    <row r="14" spans="1:17" x14ac:dyDescent="0.2">
      <c r="A14" t="s">
        <v>1112</v>
      </c>
      <c r="E14" s="80"/>
      <c r="F14" s="15" t="s">
        <v>1334</v>
      </c>
      <c r="G14" s="15" t="s">
        <v>2131</v>
      </c>
      <c r="H14" s="15">
        <v>45</v>
      </c>
    </row>
    <row r="15" spans="1:17" x14ac:dyDescent="0.2">
      <c r="A15" t="s">
        <v>1114</v>
      </c>
      <c r="B15" t="b">
        <v>1</v>
      </c>
      <c r="E15" s="80"/>
      <c r="F15" s="15" t="s">
        <v>2122</v>
      </c>
      <c r="G15" s="15" t="s">
        <v>2131</v>
      </c>
      <c r="H15" s="15">
        <v>41</v>
      </c>
    </row>
    <row r="16" spans="1:17" x14ac:dyDescent="0.2">
      <c r="A16" t="s">
        <v>1116</v>
      </c>
      <c r="B16" t="b">
        <v>0</v>
      </c>
      <c r="E16" s="80"/>
      <c r="F16" s="15" t="s">
        <v>2110</v>
      </c>
      <c r="G16" s="15" t="s">
        <v>2135</v>
      </c>
      <c r="H16" s="15">
        <v>101</v>
      </c>
    </row>
    <row r="17" spans="1:11" ht="17" customHeight="1" x14ac:dyDescent="0.2">
      <c r="A17" s="73" t="s">
        <v>2136</v>
      </c>
      <c r="B17" s="74" t="s">
        <v>2129</v>
      </c>
      <c r="E17" s="80"/>
      <c r="F17" s="15" t="s">
        <v>2115</v>
      </c>
      <c r="G17" s="15" t="s">
        <v>2135</v>
      </c>
      <c r="H17" s="15">
        <v>78</v>
      </c>
    </row>
    <row r="18" spans="1:11" ht="17" customHeight="1" x14ac:dyDescent="0.2">
      <c r="A18" s="73" t="s">
        <v>2137</v>
      </c>
      <c r="B18" s="74" t="b">
        <v>1</v>
      </c>
      <c r="E18" s="80"/>
      <c r="F18" s="15" t="s">
        <v>2116</v>
      </c>
      <c r="G18" s="15" t="s">
        <v>2135</v>
      </c>
      <c r="H18" s="15">
        <v>71</v>
      </c>
    </row>
    <row r="19" spans="1:11" ht="17" customHeight="1" x14ac:dyDescent="0.2">
      <c r="A19" s="73"/>
      <c r="B19" s="74"/>
      <c r="E19" s="80"/>
      <c r="F19" s="15" t="s">
        <v>1315</v>
      </c>
      <c r="G19" s="15" t="s">
        <v>2138</v>
      </c>
      <c r="H19" s="15">
        <v>116</v>
      </c>
    </row>
    <row r="20" spans="1:11" x14ac:dyDescent="0.2">
      <c r="A20" s="83" t="s">
        <v>1119</v>
      </c>
      <c r="B20" s="80"/>
      <c r="E20" s="80"/>
      <c r="F20" s="15" t="s">
        <v>2112</v>
      </c>
      <c r="G20" s="15" t="s">
        <v>2138</v>
      </c>
      <c r="H20" s="15">
        <v>85</v>
      </c>
    </row>
    <row r="21" spans="1:11" x14ac:dyDescent="0.2">
      <c r="A21" t="s">
        <v>1121</v>
      </c>
      <c r="E21" s="80"/>
      <c r="F21" s="15" t="s">
        <v>2117</v>
      </c>
      <c r="G21" s="15" t="s">
        <v>2138</v>
      </c>
      <c r="H21" s="15">
        <v>62</v>
      </c>
    </row>
    <row r="22" spans="1:11" x14ac:dyDescent="0.2">
      <c r="E22" s="80"/>
      <c r="F22" s="15" t="s">
        <v>1331</v>
      </c>
      <c r="G22" s="15" t="s">
        <v>2138</v>
      </c>
      <c r="H22" s="15">
        <v>62</v>
      </c>
    </row>
    <row r="23" spans="1:11" x14ac:dyDescent="0.2">
      <c r="A23" s="81" t="s">
        <v>1125</v>
      </c>
      <c r="B23" s="80"/>
      <c r="E23" s="80"/>
      <c r="F23" s="15" t="s">
        <v>2139</v>
      </c>
      <c r="G23" s="15" t="s">
        <v>2138</v>
      </c>
      <c r="H23" s="15">
        <v>57</v>
      </c>
    </row>
    <row r="24" spans="1:11" x14ac:dyDescent="0.2">
      <c r="A24" t="s">
        <v>1135</v>
      </c>
      <c r="E24" s="80"/>
      <c r="F24" s="15" t="s">
        <v>2124</v>
      </c>
      <c r="G24" s="15" t="s">
        <v>2138</v>
      </c>
      <c r="H24" s="15">
        <v>22</v>
      </c>
    </row>
    <row r="25" spans="1:11" x14ac:dyDescent="0.2">
      <c r="E25" s="80"/>
      <c r="F25" s="15" t="s">
        <v>2126</v>
      </c>
      <c r="G25" s="15" t="s">
        <v>2138</v>
      </c>
      <c r="H25" s="15">
        <v>13</v>
      </c>
      <c r="K25" t="s">
        <v>1226</v>
      </c>
    </row>
    <row r="26" spans="1:11" x14ac:dyDescent="0.2">
      <c r="E26" s="80"/>
      <c r="F26" s="15" t="s">
        <v>2106</v>
      </c>
      <c r="G26" s="15" t="s">
        <v>1015</v>
      </c>
      <c r="H26" s="15">
        <v>204</v>
      </c>
    </row>
    <row r="27" spans="1:11" x14ac:dyDescent="0.2">
      <c r="E27" s="80"/>
      <c r="F27" s="15" t="s">
        <v>2111</v>
      </c>
      <c r="G27" s="15" t="s">
        <v>1015</v>
      </c>
      <c r="H27" s="15">
        <v>100</v>
      </c>
    </row>
    <row r="28" spans="1:11" x14ac:dyDescent="0.2">
      <c r="E28" s="80"/>
      <c r="F28" s="15" t="s">
        <v>2114</v>
      </c>
      <c r="G28" s="15" t="s">
        <v>1015</v>
      </c>
      <c r="H28" s="15">
        <v>80</v>
      </c>
    </row>
    <row r="29" spans="1:11" x14ac:dyDescent="0.2">
      <c r="A29" s="81"/>
      <c r="B29" s="80"/>
      <c r="E29" s="80"/>
      <c r="F29" s="15" t="s">
        <v>2123</v>
      </c>
      <c r="G29" s="15" t="s">
        <v>1015</v>
      </c>
      <c r="H29" s="15">
        <v>36</v>
      </c>
    </row>
    <row r="30" spans="1:11" x14ac:dyDescent="0.2">
      <c r="E30" s="80"/>
      <c r="F30" s="15" t="s">
        <v>2125</v>
      </c>
      <c r="G30" s="15" t="s">
        <v>1015</v>
      </c>
      <c r="H30" s="15">
        <v>19</v>
      </c>
    </row>
    <row r="31" spans="1:11" x14ac:dyDescent="0.2">
      <c r="E31" s="80"/>
      <c r="F31" s="15" t="s">
        <v>2127</v>
      </c>
      <c r="G31" s="15" t="s">
        <v>1015</v>
      </c>
      <c r="H31" s="15">
        <v>9</v>
      </c>
    </row>
    <row r="32" spans="1:11" x14ac:dyDescent="0.2">
      <c r="E32" s="80"/>
      <c r="F32" s="15" t="s">
        <v>2128</v>
      </c>
      <c r="G32" s="15" t="s">
        <v>1015</v>
      </c>
      <c r="H32" s="15">
        <v>7</v>
      </c>
    </row>
    <row r="33" spans="1:9" ht="17" customHeight="1" x14ac:dyDescent="0.2">
      <c r="A33" s="73"/>
      <c r="B33" s="74"/>
      <c r="E33" s="80"/>
      <c r="F33" s="15"/>
      <c r="G33" s="15"/>
      <c r="H33" s="15"/>
    </row>
    <row r="34" spans="1:9" ht="17" customHeight="1" x14ac:dyDescent="0.2">
      <c r="A34" s="73"/>
      <c r="B34" s="74"/>
      <c r="E34" s="80"/>
      <c r="F34" s="15"/>
      <c r="G34" s="15"/>
      <c r="H34" s="15"/>
      <c r="I34" s="17"/>
    </row>
    <row r="35" spans="1:9" ht="17" customHeight="1" x14ac:dyDescent="0.2">
      <c r="A35" s="73"/>
      <c r="B35" s="74"/>
      <c r="E35" s="80"/>
      <c r="F35" s="15"/>
      <c r="G35" s="15"/>
      <c r="H35" s="15"/>
      <c r="I35" s="17"/>
    </row>
    <row r="36" spans="1:9" ht="17" customHeight="1" x14ac:dyDescent="0.2">
      <c r="A36" s="73"/>
      <c r="B36" s="74"/>
      <c r="E36" s="80"/>
      <c r="F36" s="15"/>
      <c r="G36" s="15"/>
      <c r="H36" s="15"/>
      <c r="I36" s="17"/>
    </row>
    <row r="37" spans="1:9" ht="17" customHeight="1" x14ac:dyDescent="0.2">
      <c r="A37" s="73"/>
      <c r="B37" s="74"/>
      <c r="E37" s="80"/>
      <c r="F37" s="15"/>
      <c r="G37" s="15"/>
      <c r="H37" s="15"/>
      <c r="I37" s="17"/>
    </row>
    <row r="38" spans="1:9" ht="17" customHeight="1" x14ac:dyDescent="0.2">
      <c r="A38" s="73"/>
      <c r="B38" s="74"/>
      <c r="E38" s="80"/>
    </row>
    <row r="39" spans="1:9" x14ac:dyDescent="0.2">
      <c r="E39" s="80"/>
    </row>
    <row r="40" spans="1:9" x14ac:dyDescent="0.2">
      <c r="E40" s="80"/>
    </row>
    <row r="41" spans="1:9" x14ac:dyDescent="0.2">
      <c r="E41" s="80"/>
    </row>
    <row r="42" spans="1:9" x14ac:dyDescent="0.2">
      <c r="E42" s="80"/>
    </row>
    <row r="43" spans="1:9" x14ac:dyDescent="0.2">
      <c r="E43" s="80"/>
    </row>
    <row r="44" spans="1:9" x14ac:dyDescent="0.2">
      <c r="E44" s="80"/>
    </row>
    <row r="45" spans="1:9" x14ac:dyDescent="0.2">
      <c r="E45" s="80"/>
    </row>
    <row r="46" spans="1:9" x14ac:dyDescent="0.2">
      <c r="E46" s="80"/>
    </row>
    <row r="47" spans="1:9" x14ac:dyDescent="0.2">
      <c r="E47" s="80"/>
    </row>
    <row r="48" spans="1: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0:B20"/>
    <mergeCell ref="A29:B29"/>
    <mergeCell ref="A5:B5"/>
    <mergeCell ref="A23:B23"/>
    <mergeCell ref="A9:B9"/>
    <mergeCell ref="E5:E57"/>
  </mergeCells>
  <dataValidations count="3">
    <dataValidation type="list" allowBlank="1" showInputMessage="1" showErrorMessage="1" sqref="B10" xr:uid="{00000000-0002-0000-CE00-000000000000}">
      <formula1>"Line,Clustered Bar,Stacked Bar,Bar,Horizontal Stacked Bar, Horizontal Clustered Bar"</formula1>
    </dataValidation>
    <dataValidation type="list" allowBlank="1" showInputMessage="1" showErrorMessage="1" sqref="B2" xr:uid="{00000000-0002-0000-CE00-000001000000}">
      <formula1>"Table,Figure,Both"</formula1>
    </dataValidation>
    <dataValidation type="list" allowBlank="1" showInputMessage="1" showErrorMessage="1" sqref="B6 B15:B16" xr:uid="{00000000-0002-0000-CE00-000002000000}">
      <formula1>"True,False"</formula1>
    </dataValidation>
  </dataValidations>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J23"/>
  <sheetViews>
    <sheetView workbookViewId="0"/>
  </sheetViews>
  <sheetFormatPr baseColWidth="10" defaultColWidth="8.83203125" defaultRowHeight="15" x14ac:dyDescent="0.2"/>
  <cols>
    <col min="1" max="1" width="22" customWidth="1"/>
    <col min="2" max="2" width="80" customWidth="1"/>
    <col min="6" max="6" width="70" customWidth="1"/>
    <col min="7" max="10" width="12" customWidth="1"/>
  </cols>
  <sheetData>
    <row r="1" spans="1:10" x14ac:dyDescent="0.2">
      <c r="A1" t="s">
        <v>1077</v>
      </c>
      <c r="B1" t="s">
        <v>649</v>
      </c>
    </row>
    <row r="2" spans="1:10" x14ac:dyDescent="0.2">
      <c r="A2" t="s">
        <v>1078</v>
      </c>
      <c r="B2" t="s">
        <v>1079</v>
      </c>
    </row>
    <row r="3" spans="1:10" x14ac:dyDescent="0.2">
      <c r="A3" t="s">
        <v>1080</v>
      </c>
      <c r="B3" t="str">
        <f>IF($B$1="","",_xlfn.XLOOKUP($B$1,Master!$F$2:$F$321,Master!$G$2:$G$321,""))</f>
        <v>tbl-cas-great-strength-community-longitude</v>
      </c>
    </row>
    <row r="4" spans="1:10" x14ac:dyDescent="0.2">
      <c r="A4" t="s">
        <v>7</v>
      </c>
      <c r="B4" t="str">
        <f>IF($B$1="","",_xlfn.XLOOKUP($B$1,Master!$F$2:$F$321,Master!$H$2:$H$321,""))</f>
        <v>fig-cas-great-strength-community-longitude</v>
      </c>
      <c r="F4" t="s">
        <v>1009</v>
      </c>
      <c r="G4" t="s">
        <v>979</v>
      </c>
      <c r="H4" t="s">
        <v>979</v>
      </c>
      <c r="I4" t="s">
        <v>979</v>
      </c>
      <c r="J4" t="s">
        <v>979</v>
      </c>
    </row>
    <row r="5" spans="1:10" x14ac:dyDescent="0.2">
      <c r="A5" t="s">
        <v>1081</v>
      </c>
      <c r="E5" t="s">
        <v>1082</v>
      </c>
      <c r="F5" t="s">
        <v>2140</v>
      </c>
      <c r="G5" t="s">
        <v>2141</v>
      </c>
      <c r="H5" t="s">
        <v>2142</v>
      </c>
      <c r="I5" t="s">
        <v>2143</v>
      </c>
      <c r="J5" t="s">
        <v>2144</v>
      </c>
    </row>
    <row r="6" spans="1:10" x14ac:dyDescent="0.2">
      <c r="A6" t="s">
        <v>1088</v>
      </c>
      <c r="B6" t="b">
        <v>0</v>
      </c>
      <c r="F6" t="s">
        <v>1015</v>
      </c>
      <c r="G6">
        <v>3.3</v>
      </c>
      <c r="H6">
        <v>1.2</v>
      </c>
      <c r="I6">
        <v>3.8</v>
      </c>
      <c r="J6">
        <v>1.2</v>
      </c>
    </row>
    <row r="7" spans="1:10" x14ac:dyDescent="0.2">
      <c r="F7" t="s">
        <v>2084</v>
      </c>
      <c r="G7">
        <v>3.3</v>
      </c>
      <c r="H7">
        <v>1.2</v>
      </c>
      <c r="I7">
        <v>2.7</v>
      </c>
      <c r="J7">
        <v>1</v>
      </c>
    </row>
    <row r="8" spans="1:10" x14ac:dyDescent="0.2">
      <c r="F8" t="s">
        <v>2083</v>
      </c>
      <c r="G8">
        <v>4.8</v>
      </c>
      <c r="H8">
        <v>1.4</v>
      </c>
      <c r="I8">
        <v>3.5</v>
      </c>
      <c r="J8">
        <v>1.1000000000000001</v>
      </c>
    </row>
    <row r="9" spans="1:10" x14ac:dyDescent="0.2">
      <c r="A9" t="s">
        <v>1098</v>
      </c>
      <c r="F9" t="s">
        <v>2082</v>
      </c>
      <c r="G9">
        <v>9.1999999999999993</v>
      </c>
      <c r="H9">
        <v>1.9</v>
      </c>
      <c r="I9">
        <v>5</v>
      </c>
      <c r="J9">
        <v>1.3</v>
      </c>
    </row>
    <row r="10" spans="1:10" x14ac:dyDescent="0.2">
      <c r="A10" t="s">
        <v>1100</v>
      </c>
      <c r="B10" t="s">
        <v>2145</v>
      </c>
      <c r="F10" t="s">
        <v>2081</v>
      </c>
      <c r="G10">
        <v>4.3</v>
      </c>
      <c r="H10">
        <v>1.3</v>
      </c>
      <c r="I10">
        <v>5.6</v>
      </c>
      <c r="J10">
        <v>1.4</v>
      </c>
    </row>
    <row r="11" spans="1:10" x14ac:dyDescent="0.2">
      <c r="A11" t="s">
        <v>1102</v>
      </c>
      <c r="B11" t="s">
        <v>2140</v>
      </c>
      <c r="F11" t="s">
        <v>2080</v>
      </c>
      <c r="G11">
        <v>6.3</v>
      </c>
      <c r="H11">
        <v>1.6</v>
      </c>
      <c r="I11">
        <v>6.3</v>
      </c>
      <c r="J11">
        <v>1.5</v>
      </c>
    </row>
    <row r="12" spans="1:10" x14ac:dyDescent="0.2">
      <c r="A12" t="s">
        <v>1104</v>
      </c>
      <c r="B12" t="s">
        <v>2146</v>
      </c>
      <c r="F12" t="s">
        <v>2079</v>
      </c>
      <c r="G12">
        <v>9.5</v>
      </c>
      <c r="H12">
        <v>1.9</v>
      </c>
      <c r="I12">
        <v>6.4</v>
      </c>
      <c r="J12">
        <v>1.5</v>
      </c>
    </row>
    <row r="13" spans="1:10" x14ac:dyDescent="0.2">
      <c r="A13" t="s">
        <v>1108</v>
      </c>
      <c r="F13" t="s">
        <v>2078</v>
      </c>
      <c r="G13">
        <v>8.8000000000000007</v>
      </c>
      <c r="H13">
        <v>1.8</v>
      </c>
      <c r="I13">
        <v>7</v>
      </c>
      <c r="J13">
        <v>1.5</v>
      </c>
    </row>
    <row r="14" spans="1:10" x14ac:dyDescent="0.2">
      <c r="A14" t="s">
        <v>1112</v>
      </c>
      <c r="B14" t="s">
        <v>990</v>
      </c>
      <c r="F14" t="s">
        <v>2077</v>
      </c>
      <c r="G14">
        <v>7.2</v>
      </c>
      <c r="H14">
        <v>1.7</v>
      </c>
      <c r="I14">
        <v>7.2</v>
      </c>
      <c r="J14">
        <v>1.6</v>
      </c>
    </row>
    <row r="15" spans="1:10" x14ac:dyDescent="0.2">
      <c r="A15" t="s">
        <v>1114</v>
      </c>
      <c r="B15" t="b">
        <v>1</v>
      </c>
      <c r="F15" t="s">
        <v>2076</v>
      </c>
      <c r="G15">
        <v>6.2</v>
      </c>
      <c r="H15">
        <v>1.6</v>
      </c>
      <c r="I15">
        <v>8.4</v>
      </c>
      <c r="J15">
        <v>1.7</v>
      </c>
    </row>
    <row r="16" spans="1:10" x14ac:dyDescent="0.2">
      <c r="A16" t="s">
        <v>1116</v>
      </c>
      <c r="B16" t="b">
        <v>0</v>
      </c>
      <c r="F16" t="s">
        <v>2075</v>
      </c>
      <c r="G16">
        <v>10.4</v>
      </c>
      <c r="H16">
        <v>2</v>
      </c>
      <c r="I16">
        <v>11.7</v>
      </c>
      <c r="J16">
        <v>1.9</v>
      </c>
    </row>
    <row r="17" spans="1:10" x14ac:dyDescent="0.2">
      <c r="F17" t="s">
        <v>2074</v>
      </c>
      <c r="G17">
        <v>16.3</v>
      </c>
      <c r="H17">
        <v>2.4</v>
      </c>
      <c r="I17">
        <v>13.5</v>
      </c>
      <c r="J17">
        <v>2.1</v>
      </c>
    </row>
    <row r="18" spans="1:10" x14ac:dyDescent="0.2">
      <c r="A18" t="s">
        <v>1119</v>
      </c>
      <c r="F18" t="s">
        <v>2073</v>
      </c>
      <c r="G18">
        <v>20.5</v>
      </c>
      <c r="H18">
        <v>2.6</v>
      </c>
      <c r="I18">
        <v>14.5</v>
      </c>
      <c r="J18">
        <v>2.1</v>
      </c>
    </row>
    <row r="19" spans="1:10" x14ac:dyDescent="0.2">
      <c r="A19" t="s">
        <v>1121</v>
      </c>
      <c r="F19" t="s">
        <v>2071</v>
      </c>
      <c r="G19">
        <v>16.2</v>
      </c>
      <c r="H19">
        <v>2.4</v>
      </c>
      <c r="I19">
        <v>15.4</v>
      </c>
      <c r="J19">
        <v>2.2000000000000002</v>
      </c>
    </row>
    <row r="20" spans="1:10" x14ac:dyDescent="0.2">
      <c r="F20" t="s">
        <v>2070</v>
      </c>
      <c r="G20">
        <v>36.200000000000003</v>
      </c>
      <c r="H20">
        <v>3.1</v>
      </c>
      <c r="I20">
        <v>23.5</v>
      </c>
      <c r="J20">
        <v>2.6</v>
      </c>
    </row>
    <row r="21" spans="1:10" x14ac:dyDescent="0.2">
      <c r="A21" t="s">
        <v>1125</v>
      </c>
      <c r="F21" t="s">
        <v>2069</v>
      </c>
      <c r="G21">
        <v>36.200000000000003</v>
      </c>
      <c r="H21">
        <v>3</v>
      </c>
      <c r="I21">
        <v>23.9</v>
      </c>
      <c r="J21">
        <v>2.6</v>
      </c>
    </row>
    <row r="22" spans="1:10" x14ac:dyDescent="0.2">
      <c r="A22" t="s">
        <v>1135</v>
      </c>
      <c r="B22" t="s">
        <v>2147</v>
      </c>
      <c r="F22" t="s">
        <v>2068</v>
      </c>
      <c r="G22">
        <v>35.299999999999997</v>
      </c>
      <c r="H22">
        <v>3.1</v>
      </c>
      <c r="I22">
        <v>28.6</v>
      </c>
      <c r="J22">
        <v>2.7</v>
      </c>
    </row>
    <row r="23" spans="1:10" x14ac:dyDescent="0.2">
      <c r="F23" t="s">
        <v>2067</v>
      </c>
      <c r="G23">
        <v>41.6</v>
      </c>
      <c r="H23">
        <v>3.2</v>
      </c>
      <c r="I23">
        <v>32.4</v>
      </c>
      <c r="J23">
        <v>2.8</v>
      </c>
    </row>
  </sheetData>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J23"/>
  <sheetViews>
    <sheetView workbookViewId="0"/>
  </sheetViews>
  <sheetFormatPr baseColWidth="10" defaultColWidth="8.83203125" defaultRowHeight="15" x14ac:dyDescent="0.2"/>
  <cols>
    <col min="1" max="1" width="22" customWidth="1"/>
    <col min="2" max="2" width="80" customWidth="1"/>
    <col min="6" max="6" width="70" customWidth="1"/>
    <col min="7" max="10" width="12" customWidth="1"/>
  </cols>
  <sheetData>
    <row r="1" spans="1:10" x14ac:dyDescent="0.2">
      <c r="A1" t="s">
        <v>1077</v>
      </c>
      <c r="B1" t="s">
        <v>652</v>
      </c>
    </row>
    <row r="2" spans="1:10" x14ac:dyDescent="0.2">
      <c r="A2" t="s">
        <v>1078</v>
      </c>
      <c r="B2" t="s">
        <v>1079</v>
      </c>
    </row>
    <row r="3" spans="1:10" x14ac:dyDescent="0.2">
      <c r="A3" t="s">
        <v>1080</v>
      </c>
      <c r="B3" t="str">
        <f>IF($B$1="","",_xlfn.XLOOKUP($B$1,Master!$F$2:$F$321,Master!$G$2:$G$321,""))</f>
        <v>tbl-cas-focus-resources-improve-life-longitude</v>
      </c>
    </row>
    <row r="4" spans="1:10" x14ac:dyDescent="0.2">
      <c r="A4" t="s">
        <v>7</v>
      </c>
      <c r="B4" t="str">
        <f>IF($B$1="","",_xlfn.XLOOKUP($B$1,Master!$F$2:$F$321,Master!$H$2:$H$321,""))</f>
        <v>fig-cas-focus-resources-improve-life-longitude</v>
      </c>
      <c r="F4" t="s">
        <v>1009</v>
      </c>
      <c r="G4" t="s">
        <v>979</v>
      </c>
      <c r="H4" t="s">
        <v>979</v>
      </c>
      <c r="I4" t="s">
        <v>979</v>
      </c>
      <c r="J4" t="s">
        <v>979</v>
      </c>
    </row>
    <row r="5" spans="1:10" x14ac:dyDescent="0.2">
      <c r="A5" t="s">
        <v>1081</v>
      </c>
      <c r="E5" t="s">
        <v>1082</v>
      </c>
      <c r="F5" t="s">
        <v>2086</v>
      </c>
      <c r="G5" t="s">
        <v>2141</v>
      </c>
      <c r="H5" t="s">
        <v>2142</v>
      </c>
      <c r="I5" t="s">
        <v>2143</v>
      </c>
      <c r="J5" t="s">
        <v>2144</v>
      </c>
    </row>
    <row r="6" spans="1:10" x14ac:dyDescent="0.2">
      <c r="A6" t="s">
        <v>1088</v>
      </c>
      <c r="B6" t="b">
        <v>0</v>
      </c>
      <c r="F6" t="s">
        <v>1015</v>
      </c>
      <c r="G6">
        <v>1.9</v>
      </c>
      <c r="H6">
        <v>0.9</v>
      </c>
      <c r="I6">
        <v>6.4</v>
      </c>
      <c r="J6">
        <v>1.5</v>
      </c>
    </row>
    <row r="7" spans="1:10" x14ac:dyDescent="0.2">
      <c r="F7" t="s">
        <v>2084</v>
      </c>
      <c r="G7">
        <v>4.4000000000000004</v>
      </c>
      <c r="H7">
        <v>1.3</v>
      </c>
      <c r="I7">
        <v>2.8</v>
      </c>
      <c r="J7">
        <v>1</v>
      </c>
    </row>
    <row r="8" spans="1:10" x14ac:dyDescent="0.2">
      <c r="F8" t="s">
        <v>2083</v>
      </c>
      <c r="G8">
        <v>11.4</v>
      </c>
      <c r="H8">
        <v>2</v>
      </c>
      <c r="I8">
        <v>5.4</v>
      </c>
      <c r="J8">
        <v>1.4</v>
      </c>
    </row>
    <row r="9" spans="1:10" x14ac:dyDescent="0.2">
      <c r="A9" t="s">
        <v>1098</v>
      </c>
      <c r="F9" t="s">
        <v>2082</v>
      </c>
      <c r="G9">
        <v>6.7</v>
      </c>
      <c r="H9">
        <v>1.6</v>
      </c>
      <c r="I9">
        <v>6.2</v>
      </c>
      <c r="J9">
        <v>1.5</v>
      </c>
    </row>
    <row r="10" spans="1:10" x14ac:dyDescent="0.2">
      <c r="A10" t="s">
        <v>1100</v>
      </c>
      <c r="B10" t="s">
        <v>2145</v>
      </c>
      <c r="F10" t="s">
        <v>2081</v>
      </c>
      <c r="G10">
        <v>11.5</v>
      </c>
      <c r="H10">
        <v>2</v>
      </c>
      <c r="I10">
        <v>7.5</v>
      </c>
      <c r="J10">
        <v>1.6</v>
      </c>
    </row>
    <row r="11" spans="1:10" x14ac:dyDescent="0.2">
      <c r="A11" t="s">
        <v>1102</v>
      </c>
      <c r="B11" t="s">
        <v>2086</v>
      </c>
      <c r="F11" t="s">
        <v>2080</v>
      </c>
      <c r="G11">
        <v>13.2</v>
      </c>
      <c r="H11">
        <v>2.2000000000000002</v>
      </c>
      <c r="I11">
        <v>7.7</v>
      </c>
      <c r="J11">
        <v>1.6</v>
      </c>
    </row>
    <row r="12" spans="1:10" x14ac:dyDescent="0.2">
      <c r="A12" t="s">
        <v>1104</v>
      </c>
      <c r="B12" t="s">
        <v>2146</v>
      </c>
      <c r="F12" t="s">
        <v>2079</v>
      </c>
      <c r="G12">
        <v>11.3</v>
      </c>
      <c r="H12">
        <v>2</v>
      </c>
      <c r="I12">
        <v>7.9</v>
      </c>
      <c r="J12">
        <v>1.6</v>
      </c>
    </row>
    <row r="13" spans="1:10" x14ac:dyDescent="0.2">
      <c r="A13" t="s">
        <v>1108</v>
      </c>
      <c r="F13" t="s">
        <v>2078</v>
      </c>
      <c r="G13">
        <v>12.6</v>
      </c>
      <c r="H13">
        <v>2.1</v>
      </c>
      <c r="I13">
        <v>8.6999999999999993</v>
      </c>
      <c r="J13">
        <v>1.7</v>
      </c>
    </row>
    <row r="14" spans="1:10" x14ac:dyDescent="0.2">
      <c r="A14" t="s">
        <v>1112</v>
      </c>
      <c r="B14" t="s">
        <v>990</v>
      </c>
      <c r="F14" t="s">
        <v>2077</v>
      </c>
      <c r="G14">
        <v>13.6</v>
      </c>
      <c r="H14">
        <v>2.2000000000000002</v>
      </c>
      <c r="I14">
        <v>8.8000000000000007</v>
      </c>
      <c r="J14">
        <v>1.7</v>
      </c>
    </row>
    <row r="15" spans="1:10" x14ac:dyDescent="0.2">
      <c r="A15" t="s">
        <v>1114</v>
      </c>
      <c r="B15" t="b">
        <v>1</v>
      </c>
      <c r="F15" t="s">
        <v>2076</v>
      </c>
      <c r="G15">
        <v>15.9</v>
      </c>
      <c r="H15">
        <v>2.2999999999999998</v>
      </c>
      <c r="I15">
        <v>9.5</v>
      </c>
      <c r="J15">
        <v>1.8</v>
      </c>
    </row>
    <row r="16" spans="1:10" x14ac:dyDescent="0.2">
      <c r="A16" t="s">
        <v>1116</v>
      </c>
      <c r="B16" t="b">
        <v>0</v>
      </c>
      <c r="F16" t="s">
        <v>2075</v>
      </c>
      <c r="G16">
        <v>10.5</v>
      </c>
      <c r="H16">
        <v>2</v>
      </c>
      <c r="I16">
        <v>11.4</v>
      </c>
      <c r="J16">
        <v>1.9</v>
      </c>
    </row>
    <row r="17" spans="1:10" x14ac:dyDescent="0.2">
      <c r="F17" t="s">
        <v>2074</v>
      </c>
      <c r="G17">
        <v>16.8</v>
      </c>
      <c r="H17">
        <v>2.4</v>
      </c>
      <c r="I17">
        <v>13.4</v>
      </c>
      <c r="J17">
        <v>2.1</v>
      </c>
    </row>
    <row r="18" spans="1:10" x14ac:dyDescent="0.2">
      <c r="A18" t="s">
        <v>1119</v>
      </c>
      <c r="F18" t="s">
        <v>2073</v>
      </c>
      <c r="G18">
        <v>17.5</v>
      </c>
      <c r="H18">
        <v>2.4</v>
      </c>
      <c r="I18">
        <v>15</v>
      </c>
      <c r="J18">
        <v>2.2000000000000002</v>
      </c>
    </row>
    <row r="19" spans="1:10" x14ac:dyDescent="0.2">
      <c r="A19" t="s">
        <v>1121</v>
      </c>
      <c r="F19" t="s">
        <v>2071</v>
      </c>
      <c r="G19">
        <v>22.7</v>
      </c>
      <c r="H19">
        <v>2.7</v>
      </c>
      <c r="I19">
        <v>15.5</v>
      </c>
      <c r="J19">
        <v>2.2000000000000002</v>
      </c>
    </row>
    <row r="20" spans="1:10" x14ac:dyDescent="0.2">
      <c r="F20" t="s">
        <v>2070</v>
      </c>
      <c r="G20">
        <v>16.100000000000001</v>
      </c>
      <c r="H20">
        <v>2.4</v>
      </c>
      <c r="I20">
        <v>16.8</v>
      </c>
      <c r="J20">
        <v>2.2999999999999998</v>
      </c>
    </row>
    <row r="21" spans="1:10" x14ac:dyDescent="0.2">
      <c r="A21" t="s">
        <v>1125</v>
      </c>
      <c r="F21" t="s">
        <v>2069</v>
      </c>
      <c r="G21">
        <v>25</v>
      </c>
      <c r="H21">
        <v>2.8</v>
      </c>
      <c r="I21">
        <v>19.7</v>
      </c>
      <c r="J21">
        <v>2.4</v>
      </c>
    </row>
    <row r="22" spans="1:10" x14ac:dyDescent="0.2">
      <c r="A22" t="s">
        <v>1135</v>
      </c>
      <c r="B22" t="s">
        <v>2148</v>
      </c>
      <c r="F22" t="s">
        <v>2068</v>
      </c>
      <c r="G22">
        <v>26.4</v>
      </c>
      <c r="H22">
        <v>2.8</v>
      </c>
      <c r="I22">
        <v>28.8</v>
      </c>
      <c r="J22">
        <v>2.7</v>
      </c>
    </row>
    <row r="23" spans="1:10" x14ac:dyDescent="0.2">
      <c r="F23" t="s">
        <v>2067</v>
      </c>
      <c r="G23">
        <v>36.299999999999997</v>
      </c>
      <c r="H23">
        <v>3.1</v>
      </c>
      <c r="I23">
        <v>34.299999999999997</v>
      </c>
      <c r="J23">
        <v>2.9</v>
      </c>
    </row>
  </sheetData>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J33"/>
  <sheetViews>
    <sheetView workbookViewId="0"/>
  </sheetViews>
  <sheetFormatPr baseColWidth="10" defaultColWidth="8.83203125" defaultRowHeight="15" x14ac:dyDescent="0.2"/>
  <cols>
    <col min="1" max="1" width="22" customWidth="1"/>
    <col min="2" max="2" width="80" customWidth="1"/>
    <col min="6" max="6" width="70" customWidth="1"/>
    <col min="7" max="10" width="12" customWidth="1"/>
  </cols>
  <sheetData>
    <row r="1" spans="1:10" x14ac:dyDescent="0.2">
      <c r="A1" t="s">
        <v>1077</v>
      </c>
      <c r="B1" t="s">
        <v>655</v>
      </c>
    </row>
    <row r="2" spans="1:10" x14ac:dyDescent="0.2">
      <c r="A2" t="s">
        <v>1078</v>
      </c>
      <c r="B2" t="s">
        <v>1079</v>
      </c>
    </row>
    <row r="3" spans="1:10" x14ac:dyDescent="0.2">
      <c r="A3" t="s">
        <v>1080</v>
      </c>
      <c r="B3" t="str">
        <f>IF($B$1="","",_xlfn.XLOOKUP($B$1,Master!$F$2:$F$321,Master!$G$2:$G$321,""))</f>
        <v>tbl-cas-important-health-issues-longitude</v>
      </c>
    </row>
    <row r="4" spans="1:10" x14ac:dyDescent="0.2">
      <c r="A4" t="s">
        <v>7</v>
      </c>
      <c r="B4" t="str">
        <f>IF($B$1="","",_xlfn.XLOOKUP($B$1,Master!$F$2:$F$321,Master!$H$2:$H$321,""))</f>
        <v>fig-cas-important-health-issues-longitude</v>
      </c>
      <c r="F4" t="s">
        <v>1009</v>
      </c>
      <c r="G4" t="s">
        <v>979</v>
      </c>
      <c r="H4" t="s">
        <v>979</v>
      </c>
      <c r="I4" t="s">
        <v>979</v>
      </c>
      <c r="J4" t="s">
        <v>979</v>
      </c>
    </row>
    <row r="5" spans="1:10" x14ac:dyDescent="0.2">
      <c r="A5" t="s">
        <v>1081</v>
      </c>
      <c r="E5" t="s">
        <v>1082</v>
      </c>
      <c r="F5" t="s">
        <v>2103</v>
      </c>
      <c r="G5" t="s">
        <v>2141</v>
      </c>
      <c r="H5" t="s">
        <v>2142</v>
      </c>
      <c r="I5" t="s">
        <v>2143</v>
      </c>
      <c r="J5" t="s">
        <v>2144</v>
      </c>
    </row>
    <row r="6" spans="1:10" x14ac:dyDescent="0.2">
      <c r="A6" t="s">
        <v>1088</v>
      </c>
      <c r="B6" t="b">
        <v>0</v>
      </c>
      <c r="F6" t="s">
        <v>1015</v>
      </c>
      <c r="G6">
        <v>2</v>
      </c>
      <c r="H6">
        <v>0.9</v>
      </c>
      <c r="I6">
        <v>3.2</v>
      </c>
      <c r="J6">
        <v>1.1000000000000001</v>
      </c>
    </row>
    <row r="7" spans="1:10" x14ac:dyDescent="0.2">
      <c r="F7" t="s">
        <v>2128</v>
      </c>
      <c r="G7">
        <v>1</v>
      </c>
      <c r="H7">
        <v>0.6</v>
      </c>
      <c r="I7">
        <v>0.7</v>
      </c>
      <c r="J7">
        <v>0.5</v>
      </c>
    </row>
    <row r="8" spans="1:10" x14ac:dyDescent="0.2">
      <c r="F8" t="s">
        <v>2127</v>
      </c>
      <c r="G8">
        <v>1.5</v>
      </c>
      <c r="H8">
        <v>0.8</v>
      </c>
      <c r="I8">
        <v>0.9</v>
      </c>
      <c r="J8">
        <v>0.6</v>
      </c>
    </row>
    <row r="9" spans="1:10" x14ac:dyDescent="0.2">
      <c r="A9" t="s">
        <v>1098</v>
      </c>
      <c r="F9" t="s">
        <v>2126</v>
      </c>
      <c r="G9">
        <v>1</v>
      </c>
      <c r="H9">
        <v>0.6</v>
      </c>
      <c r="I9">
        <v>1.2</v>
      </c>
      <c r="J9">
        <v>0.7</v>
      </c>
    </row>
    <row r="10" spans="1:10" x14ac:dyDescent="0.2">
      <c r="A10" t="s">
        <v>1100</v>
      </c>
      <c r="B10" t="s">
        <v>2145</v>
      </c>
      <c r="F10" t="s">
        <v>2125</v>
      </c>
      <c r="G10">
        <v>5.5</v>
      </c>
      <c r="H10">
        <v>1.5</v>
      </c>
      <c r="I10">
        <v>1.8</v>
      </c>
      <c r="J10">
        <v>0.8</v>
      </c>
    </row>
    <row r="11" spans="1:10" x14ac:dyDescent="0.2">
      <c r="A11" t="s">
        <v>1102</v>
      </c>
      <c r="B11" t="s">
        <v>2103</v>
      </c>
      <c r="F11" t="s">
        <v>2124</v>
      </c>
      <c r="G11">
        <v>2</v>
      </c>
      <c r="H11">
        <v>0.9</v>
      </c>
      <c r="I11">
        <v>2.1</v>
      </c>
      <c r="J11">
        <v>0.9</v>
      </c>
    </row>
    <row r="12" spans="1:10" x14ac:dyDescent="0.2">
      <c r="A12" t="s">
        <v>1104</v>
      </c>
      <c r="B12" t="s">
        <v>2146</v>
      </c>
      <c r="F12" t="s">
        <v>2123</v>
      </c>
      <c r="G12">
        <v>3.8</v>
      </c>
      <c r="H12">
        <v>1.2</v>
      </c>
      <c r="I12">
        <v>3.4</v>
      </c>
      <c r="J12">
        <v>1.1000000000000001</v>
      </c>
    </row>
    <row r="13" spans="1:10" x14ac:dyDescent="0.2">
      <c r="A13" t="s">
        <v>1108</v>
      </c>
      <c r="F13" t="s">
        <v>2122</v>
      </c>
      <c r="G13">
        <v>4.2</v>
      </c>
      <c r="H13">
        <v>1.3</v>
      </c>
      <c r="I13">
        <v>3.9</v>
      </c>
      <c r="J13">
        <v>1.2</v>
      </c>
    </row>
    <row r="14" spans="1:10" x14ac:dyDescent="0.2">
      <c r="A14" t="s">
        <v>1112</v>
      </c>
      <c r="B14" t="s">
        <v>990</v>
      </c>
      <c r="F14" t="s">
        <v>1334</v>
      </c>
      <c r="G14">
        <v>6.6</v>
      </c>
      <c r="H14">
        <v>1.6</v>
      </c>
      <c r="I14">
        <v>4.3</v>
      </c>
      <c r="J14">
        <v>1.2</v>
      </c>
    </row>
    <row r="15" spans="1:10" x14ac:dyDescent="0.2">
      <c r="A15" t="s">
        <v>1114</v>
      </c>
      <c r="B15" t="b">
        <v>1</v>
      </c>
      <c r="F15" t="s">
        <v>2121</v>
      </c>
      <c r="G15">
        <v>7</v>
      </c>
      <c r="H15">
        <v>1.6</v>
      </c>
      <c r="I15">
        <v>5.3</v>
      </c>
      <c r="J15">
        <v>1.4</v>
      </c>
    </row>
    <row r="16" spans="1:10" x14ac:dyDescent="0.2">
      <c r="A16" t="s">
        <v>1116</v>
      </c>
      <c r="B16" t="b">
        <v>0</v>
      </c>
      <c r="F16" t="s">
        <v>2120</v>
      </c>
      <c r="G16">
        <v>7</v>
      </c>
      <c r="H16">
        <v>1.6</v>
      </c>
      <c r="I16">
        <v>5.4</v>
      </c>
      <c r="J16">
        <v>1.4</v>
      </c>
    </row>
    <row r="17" spans="1:10" x14ac:dyDescent="0.2">
      <c r="F17" t="s">
        <v>2119</v>
      </c>
      <c r="G17">
        <v>7.7</v>
      </c>
      <c r="H17">
        <v>1.7</v>
      </c>
      <c r="I17">
        <v>5.7</v>
      </c>
      <c r="J17">
        <v>1.4</v>
      </c>
    </row>
    <row r="18" spans="1:10" x14ac:dyDescent="0.2">
      <c r="A18" t="s">
        <v>1119</v>
      </c>
      <c r="F18" t="s">
        <v>1331</v>
      </c>
      <c r="G18">
        <v>5.9</v>
      </c>
      <c r="H18">
        <v>1.5</v>
      </c>
      <c r="I18">
        <v>5.9</v>
      </c>
      <c r="J18">
        <v>1.4</v>
      </c>
    </row>
    <row r="19" spans="1:10" x14ac:dyDescent="0.2">
      <c r="A19" t="s">
        <v>1121</v>
      </c>
      <c r="F19" t="s">
        <v>2117</v>
      </c>
      <c r="G19">
        <v>7.8</v>
      </c>
      <c r="H19">
        <v>1.7</v>
      </c>
      <c r="I19">
        <v>5.9</v>
      </c>
      <c r="J19">
        <v>1.4</v>
      </c>
    </row>
    <row r="20" spans="1:10" x14ac:dyDescent="0.2">
      <c r="F20" t="s">
        <v>2116</v>
      </c>
      <c r="G20">
        <v>7.4</v>
      </c>
      <c r="H20">
        <v>1.7</v>
      </c>
      <c r="I20">
        <v>6.8</v>
      </c>
      <c r="J20">
        <v>1.5</v>
      </c>
    </row>
    <row r="21" spans="1:10" x14ac:dyDescent="0.2">
      <c r="A21" t="s">
        <v>1125</v>
      </c>
      <c r="F21" t="s">
        <v>2115</v>
      </c>
      <c r="G21">
        <v>8.5</v>
      </c>
      <c r="H21">
        <v>1.7</v>
      </c>
      <c r="I21">
        <v>7.4</v>
      </c>
      <c r="J21">
        <v>1.6</v>
      </c>
    </row>
    <row r="22" spans="1:10" x14ac:dyDescent="0.2">
      <c r="A22" t="s">
        <v>1135</v>
      </c>
      <c r="B22" t="s">
        <v>2149</v>
      </c>
      <c r="F22" t="s">
        <v>2114</v>
      </c>
      <c r="G22">
        <v>8.1</v>
      </c>
      <c r="H22">
        <v>1.7</v>
      </c>
      <c r="I22">
        <v>7.6</v>
      </c>
      <c r="J22">
        <v>1.6</v>
      </c>
    </row>
    <row r="23" spans="1:10" x14ac:dyDescent="0.2">
      <c r="F23" t="s">
        <v>2113</v>
      </c>
      <c r="G23">
        <v>8.5</v>
      </c>
      <c r="H23">
        <v>1.8</v>
      </c>
      <c r="I23">
        <v>7.9</v>
      </c>
      <c r="J23">
        <v>1.6</v>
      </c>
    </row>
    <row r="24" spans="1:10" x14ac:dyDescent="0.2">
      <c r="F24" t="s">
        <v>2112</v>
      </c>
      <c r="G24">
        <v>9.9</v>
      </c>
      <c r="H24">
        <v>1.9</v>
      </c>
      <c r="I24">
        <v>8.1</v>
      </c>
      <c r="J24">
        <v>1.6</v>
      </c>
    </row>
    <row r="25" spans="1:10" x14ac:dyDescent="0.2">
      <c r="F25" t="s">
        <v>2111</v>
      </c>
      <c r="G25">
        <v>11.8</v>
      </c>
      <c r="H25">
        <v>2.1</v>
      </c>
      <c r="I25">
        <v>9.5</v>
      </c>
      <c r="J25">
        <v>1.8</v>
      </c>
    </row>
    <row r="26" spans="1:10" x14ac:dyDescent="0.2">
      <c r="F26" t="s">
        <v>2110</v>
      </c>
      <c r="G26">
        <v>11.2</v>
      </c>
      <c r="H26">
        <v>2</v>
      </c>
      <c r="I26">
        <v>9.6</v>
      </c>
      <c r="J26">
        <v>1.8</v>
      </c>
    </row>
    <row r="27" spans="1:10" x14ac:dyDescent="0.2">
      <c r="F27" t="s">
        <v>1315</v>
      </c>
      <c r="G27">
        <v>9.3000000000000007</v>
      </c>
      <c r="H27">
        <v>1.9</v>
      </c>
      <c r="I27">
        <v>11</v>
      </c>
      <c r="J27">
        <v>1.9</v>
      </c>
    </row>
    <row r="28" spans="1:10" x14ac:dyDescent="0.2">
      <c r="F28" t="s">
        <v>2109</v>
      </c>
      <c r="G28">
        <v>14.5</v>
      </c>
      <c r="H28">
        <v>2.2999999999999998</v>
      </c>
      <c r="I28">
        <v>12.1</v>
      </c>
      <c r="J28">
        <v>2</v>
      </c>
    </row>
    <row r="29" spans="1:10" x14ac:dyDescent="0.2">
      <c r="F29" t="s">
        <v>2108</v>
      </c>
      <c r="G29">
        <v>17.8</v>
      </c>
      <c r="H29">
        <v>2.5</v>
      </c>
      <c r="I29">
        <v>15.8</v>
      </c>
      <c r="J29">
        <v>2.2000000000000002</v>
      </c>
    </row>
    <row r="30" spans="1:10" x14ac:dyDescent="0.2">
      <c r="F30" t="s">
        <v>2107</v>
      </c>
      <c r="G30">
        <v>10</v>
      </c>
      <c r="H30">
        <v>1.9</v>
      </c>
      <c r="I30">
        <v>16.5</v>
      </c>
      <c r="J30">
        <v>2.2000000000000002</v>
      </c>
    </row>
    <row r="31" spans="1:10" x14ac:dyDescent="0.2">
      <c r="F31" t="s">
        <v>2106</v>
      </c>
      <c r="G31">
        <v>21.2</v>
      </c>
      <c r="H31">
        <v>2.6</v>
      </c>
      <c r="I31">
        <v>19.399999999999999</v>
      </c>
      <c r="J31">
        <v>2.4</v>
      </c>
    </row>
    <row r="32" spans="1:10" x14ac:dyDescent="0.2">
      <c r="F32" t="s">
        <v>2105</v>
      </c>
      <c r="G32">
        <v>42.5</v>
      </c>
      <c r="H32">
        <v>3.2</v>
      </c>
      <c r="I32">
        <v>23.1</v>
      </c>
      <c r="J32">
        <v>2.5</v>
      </c>
    </row>
    <row r="33" spans="6:10" x14ac:dyDescent="0.2">
      <c r="F33" t="s">
        <v>2104</v>
      </c>
      <c r="G33">
        <v>34</v>
      </c>
      <c r="H33">
        <v>3</v>
      </c>
      <c r="I33">
        <v>24.5</v>
      </c>
      <c r="J33">
        <v>2.6</v>
      </c>
    </row>
  </sheetData>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658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tbl-health-problem-fix-first</v>
      </c>
    </row>
    <row r="4" spans="1:17" x14ac:dyDescent="0.2">
      <c r="A4" s="16" t="s">
        <v>7</v>
      </c>
      <c r="B4" t="str">
        <f>IF($B$1="","",_xlfn.XLOOKUP($B$1,Master!$F$2:$F$321,Master!$H$2:$H$321,""))</f>
        <v>fig-health-problem-fix-first</v>
      </c>
      <c r="E4" s="8"/>
      <c r="F4" s="10" t="s">
        <v>1009</v>
      </c>
      <c r="G4" s="10" t="s">
        <v>979</v>
      </c>
      <c r="H4" s="10"/>
      <c r="I4" s="10"/>
      <c r="J4" s="10"/>
      <c r="K4" s="10"/>
      <c r="L4" s="10"/>
      <c r="M4" s="10"/>
      <c r="N4" s="10"/>
      <c r="O4" s="10"/>
      <c r="P4" s="10"/>
      <c r="Q4" s="10"/>
    </row>
    <row r="5" spans="1:17" x14ac:dyDescent="0.2">
      <c r="A5" s="83" t="s">
        <v>1081</v>
      </c>
      <c r="B5" s="80"/>
      <c r="E5" s="82" t="s">
        <v>1082</v>
      </c>
      <c r="F5" t="s">
        <v>2150</v>
      </c>
      <c r="G5" t="s">
        <v>2151</v>
      </c>
    </row>
    <row r="6" spans="1:17" ht="15" customHeight="1" x14ac:dyDescent="0.2">
      <c r="A6" t="s">
        <v>1088</v>
      </c>
      <c r="B6" t="b">
        <v>0</v>
      </c>
      <c r="E6" s="80"/>
      <c r="F6" t="s">
        <v>2152</v>
      </c>
      <c r="G6" s="15">
        <v>26.9</v>
      </c>
      <c r="H6" s="15"/>
      <c r="I6" s="15"/>
      <c r="J6" s="15"/>
      <c r="K6" s="15"/>
      <c r="L6" s="15"/>
      <c r="M6" s="15"/>
      <c r="N6" s="15"/>
      <c r="O6" s="15"/>
    </row>
    <row r="7" spans="1:17" ht="15.75" customHeight="1" x14ac:dyDescent="0.2">
      <c r="E7" s="80"/>
      <c r="F7" t="s">
        <v>1315</v>
      </c>
      <c r="G7" s="15">
        <v>15.3</v>
      </c>
      <c r="H7" s="15"/>
      <c r="I7" s="15"/>
      <c r="J7" s="15"/>
      <c r="K7" s="15"/>
      <c r="L7" s="15"/>
      <c r="M7" s="15"/>
      <c r="N7" s="15"/>
      <c r="O7" s="15"/>
    </row>
    <row r="8" spans="1:17" x14ac:dyDescent="0.2">
      <c r="E8" s="80"/>
      <c r="F8" t="s">
        <v>2153</v>
      </c>
      <c r="G8" s="15">
        <v>9.4</v>
      </c>
      <c r="H8" s="15"/>
      <c r="I8" s="15"/>
      <c r="J8" s="15"/>
      <c r="K8" s="15"/>
      <c r="L8" s="15"/>
      <c r="M8" s="15"/>
      <c r="N8" s="15"/>
      <c r="O8" s="15"/>
    </row>
    <row r="9" spans="1:17" x14ac:dyDescent="0.2">
      <c r="A9" s="83" t="s">
        <v>1098</v>
      </c>
      <c r="B9" s="80"/>
      <c r="E9" s="80"/>
      <c r="F9" t="s">
        <v>2154</v>
      </c>
      <c r="G9" s="15">
        <v>40.1</v>
      </c>
      <c r="H9" s="15"/>
      <c r="I9" s="15"/>
      <c r="J9" s="15"/>
      <c r="K9" s="15"/>
      <c r="L9" s="15"/>
      <c r="M9" s="15"/>
      <c r="N9" s="15"/>
      <c r="O9" s="15"/>
    </row>
    <row r="10" spans="1:17" x14ac:dyDescent="0.2">
      <c r="A10" t="s">
        <v>1100</v>
      </c>
      <c r="B10" t="s">
        <v>1758</v>
      </c>
      <c r="E10" s="80"/>
      <c r="F10" t="s">
        <v>1334</v>
      </c>
      <c r="G10" s="15">
        <v>8.3000000000000007</v>
      </c>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B19" t="s">
        <v>2155</v>
      </c>
      <c r="E19" s="80"/>
    </row>
    <row r="20" spans="1:11" x14ac:dyDescent="0.2">
      <c r="E20" s="80"/>
      <c r="F20" s="15"/>
      <c r="G20" s="15"/>
      <c r="H20" s="15"/>
    </row>
    <row r="21" spans="1:11" x14ac:dyDescent="0.2">
      <c r="A21" s="81" t="s">
        <v>1125</v>
      </c>
      <c r="B21" s="80"/>
      <c r="E21" s="80"/>
      <c r="F21" s="15"/>
      <c r="G21" s="15"/>
      <c r="H21" s="15"/>
    </row>
    <row r="22" spans="1:11" x14ac:dyDescent="0.2">
      <c r="A22" t="s">
        <v>1135</v>
      </c>
      <c r="B22" t="s">
        <v>2156</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200-000000000000}">
      <formula1>"Line,Clustered Bar,Stacked Bar,Bar,Horizontal Stacked Bar"</formula1>
    </dataValidation>
    <dataValidation type="list" allowBlank="1" showInputMessage="1" showErrorMessage="1" sqref="B2" xr:uid="{00000000-0002-0000-D200-000001000000}">
      <formula1>"Table,Figure,Both"</formula1>
    </dataValidation>
    <dataValidation type="list" allowBlank="1" showInputMessage="1" showErrorMessage="1" sqref="B6 B15:B16" xr:uid="{00000000-0002-0000-D200-000002000000}">
      <formula1>"True,False"</formula1>
    </dataValidation>
  </dataValidations>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19.8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661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tbl-siena-demographic-break-down</v>
      </c>
    </row>
    <row r="4" spans="1:17" x14ac:dyDescent="0.2">
      <c r="A4" s="16" t="s">
        <v>7</v>
      </c>
      <c r="B4" t="str">
        <f>IF($B$1="","",_xlfn.XLOOKUP($B$1,Master!$F$2:$F$321,Master!$H$2:$H$321,""))</f>
        <v>fig-siena-demographic-break-down</v>
      </c>
      <c r="E4" s="8"/>
      <c r="F4" s="10" t="s">
        <v>1009</v>
      </c>
      <c r="G4" s="10" t="s">
        <v>968</v>
      </c>
      <c r="H4" s="10"/>
      <c r="I4" s="10"/>
      <c r="J4" s="10"/>
      <c r="K4" s="10"/>
      <c r="L4" s="10"/>
      <c r="M4" s="10"/>
      <c r="N4" s="10"/>
      <c r="O4" s="10"/>
      <c r="P4" s="10"/>
      <c r="Q4" s="10"/>
    </row>
    <row r="5" spans="1:17" x14ac:dyDescent="0.2">
      <c r="A5" s="83" t="s">
        <v>1081</v>
      </c>
      <c r="B5" s="80"/>
      <c r="E5" s="82" t="s">
        <v>1082</v>
      </c>
      <c r="F5" s="16" t="s">
        <v>2157</v>
      </c>
      <c r="G5" s="15">
        <v>900</v>
      </c>
    </row>
    <row r="6" spans="1:17" ht="15" customHeight="1" x14ac:dyDescent="0.2">
      <c r="A6" t="s">
        <v>1088</v>
      </c>
      <c r="B6" t="b">
        <v>0</v>
      </c>
      <c r="E6" s="80"/>
      <c r="F6" s="16" t="s">
        <v>1981</v>
      </c>
      <c r="G6" s="60" t="s">
        <v>1344</v>
      </c>
      <c r="I6" s="15"/>
      <c r="J6" s="15"/>
      <c r="K6" s="15"/>
      <c r="L6" s="15"/>
      <c r="M6" s="15"/>
      <c r="N6" s="15"/>
      <c r="O6" s="15"/>
    </row>
    <row r="7" spans="1:17" ht="15.75" customHeight="1" x14ac:dyDescent="0.2">
      <c r="E7" s="80"/>
      <c r="F7" s="47" t="s">
        <v>1305</v>
      </c>
      <c r="G7" s="15">
        <v>48</v>
      </c>
      <c r="I7" s="15"/>
      <c r="J7" s="63"/>
      <c r="K7" s="15"/>
      <c r="L7" s="15"/>
      <c r="M7" s="15"/>
      <c r="N7" s="15"/>
      <c r="O7" s="15"/>
    </row>
    <row r="8" spans="1:17" x14ac:dyDescent="0.2">
      <c r="E8" s="80"/>
      <c r="F8" s="47" t="s">
        <v>1095</v>
      </c>
      <c r="G8" s="15">
        <v>48</v>
      </c>
      <c r="I8" s="15"/>
      <c r="J8" s="63"/>
      <c r="K8" s="15"/>
      <c r="L8" s="15"/>
      <c r="M8" s="15"/>
      <c r="N8" s="15"/>
      <c r="O8" s="15"/>
    </row>
    <row r="9" spans="1:17" x14ac:dyDescent="0.2">
      <c r="A9" s="83" t="s">
        <v>1098</v>
      </c>
      <c r="B9" s="80"/>
      <c r="E9" s="80"/>
      <c r="F9" s="16" t="s">
        <v>1085</v>
      </c>
      <c r="G9" s="60" t="s">
        <v>1344</v>
      </c>
      <c r="I9" s="15"/>
      <c r="J9" s="60"/>
      <c r="K9" s="15"/>
      <c r="L9" s="15"/>
      <c r="M9" s="15"/>
      <c r="N9" s="15"/>
      <c r="O9" s="15"/>
    </row>
    <row r="10" spans="1:17" x14ac:dyDescent="0.2">
      <c r="A10" t="s">
        <v>1100</v>
      </c>
      <c r="E10" s="80"/>
      <c r="F10" s="47" t="s">
        <v>2158</v>
      </c>
      <c r="G10" s="15">
        <v>29</v>
      </c>
      <c r="J10" s="63"/>
    </row>
    <row r="11" spans="1:17" x14ac:dyDescent="0.2">
      <c r="A11" t="s">
        <v>1102</v>
      </c>
      <c r="E11" s="80"/>
      <c r="F11" s="47" t="s">
        <v>2159</v>
      </c>
      <c r="G11" s="15">
        <v>36</v>
      </c>
      <c r="I11" s="15"/>
      <c r="J11" s="63"/>
      <c r="K11" s="17"/>
      <c r="L11" s="17"/>
      <c r="M11" s="17"/>
      <c r="N11" s="17"/>
    </row>
    <row r="12" spans="1:17" x14ac:dyDescent="0.2">
      <c r="A12" t="s">
        <v>1104</v>
      </c>
      <c r="E12" s="80"/>
      <c r="F12" s="48" t="s">
        <v>2160</v>
      </c>
      <c r="G12" s="17">
        <v>33</v>
      </c>
      <c r="I12" s="15"/>
      <c r="J12" s="65"/>
      <c r="K12" s="15"/>
      <c r="L12" s="15"/>
    </row>
    <row r="13" spans="1:17" x14ac:dyDescent="0.2">
      <c r="A13" t="s">
        <v>1108</v>
      </c>
      <c r="E13" s="80"/>
      <c r="F13" s="16" t="s">
        <v>2161</v>
      </c>
      <c r="G13" s="60" t="s">
        <v>1344</v>
      </c>
      <c r="J13" s="60"/>
    </row>
    <row r="14" spans="1:17" x14ac:dyDescent="0.2">
      <c r="A14" t="s">
        <v>1112</v>
      </c>
      <c r="E14" s="80"/>
      <c r="F14" s="47" t="s">
        <v>1381</v>
      </c>
      <c r="G14" s="15">
        <v>64</v>
      </c>
      <c r="J14" s="63"/>
    </row>
    <row r="15" spans="1:17" x14ac:dyDescent="0.2">
      <c r="A15" t="s">
        <v>1114</v>
      </c>
      <c r="E15" s="80"/>
      <c r="F15" s="47" t="s">
        <v>2162</v>
      </c>
      <c r="G15" s="15">
        <v>20</v>
      </c>
      <c r="J15" s="63"/>
    </row>
    <row r="16" spans="1:17" x14ac:dyDescent="0.2">
      <c r="A16" t="s">
        <v>1116</v>
      </c>
      <c r="E16" s="80"/>
      <c r="F16" s="47" t="s">
        <v>2163</v>
      </c>
      <c r="G16" s="15">
        <v>11</v>
      </c>
      <c r="J16" s="63"/>
    </row>
    <row r="17" spans="1:11" x14ac:dyDescent="0.2">
      <c r="E17" s="80"/>
      <c r="F17" s="16" t="s">
        <v>2164</v>
      </c>
      <c r="G17" s="60" t="s">
        <v>1344</v>
      </c>
      <c r="J17" s="60"/>
    </row>
    <row r="18" spans="1:11" x14ac:dyDescent="0.2">
      <c r="A18" s="83" t="s">
        <v>1119</v>
      </c>
      <c r="B18" s="80"/>
      <c r="E18" s="80"/>
      <c r="F18" s="47" t="s">
        <v>2165</v>
      </c>
      <c r="G18" s="15">
        <v>10</v>
      </c>
      <c r="J18" s="63"/>
    </row>
    <row r="19" spans="1:11" x14ac:dyDescent="0.2">
      <c r="A19" t="s">
        <v>1121</v>
      </c>
      <c r="E19" s="80"/>
      <c r="F19" s="47" t="s">
        <v>2166</v>
      </c>
      <c r="G19" s="15">
        <v>18</v>
      </c>
      <c r="J19" s="63"/>
    </row>
    <row r="20" spans="1:11" x14ac:dyDescent="0.2">
      <c r="E20" s="80"/>
      <c r="F20" s="47" t="s">
        <v>2167</v>
      </c>
      <c r="G20" s="15">
        <v>25</v>
      </c>
      <c r="J20" s="63"/>
    </row>
    <row r="21" spans="1:11" x14ac:dyDescent="0.2">
      <c r="A21" s="81" t="s">
        <v>1125</v>
      </c>
      <c r="B21" s="80"/>
      <c r="E21" s="80"/>
      <c r="F21" s="47" t="s">
        <v>2168</v>
      </c>
      <c r="G21" s="15">
        <v>16</v>
      </c>
      <c r="J21" s="63"/>
    </row>
    <row r="22" spans="1:11" x14ac:dyDescent="0.2">
      <c r="A22" t="s">
        <v>1135</v>
      </c>
      <c r="E22" s="80"/>
      <c r="F22" s="47" t="s">
        <v>2169</v>
      </c>
      <c r="G22" s="15">
        <v>20</v>
      </c>
      <c r="J22" s="63"/>
    </row>
    <row r="23" spans="1:11" x14ac:dyDescent="0.2">
      <c r="E23" s="80"/>
    </row>
    <row r="24" spans="1:11" x14ac:dyDescent="0.2">
      <c r="E24" s="80"/>
    </row>
    <row r="25" spans="1:11" x14ac:dyDescent="0.2">
      <c r="E25" s="80"/>
      <c r="K25" t="s">
        <v>1226</v>
      </c>
    </row>
    <row r="26" spans="1:11" x14ac:dyDescent="0.2">
      <c r="E26" s="80"/>
    </row>
    <row r="27" spans="1:11" x14ac:dyDescent="0.2">
      <c r="A27" s="81"/>
      <c r="B27" s="80"/>
      <c r="E27" s="80"/>
    </row>
    <row r="28" spans="1:11" x14ac:dyDescent="0.2">
      <c r="E28" s="80"/>
    </row>
    <row r="29" spans="1:11" x14ac:dyDescent="0.2">
      <c r="E29" s="80"/>
    </row>
    <row r="30" spans="1:11" x14ac:dyDescent="0.2">
      <c r="E30" s="80"/>
      <c r="F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300-000000000000}">
      <formula1>"Line,Clustered Bar,Stacked Bar,Bar,Horizontal Stacked Bar"</formula1>
    </dataValidation>
    <dataValidation type="list" allowBlank="1" showInputMessage="1" showErrorMessage="1" sqref="B2" xr:uid="{00000000-0002-0000-D300-000001000000}">
      <formula1>"Table,Figure,Both"</formula1>
    </dataValidation>
    <dataValidation type="list" allowBlank="1" showInputMessage="1" showErrorMessage="1" sqref="B6 B15:B16" xr:uid="{00000000-0002-0000-D300-000002000000}">
      <formula1>"True,False"</formula1>
    </dataValidation>
  </dataValidations>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9.83203125" bestFit="1" customWidth="1"/>
    <col min="7" max="7" width="11"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664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tbl-siena-live-oc</v>
      </c>
    </row>
    <row r="4" spans="1:17" x14ac:dyDescent="0.2">
      <c r="A4" s="16" t="s">
        <v>7</v>
      </c>
      <c r="B4" t="str">
        <f>IF($B$1="","",_xlfn.XLOOKUP($B$1,Master!$F$2:$F$321,Master!$H$2:$H$321,""))</f>
        <v>fig-siena-live-oc</v>
      </c>
      <c r="E4" s="8"/>
      <c r="F4" s="10" t="s">
        <v>1009</v>
      </c>
      <c r="G4" s="10" t="s">
        <v>979</v>
      </c>
      <c r="H4" s="10"/>
      <c r="I4" s="10"/>
      <c r="J4" s="10"/>
      <c r="K4" s="10"/>
      <c r="L4" s="10"/>
      <c r="M4" s="10"/>
      <c r="N4" s="10"/>
      <c r="O4" s="10"/>
      <c r="P4" s="10"/>
      <c r="Q4" s="10"/>
    </row>
    <row r="5" spans="1:17" x14ac:dyDescent="0.2">
      <c r="A5" s="83" t="s">
        <v>1081</v>
      </c>
      <c r="B5" s="80"/>
      <c r="E5" s="82" t="s">
        <v>1082</v>
      </c>
      <c r="F5" t="s">
        <v>2170</v>
      </c>
      <c r="G5" t="s">
        <v>2151</v>
      </c>
    </row>
    <row r="6" spans="1:17" ht="15" customHeight="1" x14ac:dyDescent="0.2">
      <c r="A6" t="s">
        <v>1088</v>
      </c>
      <c r="B6" t="b">
        <v>0</v>
      </c>
      <c r="E6" s="80"/>
      <c r="F6" t="s">
        <v>2171</v>
      </c>
      <c r="G6" s="15">
        <v>1</v>
      </c>
      <c r="H6" s="15"/>
      <c r="I6" s="15"/>
      <c r="J6" s="15"/>
      <c r="K6" s="15"/>
      <c r="L6" s="15"/>
      <c r="M6" s="15"/>
      <c r="N6" s="15"/>
      <c r="O6" s="15"/>
    </row>
    <row r="7" spans="1:17" ht="15.75" customHeight="1" x14ac:dyDescent="0.2">
      <c r="E7" s="80"/>
      <c r="F7" t="s">
        <v>2172</v>
      </c>
      <c r="G7" s="15">
        <v>2</v>
      </c>
      <c r="H7" s="15"/>
      <c r="I7" s="15"/>
      <c r="J7" s="15"/>
      <c r="K7" s="15"/>
      <c r="L7" s="15"/>
      <c r="M7" s="15"/>
      <c r="N7" s="15"/>
      <c r="O7" s="15"/>
    </row>
    <row r="8" spans="1:17" x14ac:dyDescent="0.2">
      <c r="E8" s="80"/>
      <c r="F8" t="s">
        <v>2173</v>
      </c>
      <c r="G8" s="15">
        <v>8</v>
      </c>
      <c r="H8" s="15"/>
      <c r="I8" s="15"/>
      <c r="J8" s="15"/>
      <c r="K8" s="15"/>
      <c r="L8" s="15"/>
      <c r="M8" s="15"/>
      <c r="N8" s="15"/>
      <c r="O8" s="15"/>
    </row>
    <row r="9" spans="1:17" x14ac:dyDescent="0.2">
      <c r="A9" s="83" t="s">
        <v>1098</v>
      </c>
      <c r="B9" s="80"/>
      <c r="E9" s="80"/>
      <c r="F9" t="s">
        <v>2174</v>
      </c>
      <c r="G9" s="15">
        <v>89</v>
      </c>
      <c r="H9" s="15"/>
      <c r="I9" s="15"/>
      <c r="J9" s="15"/>
      <c r="K9" s="15"/>
      <c r="L9" s="15"/>
      <c r="M9" s="15"/>
      <c r="N9" s="15"/>
      <c r="O9" s="15"/>
    </row>
    <row r="10" spans="1:17" x14ac:dyDescent="0.2">
      <c r="A10" t="s">
        <v>1100</v>
      </c>
      <c r="B10" s="75" t="s">
        <v>2175</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0</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400-000000000000}">
      <formula1>"Line,Clustered Bar,Stacked Bar,Bar,Horizontal Stacked Bar,Pie"</formula1>
    </dataValidation>
    <dataValidation type="list" allowBlank="1" showInputMessage="1" showErrorMessage="1" sqref="B2" xr:uid="{00000000-0002-0000-D400-000001000000}">
      <formula1>"Table,Figure,Both"</formula1>
    </dataValidation>
    <dataValidation type="list" allowBlank="1" showInputMessage="1" showErrorMessage="1" sqref="B6 B15:B16" xr:uid="{00000000-0002-0000-D400-000002000000}">
      <formula1>"True,False"</formula1>
    </dataValidation>
  </dataValidations>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Q57"/>
  <sheetViews>
    <sheetView workbookViewId="0">
      <selection activeCell="R41" sqref="R4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667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tbl-siena-quality-life</v>
      </c>
    </row>
    <row r="4" spans="1:17" x14ac:dyDescent="0.2">
      <c r="A4" s="16" t="s">
        <v>7</v>
      </c>
      <c r="B4" t="str">
        <f>IF($B$1="","",_xlfn.XLOOKUP($B$1,Master!$F$2:$F$321,Master!$H$2:$H$321,""))</f>
        <v>fig-siena-quality-life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t="s">
        <v>2176</v>
      </c>
      <c r="H5" t="s">
        <v>2177</v>
      </c>
      <c r="I5" t="s">
        <v>2178</v>
      </c>
      <c r="J5" t="s">
        <v>2179</v>
      </c>
    </row>
    <row r="6" spans="1:17" ht="15" customHeight="1" x14ac:dyDescent="0.2">
      <c r="A6" t="s">
        <v>1088</v>
      </c>
      <c r="B6" t="b">
        <v>0</v>
      </c>
      <c r="E6" s="80"/>
      <c r="F6">
        <v>2024</v>
      </c>
      <c r="G6" s="15">
        <v>23</v>
      </c>
      <c r="H6" s="15">
        <v>39</v>
      </c>
      <c r="I6" s="15">
        <v>34</v>
      </c>
      <c r="J6" s="15">
        <v>4</v>
      </c>
      <c r="K6" s="15"/>
      <c r="L6" s="15"/>
      <c r="M6" s="15"/>
      <c r="N6" s="15"/>
      <c r="O6" s="15"/>
    </row>
    <row r="7" spans="1:17" ht="15.75" customHeight="1" x14ac:dyDescent="0.2">
      <c r="E7" s="80"/>
      <c r="F7">
        <v>2023</v>
      </c>
      <c r="G7" s="15">
        <v>25</v>
      </c>
      <c r="H7" s="15">
        <v>37</v>
      </c>
      <c r="I7" s="15">
        <v>31</v>
      </c>
      <c r="J7" s="15">
        <v>7</v>
      </c>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c r="H16" s="63"/>
      <c r="I16" s="63"/>
      <c r="J16" s="63"/>
      <c r="K16" s="63"/>
    </row>
    <row r="17" spans="1:11" x14ac:dyDescent="0.2">
      <c r="E17" s="80"/>
      <c r="H17" s="63"/>
      <c r="I17" s="63"/>
      <c r="J17" s="63"/>
      <c r="K17" s="63"/>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500-000000000000}">
      <formula1>"Line,Clustered Bar,Stacked Bar,Bar,Horizontal Stacked Bar"</formula1>
    </dataValidation>
    <dataValidation type="list" allowBlank="1" showInputMessage="1" showErrorMessage="1" sqref="B2" xr:uid="{00000000-0002-0000-D500-000001000000}">
      <formula1>"Table,Figure,Both"</formula1>
    </dataValidation>
    <dataValidation type="list" allowBlank="1" showInputMessage="1" showErrorMessage="1" sqref="B6 B15:B16" xr:uid="{00000000-0002-0000-D500-000002000000}">
      <formula1>"True,False"</formula1>
    </dataValidation>
  </dataValidations>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16.1640625" bestFit="1" customWidth="1"/>
    <col min="9" max="9" width="13.5" bestFit="1" customWidth="1"/>
    <col min="10" max="10" width="19.5"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670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tbl-siena-quality-life-income</v>
      </c>
    </row>
    <row r="4" spans="1:17" x14ac:dyDescent="0.2">
      <c r="A4" s="16" t="s">
        <v>7</v>
      </c>
      <c r="B4" t="str">
        <f>IF($B$1="","",_xlfn.XLOOKUP($B$1,Master!$F$2:$F$321,Master!$H$2:$H$321,""))</f>
        <v>fig-siena-quality-life-income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2176</v>
      </c>
      <c r="H5" t="s">
        <v>2177</v>
      </c>
      <c r="I5" t="s">
        <v>2178</v>
      </c>
      <c r="J5" t="s">
        <v>2179</v>
      </c>
    </row>
    <row r="6" spans="1:17" ht="15" customHeight="1" x14ac:dyDescent="0.2">
      <c r="A6" t="s">
        <v>1088</v>
      </c>
      <c r="B6" t="b">
        <v>0</v>
      </c>
      <c r="E6" s="80"/>
      <c r="F6" t="s">
        <v>2180</v>
      </c>
      <c r="G6" s="15">
        <v>22</v>
      </c>
      <c r="H6" s="15">
        <v>33</v>
      </c>
      <c r="I6" s="15">
        <v>39</v>
      </c>
      <c r="J6" s="15">
        <v>7</v>
      </c>
      <c r="K6" s="15"/>
      <c r="L6" s="15"/>
      <c r="M6" s="15"/>
      <c r="N6" s="15"/>
      <c r="O6" s="15"/>
    </row>
    <row r="7" spans="1:17" ht="15.75" customHeight="1" x14ac:dyDescent="0.2">
      <c r="E7" s="80"/>
      <c r="F7" t="s">
        <v>2166</v>
      </c>
      <c r="G7" s="15">
        <v>27</v>
      </c>
      <c r="H7" s="15">
        <v>31</v>
      </c>
      <c r="I7" s="15">
        <v>35</v>
      </c>
      <c r="J7" s="15">
        <v>7</v>
      </c>
      <c r="K7" s="15"/>
      <c r="L7" s="15"/>
      <c r="M7" s="15"/>
      <c r="N7" s="15"/>
      <c r="O7" s="15"/>
    </row>
    <row r="8" spans="1:17" x14ac:dyDescent="0.2">
      <c r="E8" s="80"/>
      <c r="F8" t="s">
        <v>2167</v>
      </c>
      <c r="G8" s="15">
        <v>22</v>
      </c>
      <c r="H8" s="15">
        <v>38</v>
      </c>
      <c r="I8" s="15">
        <v>36</v>
      </c>
      <c r="J8" s="15">
        <v>4</v>
      </c>
      <c r="K8" s="15"/>
      <c r="L8" s="15"/>
      <c r="M8" s="15"/>
      <c r="N8" s="15"/>
      <c r="O8" s="15"/>
    </row>
    <row r="9" spans="1:17" x14ac:dyDescent="0.2">
      <c r="A9" s="83" t="s">
        <v>1098</v>
      </c>
      <c r="B9" s="80"/>
      <c r="E9" s="80"/>
      <c r="F9" t="s">
        <v>2168</v>
      </c>
      <c r="G9" s="15">
        <v>18</v>
      </c>
      <c r="H9" s="15">
        <v>45</v>
      </c>
      <c r="I9" s="15">
        <v>34</v>
      </c>
      <c r="J9" s="15">
        <v>3</v>
      </c>
      <c r="K9" s="15"/>
      <c r="L9" s="15"/>
      <c r="M9" s="15"/>
      <c r="N9" s="15"/>
      <c r="O9" s="15"/>
    </row>
    <row r="10" spans="1:17" x14ac:dyDescent="0.2">
      <c r="A10" t="s">
        <v>1100</v>
      </c>
      <c r="B10" t="s">
        <v>1300</v>
      </c>
      <c r="E10" s="80"/>
      <c r="F10" t="s">
        <v>2169</v>
      </c>
      <c r="G10" s="15">
        <v>25</v>
      </c>
      <c r="H10" s="15">
        <v>42</v>
      </c>
      <c r="I10" s="15">
        <v>33</v>
      </c>
      <c r="J10" s="15">
        <v>1</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3"/>
      <c r="I17" s="63"/>
      <c r="J17" s="63"/>
    </row>
    <row r="18" spans="1:11" x14ac:dyDescent="0.2">
      <c r="A18" s="83" t="s">
        <v>1119</v>
      </c>
      <c r="B18" s="80"/>
      <c r="E18" s="80"/>
      <c r="G18" s="63"/>
      <c r="H18" s="63"/>
      <c r="I18" s="63"/>
      <c r="J18" s="63"/>
    </row>
    <row r="19" spans="1:11" x14ac:dyDescent="0.2">
      <c r="A19" t="s">
        <v>1121</v>
      </c>
      <c r="E19" s="80"/>
      <c r="G19" s="63"/>
      <c r="H19" s="63"/>
      <c r="I19" s="63"/>
      <c r="J19" s="63"/>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600-000000000000}">
      <formula1>"Line,Clustered Bar,Stacked Bar,Bar,Horizontal Stacked Bar"</formula1>
    </dataValidation>
    <dataValidation type="list" allowBlank="1" showInputMessage="1" showErrorMessage="1" sqref="B2" xr:uid="{00000000-0002-0000-D600-000001000000}">
      <formula1>"Table,Figure,Both"</formula1>
    </dataValidation>
    <dataValidation type="list" allowBlank="1" showInputMessage="1" showErrorMessage="1" sqref="B6 B15:B16" xr:uid="{00000000-0002-0000-D600-000002000000}">
      <formula1>"True,False"</formula1>
    </dataValidation>
  </dataValidations>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673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tbl-siena-info-bad-weather</v>
      </c>
    </row>
    <row r="4" spans="1:17" x14ac:dyDescent="0.2">
      <c r="A4" s="16" t="s">
        <v>7</v>
      </c>
      <c r="B4" t="str">
        <f>IF($B$1="","",_xlfn.XLOOKUP($B$1,Master!$F$2:$F$321,Master!$H$2:$H$321,""))</f>
        <v>fig-siena-info-bad-weather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2182</v>
      </c>
      <c r="H5" t="s">
        <v>2183</v>
      </c>
      <c r="I5" t="s">
        <v>2184</v>
      </c>
      <c r="J5" t="s">
        <v>2185</v>
      </c>
      <c r="K5" t="s">
        <v>2179</v>
      </c>
    </row>
    <row r="6" spans="1:17" ht="15" customHeight="1" x14ac:dyDescent="0.2">
      <c r="A6" t="s">
        <v>1088</v>
      </c>
      <c r="B6" t="b">
        <v>0</v>
      </c>
      <c r="E6" s="80"/>
      <c r="F6">
        <v>2024</v>
      </c>
      <c r="G6" s="15">
        <v>15</v>
      </c>
      <c r="H6" s="15">
        <v>42</v>
      </c>
      <c r="I6" s="15">
        <v>28</v>
      </c>
      <c r="J6" s="15">
        <v>8</v>
      </c>
      <c r="K6" s="15">
        <v>7</v>
      </c>
      <c r="L6" s="15"/>
      <c r="M6" s="15"/>
      <c r="N6" s="15"/>
      <c r="O6" s="15"/>
    </row>
    <row r="7" spans="1:17" ht="15.75" customHeight="1" x14ac:dyDescent="0.2">
      <c r="E7" s="80"/>
      <c r="F7">
        <v>2023</v>
      </c>
      <c r="G7" s="15">
        <v>18</v>
      </c>
      <c r="H7" s="15">
        <v>42</v>
      </c>
      <c r="I7" s="15">
        <v>23</v>
      </c>
      <c r="J7" s="15">
        <v>8</v>
      </c>
      <c r="K7" s="15">
        <v>8</v>
      </c>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63"/>
      <c r="H10" s="63"/>
      <c r="I10" s="63"/>
      <c r="J10" s="63"/>
      <c r="K10" s="63"/>
    </row>
    <row r="11" spans="1:17" x14ac:dyDescent="0.2">
      <c r="A11" t="s">
        <v>1102</v>
      </c>
      <c r="E11" s="80"/>
      <c r="G11" s="63"/>
      <c r="H11" s="63"/>
      <c r="I11" s="63"/>
      <c r="J11" s="63"/>
      <c r="K11" s="63"/>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700-000000000000}">
      <formula1>"Line,Clustered Bar,Stacked Bar,Bar,Horizontal Stacked Bar"</formula1>
    </dataValidation>
    <dataValidation type="list" allowBlank="1" showInputMessage="1" showErrorMessage="1" sqref="B2" xr:uid="{00000000-0002-0000-D700-000001000000}">
      <formula1>"Table,Figure,Both"</formula1>
    </dataValidation>
    <dataValidation type="list" allowBlank="1" showInputMessage="1" showErrorMessage="1" sqref="B6 B15:B16" xr:uid="{00000000-0002-0000-D700-000002000000}">
      <formula1>"True,False"</formula1>
    </dataValidation>
  </dataValidations>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676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tbl-siena-info-bad-weather-income</v>
      </c>
    </row>
    <row r="4" spans="1:17" x14ac:dyDescent="0.2">
      <c r="A4" s="16" t="s">
        <v>7</v>
      </c>
      <c r="B4" t="str">
        <f>IF($B$1="","",_xlfn.XLOOKUP($B$1,Master!$F$2:$F$321,Master!$H$2:$H$321,""))</f>
        <v>fig-siena-info-bad-weather-income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2182</v>
      </c>
      <c r="H5" t="s">
        <v>2183</v>
      </c>
      <c r="I5" t="s">
        <v>2184</v>
      </c>
      <c r="J5" t="s">
        <v>2185</v>
      </c>
      <c r="K5" t="s">
        <v>2179</v>
      </c>
    </row>
    <row r="6" spans="1:17" ht="15" customHeight="1" x14ac:dyDescent="0.2">
      <c r="A6" t="s">
        <v>1088</v>
      </c>
      <c r="B6" t="b">
        <v>0</v>
      </c>
      <c r="E6" s="80"/>
      <c r="F6" t="s">
        <v>2180</v>
      </c>
      <c r="G6" s="15">
        <v>10</v>
      </c>
      <c r="H6" s="15">
        <v>40</v>
      </c>
      <c r="I6" s="15">
        <v>38</v>
      </c>
      <c r="J6" s="15">
        <v>6</v>
      </c>
      <c r="K6" s="15">
        <v>6</v>
      </c>
      <c r="L6" s="15"/>
      <c r="M6" s="15"/>
      <c r="N6" s="15"/>
      <c r="O6" s="15"/>
    </row>
    <row r="7" spans="1:17" ht="15.75" customHeight="1" x14ac:dyDescent="0.2">
      <c r="E7" s="80"/>
      <c r="F7" t="s">
        <v>2166</v>
      </c>
      <c r="G7" s="15">
        <v>17</v>
      </c>
      <c r="H7" s="15">
        <v>43</v>
      </c>
      <c r="I7" s="15">
        <v>23</v>
      </c>
      <c r="J7" s="15">
        <v>9</v>
      </c>
      <c r="K7" s="15">
        <v>8</v>
      </c>
      <c r="L7" s="15"/>
      <c r="M7" s="15"/>
      <c r="N7" s="15"/>
      <c r="O7" s="15"/>
    </row>
    <row r="8" spans="1:17" x14ac:dyDescent="0.2">
      <c r="E8" s="80"/>
      <c r="F8" t="s">
        <v>2167</v>
      </c>
      <c r="G8" s="15">
        <v>13</v>
      </c>
      <c r="H8" s="15">
        <v>39</v>
      </c>
      <c r="I8" s="15">
        <v>33</v>
      </c>
      <c r="J8" s="15">
        <v>7</v>
      </c>
      <c r="K8" s="15">
        <v>8</v>
      </c>
      <c r="L8" s="15"/>
      <c r="M8" s="15"/>
      <c r="N8" s="15"/>
      <c r="O8" s="15"/>
    </row>
    <row r="9" spans="1:17" x14ac:dyDescent="0.2">
      <c r="A9" s="83" t="s">
        <v>1098</v>
      </c>
      <c r="B9" s="80"/>
      <c r="E9" s="80"/>
      <c r="F9" t="s">
        <v>2168</v>
      </c>
      <c r="G9" s="15">
        <v>13</v>
      </c>
      <c r="H9" s="15">
        <v>42</v>
      </c>
      <c r="I9" s="15">
        <v>27</v>
      </c>
      <c r="J9" s="15">
        <v>9</v>
      </c>
      <c r="K9" s="15">
        <v>10</v>
      </c>
      <c r="L9" s="15"/>
      <c r="M9" s="15"/>
      <c r="N9" s="15"/>
      <c r="O9" s="15"/>
    </row>
    <row r="10" spans="1:17" x14ac:dyDescent="0.2">
      <c r="A10" t="s">
        <v>1100</v>
      </c>
      <c r="B10" t="s">
        <v>1300</v>
      </c>
      <c r="E10" s="80"/>
      <c r="F10" t="s">
        <v>2169</v>
      </c>
      <c r="G10" s="15">
        <v>17</v>
      </c>
      <c r="H10" s="15">
        <v>51</v>
      </c>
      <c r="I10" s="15">
        <v>22</v>
      </c>
      <c r="J10" s="15">
        <v>6</v>
      </c>
      <c r="K10" s="15">
        <v>4</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63"/>
      <c r="H13" s="63"/>
      <c r="I13" s="63"/>
      <c r="J13" s="63"/>
      <c r="K13" s="63"/>
    </row>
    <row r="14" spans="1:17" x14ac:dyDescent="0.2">
      <c r="A14" t="s">
        <v>1112</v>
      </c>
      <c r="B14" t="s">
        <v>990</v>
      </c>
      <c r="E14" s="80"/>
      <c r="G14" s="63"/>
      <c r="H14" s="63"/>
      <c r="I14" s="63"/>
      <c r="J14" s="63"/>
      <c r="K14" s="63"/>
    </row>
    <row r="15" spans="1:17" x14ac:dyDescent="0.2">
      <c r="A15" t="s">
        <v>1114</v>
      </c>
      <c r="B15" t="b">
        <v>1</v>
      </c>
      <c r="E15" s="80"/>
      <c r="G15" s="63"/>
      <c r="H15" s="63"/>
      <c r="I15" s="63"/>
      <c r="J15" s="63"/>
      <c r="K15" s="63"/>
    </row>
    <row r="16" spans="1:17" x14ac:dyDescent="0.2">
      <c r="A16" t="s">
        <v>1116</v>
      </c>
      <c r="B16" t="b">
        <v>1</v>
      </c>
      <c r="E16" s="80"/>
      <c r="G16" s="63"/>
      <c r="H16" s="63"/>
      <c r="I16" s="63"/>
      <c r="J16" s="63"/>
      <c r="K16" s="63"/>
    </row>
    <row r="17" spans="1:11" x14ac:dyDescent="0.2">
      <c r="A17" s="76" t="s">
        <v>2137</v>
      </c>
      <c r="B17" t="b">
        <v>0</v>
      </c>
      <c r="E17" s="80"/>
      <c r="G17" s="63"/>
      <c r="H17" s="63"/>
      <c r="I17" s="63"/>
      <c r="J17" s="63"/>
      <c r="K17" s="63"/>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800-000000000000}">
      <formula1>"Line,Clustered Bar,Stacked Bar,Bar,Horizontal Stacked Bar"</formula1>
    </dataValidation>
    <dataValidation type="list" allowBlank="1" showInputMessage="1" showErrorMessage="1" sqref="B2" xr:uid="{00000000-0002-0000-D800-000001000000}">
      <formula1>"Table,Figure,Both"</formula1>
    </dataValidation>
    <dataValidation type="list" allowBlank="1" showInputMessage="1" showErrorMessage="1" sqref="B6 B15:B16" xr:uid="{00000000-0002-0000-D800-000002000000}">
      <formula1>"True,False"</formula1>
    </dataValidation>
  </dataValidations>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679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tbl-siena-ph-emergency</v>
      </c>
    </row>
    <row r="4" spans="1:17" x14ac:dyDescent="0.2">
      <c r="A4" s="16" t="s">
        <v>7</v>
      </c>
      <c r="B4" t="str">
        <f>IF($B$1="","",_xlfn.XLOOKUP($B$1,Master!$F$2:$F$321,Master!$H$2:$H$321,""))</f>
        <v>fig-siena-ph-emergency</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2182</v>
      </c>
      <c r="H5" t="s">
        <v>2183</v>
      </c>
      <c r="I5" t="s">
        <v>2184</v>
      </c>
      <c r="J5" t="s">
        <v>2185</v>
      </c>
      <c r="K5" t="s">
        <v>2179</v>
      </c>
    </row>
    <row r="6" spans="1:17" ht="15" customHeight="1" x14ac:dyDescent="0.2">
      <c r="A6" t="s">
        <v>1088</v>
      </c>
      <c r="B6" t="b">
        <v>0</v>
      </c>
      <c r="E6" s="80"/>
      <c r="F6">
        <v>2024</v>
      </c>
      <c r="G6" s="15">
        <v>17</v>
      </c>
      <c r="H6" s="15">
        <v>41</v>
      </c>
      <c r="I6" s="15">
        <v>24</v>
      </c>
      <c r="J6" s="15">
        <v>10</v>
      </c>
      <c r="K6" s="15">
        <v>7</v>
      </c>
      <c r="L6" s="15"/>
      <c r="M6" s="15"/>
      <c r="N6" s="15"/>
      <c r="O6" s="15"/>
    </row>
    <row r="7" spans="1:17" ht="15.75" customHeight="1" x14ac:dyDescent="0.2">
      <c r="E7" s="80"/>
      <c r="F7">
        <v>2023</v>
      </c>
      <c r="G7" s="15">
        <v>20</v>
      </c>
      <c r="H7" s="15">
        <v>42</v>
      </c>
      <c r="I7" s="15">
        <v>22</v>
      </c>
      <c r="J7" s="15">
        <v>9</v>
      </c>
      <c r="K7" s="15">
        <v>6</v>
      </c>
      <c r="L7" s="15"/>
      <c r="M7" s="15"/>
      <c r="N7" s="15"/>
      <c r="O7" s="15"/>
    </row>
    <row r="8" spans="1:17" x14ac:dyDescent="0.2">
      <c r="E8" s="80"/>
      <c r="G8" s="15"/>
      <c r="H8" s="15"/>
      <c r="I8" s="15"/>
      <c r="J8" s="15"/>
      <c r="K8" s="15"/>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3"/>
      <c r="I10" s="63"/>
      <c r="J10" s="63"/>
      <c r="K10" s="63"/>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900-000000000000}">
      <formula1>"Line,Clustered Bar,Stacked Bar,Bar,Horizontal Stacked Bar"</formula1>
    </dataValidation>
    <dataValidation type="list" allowBlank="1" showInputMessage="1" showErrorMessage="1" sqref="B2" xr:uid="{00000000-0002-0000-D900-000001000000}">
      <formula1>"Table,Figure,Both"</formula1>
    </dataValidation>
    <dataValidation type="list" allowBlank="1" showInputMessage="1" showErrorMessage="1" sqref="B6 B15:B16" xr:uid="{00000000-0002-0000-D900-000002000000}">
      <formula1>"True,False"</formula1>
    </dataValidation>
  </dataValidations>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16.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682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tbl-siena-ph-emergency-income</v>
      </c>
    </row>
    <row r="4" spans="1:17" x14ac:dyDescent="0.2">
      <c r="A4" s="16" t="s">
        <v>7</v>
      </c>
      <c r="B4" t="str">
        <f>IF($B$1="","",_xlfn.XLOOKUP($B$1,Master!$F$2:$F$321,Master!$H$2:$H$321,""))</f>
        <v>fig-siena-ph-emergency-income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s="15" t="s">
        <v>2182</v>
      </c>
      <c r="H5" s="15" t="s">
        <v>2183</v>
      </c>
      <c r="I5" s="15" t="s">
        <v>2184</v>
      </c>
      <c r="J5" s="15" t="s">
        <v>2185</v>
      </c>
      <c r="K5" s="15" t="s">
        <v>2179</v>
      </c>
    </row>
    <row r="6" spans="1:17" ht="15" customHeight="1" x14ac:dyDescent="0.2">
      <c r="A6" t="s">
        <v>1088</v>
      </c>
      <c r="B6" t="b">
        <v>0</v>
      </c>
      <c r="E6" s="80"/>
      <c r="F6" t="s">
        <v>2180</v>
      </c>
      <c r="G6" s="15">
        <v>10</v>
      </c>
      <c r="H6" s="15">
        <v>44</v>
      </c>
      <c r="I6" s="15">
        <v>34</v>
      </c>
      <c r="J6" s="15">
        <v>8</v>
      </c>
      <c r="K6" s="15">
        <v>4</v>
      </c>
      <c r="L6" s="15"/>
      <c r="M6" s="15"/>
      <c r="N6" s="15"/>
      <c r="O6" s="15"/>
    </row>
    <row r="7" spans="1:17" ht="15.75" customHeight="1" x14ac:dyDescent="0.2">
      <c r="E7" s="80"/>
      <c r="F7" t="s">
        <v>2166</v>
      </c>
      <c r="G7" s="15">
        <v>16</v>
      </c>
      <c r="H7" s="15">
        <v>36</v>
      </c>
      <c r="I7" s="15">
        <v>29</v>
      </c>
      <c r="J7" s="15">
        <v>10</v>
      </c>
      <c r="K7" s="15">
        <v>9</v>
      </c>
      <c r="L7" s="15"/>
      <c r="M7" s="15"/>
      <c r="N7" s="15"/>
      <c r="O7" s="15"/>
    </row>
    <row r="8" spans="1:17" x14ac:dyDescent="0.2">
      <c r="E8" s="80"/>
      <c r="F8" t="s">
        <v>2167</v>
      </c>
      <c r="G8" s="15">
        <v>12</v>
      </c>
      <c r="H8" s="15">
        <v>48</v>
      </c>
      <c r="I8" s="15">
        <v>21</v>
      </c>
      <c r="J8" s="15">
        <v>10</v>
      </c>
      <c r="K8" s="15">
        <v>9</v>
      </c>
      <c r="L8" s="15"/>
      <c r="M8" s="15"/>
      <c r="N8" s="15"/>
      <c r="O8" s="15"/>
    </row>
    <row r="9" spans="1:17" x14ac:dyDescent="0.2">
      <c r="A9" s="83" t="s">
        <v>1098</v>
      </c>
      <c r="B9" s="80"/>
      <c r="E9" s="80"/>
      <c r="F9" t="s">
        <v>2168</v>
      </c>
      <c r="G9" s="15">
        <v>20</v>
      </c>
      <c r="H9" s="15">
        <v>38</v>
      </c>
      <c r="I9" s="15">
        <v>25</v>
      </c>
      <c r="J9" s="15">
        <v>0</v>
      </c>
      <c r="K9" s="15">
        <v>8</v>
      </c>
      <c r="L9" s="15"/>
      <c r="M9" s="15"/>
      <c r="N9" s="15"/>
      <c r="O9" s="15"/>
    </row>
    <row r="10" spans="1:17" x14ac:dyDescent="0.2">
      <c r="A10" t="s">
        <v>1100</v>
      </c>
      <c r="B10" t="s">
        <v>1300</v>
      </c>
      <c r="E10" s="80"/>
      <c r="F10" t="s">
        <v>2169</v>
      </c>
      <c r="G10" s="15">
        <v>23</v>
      </c>
      <c r="H10" s="15">
        <v>41</v>
      </c>
      <c r="I10" s="15">
        <v>18</v>
      </c>
      <c r="J10" s="15">
        <v>14</v>
      </c>
      <c r="K10" s="15">
        <v>3</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15"/>
      <c r="H13" s="15"/>
      <c r="I13" s="15"/>
      <c r="J13" s="15"/>
      <c r="K13" s="15"/>
    </row>
    <row r="14" spans="1:17" x14ac:dyDescent="0.2">
      <c r="A14" t="s">
        <v>1112</v>
      </c>
      <c r="B14" t="s">
        <v>990</v>
      </c>
      <c r="E14" s="80"/>
      <c r="G14" s="63"/>
      <c r="H14" s="63"/>
      <c r="I14" s="63"/>
      <c r="J14" s="63"/>
      <c r="K14" s="63"/>
    </row>
    <row r="15" spans="1:17" x14ac:dyDescent="0.2">
      <c r="A15" t="s">
        <v>1114</v>
      </c>
      <c r="B15" t="b">
        <v>1</v>
      </c>
      <c r="E15" s="80"/>
      <c r="G15" s="63"/>
      <c r="H15" s="63"/>
      <c r="I15" s="63"/>
      <c r="J15" s="63"/>
      <c r="K15" s="63"/>
    </row>
    <row r="16" spans="1:17" x14ac:dyDescent="0.2">
      <c r="A16" t="s">
        <v>1116</v>
      </c>
      <c r="B16" t="b">
        <v>1</v>
      </c>
      <c r="E16" s="80"/>
      <c r="G16" s="63"/>
      <c r="H16" s="63"/>
      <c r="I16" s="63"/>
      <c r="J16" s="63"/>
      <c r="K16" s="63"/>
    </row>
    <row r="17" spans="1:11" x14ac:dyDescent="0.2">
      <c r="A17" s="76" t="s">
        <v>2137</v>
      </c>
      <c r="B17" t="b">
        <v>0</v>
      </c>
      <c r="E17" s="80"/>
      <c r="G17" s="63"/>
      <c r="H17" s="63"/>
      <c r="I17" s="63"/>
      <c r="J17" s="63"/>
      <c r="K17" s="63"/>
    </row>
    <row r="18" spans="1:11" x14ac:dyDescent="0.2">
      <c r="A18" s="83" t="s">
        <v>1119</v>
      </c>
      <c r="B18" s="80"/>
      <c r="E18" s="80"/>
      <c r="G18" s="63"/>
      <c r="H18" s="63"/>
      <c r="I18" s="63"/>
      <c r="J18" s="63"/>
      <c r="K18" s="63"/>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A00-000000000000}">
      <formula1>"Line,Clustered Bar,Stacked Bar,Bar,Horizontal Stacked Bar"</formula1>
    </dataValidation>
    <dataValidation type="list" allowBlank="1" showInputMessage="1" showErrorMessage="1" sqref="B2" xr:uid="{00000000-0002-0000-DA00-000001000000}">
      <formula1>"Table,Figure,Both"</formula1>
    </dataValidation>
    <dataValidation type="list" allowBlank="1" showInputMessage="1" showErrorMessage="1" sqref="B6 B15:B16" xr:uid="{00000000-0002-0000-DA00-000002000000}">
      <formula1>"True,False"</formula1>
    </dataValidation>
  </dataValidations>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Q57"/>
  <sheetViews>
    <sheetView workbookViewId="0">
      <selection activeCell="N23" sqref="N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685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tbl-siena-safe-place-walk-bike</v>
      </c>
    </row>
    <row r="4" spans="1:17" x14ac:dyDescent="0.2">
      <c r="A4" s="16" t="s">
        <v>7</v>
      </c>
      <c r="B4" t="str">
        <f>IF($B$1="","",_xlfn.XLOOKUP($B$1,Master!$F$2:$F$321,Master!$H$2:$H$321,""))</f>
        <v>fig-siena-safe-place-walk-bike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2186</v>
      </c>
      <c r="H5" t="s">
        <v>2187</v>
      </c>
      <c r="I5" t="s">
        <v>2188</v>
      </c>
      <c r="J5" t="s">
        <v>2189</v>
      </c>
      <c r="K5" t="s">
        <v>2179</v>
      </c>
    </row>
    <row r="6" spans="1:17" ht="15" customHeight="1" x14ac:dyDescent="0.2">
      <c r="A6" t="s">
        <v>1088</v>
      </c>
      <c r="B6" t="b">
        <v>0</v>
      </c>
      <c r="E6" s="80"/>
      <c r="F6">
        <v>2024</v>
      </c>
      <c r="G6" s="15">
        <v>25</v>
      </c>
      <c r="H6" s="15">
        <v>42</v>
      </c>
      <c r="I6" s="15">
        <v>20</v>
      </c>
      <c r="J6" s="15">
        <v>12</v>
      </c>
      <c r="K6" s="15">
        <v>1</v>
      </c>
      <c r="L6" s="15"/>
      <c r="M6" s="15"/>
      <c r="N6" s="15"/>
      <c r="O6" s="15"/>
    </row>
    <row r="7" spans="1:17" ht="15.75" customHeight="1" x14ac:dyDescent="0.2">
      <c r="E7" s="80"/>
      <c r="F7">
        <v>2023</v>
      </c>
      <c r="G7" s="15">
        <v>25</v>
      </c>
      <c r="H7" s="15">
        <v>43</v>
      </c>
      <c r="I7" s="15">
        <v>17</v>
      </c>
      <c r="J7" s="15">
        <v>13</v>
      </c>
      <c r="K7" s="15">
        <v>2</v>
      </c>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E11" s="80"/>
      <c r="G11" s="63"/>
      <c r="H11" s="63"/>
      <c r="I11" s="63"/>
      <c r="J11" s="63"/>
      <c r="K11" s="63"/>
      <c r="L11" s="17"/>
      <c r="M11" s="17"/>
      <c r="N11" s="17"/>
    </row>
    <row r="12" spans="1:17" x14ac:dyDescent="0.2">
      <c r="A12" t="s">
        <v>1104</v>
      </c>
      <c r="B12" t="s">
        <v>1303</v>
      </c>
      <c r="E12" s="80"/>
      <c r="F12" s="21"/>
      <c r="G12" s="63"/>
      <c r="H12" s="63"/>
      <c r="I12" s="63"/>
      <c r="J12" s="63"/>
      <c r="K12" s="63"/>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D16" t="s">
        <v>1227</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B00-000000000000}">
      <formula1>"Line,Clustered Bar,Stacked Bar,Bar,Horizontal Stacked Bar"</formula1>
    </dataValidation>
    <dataValidation type="list" allowBlank="1" showInputMessage="1" showErrorMessage="1" sqref="B2" xr:uid="{00000000-0002-0000-DB00-000001000000}">
      <formula1>"Table,Figure,Both"</formula1>
    </dataValidation>
    <dataValidation type="list" allowBlank="1" showInputMessage="1" showErrorMessage="1" sqref="B6 B15:B16" xr:uid="{00000000-0002-0000-DB00-000002000000}">
      <formula1>"True,False"</formula1>
    </dataValidation>
  </dataValidations>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688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tbl-siena-safe-place-walk-bike-income</v>
      </c>
    </row>
    <row r="4" spans="1:17" x14ac:dyDescent="0.2">
      <c r="A4" s="16" t="s">
        <v>7</v>
      </c>
      <c r="B4" t="str">
        <f>IF($B$1="","",_xlfn.XLOOKUP($B$1,Master!$F$2:$F$321,Master!$H$2:$H$321,""))</f>
        <v>fig-siena-safe-place-walk-bike-income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2186</v>
      </c>
      <c r="H5" t="s">
        <v>2187</v>
      </c>
      <c r="I5" t="s">
        <v>2188</v>
      </c>
      <c r="J5" t="s">
        <v>2189</v>
      </c>
    </row>
    <row r="6" spans="1:17" ht="15" customHeight="1" x14ac:dyDescent="0.2">
      <c r="A6" t="s">
        <v>1088</v>
      </c>
      <c r="B6" t="b">
        <v>0</v>
      </c>
      <c r="E6" s="80"/>
      <c r="F6" t="s">
        <v>2180</v>
      </c>
      <c r="G6" s="15">
        <v>20</v>
      </c>
      <c r="H6" s="15">
        <v>46</v>
      </c>
      <c r="I6" s="15">
        <v>21</v>
      </c>
      <c r="J6" s="15">
        <v>10</v>
      </c>
      <c r="K6" s="15"/>
      <c r="L6" s="15"/>
      <c r="M6" s="15"/>
      <c r="N6" s="15"/>
      <c r="O6" s="15"/>
    </row>
    <row r="7" spans="1:17" ht="15.75" customHeight="1" x14ac:dyDescent="0.2">
      <c r="E7" s="80"/>
      <c r="F7" t="s">
        <v>2166</v>
      </c>
      <c r="G7" s="15">
        <v>28</v>
      </c>
      <c r="H7" s="15">
        <v>37</v>
      </c>
      <c r="I7" s="15">
        <v>23</v>
      </c>
      <c r="J7" s="15">
        <v>11</v>
      </c>
      <c r="K7" s="15"/>
      <c r="L7" s="15"/>
      <c r="M7" s="15"/>
      <c r="N7" s="15"/>
      <c r="O7" s="15"/>
    </row>
    <row r="8" spans="1:17" x14ac:dyDescent="0.2">
      <c r="E8" s="80"/>
      <c r="F8" t="s">
        <v>2167</v>
      </c>
      <c r="G8" s="15">
        <v>25</v>
      </c>
      <c r="H8" s="15">
        <v>40</v>
      </c>
      <c r="I8" s="15">
        <v>24</v>
      </c>
      <c r="J8" s="15">
        <v>14</v>
      </c>
      <c r="K8" s="15"/>
      <c r="L8" s="15"/>
      <c r="M8" s="15"/>
      <c r="N8" s="15"/>
      <c r="O8" s="15"/>
    </row>
    <row r="9" spans="1:17" x14ac:dyDescent="0.2">
      <c r="A9" s="83" t="s">
        <v>1098</v>
      </c>
      <c r="B9" s="80"/>
      <c r="E9" s="80"/>
      <c r="F9" t="s">
        <v>2168</v>
      </c>
      <c r="G9" s="15">
        <v>24</v>
      </c>
      <c r="H9" s="15">
        <v>45</v>
      </c>
      <c r="I9" s="15">
        <v>17</v>
      </c>
      <c r="J9" s="15">
        <v>14</v>
      </c>
      <c r="K9" s="15"/>
      <c r="L9" s="15"/>
      <c r="M9" s="15"/>
      <c r="N9" s="15"/>
      <c r="O9" s="15"/>
    </row>
    <row r="10" spans="1:17" x14ac:dyDescent="0.2">
      <c r="A10" t="s">
        <v>1100</v>
      </c>
      <c r="B10" t="s">
        <v>1300</v>
      </c>
      <c r="E10" s="80"/>
      <c r="F10" t="s">
        <v>2169</v>
      </c>
      <c r="G10" s="15">
        <v>26</v>
      </c>
      <c r="H10" s="15">
        <v>44</v>
      </c>
      <c r="I10" s="15">
        <v>16</v>
      </c>
      <c r="J10" s="15">
        <v>13</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63"/>
      <c r="H13" s="63"/>
      <c r="I13" s="63"/>
      <c r="J13" s="63"/>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4"/>
      <c r="I17" s="64"/>
      <c r="J17" s="64"/>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C00-000000000000}">
      <formula1>"Line,Clustered Bar,Stacked Bar,Bar,Horizontal Stacked Bar"</formula1>
    </dataValidation>
    <dataValidation type="list" allowBlank="1" showInputMessage="1" showErrorMessage="1" sqref="B2" xr:uid="{00000000-0002-0000-DC00-000001000000}">
      <formula1>"Table,Figure,Both"</formula1>
    </dataValidation>
    <dataValidation type="list" allowBlank="1" showInputMessage="1" showErrorMessage="1" sqref="B6 B15:B16" xr:uid="{00000000-0002-0000-DC00-000002000000}">
      <formula1>"True,False"</formula1>
    </dataValidation>
  </dataValidations>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691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tbl-siena-walk-bike-safe</v>
      </c>
    </row>
    <row r="4" spans="1:17" x14ac:dyDescent="0.2">
      <c r="A4" s="16" t="s">
        <v>7</v>
      </c>
      <c r="B4" t="str">
        <f>IF($B$1="","",_xlfn.XLOOKUP($B$1,Master!$F$2:$F$321,Master!$H$2:$H$321,""))</f>
        <v>fig-siena-walk-bike-safe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2186</v>
      </c>
      <c r="H5" t="s">
        <v>2187</v>
      </c>
      <c r="I5" t="s">
        <v>2188</v>
      </c>
      <c r="J5" t="s">
        <v>2189</v>
      </c>
      <c r="K5" t="s">
        <v>2179</v>
      </c>
    </row>
    <row r="6" spans="1:17" ht="15" customHeight="1" x14ac:dyDescent="0.2">
      <c r="A6" t="s">
        <v>1088</v>
      </c>
      <c r="B6" t="b">
        <v>0</v>
      </c>
      <c r="E6" s="80"/>
      <c r="F6">
        <v>2024</v>
      </c>
      <c r="G6" s="15">
        <v>13</v>
      </c>
      <c r="H6" s="15">
        <v>35</v>
      </c>
      <c r="I6" s="15">
        <v>27</v>
      </c>
      <c r="J6" s="15">
        <v>23</v>
      </c>
      <c r="K6" s="15">
        <v>2</v>
      </c>
      <c r="L6" s="15"/>
      <c r="M6" s="15"/>
      <c r="N6" s="15"/>
      <c r="O6" s="15"/>
    </row>
    <row r="7" spans="1:17" ht="15.75" customHeight="1" x14ac:dyDescent="0.2">
      <c r="E7" s="80"/>
      <c r="F7">
        <v>2023</v>
      </c>
      <c r="G7" s="15">
        <v>14</v>
      </c>
      <c r="H7" s="15">
        <v>32</v>
      </c>
      <c r="I7" s="15">
        <v>29</v>
      </c>
      <c r="J7" s="15">
        <v>23</v>
      </c>
      <c r="K7" s="15">
        <v>2</v>
      </c>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E11" s="80"/>
      <c r="G11" s="63"/>
      <c r="H11" s="63"/>
      <c r="I11" s="63"/>
      <c r="J11" s="63"/>
      <c r="K11" s="63"/>
      <c r="L11" s="17"/>
      <c r="M11" s="17"/>
      <c r="N11" s="17"/>
    </row>
    <row r="12" spans="1:17" x14ac:dyDescent="0.2">
      <c r="A12" t="s">
        <v>1104</v>
      </c>
      <c r="E12" s="80"/>
      <c r="F12" s="21"/>
      <c r="G12" s="63"/>
      <c r="H12" s="63"/>
      <c r="I12" s="63"/>
      <c r="J12" s="63"/>
      <c r="K12" s="63"/>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D00-000000000000}">
      <formula1>"Line,Clustered Bar,Stacked Bar,Bar,Horizontal Stacked Bar"</formula1>
    </dataValidation>
    <dataValidation type="list" allowBlank="1" showInputMessage="1" showErrorMessage="1" sqref="B2" xr:uid="{00000000-0002-0000-DD00-000001000000}">
      <formula1>"Table,Figure,Both"</formula1>
    </dataValidation>
    <dataValidation type="list" allowBlank="1" showInputMessage="1" showErrorMessage="1" sqref="B6 B15:B16" xr:uid="{00000000-0002-0000-DD00-000002000000}">
      <formula1>"True,False"</formula1>
    </dataValidation>
  </dataValidations>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694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tbl-siena-walk-bike-safe-income</v>
      </c>
    </row>
    <row r="4" spans="1:17" x14ac:dyDescent="0.2">
      <c r="A4" s="16" t="s">
        <v>7</v>
      </c>
      <c r="B4" t="str">
        <f>IF($B$1="","",_xlfn.XLOOKUP($B$1,Master!$F$2:$F$321,Master!$H$2:$H$321,""))</f>
        <v>fig-siena-walk-bike-safe-income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2186</v>
      </c>
      <c r="H5" t="s">
        <v>2187</v>
      </c>
      <c r="I5" t="s">
        <v>2188</v>
      </c>
      <c r="J5" t="s">
        <v>2189</v>
      </c>
    </row>
    <row r="6" spans="1:17" ht="15" customHeight="1" x14ac:dyDescent="0.2">
      <c r="A6" t="s">
        <v>1088</v>
      </c>
      <c r="B6" t="b">
        <v>0</v>
      </c>
      <c r="E6" s="80"/>
      <c r="F6" t="s">
        <v>2180</v>
      </c>
      <c r="G6" s="15">
        <v>14</v>
      </c>
      <c r="H6" s="15">
        <v>43</v>
      </c>
      <c r="I6" s="15">
        <v>22</v>
      </c>
      <c r="J6" s="15">
        <v>18</v>
      </c>
      <c r="K6" s="15"/>
      <c r="L6" s="15"/>
      <c r="M6" s="15"/>
      <c r="N6" s="15"/>
      <c r="O6" s="15"/>
    </row>
    <row r="7" spans="1:17" ht="15.75" customHeight="1" x14ac:dyDescent="0.2">
      <c r="E7" s="80"/>
      <c r="F7" t="s">
        <v>2166</v>
      </c>
      <c r="G7" s="15">
        <v>17</v>
      </c>
      <c r="H7" s="15">
        <v>38</v>
      </c>
      <c r="I7" s="15">
        <v>25</v>
      </c>
      <c r="J7" s="15">
        <v>17</v>
      </c>
      <c r="K7" s="15"/>
      <c r="L7" s="15"/>
      <c r="M7" s="15"/>
      <c r="N7" s="15"/>
      <c r="O7" s="15"/>
    </row>
    <row r="8" spans="1:17" x14ac:dyDescent="0.2">
      <c r="E8" s="80"/>
      <c r="F8" t="s">
        <v>2167</v>
      </c>
      <c r="G8" s="15">
        <v>13</v>
      </c>
      <c r="H8" s="15">
        <v>36</v>
      </c>
      <c r="I8" s="15">
        <v>21</v>
      </c>
      <c r="J8" s="15">
        <v>20</v>
      </c>
      <c r="K8" s="15"/>
      <c r="L8" s="15"/>
      <c r="M8" s="15"/>
      <c r="N8" s="15"/>
      <c r="O8" s="15"/>
    </row>
    <row r="9" spans="1:17" x14ac:dyDescent="0.2">
      <c r="A9" s="83" t="s">
        <v>1098</v>
      </c>
      <c r="B9" s="80"/>
      <c r="E9" s="80"/>
      <c r="F9" t="s">
        <v>2168</v>
      </c>
      <c r="G9" s="15">
        <v>7</v>
      </c>
      <c r="H9" s="15">
        <v>39</v>
      </c>
      <c r="I9" s="15">
        <v>26</v>
      </c>
      <c r="J9" s="15">
        <v>25</v>
      </c>
      <c r="K9" s="15"/>
      <c r="L9" s="15"/>
      <c r="M9" s="15"/>
      <c r="N9" s="15"/>
      <c r="O9" s="15"/>
    </row>
    <row r="10" spans="1:17" x14ac:dyDescent="0.2">
      <c r="A10" t="s">
        <v>1100</v>
      </c>
      <c r="B10" t="s">
        <v>1300</v>
      </c>
      <c r="E10" s="80"/>
      <c r="F10" t="s">
        <v>2169</v>
      </c>
      <c r="G10" s="15">
        <v>9</v>
      </c>
      <c r="H10" s="15">
        <v>30</v>
      </c>
      <c r="I10" s="15">
        <v>29</v>
      </c>
      <c r="J10" s="15">
        <v>32</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3"/>
      <c r="I17" s="63"/>
      <c r="J17" s="63"/>
    </row>
    <row r="18" spans="1:11" x14ac:dyDescent="0.2">
      <c r="A18" s="83" t="s">
        <v>1119</v>
      </c>
      <c r="B18" s="80"/>
      <c r="E18" s="80"/>
      <c r="G18" s="63"/>
      <c r="H18" s="64"/>
      <c r="I18" s="64"/>
      <c r="J18" s="64"/>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E00-000000000000}">
      <formula1>"Line,Clustered Bar,Stacked Bar,Bar,Horizontal Stacked Bar"</formula1>
    </dataValidation>
    <dataValidation type="list" allowBlank="1" showInputMessage="1" showErrorMessage="1" sqref="B2" xr:uid="{00000000-0002-0000-DE00-000001000000}">
      <formula1>"Table,Figure,Both"</formula1>
    </dataValidation>
    <dataValidation type="list" allowBlank="1" showInputMessage="1" showErrorMessage="1" sqref="B6 B15:B16" xr:uid="{00000000-0002-0000-DE00-000002000000}">
      <formula1>"True,False"</formula1>
    </dataValidation>
  </dataValidations>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697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tbl-siena-rate-community-as-place-to-age</v>
      </c>
    </row>
    <row r="4" spans="1:17" x14ac:dyDescent="0.2">
      <c r="A4" s="16" t="s">
        <v>7</v>
      </c>
      <c r="B4" t="str">
        <f>IF($B$1="","",_xlfn.XLOOKUP($B$1,Master!$F$2:$F$321,Master!$H$2:$H$321,""))</f>
        <v>fig-siena-rate-community-as-place-to-age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2182</v>
      </c>
      <c r="H5" t="s">
        <v>2183</v>
      </c>
      <c r="I5" t="s">
        <v>2184</v>
      </c>
      <c r="J5" t="s">
        <v>2185</v>
      </c>
      <c r="K5" t="s">
        <v>2190</v>
      </c>
    </row>
    <row r="6" spans="1:17" ht="15" customHeight="1" x14ac:dyDescent="0.2">
      <c r="A6" t="s">
        <v>1088</v>
      </c>
      <c r="B6" t="b">
        <v>0</v>
      </c>
      <c r="E6" s="80"/>
      <c r="F6">
        <v>2024</v>
      </c>
      <c r="G6" s="15">
        <v>25</v>
      </c>
      <c r="H6" s="15">
        <v>34</v>
      </c>
      <c r="I6" s="15">
        <v>28</v>
      </c>
      <c r="J6" s="15">
        <v>12</v>
      </c>
      <c r="K6" s="15">
        <v>1</v>
      </c>
      <c r="L6" s="15"/>
      <c r="M6" s="15"/>
      <c r="N6" s="15"/>
      <c r="O6" s="15"/>
    </row>
    <row r="7" spans="1:17" ht="15.75" customHeight="1" x14ac:dyDescent="0.2">
      <c r="E7" s="80"/>
      <c r="G7" s="15"/>
      <c r="H7" s="15"/>
      <c r="I7" s="15"/>
      <c r="J7" s="15"/>
      <c r="K7" s="15"/>
      <c r="L7" s="15"/>
      <c r="M7" s="15"/>
      <c r="N7" s="15"/>
      <c r="O7" s="15"/>
    </row>
    <row r="8" spans="1:17" x14ac:dyDescent="0.2">
      <c r="E8" s="80"/>
      <c r="G8" s="63"/>
      <c r="H8" s="63"/>
      <c r="I8" s="63"/>
      <c r="J8" s="63"/>
      <c r="K8" s="63"/>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DF00-000000000000}">
      <formula1>"Line,Clustered Bar,Stacked Bar,Bar,Horizontal Stacked Bar"</formula1>
    </dataValidation>
    <dataValidation type="list" allowBlank="1" showInputMessage="1" showErrorMessage="1" sqref="B2" xr:uid="{00000000-0002-0000-DF00-000001000000}">
      <formula1>"Table,Figure,Both"</formula1>
    </dataValidation>
    <dataValidation type="list" allowBlank="1" showInputMessage="1" showErrorMessage="1" sqref="B6 B15:B16" xr:uid="{00000000-0002-0000-DF00-000002000000}">
      <formula1>"True,False"</formula1>
    </dataValidation>
  </dataValidations>
  <pageMargins left="0.75" right="0.75" top="1" bottom="1" header="0.5" footer="0.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Q57"/>
  <sheetViews>
    <sheetView workbookViewId="0">
      <selection activeCell="K13" sqref="K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19.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703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tbl-siena-physical-health</v>
      </c>
    </row>
    <row r="4" spans="1:17" x14ac:dyDescent="0.2">
      <c r="A4" s="16" t="s">
        <v>7</v>
      </c>
      <c r="B4" t="str">
        <f>IF($B$1="","",_xlfn.XLOOKUP($B$1,Master!$F$2:$F$321,Master!$H$2:$H$321,""))</f>
        <v>fig-siena-physical-health</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t="s">
        <v>2182</v>
      </c>
      <c r="H5" t="s">
        <v>2183</v>
      </c>
      <c r="I5" t="s">
        <v>2184</v>
      </c>
      <c r="J5" t="s">
        <v>2185</v>
      </c>
      <c r="K5" t="s">
        <v>2179</v>
      </c>
    </row>
    <row r="6" spans="1:17" ht="15" customHeight="1" x14ac:dyDescent="0.2">
      <c r="A6" t="s">
        <v>1088</v>
      </c>
      <c r="B6" t="b">
        <v>0</v>
      </c>
      <c r="E6" s="80"/>
      <c r="F6">
        <v>2024</v>
      </c>
      <c r="G6" s="15">
        <v>28</v>
      </c>
      <c r="H6" s="15">
        <v>46</v>
      </c>
      <c r="I6" s="15">
        <v>21</v>
      </c>
      <c r="J6" s="15">
        <v>6</v>
      </c>
      <c r="K6" s="15">
        <v>0</v>
      </c>
      <c r="L6" s="15"/>
      <c r="M6" s="15"/>
      <c r="N6" s="15"/>
      <c r="O6" s="15"/>
    </row>
    <row r="7" spans="1:17" ht="15.75" customHeight="1" x14ac:dyDescent="0.2">
      <c r="E7" s="80"/>
      <c r="F7">
        <v>2023</v>
      </c>
      <c r="G7" s="15">
        <v>25</v>
      </c>
      <c r="H7" s="15">
        <v>49</v>
      </c>
      <c r="I7" s="15">
        <v>20</v>
      </c>
      <c r="J7" s="15">
        <v>5</v>
      </c>
      <c r="K7" s="15">
        <v>0</v>
      </c>
      <c r="L7" s="15"/>
      <c r="M7" s="15"/>
      <c r="N7" s="15"/>
      <c r="O7" s="15"/>
    </row>
    <row r="8" spans="1:17" x14ac:dyDescent="0.2">
      <c r="E8" s="80"/>
      <c r="F8">
        <v>2022</v>
      </c>
      <c r="G8" s="15">
        <v>23</v>
      </c>
      <c r="H8" s="15">
        <v>50</v>
      </c>
      <c r="I8" s="15">
        <v>22</v>
      </c>
      <c r="J8" s="15">
        <v>4</v>
      </c>
      <c r="K8" s="15">
        <v>0</v>
      </c>
      <c r="L8" s="15"/>
      <c r="M8" s="15"/>
      <c r="N8" s="15"/>
      <c r="O8" s="15"/>
    </row>
    <row r="9" spans="1:17" x14ac:dyDescent="0.2">
      <c r="A9" s="83" t="s">
        <v>1098</v>
      </c>
      <c r="B9" s="80"/>
      <c r="E9" s="80"/>
      <c r="F9">
        <v>2018</v>
      </c>
      <c r="G9" s="15">
        <v>35</v>
      </c>
      <c r="H9" s="15">
        <v>44</v>
      </c>
      <c r="I9" s="15">
        <v>15</v>
      </c>
      <c r="J9" s="15">
        <v>5</v>
      </c>
      <c r="K9" s="15">
        <v>0</v>
      </c>
      <c r="L9" s="15"/>
      <c r="M9" s="15"/>
      <c r="N9" s="15"/>
      <c r="O9" s="15"/>
    </row>
    <row r="10" spans="1:17" x14ac:dyDescent="0.2">
      <c r="A10" t="s">
        <v>1100</v>
      </c>
      <c r="B10" t="s">
        <v>2072</v>
      </c>
      <c r="E10" s="80"/>
      <c r="G10" s="63"/>
      <c r="H10" s="64"/>
      <c r="I10" s="64"/>
      <c r="J10" s="64"/>
      <c r="K10" s="15"/>
    </row>
    <row r="11" spans="1:17" x14ac:dyDescent="0.2">
      <c r="A11" t="s">
        <v>1102</v>
      </c>
      <c r="E11" s="80"/>
      <c r="G11" s="15"/>
      <c r="H11" s="15"/>
      <c r="I11" s="15"/>
      <c r="J11" s="17"/>
      <c r="K11" s="17"/>
      <c r="L11" s="17"/>
      <c r="M11" s="17"/>
      <c r="N11" s="17"/>
    </row>
    <row r="12" spans="1:17" x14ac:dyDescent="0.2">
      <c r="A12" t="s">
        <v>1104</v>
      </c>
      <c r="E12" s="80"/>
      <c r="F12" s="21"/>
      <c r="G12" s="63"/>
      <c r="H12" s="63"/>
      <c r="I12" s="63"/>
      <c r="J12" s="63"/>
      <c r="K12" s="15"/>
      <c r="L12" s="15"/>
    </row>
    <row r="13" spans="1:17" x14ac:dyDescent="0.2">
      <c r="A13" t="s">
        <v>1108</v>
      </c>
      <c r="E13" s="80"/>
      <c r="G13" s="63"/>
      <c r="H13" s="63"/>
      <c r="I13" s="63"/>
      <c r="J13" s="63"/>
    </row>
    <row r="14" spans="1:17" x14ac:dyDescent="0.2">
      <c r="A14" t="s">
        <v>1112</v>
      </c>
      <c r="E14" s="80"/>
      <c r="G14" s="63"/>
      <c r="H14" s="63"/>
      <c r="I14" s="63"/>
      <c r="J14" s="63"/>
    </row>
    <row r="15" spans="1:17" x14ac:dyDescent="0.2">
      <c r="A15" t="s">
        <v>1114</v>
      </c>
      <c r="B15" t="b">
        <v>1</v>
      </c>
      <c r="E15" s="80"/>
      <c r="G15" s="63"/>
      <c r="H15" s="63"/>
      <c r="I15" s="63"/>
      <c r="J15" s="63"/>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000-000000000000}">
      <formula1>"Line,Clustered Bar,Stacked Bar,Bar,Horizontal Stacked Bar"</formula1>
    </dataValidation>
    <dataValidation type="list" allowBlank="1" showInputMessage="1" showErrorMessage="1" sqref="B2" xr:uid="{00000000-0002-0000-E000-000001000000}">
      <formula1>"Table,Figure,Both"</formula1>
    </dataValidation>
    <dataValidation type="list" allowBlank="1" showInputMessage="1" showErrorMessage="1" sqref="B6 B15:B16" xr:uid="{00000000-0002-0000-E000-000002000000}">
      <formula1>"True,False"</formula1>
    </dataValidation>
  </dataValidations>
  <pageMargins left="0.75" right="0.75" top="1" bottom="1" header="0.5" footer="0.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706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tbl-siena-physical-health-income</v>
      </c>
    </row>
    <row r="4" spans="1:17" x14ac:dyDescent="0.2">
      <c r="A4" s="16" t="s">
        <v>7</v>
      </c>
      <c r="B4" t="str">
        <f>IF($B$1="","",_xlfn.XLOOKUP($B$1,Master!$F$2:$F$321,Master!$H$2:$H$321,""))</f>
        <v>fig-siena-physical-health-income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2182</v>
      </c>
      <c r="H5" t="s">
        <v>2183</v>
      </c>
      <c r="I5" t="s">
        <v>2184</v>
      </c>
      <c r="J5" t="s">
        <v>2185</v>
      </c>
    </row>
    <row r="6" spans="1:17" ht="15" customHeight="1" x14ac:dyDescent="0.2">
      <c r="A6" t="s">
        <v>1088</v>
      </c>
      <c r="B6" t="b">
        <v>0</v>
      </c>
      <c r="E6" s="80"/>
      <c r="F6" t="s">
        <v>2180</v>
      </c>
      <c r="G6" s="15">
        <v>14</v>
      </c>
      <c r="H6" s="15">
        <v>46</v>
      </c>
      <c r="I6" s="15">
        <v>31</v>
      </c>
      <c r="J6" s="15">
        <v>10</v>
      </c>
      <c r="K6" s="15"/>
      <c r="L6" s="15"/>
      <c r="M6" s="15"/>
      <c r="N6" s="15"/>
      <c r="O6" s="15"/>
    </row>
    <row r="7" spans="1:17" ht="15.75" customHeight="1" x14ac:dyDescent="0.2">
      <c r="E7" s="80"/>
      <c r="F7" t="s">
        <v>2166</v>
      </c>
      <c r="G7" s="15">
        <v>26</v>
      </c>
      <c r="H7" s="15">
        <v>39</v>
      </c>
      <c r="I7" s="15">
        <v>26</v>
      </c>
      <c r="J7" s="15">
        <v>8</v>
      </c>
      <c r="K7" s="15"/>
      <c r="L7" s="15"/>
      <c r="M7" s="15"/>
      <c r="N7" s="15"/>
      <c r="O7" s="15"/>
    </row>
    <row r="8" spans="1:17" x14ac:dyDescent="0.2">
      <c r="E8" s="80"/>
      <c r="F8" t="s">
        <v>2167</v>
      </c>
      <c r="G8" s="15">
        <v>25</v>
      </c>
      <c r="H8" s="15">
        <v>48</v>
      </c>
      <c r="I8" s="15">
        <v>21</v>
      </c>
      <c r="J8" s="15">
        <v>6</v>
      </c>
      <c r="K8" s="15"/>
      <c r="L8" s="15"/>
      <c r="M8" s="15"/>
      <c r="N8" s="15"/>
      <c r="O8" s="15"/>
    </row>
    <row r="9" spans="1:17" x14ac:dyDescent="0.2">
      <c r="A9" s="83" t="s">
        <v>1098</v>
      </c>
      <c r="B9" s="80"/>
      <c r="E9" s="80"/>
      <c r="F9" t="s">
        <v>2168</v>
      </c>
      <c r="G9" s="15">
        <v>31</v>
      </c>
      <c r="H9" s="15">
        <v>48</v>
      </c>
      <c r="I9" s="15">
        <v>19</v>
      </c>
      <c r="J9" s="15">
        <v>1</v>
      </c>
      <c r="K9" s="15"/>
      <c r="L9" s="15"/>
      <c r="M9" s="15"/>
      <c r="N9" s="15"/>
      <c r="O9" s="15"/>
    </row>
    <row r="10" spans="1:17" x14ac:dyDescent="0.2">
      <c r="A10" t="s">
        <v>1100</v>
      </c>
      <c r="B10" t="s">
        <v>1300</v>
      </c>
      <c r="E10" s="80"/>
      <c r="F10" t="s">
        <v>2169</v>
      </c>
      <c r="G10" s="15">
        <v>34</v>
      </c>
      <c r="H10" s="15">
        <v>50</v>
      </c>
      <c r="I10" s="15">
        <v>12</v>
      </c>
      <c r="J10" s="15">
        <v>3</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3"/>
      <c r="I17" s="63"/>
      <c r="J17" s="63"/>
    </row>
    <row r="18" spans="1:11" x14ac:dyDescent="0.2">
      <c r="A18" s="83" t="s">
        <v>1119</v>
      </c>
      <c r="B18" s="80"/>
      <c r="E18" s="80"/>
      <c r="G18" s="63"/>
      <c r="H18" s="64"/>
      <c r="I18" s="64"/>
      <c r="J18" s="64"/>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100-000000000000}">
      <formula1>"Line,Clustered Bar,Stacked Bar,Bar,Horizontal Stacked Bar"</formula1>
    </dataValidation>
    <dataValidation type="list" allowBlank="1" showInputMessage="1" showErrorMessage="1" sqref="B2" xr:uid="{00000000-0002-0000-E100-000001000000}">
      <formula1>"Table,Figure,Both"</formula1>
    </dataValidation>
    <dataValidation type="list" allowBlank="1" showInputMessage="1" showErrorMessage="1" sqref="B6 B15:B16" xr:uid="{00000000-0002-0000-E100-000002000000}">
      <formula1>"True,False"</formula1>
    </dataValidation>
  </dataValidations>
  <pageMargins left="0.75" right="0.75" top="1" bottom="1" header="0.5" footer="0.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712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tbl-siena-mental-health-income</v>
      </c>
    </row>
    <row r="4" spans="1:17" x14ac:dyDescent="0.2">
      <c r="A4" s="16" t="s">
        <v>7</v>
      </c>
      <c r="B4" t="str">
        <f>IF($B$1="","",_xlfn.XLOOKUP($B$1,Master!$F$2:$F$321,Master!$H$2:$H$321,""))</f>
        <v>fig-siena-mental-health-income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2182</v>
      </c>
      <c r="H5" t="s">
        <v>2183</v>
      </c>
      <c r="I5" t="s">
        <v>2184</v>
      </c>
      <c r="J5" t="s">
        <v>2185</v>
      </c>
    </row>
    <row r="6" spans="1:17" ht="15" customHeight="1" x14ac:dyDescent="0.2">
      <c r="A6" t="s">
        <v>1088</v>
      </c>
      <c r="B6" t="b">
        <v>0</v>
      </c>
      <c r="E6" s="80"/>
      <c r="F6" t="s">
        <v>2180</v>
      </c>
      <c r="G6" s="15">
        <v>24</v>
      </c>
      <c r="H6" s="15">
        <v>43</v>
      </c>
      <c r="I6" s="15">
        <v>26</v>
      </c>
      <c r="J6" s="15">
        <v>6</v>
      </c>
      <c r="K6" s="15"/>
      <c r="L6" s="15"/>
      <c r="M6" s="15"/>
      <c r="N6" s="15"/>
      <c r="O6" s="15"/>
    </row>
    <row r="7" spans="1:17" ht="15.75" customHeight="1" x14ac:dyDescent="0.2">
      <c r="E7" s="80"/>
      <c r="F7" t="s">
        <v>2166</v>
      </c>
      <c r="G7" s="15">
        <v>35</v>
      </c>
      <c r="H7" s="15">
        <v>38</v>
      </c>
      <c r="I7" s="15">
        <v>22</v>
      </c>
      <c r="J7" s="15">
        <v>4</v>
      </c>
      <c r="K7" s="15"/>
      <c r="L7" s="15"/>
      <c r="M7" s="15"/>
      <c r="N7" s="15"/>
      <c r="O7" s="15"/>
    </row>
    <row r="8" spans="1:17" x14ac:dyDescent="0.2">
      <c r="E8" s="80"/>
      <c r="F8" t="s">
        <v>2167</v>
      </c>
      <c r="G8" s="15">
        <v>31</v>
      </c>
      <c r="H8" s="15">
        <v>51</v>
      </c>
      <c r="I8" s="15">
        <v>14</v>
      </c>
      <c r="J8" s="15">
        <v>4</v>
      </c>
      <c r="K8" s="15"/>
      <c r="L8" s="15"/>
      <c r="M8" s="15"/>
      <c r="N8" s="15"/>
      <c r="O8" s="15"/>
    </row>
    <row r="9" spans="1:17" x14ac:dyDescent="0.2">
      <c r="A9" s="83" t="s">
        <v>1098</v>
      </c>
      <c r="B9" s="80"/>
      <c r="E9" s="80"/>
      <c r="F9" t="s">
        <v>2168</v>
      </c>
      <c r="G9" s="15">
        <v>37</v>
      </c>
      <c r="H9" s="15">
        <v>39</v>
      </c>
      <c r="I9" s="15">
        <v>2</v>
      </c>
      <c r="J9" s="15">
        <v>5</v>
      </c>
      <c r="K9" s="15"/>
      <c r="L9" s="15"/>
      <c r="M9" s="15"/>
      <c r="N9" s="15"/>
      <c r="O9" s="15"/>
    </row>
    <row r="10" spans="1:17" x14ac:dyDescent="0.2">
      <c r="A10" t="s">
        <v>1100</v>
      </c>
      <c r="B10" t="s">
        <v>1300</v>
      </c>
      <c r="E10" s="80"/>
      <c r="F10" t="s">
        <v>2169</v>
      </c>
      <c r="G10" s="15">
        <v>52</v>
      </c>
      <c r="H10" s="15">
        <v>37</v>
      </c>
      <c r="I10" s="15">
        <v>10</v>
      </c>
      <c r="J10" s="15">
        <v>1</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3"/>
      <c r="I17" s="63"/>
      <c r="J17" s="63"/>
    </row>
    <row r="18" spans="1:11" x14ac:dyDescent="0.2">
      <c r="A18" s="83" t="s">
        <v>1119</v>
      </c>
      <c r="B18" s="80"/>
      <c r="E18" s="80"/>
      <c r="G18" s="63"/>
      <c r="H18" s="63"/>
      <c r="I18" s="63"/>
      <c r="J18" s="63"/>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200-000000000000}">
      <formula1>"Line,Clustered Bar,Stacked Bar,Bar,Horizontal Stacked Bar"</formula1>
    </dataValidation>
    <dataValidation type="list" allowBlank="1" showInputMessage="1" showErrorMessage="1" sqref="B2" xr:uid="{00000000-0002-0000-E200-000001000000}">
      <formula1>"Table,Figure,Both"</formula1>
    </dataValidation>
    <dataValidation type="list" allowBlank="1" showInputMessage="1" showErrorMessage="1" sqref="B6 B15:B16" xr:uid="{00000000-0002-0000-E200-000002000000}">
      <formula1>"True,False"</formula1>
    </dataValidation>
  </dataValidations>
  <pageMargins left="0.75" right="0.75" top="1" bottom="1" header="0.5" footer="0.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718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tbl-siena-healthy-diet-income</v>
      </c>
    </row>
    <row r="4" spans="1:17" x14ac:dyDescent="0.2">
      <c r="A4" s="16" t="s">
        <v>7</v>
      </c>
      <c r="B4" t="str">
        <f>IF($B$1="","",_xlfn.XLOOKUP($B$1,Master!$F$2:$F$321,Master!$H$2:$H$321,""))</f>
        <v>fig-siena-healthy-diet-income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2191</v>
      </c>
      <c r="H5" t="s">
        <v>2192</v>
      </c>
      <c r="I5" t="s">
        <v>2193</v>
      </c>
      <c r="J5" t="s">
        <v>2194</v>
      </c>
      <c r="K5" t="s">
        <v>2179</v>
      </c>
    </row>
    <row r="6" spans="1:17" ht="15" customHeight="1" x14ac:dyDescent="0.2">
      <c r="A6" t="s">
        <v>1088</v>
      </c>
      <c r="B6" t="b">
        <v>0</v>
      </c>
      <c r="E6" s="80"/>
      <c r="F6" t="s">
        <v>2180</v>
      </c>
      <c r="G6" s="15">
        <v>11</v>
      </c>
      <c r="H6" s="15">
        <v>24</v>
      </c>
      <c r="I6" s="15">
        <v>42</v>
      </c>
      <c r="J6" s="15">
        <v>22</v>
      </c>
      <c r="K6" s="15">
        <v>1</v>
      </c>
      <c r="L6" s="15"/>
      <c r="M6" s="15"/>
      <c r="N6" s="15"/>
      <c r="O6" s="15"/>
    </row>
    <row r="7" spans="1:17" ht="15.75" customHeight="1" x14ac:dyDescent="0.2">
      <c r="E7" s="80"/>
      <c r="F7" t="s">
        <v>2166</v>
      </c>
      <c r="G7" s="15">
        <v>7</v>
      </c>
      <c r="H7" s="15">
        <v>25</v>
      </c>
      <c r="I7" s="15">
        <v>40</v>
      </c>
      <c r="J7" s="15">
        <v>28</v>
      </c>
      <c r="K7" s="15">
        <v>0</v>
      </c>
      <c r="L7" s="15"/>
      <c r="M7" s="15"/>
      <c r="N7" s="15"/>
      <c r="O7" s="15"/>
    </row>
    <row r="8" spans="1:17" x14ac:dyDescent="0.2">
      <c r="E8" s="80"/>
      <c r="F8" t="s">
        <v>2167</v>
      </c>
      <c r="G8" s="15">
        <v>1</v>
      </c>
      <c r="H8" s="15">
        <v>30</v>
      </c>
      <c r="I8" s="15">
        <v>38</v>
      </c>
      <c r="J8" s="15">
        <v>31</v>
      </c>
      <c r="K8" s="15">
        <v>0</v>
      </c>
      <c r="L8" s="15"/>
      <c r="M8" s="15"/>
      <c r="N8" s="15"/>
      <c r="O8" s="15"/>
    </row>
    <row r="9" spans="1:17" x14ac:dyDescent="0.2">
      <c r="A9" s="83" t="s">
        <v>1098</v>
      </c>
      <c r="B9" s="80"/>
      <c r="E9" s="80"/>
      <c r="F9" t="s">
        <v>2168</v>
      </c>
      <c r="G9" s="15">
        <v>4</v>
      </c>
      <c r="H9" s="15">
        <v>15</v>
      </c>
      <c r="I9" s="15">
        <v>50</v>
      </c>
      <c r="J9" s="15">
        <v>30</v>
      </c>
      <c r="K9" s="15">
        <v>0</v>
      </c>
      <c r="L9" s="15"/>
      <c r="M9" s="15"/>
      <c r="N9" s="15"/>
      <c r="O9" s="15"/>
    </row>
    <row r="10" spans="1:17" x14ac:dyDescent="0.2">
      <c r="A10" t="s">
        <v>1100</v>
      </c>
      <c r="B10" t="s">
        <v>1300</v>
      </c>
      <c r="E10" s="80"/>
      <c r="F10" t="s">
        <v>2169</v>
      </c>
      <c r="G10" s="15">
        <v>4</v>
      </c>
      <c r="H10" s="15">
        <v>26</v>
      </c>
      <c r="I10" s="15">
        <v>47</v>
      </c>
      <c r="J10" s="15">
        <v>23</v>
      </c>
      <c r="K10" s="15">
        <v>0</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row>
    <row r="15" spans="1:17" x14ac:dyDescent="0.2">
      <c r="A15" t="s">
        <v>1114</v>
      </c>
      <c r="B15" t="b">
        <v>1</v>
      </c>
      <c r="E15" s="80"/>
      <c r="G15" s="63"/>
      <c r="H15" s="63"/>
      <c r="I15" s="63"/>
      <c r="J15" s="63"/>
      <c r="K15" s="63"/>
    </row>
    <row r="16" spans="1:17" x14ac:dyDescent="0.2">
      <c r="A16" t="s">
        <v>1116</v>
      </c>
      <c r="B16" t="b">
        <v>1</v>
      </c>
      <c r="E16" s="80"/>
      <c r="G16" s="63"/>
      <c r="H16" s="63"/>
      <c r="I16" s="63"/>
      <c r="J16" s="63"/>
      <c r="K16" s="63"/>
    </row>
    <row r="17" spans="1:11" x14ac:dyDescent="0.2">
      <c r="A17" s="76" t="s">
        <v>2137</v>
      </c>
      <c r="B17" t="b">
        <v>0</v>
      </c>
      <c r="E17" s="80"/>
      <c r="G17" s="63"/>
      <c r="H17" s="63"/>
      <c r="I17" s="63"/>
      <c r="J17" s="63"/>
      <c r="K17" s="63"/>
    </row>
    <row r="18" spans="1:11" x14ac:dyDescent="0.2">
      <c r="A18" s="83" t="s">
        <v>1119</v>
      </c>
      <c r="B18" s="80"/>
      <c r="E18" s="80"/>
      <c r="G18" s="63"/>
      <c r="H18" s="63"/>
      <c r="I18" s="63"/>
      <c r="J18" s="63"/>
      <c r="K18" s="63"/>
    </row>
    <row r="19" spans="1:11" x14ac:dyDescent="0.2">
      <c r="A19" t="s">
        <v>1121</v>
      </c>
      <c r="E19" s="80"/>
      <c r="G19" s="63"/>
      <c r="H19" s="63"/>
      <c r="I19" s="63"/>
      <c r="J19" s="63"/>
      <c r="K19" s="63"/>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300-000000000000}">
      <formula1>"Line,Clustered Bar,Stacked Bar,Bar,Horizontal Stacked Bar"</formula1>
    </dataValidation>
    <dataValidation type="list" allowBlank="1" showInputMessage="1" showErrorMessage="1" sqref="B2" xr:uid="{00000000-0002-0000-E300-000001000000}">
      <formula1>"Table,Figure,Both"</formula1>
    </dataValidation>
    <dataValidation type="list" allowBlank="1" showInputMessage="1" showErrorMessage="1" sqref="B6 B15:B16" xr:uid="{00000000-0002-0000-E300-000002000000}">
      <formula1>"True,False"</formula1>
    </dataValidation>
  </dataValidations>
  <pageMargins left="0.75" right="0.75" top="1" bottom="1" header="0.5" footer="0.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724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tbl-siena-exercise-income</v>
      </c>
    </row>
    <row r="4" spans="1:17" x14ac:dyDescent="0.2">
      <c r="A4" s="16" t="s">
        <v>7</v>
      </c>
      <c r="B4" t="str">
        <f>IF($B$1="","",_xlfn.XLOOKUP($B$1,Master!$F$2:$F$321,Master!$H$2:$H$321,""))</f>
        <v>fig-siena-exercise-income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2191</v>
      </c>
      <c r="H5" t="s">
        <v>2192</v>
      </c>
      <c r="I5" t="s">
        <v>2193</v>
      </c>
      <c r="J5" t="s">
        <v>2194</v>
      </c>
    </row>
    <row r="6" spans="1:17" ht="15" customHeight="1" x14ac:dyDescent="0.2">
      <c r="A6" t="s">
        <v>1088</v>
      </c>
      <c r="B6" t="b">
        <v>0</v>
      </c>
      <c r="E6" s="80"/>
      <c r="F6" t="s">
        <v>2180</v>
      </c>
      <c r="G6" s="15">
        <v>33</v>
      </c>
      <c r="H6" s="15">
        <v>31</v>
      </c>
      <c r="I6" s="15">
        <v>16</v>
      </c>
      <c r="J6" s="15">
        <v>19</v>
      </c>
      <c r="K6" s="15"/>
      <c r="L6" s="15"/>
      <c r="M6" s="15"/>
      <c r="N6" s="15"/>
      <c r="O6" s="15"/>
    </row>
    <row r="7" spans="1:17" ht="15.75" customHeight="1" x14ac:dyDescent="0.2">
      <c r="E7" s="80"/>
      <c r="F7" t="s">
        <v>2166</v>
      </c>
      <c r="G7" s="15">
        <v>19</v>
      </c>
      <c r="H7" s="15">
        <v>47</v>
      </c>
      <c r="I7" s="15">
        <v>20</v>
      </c>
      <c r="J7" s="15">
        <v>13</v>
      </c>
      <c r="K7" s="15"/>
      <c r="L7" s="15"/>
      <c r="M7" s="15"/>
      <c r="N7" s="15"/>
      <c r="O7" s="15"/>
    </row>
    <row r="8" spans="1:17" x14ac:dyDescent="0.2">
      <c r="E8" s="80"/>
      <c r="F8" t="s">
        <v>2167</v>
      </c>
      <c r="G8" s="15">
        <v>19</v>
      </c>
      <c r="H8" s="15">
        <v>41</v>
      </c>
      <c r="I8" s="15">
        <v>31</v>
      </c>
      <c r="J8" s="15">
        <v>8</v>
      </c>
      <c r="K8" s="15"/>
      <c r="L8" s="15"/>
      <c r="M8" s="15"/>
      <c r="N8" s="15"/>
      <c r="O8" s="15"/>
    </row>
    <row r="9" spans="1:17" x14ac:dyDescent="0.2">
      <c r="A9" s="83" t="s">
        <v>1098</v>
      </c>
      <c r="B9" s="80"/>
      <c r="E9" s="80"/>
      <c r="F9" t="s">
        <v>2168</v>
      </c>
      <c r="G9" s="15">
        <v>15</v>
      </c>
      <c r="H9" s="15">
        <v>41</v>
      </c>
      <c r="I9" s="15">
        <v>31</v>
      </c>
      <c r="J9" s="15">
        <v>11</v>
      </c>
      <c r="K9" s="15"/>
      <c r="L9" s="15"/>
      <c r="M9" s="15"/>
      <c r="N9" s="15"/>
      <c r="O9" s="15"/>
    </row>
    <row r="10" spans="1:17" x14ac:dyDescent="0.2">
      <c r="A10" t="s">
        <v>1100</v>
      </c>
      <c r="B10" t="s">
        <v>1300</v>
      </c>
      <c r="E10" s="80"/>
      <c r="F10" t="s">
        <v>2169</v>
      </c>
      <c r="G10" s="15">
        <v>10</v>
      </c>
      <c r="H10" s="15">
        <v>36</v>
      </c>
      <c r="I10" s="15">
        <v>37</v>
      </c>
      <c r="J10" s="15">
        <v>17</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63"/>
      <c r="H13" s="63"/>
      <c r="I13" s="63"/>
      <c r="J13" s="63"/>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4"/>
      <c r="I17" s="64"/>
      <c r="J17" s="64"/>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400-000000000000}">
      <formula1>"Line,Clustered Bar,Stacked Bar,Bar,Horizontal Stacked Bar"</formula1>
    </dataValidation>
    <dataValidation type="list" allowBlank="1" showInputMessage="1" showErrorMessage="1" sqref="B2" xr:uid="{00000000-0002-0000-E400-000001000000}">
      <formula1>"Table,Figure,Both"</formula1>
    </dataValidation>
    <dataValidation type="list" allowBlank="1" showInputMessage="1" showErrorMessage="1" sqref="B6 B15:B16" xr:uid="{00000000-0002-0000-E400-000002000000}">
      <formula1>"True,False"</formula1>
    </dataValidation>
  </dataValidations>
  <pageMargins left="0.75" right="0.75" top="1" bottom="1" header="0.5" footer="0.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730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tbl-siena-sleep-income</v>
      </c>
    </row>
    <row r="4" spans="1:17" x14ac:dyDescent="0.2">
      <c r="A4" s="16" t="s">
        <v>7</v>
      </c>
      <c r="B4" t="str">
        <f>IF($B$1="","",_xlfn.XLOOKUP($B$1,Master!$F$2:$F$321,Master!$H$2:$H$321,""))</f>
        <v>fig-siena-sleep-income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2191</v>
      </c>
      <c r="H5" t="s">
        <v>2192</v>
      </c>
      <c r="I5" t="s">
        <v>2193</v>
      </c>
      <c r="J5" t="s">
        <v>2194</v>
      </c>
    </row>
    <row r="6" spans="1:17" ht="15" customHeight="1" x14ac:dyDescent="0.2">
      <c r="A6" t="s">
        <v>1088</v>
      </c>
      <c r="B6" t="b">
        <v>0</v>
      </c>
      <c r="E6" s="80"/>
      <c r="F6" t="s">
        <v>2180</v>
      </c>
      <c r="G6" s="15">
        <v>21</v>
      </c>
      <c r="H6" s="15">
        <v>22</v>
      </c>
      <c r="I6" s="15">
        <v>32</v>
      </c>
      <c r="J6" s="15">
        <v>25</v>
      </c>
      <c r="K6" s="15"/>
      <c r="L6" s="15"/>
      <c r="M6" s="15"/>
      <c r="N6" s="15"/>
      <c r="O6" s="15"/>
    </row>
    <row r="7" spans="1:17" ht="15.75" customHeight="1" x14ac:dyDescent="0.2">
      <c r="E7" s="80"/>
      <c r="F7" t="s">
        <v>2166</v>
      </c>
      <c r="G7" s="15">
        <v>12</v>
      </c>
      <c r="H7" s="15">
        <v>32</v>
      </c>
      <c r="I7" s="15">
        <v>35</v>
      </c>
      <c r="J7" s="15">
        <v>21</v>
      </c>
      <c r="K7" s="15"/>
      <c r="L7" s="15"/>
      <c r="M7" s="15"/>
      <c r="N7" s="15"/>
      <c r="O7" s="15"/>
    </row>
    <row r="8" spans="1:17" x14ac:dyDescent="0.2">
      <c r="E8" s="80"/>
      <c r="F8" t="s">
        <v>2167</v>
      </c>
      <c r="G8" s="15">
        <v>12</v>
      </c>
      <c r="H8" s="15">
        <v>33</v>
      </c>
      <c r="I8" s="15">
        <v>29</v>
      </c>
      <c r="J8" s="15">
        <v>25</v>
      </c>
      <c r="K8" s="15"/>
      <c r="L8" s="15"/>
      <c r="M8" s="15"/>
      <c r="N8" s="15"/>
      <c r="O8" s="15"/>
    </row>
    <row r="9" spans="1:17" x14ac:dyDescent="0.2">
      <c r="A9" s="83" t="s">
        <v>1098</v>
      </c>
      <c r="B9" s="80"/>
      <c r="E9" s="80"/>
      <c r="F9" t="s">
        <v>2168</v>
      </c>
      <c r="G9" s="15">
        <v>13</v>
      </c>
      <c r="H9" s="15">
        <v>32</v>
      </c>
      <c r="I9" s="15">
        <v>37</v>
      </c>
      <c r="J9" s="15">
        <v>18</v>
      </c>
      <c r="K9" s="15"/>
      <c r="L9" s="15"/>
      <c r="M9" s="15"/>
      <c r="N9" s="15"/>
      <c r="O9" s="15"/>
    </row>
    <row r="10" spans="1:17" x14ac:dyDescent="0.2">
      <c r="A10" t="s">
        <v>1100</v>
      </c>
      <c r="B10" t="s">
        <v>1300</v>
      </c>
      <c r="E10" s="80"/>
      <c r="F10" t="s">
        <v>2169</v>
      </c>
      <c r="G10" s="15">
        <v>17</v>
      </c>
      <c r="H10" s="15">
        <v>27</v>
      </c>
      <c r="I10" s="15">
        <v>40</v>
      </c>
      <c r="J10" s="15">
        <v>16</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63"/>
      <c r="H13" s="63"/>
      <c r="I13" s="63"/>
      <c r="J13" s="63"/>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3"/>
      <c r="I16" s="63"/>
      <c r="J16" s="63"/>
    </row>
    <row r="17" spans="1:11" x14ac:dyDescent="0.2">
      <c r="A17" s="76" t="s">
        <v>2137</v>
      </c>
      <c r="B17" t="b">
        <v>0</v>
      </c>
      <c r="E17" s="80"/>
      <c r="G17" s="63"/>
      <c r="H17" s="64"/>
      <c r="I17" s="64"/>
      <c r="J17" s="64"/>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500-000000000000}">
      <formula1>"Line,Clustered Bar,Stacked Bar,Bar,Horizontal Stacked Bar"</formula1>
    </dataValidation>
    <dataValidation type="list" allowBlank="1" showInputMessage="1" showErrorMessage="1" sqref="B2" xr:uid="{00000000-0002-0000-E500-000001000000}">
      <formula1>"Table,Figure,Both"</formula1>
    </dataValidation>
    <dataValidation type="list" allowBlank="1" showInputMessage="1" showErrorMessage="1" sqref="B6 B15:B16" xr:uid="{00000000-0002-0000-E500-000002000000}">
      <formula1>"True,False"</formula1>
    </dataValidation>
  </dataValidations>
  <pageMargins left="0.75" right="0.75" top="1" bottom="1" header="0.5" footer="0.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736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tbl-siena-stress-income</v>
      </c>
    </row>
    <row r="4" spans="1:17" x14ac:dyDescent="0.2">
      <c r="A4" s="16" t="s">
        <v>7</v>
      </c>
      <c r="B4" t="str">
        <f>IF($B$1="","",_xlfn.XLOOKUP($B$1,Master!$F$2:$F$321,Master!$H$2:$H$321,""))</f>
        <v>fig-siena-stress-income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2195</v>
      </c>
      <c r="H5" t="s">
        <v>2196</v>
      </c>
      <c r="I5" t="s">
        <v>2197</v>
      </c>
      <c r="J5" t="s">
        <v>2198</v>
      </c>
    </row>
    <row r="6" spans="1:17" ht="15" customHeight="1" x14ac:dyDescent="0.2">
      <c r="A6" t="s">
        <v>1088</v>
      </c>
      <c r="B6" t="b">
        <v>0</v>
      </c>
      <c r="E6" s="80"/>
      <c r="F6" t="s">
        <v>2180</v>
      </c>
      <c r="G6" s="15">
        <v>14</v>
      </c>
      <c r="H6" s="15">
        <v>15</v>
      </c>
      <c r="I6" s="15">
        <v>44</v>
      </c>
      <c r="J6" s="15">
        <v>27</v>
      </c>
      <c r="K6" s="15"/>
      <c r="L6" s="15"/>
      <c r="M6" s="15"/>
      <c r="N6" s="15"/>
      <c r="O6" s="15"/>
    </row>
    <row r="7" spans="1:17" ht="15.75" customHeight="1" x14ac:dyDescent="0.2">
      <c r="E7" s="80"/>
      <c r="F7" t="s">
        <v>2166</v>
      </c>
      <c r="G7" s="15">
        <v>12</v>
      </c>
      <c r="H7" s="15">
        <v>27</v>
      </c>
      <c r="I7" s="15">
        <v>42</v>
      </c>
      <c r="J7" s="15">
        <v>19</v>
      </c>
      <c r="K7" s="15"/>
      <c r="L7" s="15"/>
      <c r="M7" s="15"/>
      <c r="N7" s="15"/>
      <c r="O7" s="15"/>
    </row>
    <row r="8" spans="1:17" x14ac:dyDescent="0.2">
      <c r="E8" s="80"/>
      <c r="F8" t="s">
        <v>2167</v>
      </c>
      <c r="G8" s="15">
        <v>16</v>
      </c>
      <c r="H8" s="15">
        <v>24</v>
      </c>
      <c r="I8" s="15">
        <v>44</v>
      </c>
      <c r="J8" s="15">
        <v>16</v>
      </c>
      <c r="K8" s="15"/>
      <c r="L8" s="15"/>
      <c r="M8" s="15"/>
      <c r="N8" s="15"/>
      <c r="O8" s="15"/>
    </row>
    <row r="9" spans="1:17" x14ac:dyDescent="0.2">
      <c r="A9" s="83" t="s">
        <v>1098</v>
      </c>
      <c r="B9" s="80"/>
      <c r="E9" s="80"/>
      <c r="F9" t="s">
        <v>2168</v>
      </c>
      <c r="G9" s="15">
        <v>9</v>
      </c>
      <c r="H9" s="15">
        <v>27</v>
      </c>
      <c r="I9" s="15">
        <v>51</v>
      </c>
      <c r="J9" s="15">
        <v>13</v>
      </c>
      <c r="K9" s="15"/>
      <c r="L9" s="15"/>
      <c r="M9" s="15"/>
      <c r="N9" s="15"/>
      <c r="O9" s="15"/>
    </row>
    <row r="10" spans="1:17" x14ac:dyDescent="0.2">
      <c r="A10" t="s">
        <v>1100</v>
      </c>
      <c r="B10" t="s">
        <v>1300</v>
      </c>
      <c r="E10" s="80"/>
      <c r="F10" t="s">
        <v>2169</v>
      </c>
      <c r="G10" s="15">
        <v>14</v>
      </c>
      <c r="H10" s="15">
        <v>20</v>
      </c>
      <c r="I10" s="15">
        <v>52</v>
      </c>
      <c r="J10" s="15">
        <v>14</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63"/>
      <c r="J12" s="63"/>
      <c r="K12" s="15"/>
      <c r="L12" s="15"/>
    </row>
    <row r="13" spans="1:17" x14ac:dyDescent="0.2">
      <c r="A13" t="s">
        <v>1108</v>
      </c>
      <c r="E13" s="80"/>
      <c r="G13" s="63"/>
      <c r="H13" s="63"/>
      <c r="I13" s="63"/>
      <c r="J13" s="63"/>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4"/>
      <c r="I16" s="64"/>
      <c r="J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600-000000000000}">
      <formula1>"Line,Clustered Bar,Stacked Bar,Bar,Horizontal Stacked Bar"</formula1>
    </dataValidation>
    <dataValidation type="list" allowBlank="1" showInputMessage="1" showErrorMessage="1" sqref="B2" xr:uid="{00000000-0002-0000-E600-000001000000}">
      <formula1>"Table,Figure,Both"</formula1>
    </dataValidation>
    <dataValidation type="list" allowBlank="1" showInputMessage="1" showErrorMessage="1" sqref="B6 B15:B16" xr:uid="{00000000-0002-0000-E600-000002000000}">
      <formula1>"True,False"</formula1>
    </dataValidation>
  </dataValidations>
  <pageMargins left="0.75" right="0.75" top="1" bottom="1" header="0.5" footer="0.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742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tbl-siena-quality-encounter-income</v>
      </c>
    </row>
    <row r="4" spans="1:17" x14ac:dyDescent="0.2">
      <c r="A4" s="16" t="s">
        <v>7</v>
      </c>
      <c r="B4" t="str">
        <f>IF($B$1="","",_xlfn.XLOOKUP($B$1,Master!$F$2:$F$321,Master!$H$2:$H$321,""))</f>
        <v>fig-siena-quality-encounter-income</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2164</v>
      </c>
      <c r="G5" t="s">
        <v>2199</v>
      </c>
      <c r="H5" t="s">
        <v>2200</v>
      </c>
      <c r="I5" t="s">
        <v>2201</v>
      </c>
      <c r="J5" t="s">
        <v>2202</v>
      </c>
    </row>
    <row r="6" spans="1:17" ht="15" customHeight="1" x14ac:dyDescent="0.2">
      <c r="A6" t="s">
        <v>1088</v>
      </c>
      <c r="B6" t="b">
        <v>0</v>
      </c>
      <c r="E6" s="80"/>
      <c r="F6" t="s">
        <v>2180</v>
      </c>
      <c r="G6" s="15">
        <v>17</v>
      </c>
      <c r="H6" s="15">
        <v>26</v>
      </c>
      <c r="I6" s="15">
        <v>28</v>
      </c>
      <c r="J6" s="15">
        <v>29</v>
      </c>
      <c r="K6" s="15"/>
      <c r="L6" s="15"/>
      <c r="M6" s="15"/>
      <c r="N6" s="15"/>
      <c r="O6" s="15"/>
    </row>
    <row r="7" spans="1:17" ht="15.75" customHeight="1" x14ac:dyDescent="0.2">
      <c r="E7" s="80"/>
      <c r="F7" t="s">
        <v>2166</v>
      </c>
      <c r="G7" s="15">
        <v>10</v>
      </c>
      <c r="H7" s="15">
        <v>20</v>
      </c>
      <c r="I7" s="15">
        <v>29</v>
      </c>
      <c r="J7" s="15">
        <v>40</v>
      </c>
      <c r="K7" s="15"/>
      <c r="L7" s="15"/>
      <c r="M7" s="15"/>
      <c r="N7" s="15"/>
      <c r="O7" s="15"/>
    </row>
    <row r="8" spans="1:17" x14ac:dyDescent="0.2">
      <c r="E8" s="80"/>
      <c r="F8" t="s">
        <v>2167</v>
      </c>
      <c r="G8" s="15">
        <v>7</v>
      </c>
      <c r="H8" s="15">
        <v>30</v>
      </c>
      <c r="I8" s="15">
        <v>25</v>
      </c>
      <c r="J8" s="15">
        <v>37</v>
      </c>
      <c r="K8" s="15"/>
      <c r="L8" s="15"/>
      <c r="M8" s="15"/>
      <c r="N8" s="15"/>
      <c r="O8" s="15"/>
    </row>
    <row r="9" spans="1:17" x14ac:dyDescent="0.2">
      <c r="A9" s="83" t="s">
        <v>1098</v>
      </c>
      <c r="B9" s="80"/>
      <c r="E9" s="80"/>
      <c r="F9" t="s">
        <v>2168</v>
      </c>
      <c r="G9" s="15">
        <v>5</v>
      </c>
      <c r="H9" s="15">
        <v>22</v>
      </c>
      <c r="I9" s="15">
        <v>43</v>
      </c>
      <c r="J9" s="15">
        <v>29</v>
      </c>
      <c r="K9" s="15"/>
      <c r="L9" s="15"/>
      <c r="M9" s="15"/>
      <c r="N9" s="15"/>
      <c r="O9" s="15"/>
    </row>
    <row r="10" spans="1:17" x14ac:dyDescent="0.2">
      <c r="A10" t="s">
        <v>1100</v>
      </c>
      <c r="B10" t="s">
        <v>1300</v>
      </c>
      <c r="E10" s="80"/>
      <c r="F10" t="s">
        <v>2169</v>
      </c>
      <c r="G10" s="15">
        <v>5</v>
      </c>
      <c r="H10" s="15">
        <v>17</v>
      </c>
      <c r="I10" s="15">
        <v>33</v>
      </c>
      <c r="J10" s="15">
        <v>45</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63"/>
      <c r="J12" s="63"/>
      <c r="K12" s="15"/>
      <c r="L12" s="15"/>
    </row>
    <row r="13" spans="1:17" x14ac:dyDescent="0.2">
      <c r="A13" t="s">
        <v>1108</v>
      </c>
      <c r="E13" s="80"/>
      <c r="G13" s="63"/>
      <c r="H13" s="63"/>
      <c r="I13" s="63"/>
      <c r="J13" s="63"/>
    </row>
    <row r="14" spans="1:17" x14ac:dyDescent="0.2">
      <c r="A14" t="s">
        <v>1112</v>
      </c>
      <c r="B14" t="s">
        <v>990</v>
      </c>
      <c r="E14" s="80"/>
      <c r="G14" s="63"/>
      <c r="H14" s="63"/>
      <c r="I14" s="63"/>
      <c r="J14" s="63"/>
    </row>
    <row r="15" spans="1:17" x14ac:dyDescent="0.2">
      <c r="A15" t="s">
        <v>1114</v>
      </c>
      <c r="B15" t="b">
        <v>1</v>
      </c>
      <c r="E15" s="80"/>
      <c r="G15" s="63"/>
      <c r="H15" s="63"/>
      <c r="I15" s="63"/>
      <c r="J15" s="63"/>
    </row>
    <row r="16" spans="1:17" x14ac:dyDescent="0.2">
      <c r="A16" t="s">
        <v>1116</v>
      </c>
      <c r="B16" t="b">
        <v>1</v>
      </c>
      <c r="E16" s="80"/>
      <c r="G16" s="63"/>
      <c r="H16" s="64"/>
      <c r="I16" s="64"/>
      <c r="J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700-000000000000}">
      <formula1>"Line,Clustered Bar,Stacked Bar,Bar,Horizontal Stacked Bar"</formula1>
    </dataValidation>
    <dataValidation type="list" allowBlank="1" showInputMessage="1" showErrorMessage="1" sqref="B2" xr:uid="{00000000-0002-0000-E700-000001000000}">
      <formula1>"Table,Figure,Both"</formula1>
    </dataValidation>
    <dataValidation type="list" allowBlank="1" showInputMessage="1" showErrorMessage="1" sqref="B6 B15:B16" xr:uid="{00000000-0002-0000-E700-000002000000}">
      <formula1>"True,False"</formula1>
    </dataValidation>
  </dataValidations>
  <pageMargins left="0.75" right="0.75" top="1" bottom="1" header="0.5" footer="0.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748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tbl-siena-alcohol-income</v>
      </c>
    </row>
    <row r="4" spans="1:17" x14ac:dyDescent="0.2">
      <c r="A4" s="16" t="s">
        <v>7</v>
      </c>
      <c r="B4" t="str">
        <f>IF($B$1="","",_xlfn.XLOOKUP($B$1,Master!$F$2:$F$321,Master!$H$2:$H$321,""))</f>
        <v>fig-siena-alcohol-income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s="15" t="s">
        <v>2203</v>
      </c>
      <c r="H5" s="15" t="s">
        <v>2204</v>
      </c>
      <c r="I5" s="15" t="s">
        <v>2205</v>
      </c>
      <c r="J5" s="15" t="s">
        <v>2206</v>
      </c>
      <c r="K5" s="15" t="s">
        <v>2207</v>
      </c>
    </row>
    <row r="6" spans="1:17" ht="15" customHeight="1" x14ac:dyDescent="0.2">
      <c r="A6" t="s">
        <v>1088</v>
      </c>
      <c r="B6" t="b">
        <v>0</v>
      </c>
      <c r="E6" s="80"/>
      <c r="F6" t="s">
        <v>2180</v>
      </c>
      <c r="G6" s="15">
        <v>46</v>
      </c>
      <c r="H6" s="15">
        <v>27</v>
      </c>
      <c r="I6" s="15">
        <v>12</v>
      </c>
      <c r="J6" s="15">
        <v>7</v>
      </c>
      <c r="K6" s="15">
        <v>6</v>
      </c>
      <c r="L6" s="15"/>
      <c r="M6" s="15"/>
      <c r="N6" s="15"/>
      <c r="O6" s="15"/>
    </row>
    <row r="7" spans="1:17" ht="15.75" customHeight="1" x14ac:dyDescent="0.2">
      <c r="E7" s="80"/>
      <c r="F7" t="s">
        <v>2166</v>
      </c>
      <c r="G7" s="15">
        <v>48</v>
      </c>
      <c r="H7" s="15">
        <v>17</v>
      </c>
      <c r="I7" s="15">
        <v>20</v>
      </c>
      <c r="J7" s="15">
        <v>10</v>
      </c>
      <c r="K7" s="15">
        <v>4</v>
      </c>
      <c r="L7" s="15"/>
      <c r="M7" s="15"/>
      <c r="N7" s="15"/>
      <c r="O7" s="15"/>
    </row>
    <row r="8" spans="1:17" x14ac:dyDescent="0.2">
      <c r="E8" s="80"/>
      <c r="F8" t="s">
        <v>2167</v>
      </c>
      <c r="G8" s="15">
        <v>28</v>
      </c>
      <c r="H8" s="15">
        <v>28</v>
      </c>
      <c r="I8" s="15">
        <v>17</v>
      </c>
      <c r="J8" s="15">
        <v>21</v>
      </c>
      <c r="K8" s="15">
        <v>6</v>
      </c>
      <c r="L8" s="15"/>
      <c r="M8" s="15"/>
      <c r="N8" s="15"/>
      <c r="O8" s="15"/>
    </row>
    <row r="9" spans="1:17" x14ac:dyDescent="0.2">
      <c r="A9" s="83" t="s">
        <v>1098</v>
      </c>
      <c r="B9" s="80"/>
      <c r="E9" s="80"/>
      <c r="F9" t="s">
        <v>2168</v>
      </c>
      <c r="G9" s="15">
        <v>25</v>
      </c>
      <c r="H9" s="15">
        <v>21</v>
      </c>
      <c r="I9" s="15">
        <v>30</v>
      </c>
      <c r="J9" s="15">
        <v>19</v>
      </c>
      <c r="K9" s="15">
        <v>5</v>
      </c>
      <c r="L9" s="15"/>
      <c r="M9" s="15"/>
      <c r="N9" s="15"/>
      <c r="O9" s="15"/>
    </row>
    <row r="10" spans="1:17" x14ac:dyDescent="0.2">
      <c r="A10" t="s">
        <v>1100</v>
      </c>
      <c r="B10" t="s">
        <v>1300</v>
      </c>
      <c r="E10" s="80"/>
      <c r="F10" t="s">
        <v>2169</v>
      </c>
      <c r="G10" s="15">
        <v>20</v>
      </c>
      <c r="H10" s="15">
        <v>25</v>
      </c>
      <c r="I10" s="15">
        <v>27</v>
      </c>
      <c r="J10" s="15">
        <v>25</v>
      </c>
      <c r="K10" s="15">
        <v>4</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63"/>
      <c r="J12" s="63"/>
      <c r="K12" s="63"/>
      <c r="L12" s="15"/>
    </row>
    <row r="13" spans="1:17" x14ac:dyDescent="0.2">
      <c r="A13" t="s">
        <v>1108</v>
      </c>
      <c r="E13" s="80"/>
      <c r="G13" s="63"/>
      <c r="H13" s="63"/>
      <c r="I13" s="63"/>
      <c r="J13" s="63"/>
      <c r="K13" s="63"/>
    </row>
    <row r="14" spans="1:17" x14ac:dyDescent="0.2">
      <c r="A14" t="s">
        <v>1112</v>
      </c>
      <c r="B14" t="s">
        <v>990</v>
      </c>
      <c r="E14" s="80"/>
      <c r="G14" s="63"/>
      <c r="H14" s="63"/>
      <c r="I14" s="63"/>
      <c r="J14" s="63"/>
      <c r="K14" s="63"/>
    </row>
    <row r="15" spans="1:17" x14ac:dyDescent="0.2">
      <c r="A15" t="s">
        <v>1114</v>
      </c>
      <c r="B15" t="b">
        <v>1</v>
      </c>
      <c r="E15" s="80"/>
      <c r="G15" s="63"/>
      <c r="H15" s="63"/>
      <c r="I15" s="63"/>
      <c r="J15" s="63"/>
      <c r="K15" s="63"/>
    </row>
    <row r="16" spans="1:17" x14ac:dyDescent="0.2">
      <c r="A16" t="s">
        <v>1116</v>
      </c>
      <c r="B16" t="b">
        <v>1</v>
      </c>
      <c r="E16" s="80"/>
      <c r="G16" s="63"/>
      <c r="H16" s="64"/>
      <c r="I16" s="64"/>
      <c r="J16" s="64"/>
      <c r="K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800-000000000000}">
      <formula1>"Line,Clustered Bar,Stacked Bar,Bar,Horizontal Stacked Bar"</formula1>
    </dataValidation>
    <dataValidation type="list" allowBlank="1" showInputMessage="1" showErrorMessage="1" sqref="B2" xr:uid="{00000000-0002-0000-E800-000001000000}">
      <formula1>"Table,Figure,Both"</formula1>
    </dataValidation>
    <dataValidation type="list" allowBlank="1" showInputMessage="1" showErrorMessage="1" sqref="B6 B15:B16" xr:uid="{00000000-0002-0000-E800-000002000000}">
      <formula1>"True,False"</formula1>
    </dataValidation>
  </dataValidations>
  <pageMargins left="0.75" right="0.75" top="1" bottom="1" header="0.5" footer="0.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754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tbl-siena-non-medical-drug-use-income</v>
      </c>
    </row>
    <row r="4" spans="1:17" x14ac:dyDescent="0.2">
      <c r="A4" s="16" t="s">
        <v>7</v>
      </c>
      <c r="B4" t="str">
        <f>IF($B$1="","",_xlfn.XLOOKUP($B$1,Master!$F$2:$F$321,Master!$H$2:$H$321,""))</f>
        <v>fig-siena-non-medical-drug-use-income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s="15" t="s">
        <v>2203</v>
      </c>
      <c r="H5" s="15" t="s">
        <v>2204</v>
      </c>
      <c r="I5" s="15" t="s">
        <v>2205</v>
      </c>
      <c r="J5" s="15" t="s">
        <v>2206</v>
      </c>
      <c r="K5" s="15" t="s">
        <v>2207</v>
      </c>
    </row>
    <row r="6" spans="1:17" ht="15" customHeight="1" x14ac:dyDescent="0.2">
      <c r="A6" t="s">
        <v>1088</v>
      </c>
      <c r="B6" t="b">
        <v>0</v>
      </c>
      <c r="E6" s="80"/>
      <c r="F6" t="s">
        <v>2180</v>
      </c>
      <c r="G6" s="15">
        <v>80</v>
      </c>
      <c r="H6" s="15">
        <v>5</v>
      </c>
      <c r="I6" s="15">
        <v>5</v>
      </c>
      <c r="J6" s="15">
        <v>0</v>
      </c>
      <c r="K6" s="15">
        <v>10</v>
      </c>
      <c r="L6" s="15"/>
      <c r="M6" s="15"/>
      <c r="N6" s="15"/>
      <c r="O6" s="15"/>
    </row>
    <row r="7" spans="1:17" ht="15.75" customHeight="1" x14ac:dyDescent="0.2">
      <c r="E7" s="80"/>
      <c r="F7" t="s">
        <v>2166</v>
      </c>
      <c r="G7" s="15">
        <v>78</v>
      </c>
      <c r="H7" s="15">
        <v>7</v>
      </c>
      <c r="I7" s="15">
        <v>3</v>
      </c>
      <c r="J7" s="15">
        <v>0</v>
      </c>
      <c r="K7" s="15">
        <v>12</v>
      </c>
      <c r="L7" s="15"/>
      <c r="M7" s="15"/>
      <c r="N7" s="15"/>
      <c r="O7" s="15"/>
    </row>
    <row r="8" spans="1:17" x14ac:dyDescent="0.2">
      <c r="E8" s="80"/>
      <c r="F8" t="s">
        <v>2167</v>
      </c>
      <c r="G8" s="15">
        <v>70</v>
      </c>
      <c r="H8" s="15">
        <v>9</v>
      </c>
      <c r="I8" s="15">
        <v>8</v>
      </c>
      <c r="J8" s="15">
        <v>2</v>
      </c>
      <c r="K8" s="15">
        <v>8</v>
      </c>
      <c r="L8" s="15"/>
      <c r="M8" s="15"/>
      <c r="N8" s="15"/>
      <c r="O8" s="15"/>
    </row>
    <row r="9" spans="1:17" x14ac:dyDescent="0.2">
      <c r="A9" s="83" t="s">
        <v>1098</v>
      </c>
      <c r="B9" s="80"/>
      <c r="E9" s="80"/>
      <c r="F9" t="s">
        <v>2168</v>
      </c>
      <c r="G9" s="15">
        <v>77</v>
      </c>
      <c r="H9" s="15">
        <v>6</v>
      </c>
      <c r="I9" s="15">
        <v>4</v>
      </c>
      <c r="J9" s="15">
        <v>2</v>
      </c>
      <c r="K9" s="15">
        <v>11</v>
      </c>
      <c r="L9" s="15"/>
      <c r="M9" s="15"/>
      <c r="N9" s="15"/>
      <c r="O9" s="15"/>
    </row>
    <row r="10" spans="1:17" x14ac:dyDescent="0.2">
      <c r="A10" t="s">
        <v>1100</v>
      </c>
      <c r="B10" t="s">
        <v>1300</v>
      </c>
      <c r="E10" s="80"/>
      <c r="F10" t="s">
        <v>2169</v>
      </c>
      <c r="G10" s="15">
        <v>82</v>
      </c>
      <c r="H10" s="15">
        <v>7</v>
      </c>
      <c r="I10" s="15">
        <v>2</v>
      </c>
      <c r="J10" s="15">
        <v>3</v>
      </c>
      <c r="K10" s="15">
        <v>5</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c r="G14" s="63"/>
      <c r="H14" s="63"/>
      <c r="I14" s="63"/>
      <c r="J14" s="63"/>
      <c r="K14" s="63"/>
    </row>
    <row r="15" spans="1:17" x14ac:dyDescent="0.2">
      <c r="A15" t="s">
        <v>1114</v>
      </c>
      <c r="B15" t="b">
        <v>1</v>
      </c>
      <c r="E15" s="80"/>
      <c r="G15" s="63"/>
      <c r="H15" s="63"/>
      <c r="I15" s="63"/>
      <c r="J15" s="63"/>
      <c r="K15" s="63"/>
    </row>
    <row r="16" spans="1:17" x14ac:dyDescent="0.2">
      <c r="A16" t="s">
        <v>1116</v>
      </c>
      <c r="B16" t="b">
        <v>1</v>
      </c>
      <c r="E16" s="80"/>
      <c r="G16" s="63"/>
      <c r="H16" s="63"/>
      <c r="I16" s="63"/>
      <c r="J16" s="63"/>
      <c r="K16" s="63"/>
    </row>
    <row r="17" spans="1:11" x14ac:dyDescent="0.2">
      <c r="A17" s="76" t="s">
        <v>2137</v>
      </c>
      <c r="B17" t="b">
        <v>0</v>
      </c>
      <c r="E17" s="80"/>
      <c r="G17" s="63"/>
      <c r="H17" s="63"/>
      <c r="I17" s="63"/>
      <c r="J17" s="63"/>
      <c r="K17" s="63"/>
    </row>
    <row r="18" spans="1:11" x14ac:dyDescent="0.2">
      <c r="A18" s="83" t="s">
        <v>1119</v>
      </c>
      <c r="B18" s="80"/>
      <c r="E18" s="80"/>
      <c r="G18" s="63"/>
      <c r="H18" s="64"/>
      <c r="I18" s="64"/>
      <c r="J18" s="64"/>
      <c r="K18" s="64"/>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900-000000000000}">
      <formula1>"Line,Clustered Bar,Stacked Bar,Bar,Horizontal Stacked Bar"</formula1>
    </dataValidation>
    <dataValidation type="list" allowBlank="1" showInputMessage="1" showErrorMessage="1" sqref="B2" xr:uid="{00000000-0002-0000-E900-000001000000}">
      <formula1>"Table,Figure,Both"</formula1>
    </dataValidation>
    <dataValidation type="list" allowBlank="1" showInputMessage="1" showErrorMessage="1" sqref="B6 B15:B16" xr:uid="{00000000-0002-0000-E900-000002000000}">
      <formula1>"True,False"</formula1>
    </dataValidation>
  </dataValidations>
  <pageMargins left="0.75" right="0.75" top="1" bottom="1" header="0.5" footer="0.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Q57"/>
  <sheetViews>
    <sheetView workbookViewId="0">
      <selection activeCell="F16" sqref="F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760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tbl-siena-cannabis-income</v>
      </c>
    </row>
    <row r="4" spans="1:17" x14ac:dyDescent="0.2">
      <c r="A4" s="16" t="s">
        <v>7</v>
      </c>
      <c r="B4" t="str">
        <f>IF($B$1="","",_xlfn.XLOOKUP($B$1,Master!$F$2:$F$321,Master!$H$2:$H$321,""))</f>
        <v>fig-siena-cannabis-income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2164</v>
      </c>
      <c r="G5" t="s">
        <v>2208</v>
      </c>
      <c r="H5" t="s">
        <v>2209</v>
      </c>
      <c r="I5" t="s">
        <v>2210</v>
      </c>
    </row>
    <row r="6" spans="1:17" ht="15" customHeight="1" x14ac:dyDescent="0.2">
      <c r="A6" t="s">
        <v>1088</v>
      </c>
      <c r="B6" t="b">
        <v>0</v>
      </c>
      <c r="E6" s="80"/>
      <c r="F6" t="s">
        <v>2180</v>
      </c>
      <c r="G6" s="15">
        <v>8</v>
      </c>
      <c r="H6" s="15">
        <v>13</v>
      </c>
      <c r="I6" s="15">
        <v>77</v>
      </c>
      <c r="J6" s="63"/>
      <c r="K6" s="15"/>
      <c r="L6" s="15"/>
      <c r="M6" s="15"/>
      <c r="N6" s="15"/>
      <c r="O6" s="15"/>
    </row>
    <row r="7" spans="1:17" ht="15.75" customHeight="1" x14ac:dyDescent="0.2">
      <c r="E7" s="80"/>
      <c r="F7" t="s">
        <v>2166</v>
      </c>
      <c r="G7" s="15">
        <v>11</v>
      </c>
      <c r="H7" s="15">
        <v>9</v>
      </c>
      <c r="I7" s="15">
        <v>78</v>
      </c>
      <c r="J7" s="15"/>
      <c r="K7" s="15"/>
      <c r="L7" s="15"/>
      <c r="M7" s="15"/>
      <c r="N7" s="15"/>
      <c r="O7" s="15"/>
    </row>
    <row r="8" spans="1:17" x14ac:dyDescent="0.2">
      <c r="E8" s="80"/>
      <c r="F8" t="s">
        <v>2167</v>
      </c>
      <c r="G8" s="15">
        <v>7</v>
      </c>
      <c r="H8" s="15">
        <v>14</v>
      </c>
      <c r="I8" s="15">
        <v>78</v>
      </c>
      <c r="J8" s="15"/>
      <c r="K8" s="15"/>
      <c r="L8" s="15"/>
      <c r="M8" s="15"/>
      <c r="N8" s="15"/>
      <c r="O8" s="15"/>
    </row>
    <row r="9" spans="1:17" x14ac:dyDescent="0.2">
      <c r="A9" s="83" t="s">
        <v>1098</v>
      </c>
      <c r="B9" s="80"/>
      <c r="E9" s="80"/>
      <c r="F9" t="s">
        <v>2168</v>
      </c>
      <c r="G9" s="15">
        <v>4</v>
      </c>
      <c r="H9" s="15">
        <v>24</v>
      </c>
      <c r="I9" s="15">
        <v>72</v>
      </c>
      <c r="J9" s="15"/>
      <c r="K9" s="15"/>
      <c r="L9" s="15"/>
      <c r="M9" s="15"/>
      <c r="N9" s="15"/>
      <c r="O9" s="15"/>
    </row>
    <row r="10" spans="1:17" x14ac:dyDescent="0.2">
      <c r="A10" t="s">
        <v>1100</v>
      </c>
      <c r="B10" t="s">
        <v>1300</v>
      </c>
      <c r="E10" s="80"/>
      <c r="F10" t="s">
        <v>2169</v>
      </c>
      <c r="G10" s="15">
        <v>4</v>
      </c>
      <c r="H10" s="15">
        <v>9</v>
      </c>
      <c r="I10" s="15">
        <v>87</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63"/>
      <c r="J12" s="15"/>
      <c r="K12" s="15"/>
      <c r="L12" s="15"/>
    </row>
    <row r="13" spans="1:17" x14ac:dyDescent="0.2">
      <c r="A13" t="s">
        <v>1108</v>
      </c>
      <c r="E13" s="80"/>
      <c r="G13" s="63"/>
      <c r="H13" s="63"/>
      <c r="I13" s="63"/>
    </row>
    <row r="14" spans="1:17" x14ac:dyDescent="0.2">
      <c r="A14" t="s">
        <v>1112</v>
      </c>
      <c r="B14" t="s">
        <v>990</v>
      </c>
      <c r="E14" s="80"/>
      <c r="G14" s="63"/>
      <c r="H14" s="63"/>
      <c r="I14" s="63"/>
    </row>
    <row r="15" spans="1:17" x14ac:dyDescent="0.2">
      <c r="A15" t="s">
        <v>1114</v>
      </c>
      <c r="B15" t="b">
        <v>1</v>
      </c>
      <c r="E15" s="80"/>
      <c r="G15" s="63"/>
      <c r="H15" s="63"/>
      <c r="I15" s="63"/>
    </row>
    <row r="16" spans="1:17" x14ac:dyDescent="0.2">
      <c r="A16" t="s">
        <v>1116</v>
      </c>
      <c r="B16" t="b">
        <v>1</v>
      </c>
      <c r="E16" s="80"/>
      <c r="G16" s="63"/>
      <c r="H16" s="64"/>
      <c r="I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A00-000000000000}">
      <formula1>"Line,Clustered Bar,Stacked Bar,Bar,Horizontal Stacked Bar"</formula1>
    </dataValidation>
    <dataValidation type="list" allowBlank="1" showInputMessage="1" showErrorMessage="1" sqref="B2" xr:uid="{00000000-0002-0000-EA00-000001000000}">
      <formula1>"Table,Figure,Both"</formula1>
    </dataValidation>
    <dataValidation type="list" allowBlank="1" showInputMessage="1" showErrorMessage="1" sqref="B6 B15:B16" xr:uid="{00000000-0002-0000-EA00-000002000000}">
      <formula1>"True,False"</formula1>
    </dataValidation>
  </dataValidations>
  <pageMargins left="0.75" right="0.75" top="1" bottom="1" header="0.5" footer="0.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766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tbl-siena-unable-food-income</v>
      </c>
    </row>
    <row r="4" spans="1:17" x14ac:dyDescent="0.2">
      <c r="A4" s="16" t="s">
        <v>7</v>
      </c>
      <c r="B4" t="str">
        <f>IF($B$1="","",_xlfn.XLOOKUP($B$1,Master!$F$2:$F$321,Master!$H$2:$H$321,""))</f>
        <v>fig-siena-unable-food-income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22</v>
      </c>
      <c r="H6" s="15">
        <v>78</v>
      </c>
      <c r="I6" s="15"/>
      <c r="J6" s="15"/>
      <c r="K6" s="15"/>
      <c r="L6" s="15"/>
      <c r="M6" s="15"/>
      <c r="N6" s="15"/>
      <c r="O6" s="15"/>
    </row>
    <row r="7" spans="1:17" ht="15.75" customHeight="1" x14ac:dyDescent="0.2">
      <c r="E7" s="80"/>
      <c r="F7" t="s">
        <v>2166</v>
      </c>
      <c r="G7" s="15">
        <v>22</v>
      </c>
      <c r="H7" s="15">
        <v>78</v>
      </c>
      <c r="I7" s="15"/>
      <c r="J7" s="15"/>
      <c r="K7" s="15"/>
      <c r="L7" s="15"/>
      <c r="M7" s="15"/>
      <c r="N7" s="15"/>
      <c r="O7" s="15"/>
    </row>
    <row r="8" spans="1:17" x14ac:dyDescent="0.2">
      <c r="E8" s="80"/>
      <c r="F8" t="s">
        <v>2167</v>
      </c>
      <c r="G8" s="15">
        <v>19</v>
      </c>
      <c r="H8" s="15">
        <v>80</v>
      </c>
      <c r="I8" s="15"/>
      <c r="J8" s="15"/>
      <c r="K8" s="15"/>
      <c r="L8" s="15"/>
      <c r="M8" s="15"/>
      <c r="N8" s="15"/>
      <c r="O8" s="15"/>
    </row>
    <row r="9" spans="1:17" x14ac:dyDescent="0.2">
      <c r="A9" s="83" t="s">
        <v>1098</v>
      </c>
      <c r="B9" s="80"/>
      <c r="E9" s="80"/>
      <c r="F9" t="s">
        <v>2168</v>
      </c>
      <c r="G9" s="15">
        <v>9</v>
      </c>
      <c r="H9" s="15">
        <v>91</v>
      </c>
      <c r="I9" s="15"/>
      <c r="J9" s="15"/>
      <c r="K9" s="15"/>
      <c r="L9" s="15"/>
      <c r="M9" s="15"/>
      <c r="N9" s="15"/>
      <c r="O9" s="15"/>
    </row>
    <row r="10" spans="1:17" x14ac:dyDescent="0.2">
      <c r="A10" t="s">
        <v>1100</v>
      </c>
      <c r="B10" t="s">
        <v>1300</v>
      </c>
      <c r="E10" s="80"/>
      <c r="F10" t="s">
        <v>2169</v>
      </c>
      <c r="G10" s="15">
        <v>7</v>
      </c>
      <c r="H10" s="15">
        <v>92</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63"/>
      <c r="H13" s="63"/>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3"/>
    </row>
    <row r="17" spans="1:11" x14ac:dyDescent="0.2">
      <c r="A17" s="76" t="s">
        <v>2137</v>
      </c>
      <c r="B17" t="b">
        <v>0</v>
      </c>
      <c r="E17" s="80"/>
      <c r="G17" s="63"/>
      <c r="H17" s="64"/>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B00-000000000000}">
      <formula1>"Line,Clustered Bar,Stacked Bar,Bar,Horizontal Stacked Bar"</formula1>
    </dataValidation>
    <dataValidation type="list" allowBlank="1" showInputMessage="1" showErrorMessage="1" sqref="B2" xr:uid="{00000000-0002-0000-EB00-000001000000}">
      <formula1>"Table,Figure,Both"</formula1>
    </dataValidation>
    <dataValidation type="list" allowBlank="1" showInputMessage="1" showErrorMessage="1" sqref="B6 B15:B16" xr:uid="{00000000-0002-0000-EB00-000002000000}">
      <formula1>"True,False"</formula1>
    </dataValidation>
  </dataValidations>
  <pageMargins left="0.75" right="0.75" top="1" bottom="1" header="0.5" footer="0.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s="15" t="s">
        <v>2211</v>
      </c>
      <c r="H5" s="15" t="s">
        <v>2212</v>
      </c>
    </row>
    <row r="6" spans="1:17" ht="15" customHeight="1" x14ac:dyDescent="0.2">
      <c r="A6" t="s">
        <v>1088</v>
      </c>
      <c r="B6" t="b">
        <v>0</v>
      </c>
      <c r="E6" s="80"/>
      <c r="F6" t="s">
        <v>2180</v>
      </c>
      <c r="G6" s="15">
        <v>23</v>
      </c>
      <c r="H6" s="15">
        <v>77</v>
      </c>
      <c r="I6" s="15"/>
      <c r="J6" s="15"/>
      <c r="K6" s="15"/>
      <c r="L6" s="15"/>
      <c r="M6" s="15"/>
      <c r="N6" s="15"/>
      <c r="O6" s="15"/>
    </row>
    <row r="7" spans="1:17" ht="15.75" customHeight="1" x14ac:dyDescent="0.2">
      <c r="E7" s="80"/>
      <c r="F7" t="s">
        <v>2166</v>
      </c>
      <c r="G7" s="15">
        <v>20</v>
      </c>
      <c r="H7" s="15">
        <v>80</v>
      </c>
      <c r="I7" s="15"/>
      <c r="J7" s="15"/>
      <c r="K7" s="15"/>
      <c r="L7" s="15"/>
      <c r="M7" s="15"/>
      <c r="N7" s="15"/>
      <c r="O7" s="15"/>
    </row>
    <row r="8" spans="1:17" x14ac:dyDescent="0.2">
      <c r="E8" s="80"/>
      <c r="F8" t="s">
        <v>2167</v>
      </c>
      <c r="G8" s="15">
        <v>18</v>
      </c>
      <c r="H8" s="15">
        <v>82</v>
      </c>
      <c r="I8" s="15"/>
      <c r="J8" s="15"/>
      <c r="K8" s="15"/>
      <c r="L8" s="15"/>
      <c r="M8" s="15"/>
      <c r="N8" s="15"/>
      <c r="O8" s="15"/>
    </row>
    <row r="9" spans="1:17" x14ac:dyDescent="0.2">
      <c r="A9" s="83" t="s">
        <v>1098</v>
      </c>
      <c r="B9" s="80"/>
      <c r="E9" s="80"/>
      <c r="F9" t="s">
        <v>2168</v>
      </c>
      <c r="G9" s="15">
        <v>8</v>
      </c>
      <c r="H9" s="15">
        <v>92</v>
      </c>
      <c r="I9" s="15"/>
      <c r="J9" s="15"/>
      <c r="K9" s="15"/>
      <c r="L9" s="15"/>
      <c r="M9" s="15"/>
      <c r="N9" s="15"/>
      <c r="O9" s="15"/>
    </row>
    <row r="10" spans="1:17" x14ac:dyDescent="0.2">
      <c r="A10" t="s">
        <v>1100</v>
      </c>
      <c r="B10" t="s">
        <v>1300</v>
      </c>
      <c r="E10" s="80"/>
      <c r="F10" t="s">
        <v>2169</v>
      </c>
      <c r="G10" s="15">
        <v>9</v>
      </c>
      <c r="H10" s="15">
        <v>92</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3"/>
    </row>
    <row r="17" spans="1:11" x14ac:dyDescent="0.2">
      <c r="A17" s="76" t="s">
        <v>2137</v>
      </c>
      <c r="B17" t="b">
        <v>0</v>
      </c>
      <c r="E17" s="80"/>
      <c r="G17" s="63"/>
      <c r="H17" s="63"/>
    </row>
    <row r="18" spans="1:11" x14ac:dyDescent="0.2">
      <c r="A18" s="83" t="s">
        <v>1119</v>
      </c>
      <c r="B18" s="80"/>
      <c r="E18" s="80"/>
      <c r="G18" s="63"/>
      <c r="H18" s="63"/>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C00-000000000000}">
      <formula1>"Line,Clustered Bar,Stacked Bar,Bar,Horizontal Stacked Bar"</formula1>
    </dataValidation>
    <dataValidation type="list" allowBlank="1" showInputMessage="1" showErrorMessage="1" sqref="B2" xr:uid="{00000000-0002-0000-EC00-000001000000}">
      <formula1>"Table,Figure,Both"</formula1>
    </dataValidation>
    <dataValidation type="list" allowBlank="1" showInputMessage="1" showErrorMessage="1" sqref="B6 B15:B16" xr:uid="{00000000-0002-0000-EC00-000002000000}">
      <formula1>"True,False"</formula1>
    </dataValidation>
  </dataValidations>
  <pageMargins left="0.75" right="0.75" top="1" bottom="1" header="0.5" footer="0.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778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tbl-siena-unable-dental-vision-income</v>
      </c>
    </row>
    <row r="4" spans="1:17" x14ac:dyDescent="0.2">
      <c r="A4" s="16" t="s">
        <v>7</v>
      </c>
      <c r="B4" t="str">
        <f>IF($B$1="","",_xlfn.XLOOKUP($B$1,Master!$F$2:$F$321,Master!$H$2:$H$321,""))</f>
        <v>fig-siena-unable-dental-vision-income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24</v>
      </c>
      <c r="H6" s="15">
        <v>75</v>
      </c>
      <c r="I6" s="15"/>
      <c r="J6" s="15"/>
      <c r="K6" s="15"/>
      <c r="L6" s="15"/>
      <c r="M6" s="15"/>
      <c r="N6" s="15"/>
      <c r="O6" s="15"/>
    </row>
    <row r="7" spans="1:17" ht="15.75" customHeight="1" x14ac:dyDescent="0.2">
      <c r="E7" s="80"/>
      <c r="F7" t="s">
        <v>2166</v>
      </c>
      <c r="G7" s="15">
        <v>30</v>
      </c>
      <c r="H7" s="15">
        <v>70</v>
      </c>
      <c r="I7" s="15"/>
      <c r="J7" s="15"/>
      <c r="K7" s="15"/>
      <c r="L7" s="15"/>
      <c r="M7" s="15"/>
      <c r="N7" s="15"/>
      <c r="O7" s="15"/>
    </row>
    <row r="8" spans="1:17" x14ac:dyDescent="0.2">
      <c r="E8" s="80"/>
      <c r="F8" t="s">
        <v>2167</v>
      </c>
      <c r="G8" s="15">
        <v>24</v>
      </c>
      <c r="H8" s="15">
        <v>73</v>
      </c>
      <c r="I8" s="15"/>
      <c r="J8" s="15"/>
      <c r="K8" s="15"/>
      <c r="L8" s="15"/>
      <c r="M8" s="15"/>
      <c r="N8" s="15"/>
      <c r="O8" s="15"/>
    </row>
    <row r="9" spans="1:17" x14ac:dyDescent="0.2">
      <c r="A9" s="83" t="s">
        <v>1098</v>
      </c>
      <c r="B9" s="80"/>
      <c r="E9" s="80"/>
      <c r="F9" t="s">
        <v>2168</v>
      </c>
      <c r="G9" s="15">
        <v>16</v>
      </c>
      <c r="H9" s="15">
        <v>84</v>
      </c>
      <c r="I9" s="15"/>
      <c r="J9" s="15"/>
      <c r="K9" s="15"/>
      <c r="L9" s="15"/>
      <c r="M9" s="15"/>
      <c r="N9" s="15"/>
      <c r="O9" s="15"/>
    </row>
    <row r="10" spans="1:17" x14ac:dyDescent="0.2">
      <c r="A10" t="s">
        <v>1100</v>
      </c>
      <c r="B10" t="s">
        <v>1300</v>
      </c>
      <c r="E10" s="80"/>
      <c r="F10" t="s">
        <v>2169</v>
      </c>
      <c r="G10" s="15">
        <v>13</v>
      </c>
      <c r="H10" s="15">
        <v>86</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15"/>
      <c r="J12" s="15"/>
      <c r="K12" s="15"/>
      <c r="L12" s="15"/>
    </row>
    <row r="13" spans="1:17" x14ac:dyDescent="0.2">
      <c r="A13" t="s">
        <v>1108</v>
      </c>
      <c r="E13" s="80"/>
      <c r="G13" s="63"/>
      <c r="H13" s="63"/>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D00-000000000000}">
      <formula1>"Line,Clustered Bar,Stacked Bar,Bar,Horizontal Stacked Bar"</formula1>
    </dataValidation>
    <dataValidation type="list" allowBlank="1" showInputMessage="1" showErrorMessage="1" sqref="B2" xr:uid="{00000000-0002-0000-ED00-000001000000}">
      <formula1>"Table,Figure,Both"</formula1>
    </dataValidation>
    <dataValidation type="list" allowBlank="1" showInputMessage="1" showErrorMessage="1" sqref="B6 B15:B16" xr:uid="{00000000-0002-0000-ED00-000002000000}">
      <formula1>"True,False"</formula1>
    </dataValidation>
  </dataValidations>
  <pageMargins left="0.75" right="0.75" top="1" bottom="1" header="0.5" footer="0.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784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tbl-siena-unable-phone-income</v>
      </c>
    </row>
    <row r="4" spans="1:17" x14ac:dyDescent="0.2">
      <c r="A4" s="16" t="s">
        <v>7</v>
      </c>
      <c r="B4" t="str">
        <f>IF($B$1="","",_xlfn.XLOOKUP($B$1,Master!$F$2:$F$321,Master!$H$2:$H$321,""))</f>
        <v>fig-siena-unable-phone-income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19</v>
      </c>
      <c r="H6" s="15">
        <v>81</v>
      </c>
      <c r="I6" s="15"/>
      <c r="J6" s="15"/>
      <c r="K6" s="15"/>
      <c r="L6" s="15"/>
      <c r="M6" s="15"/>
      <c r="N6" s="15"/>
      <c r="O6" s="15"/>
    </row>
    <row r="7" spans="1:17" ht="15.75" customHeight="1" x14ac:dyDescent="0.2">
      <c r="E7" s="80"/>
      <c r="F7" t="s">
        <v>2166</v>
      </c>
      <c r="G7" s="15">
        <v>21</v>
      </c>
      <c r="H7" s="15">
        <v>79</v>
      </c>
      <c r="I7" s="15"/>
      <c r="J7" s="15"/>
      <c r="K7" s="15"/>
      <c r="L7" s="15"/>
      <c r="M7" s="15"/>
      <c r="N7" s="15"/>
      <c r="O7" s="15"/>
    </row>
    <row r="8" spans="1:17" x14ac:dyDescent="0.2">
      <c r="E8" s="80"/>
      <c r="F8" t="s">
        <v>2167</v>
      </c>
      <c r="G8" s="15">
        <v>17</v>
      </c>
      <c r="H8" s="15">
        <v>80</v>
      </c>
      <c r="I8" s="15"/>
      <c r="J8" s="15"/>
      <c r="K8" s="15"/>
      <c r="L8" s="15"/>
      <c r="M8" s="15"/>
      <c r="N8" s="15"/>
      <c r="O8" s="15"/>
    </row>
    <row r="9" spans="1:17" x14ac:dyDescent="0.2">
      <c r="A9" s="83" t="s">
        <v>1098</v>
      </c>
      <c r="B9" s="80"/>
      <c r="E9" s="80"/>
      <c r="F9" t="s">
        <v>2168</v>
      </c>
      <c r="G9" s="15">
        <v>9</v>
      </c>
      <c r="H9" s="15">
        <v>91</v>
      </c>
      <c r="I9" s="15"/>
      <c r="J9" s="15"/>
      <c r="K9" s="15"/>
      <c r="L9" s="15"/>
      <c r="M9" s="15"/>
      <c r="N9" s="15"/>
      <c r="O9" s="15"/>
    </row>
    <row r="10" spans="1:17" x14ac:dyDescent="0.2">
      <c r="A10" t="s">
        <v>1100</v>
      </c>
      <c r="B10" t="s">
        <v>1300</v>
      </c>
      <c r="E10" s="80"/>
      <c r="F10" t="s">
        <v>2169</v>
      </c>
      <c r="G10" s="15">
        <v>9</v>
      </c>
      <c r="H10" s="15">
        <v>91</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c r="G13" s="63"/>
      <c r="H13" s="63"/>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3"/>
    </row>
    <row r="17" spans="1:11" x14ac:dyDescent="0.2">
      <c r="A17" s="76" t="s">
        <v>2137</v>
      </c>
      <c r="B17" t="b">
        <v>0</v>
      </c>
      <c r="E17" s="80"/>
      <c r="G17" s="63"/>
      <c r="H17" s="64"/>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E00-000000000000}">
      <formula1>"Line,Clustered Bar,Stacked Bar,Bar,Horizontal Stacked Bar"</formula1>
    </dataValidation>
    <dataValidation type="list" allowBlank="1" showInputMessage="1" showErrorMessage="1" sqref="B2" xr:uid="{00000000-0002-0000-EE00-000001000000}">
      <formula1>"Table,Figure,Both"</formula1>
    </dataValidation>
    <dataValidation type="list" allowBlank="1" showInputMessage="1" showErrorMessage="1" sqref="B6 B15:B16" xr:uid="{00000000-0002-0000-EE00-000002000000}">
      <formula1>"True,False"</formula1>
    </dataValidation>
  </dataValidations>
  <pageMargins left="0.75" right="0.75" top="1" bottom="1" header="0.5" footer="0.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790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tbl-siena-unable-transportation-income</v>
      </c>
    </row>
    <row r="4" spans="1:17" x14ac:dyDescent="0.2">
      <c r="A4" s="16" t="s">
        <v>7</v>
      </c>
      <c r="B4" t="str">
        <f>IF($B$1="","",_xlfn.XLOOKUP($B$1,Master!$F$2:$F$321,Master!$H$2:$H$321,""))</f>
        <v>fig-siena-unable-transportation-income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s="15" t="s">
        <v>2211</v>
      </c>
      <c r="H5" s="15" t="s">
        <v>2212</v>
      </c>
    </row>
    <row r="6" spans="1:17" ht="15" customHeight="1" x14ac:dyDescent="0.2">
      <c r="A6" t="s">
        <v>1088</v>
      </c>
      <c r="B6" t="b">
        <v>0</v>
      </c>
      <c r="E6" s="80"/>
      <c r="F6" t="s">
        <v>2180</v>
      </c>
      <c r="G6" s="15">
        <v>30</v>
      </c>
      <c r="H6" s="15">
        <v>70</v>
      </c>
      <c r="I6" s="15"/>
      <c r="J6" s="15"/>
      <c r="K6" s="15"/>
      <c r="L6" s="15"/>
      <c r="M6" s="15"/>
      <c r="N6" s="15"/>
      <c r="O6" s="15"/>
    </row>
    <row r="7" spans="1:17" ht="15.75" customHeight="1" x14ac:dyDescent="0.2">
      <c r="E7" s="80"/>
      <c r="F7" t="s">
        <v>2166</v>
      </c>
      <c r="G7" s="15">
        <v>24</v>
      </c>
      <c r="H7" s="15">
        <v>76</v>
      </c>
      <c r="I7" s="15"/>
      <c r="J7" s="15"/>
      <c r="K7" s="15"/>
      <c r="L7" s="15"/>
      <c r="M7" s="15"/>
      <c r="N7" s="15"/>
      <c r="O7" s="15"/>
    </row>
    <row r="8" spans="1:17" x14ac:dyDescent="0.2">
      <c r="E8" s="80"/>
      <c r="F8" t="s">
        <v>2167</v>
      </c>
      <c r="G8" s="15">
        <v>18</v>
      </c>
      <c r="H8" s="15">
        <v>81</v>
      </c>
      <c r="I8" s="15"/>
      <c r="J8" s="15"/>
      <c r="K8" s="15"/>
      <c r="L8" s="15"/>
      <c r="M8" s="15"/>
      <c r="N8" s="15"/>
      <c r="O8" s="15"/>
    </row>
    <row r="9" spans="1:17" x14ac:dyDescent="0.2">
      <c r="A9" s="83" t="s">
        <v>1098</v>
      </c>
      <c r="B9" s="80"/>
      <c r="E9" s="80"/>
      <c r="F9" t="s">
        <v>2168</v>
      </c>
      <c r="G9" s="15">
        <v>11</v>
      </c>
      <c r="H9" s="15">
        <v>89</v>
      </c>
      <c r="I9" s="15"/>
      <c r="J9" s="15"/>
      <c r="K9" s="15"/>
      <c r="L9" s="15"/>
      <c r="M9" s="15"/>
      <c r="N9" s="15"/>
      <c r="O9" s="15"/>
    </row>
    <row r="10" spans="1:17" x14ac:dyDescent="0.2">
      <c r="A10" t="s">
        <v>1100</v>
      </c>
      <c r="B10" t="s">
        <v>1300</v>
      </c>
      <c r="E10" s="80"/>
      <c r="F10" t="s">
        <v>2169</v>
      </c>
      <c r="G10" s="15">
        <v>10</v>
      </c>
      <c r="H10" s="15">
        <v>90</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15"/>
      <c r="J12" s="15"/>
      <c r="K12" s="15"/>
      <c r="L12" s="15"/>
    </row>
    <row r="13" spans="1:17" x14ac:dyDescent="0.2">
      <c r="A13" t="s">
        <v>1108</v>
      </c>
      <c r="E13" s="80"/>
      <c r="G13" s="63"/>
      <c r="H13" s="63"/>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EF00-000000000000}">
      <formula1>"Line,Clustered Bar,Stacked Bar,Bar,Horizontal Stacked Bar"</formula1>
    </dataValidation>
    <dataValidation type="list" allowBlank="1" showInputMessage="1" showErrorMessage="1" sqref="B2" xr:uid="{00000000-0002-0000-EF00-000001000000}">
      <formula1>"Table,Figure,Both"</formula1>
    </dataValidation>
    <dataValidation type="list" allowBlank="1" showInputMessage="1" showErrorMessage="1" sqref="B6 B15:B16" xr:uid="{00000000-0002-0000-EF00-000002000000}">
      <formula1>"True,False"</formula1>
    </dataValidation>
  </dataValidations>
  <pageMargins left="0.75" right="0.75" top="1" bottom="1" header="0.5" footer="0.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Q57"/>
  <sheetViews>
    <sheetView workbookViewId="0">
      <selection activeCell="A10" sqref="A10: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796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tbl-siena-unable-housing-income</v>
      </c>
    </row>
    <row r="4" spans="1:17" x14ac:dyDescent="0.2">
      <c r="A4" s="16" t="s">
        <v>7</v>
      </c>
      <c r="B4" t="str">
        <f>IF($B$1="","",_xlfn.XLOOKUP($B$1,Master!$F$2:$F$321,Master!$H$2:$H$321,""))</f>
        <v>fig-siena-unable-housing-income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21</v>
      </c>
      <c r="H6" s="15">
        <v>79</v>
      </c>
      <c r="I6" s="15"/>
      <c r="J6" s="15"/>
      <c r="K6" s="15"/>
      <c r="L6" s="15"/>
      <c r="M6" s="15"/>
      <c r="N6" s="15"/>
      <c r="O6" s="15"/>
    </row>
    <row r="7" spans="1:17" ht="15.75" customHeight="1" x14ac:dyDescent="0.2">
      <c r="E7" s="80"/>
      <c r="F7" t="s">
        <v>2166</v>
      </c>
      <c r="G7" s="15">
        <v>22</v>
      </c>
      <c r="H7" s="15">
        <v>77</v>
      </c>
      <c r="I7" s="63"/>
      <c r="J7" s="15"/>
      <c r="K7" s="15"/>
      <c r="L7" s="15"/>
      <c r="M7" s="15"/>
      <c r="N7" s="15"/>
      <c r="O7" s="15"/>
    </row>
    <row r="8" spans="1:17" x14ac:dyDescent="0.2">
      <c r="E8" s="80"/>
      <c r="F8" t="s">
        <v>2167</v>
      </c>
      <c r="G8" s="15">
        <v>16</v>
      </c>
      <c r="H8" s="15">
        <v>84</v>
      </c>
      <c r="I8" s="15"/>
      <c r="J8" s="15"/>
      <c r="K8" s="15"/>
      <c r="L8" s="15"/>
      <c r="M8" s="15"/>
      <c r="N8" s="15"/>
      <c r="O8" s="15"/>
    </row>
    <row r="9" spans="1:17" x14ac:dyDescent="0.2">
      <c r="A9" s="83" t="s">
        <v>1098</v>
      </c>
      <c r="B9" s="80"/>
      <c r="E9" s="80"/>
      <c r="F9" t="s">
        <v>2168</v>
      </c>
      <c r="G9" s="15">
        <v>7</v>
      </c>
      <c r="H9" s="15">
        <v>93</v>
      </c>
      <c r="I9" s="63"/>
      <c r="J9" s="15"/>
      <c r="K9" s="15"/>
      <c r="L9" s="15"/>
      <c r="M9" s="15"/>
      <c r="N9" s="15"/>
      <c r="O9" s="15"/>
    </row>
    <row r="10" spans="1:17" x14ac:dyDescent="0.2">
      <c r="A10" t="s">
        <v>1100</v>
      </c>
      <c r="B10" t="s">
        <v>1300</v>
      </c>
      <c r="E10" s="80"/>
      <c r="F10" t="s">
        <v>2169</v>
      </c>
      <c r="G10" s="15">
        <v>7</v>
      </c>
      <c r="H10" s="15">
        <v>92</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15"/>
      <c r="J12" s="15"/>
      <c r="K12" s="15"/>
      <c r="L12" s="15"/>
    </row>
    <row r="13" spans="1:17" x14ac:dyDescent="0.2">
      <c r="A13" t="s">
        <v>1108</v>
      </c>
      <c r="E13" s="80"/>
      <c r="G13" s="63"/>
      <c r="H13" s="63"/>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F000-000000000000}">
      <formula1>"Line,Clustered Bar,Stacked Bar,Bar,Horizontal Stacked Bar"</formula1>
    </dataValidation>
    <dataValidation type="list" allowBlank="1" showInputMessage="1" showErrorMessage="1" sqref="B2" xr:uid="{00000000-0002-0000-F000-000001000000}">
      <formula1>"Table,Figure,Both"</formula1>
    </dataValidation>
    <dataValidation type="list" allowBlank="1" showInputMessage="1" showErrorMessage="1" sqref="B6 B15:B16" xr:uid="{00000000-0002-0000-F000-000002000000}">
      <formula1>"True,False"</formula1>
    </dataValidation>
  </dataValidations>
  <pageMargins left="0.75" right="0.75" top="1" bottom="1" header="0.5" footer="0.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Q57"/>
  <sheetViews>
    <sheetView workbookViewId="0">
      <selection activeCell="I9" sqref="I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802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tbl-siena-unable-childcare-income</v>
      </c>
    </row>
    <row r="4" spans="1:17" x14ac:dyDescent="0.2">
      <c r="A4" s="16" t="s">
        <v>7</v>
      </c>
      <c r="B4" t="str">
        <f>IF($B$1="","",_xlfn.XLOOKUP($B$1,Master!$F$2:$F$321,Master!$H$2:$H$321,""))</f>
        <v>fig-siena-unable-childcare-income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2164</v>
      </c>
      <c r="G5" t="s">
        <v>2211</v>
      </c>
      <c r="H5" t="s">
        <v>2212</v>
      </c>
      <c r="I5" t="s">
        <v>2179</v>
      </c>
    </row>
    <row r="6" spans="1:17" ht="15" customHeight="1" x14ac:dyDescent="0.2">
      <c r="A6" t="s">
        <v>1088</v>
      </c>
      <c r="B6" t="b">
        <v>0</v>
      </c>
      <c r="E6" s="80"/>
      <c r="F6" t="s">
        <v>2180</v>
      </c>
      <c r="G6" s="15">
        <v>12</v>
      </c>
      <c r="H6" s="15">
        <v>78</v>
      </c>
      <c r="I6" s="15">
        <v>9</v>
      </c>
      <c r="J6" s="15"/>
      <c r="K6" s="15"/>
      <c r="L6" s="15"/>
      <c r="M6" s="15"/>
      <c r="N6" s="15"/>
      <c r="O6" s="15"/>
    </row>
    <row r="7" spans="1:17" ht="15.75" customHeight="1" x14ac:dyDescent="0.2">
      <c r="E7" s="80"/>
      <c r="F7" t="s">
        <v>2166</v>
      </c>
      <c r="G7" s="15">
        <v>17</v>
      </c>
      <c r="H7" s="15">
        <v>74</v>
      </c>
      <c r="I7" s="15">
        <v>9</v>
      </c>
      <c r="J7" s="15"/>
      <c r="K7" s="15"/>
      <c r="L7" s="15"/>
      <c r="M7" s="15"/>
      <c r="N7" s="15"/>
      <c r="O7" s="15"/>
    </row>
    <row r="8" spans="1:17" x14ac:dyDescent="0.2">
      <c r="E8" s="80"/>
      <c r="F8" t="s">
        <v>2167</v>
      </c>
      <c r="G8" s="15">
        <v>11</v>
      </c>
      <c r="H8" s="15">
        <v>79</v>
      </c>
      <c r="I8" s="15">
        <v>10</v>
      </c>
      <c r="J8" s="15"/>
      <c r="K8" s="15"/>
      <c r="L8" s="15"/>
      <c r="M8" s="15"/>
      <c r="N8" s="15"/>
      <c r="O8" s="15"/>
    </row>
    <row r="9" spans="1:17" x14ac:dyDescent="0.2">
      <c r="A9" s="83" t="s">
        <v>1098</v>
      </c>
      <c r="B9" s="80"/>
      <c r="E9" s="80"/>
      <c r="F9" t="s">
        <v>2168</v>
      </c>
      <c r="G9" s="15">
        <v>5</v>
      </c>
      <c r="H9" s="15">
        <v>90</v>
      </c>
      <c r="I9" s="15">
        <v>5</v>
      </c>
      <c r="J9" s="15"/>
      <c r="K9" s="15"/>
      <c r="L9" s="15"/>
      <c r="M9" s="15"/>
      <c r="N9" s="15"/>
      <c r="O9" s="15"/>
    </row>
    <row r="10" spans="1:17" x14ac:dyDescent="0.2">
      <c r="A10" t="s">
        <v>1100</v>
      </c>
      <c r="B10" t="s">
        <v>1300</v>
      </c>
      <c r="E10" s="80"/>
      <c r="F10" t="s">
        <v>2169</v>
      </c>
      <c r="G10" s="15">
        <v>4</v>
      </c>
      <c r="H10">
        <v>88</v>
      </c>
      <c r="I10">
        <v>7</v>
      </c>
    </row>
    <row r="11" spans="1:17" x14ac:dyDescent="0.2">
      <c r="A11" t="s">
        <v>1102</v>
      </c>
      <c r="B11" t="s">
        <v>2181</v>
      </c>
      <c r="E11" s="80"/>
      <c r="G11" s="15"/>
      <c r="H11" s="15"/>
      <c r="I11" s="15"/>
      <c r="J11" s="17"/>
      <c r="K11" s="17"/>
      <c r="L11" s="17"/>
      <c r="M11" s="17"/>
      <c r="N11" s="17"/>
    </row>
    <row r="12" spans="1:17" x14ac:dyDescent="0.2">
      <c r="A12" t="s">
        <v>1104</v>
      </c>
      <c r="B12" t="s">
        <v>2164</v>
      </c>
      <c r="E12" s="80"/>
      <c r="F12" s="21"/>
      <c r="G12" s="17"/>
      <c r="H12" s="17"/>
      <c r="I12" s="15"/>
      <c r="J12" s="15"/>
      <c r="K12" s="15"/>
      <c r="L12" s="15"/>
    </row>
    <row r="13" spans="1:17" x14ac:dyDescent="0.2">
      <c r="A13" t="s">
        <v>1108</v>
      </c>
      <c r="E13" s="80"/>
      <c r="G13" s="63"/>
      <c r="H13" s="63"/>
      <c r="I13" s="63"/>
    </row>
    <row r="14" spans="1:17" x14ac:dyDescent="0.2">
      <c r="A14" t="s">
        <v>1112</v>
      </c>
      <c r="B14" t="s">
        <v>990</v>
      </c>
      <c r="E14" s="80"/>
      <c r="G14" s="63"/>
      <c r="H14" s="63"/>
      <c r="I14" s="63"/>
    </row>
    <row r="15" spans="1:17" x14ac:dyDescent="0.2">
      <c r="A15" t="s">
        <v>1114</v>
      </c>
      <c r="B15" t="b">
        <v>1</v>
      </c>
      <c r="E15" s="80"/>
      <c r="G15" s="63"/>
      <c r="H15" s="63"/>
      <c r="I15" s="63"/>
    </row>
    <row r="16" spans="1:17" x14ac:dyDescent="0.2">
      <c r="A16" t="s">
        <v>1116</v>
      </c>
      <c r="B16" t="b">
        <v>1</v>
      </c>
      <c r="E16" s="80"/>
      <c r="G16" s="63"/>
      <c r="H16" s="63"/>
      <c r="I16" s="63"/>
    </row>
    <row r="17" spans="1:11" x14ac:dyDescent="0.2">
      <c r="A17" s="76" t="s">
        <v>2137</v>
      </c>
      <c r="B17" t="b">
        <v>0</v>
      </c>
      <c r="E17" s="80"/>
      <c r="G17" s="63"/>
      <c r="H17" s="64"/>
      <c r="I17" s="64"/>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F100-000000000000}">
      <formula1>"Line,Clustered Bar,Stacked Bar,Bar,Horizontal Stacked Bar"</formula1>
    </dataValidation>
    <dataValidation type="list" allowBlank="1" showInputMessage="1" showErrorMessage="1" sqref="B2" xr:uid="{00000000-0002-0000-F100-000001000000}">
      <formula1>"Table,Figure,Both"</formula1>
    </dataValidation>
    <dataValidation type="list" allowBlank="1" showInputMessage="1" showErrorMessage="1" sqref="B6 B15:B16" xr:uid="{00000000-0002-0000-F100-000002000000}">
      <formula1>"True,False"</formula1>
    </dataValidation>
  </dataValidations>
  <pageMargins left="0.75" right="0.75" top="1" bottom="1" header="0.5" footer="0.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Q57"/>
  <sheetViews>
    <sheetView workbookViewId="0">
      <selection activeCell="B12" sqref="B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808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tbl-siena-unable-internet-income</v>
      </c>
    </row>
    <row r="4" spans="1:17" x14ac:dyDescent="0.2">
      <c r="A4" s="16" t="s">
        <v>7</v>
      </c>
      <c r="B4" t="str">
        <f>IF($B$1="","",_xlfn.XLOOKUP($B$1,Master!$F$2:$F$321,Master!$H$2:$H$321,""))</f>
        <v>fig-siena-unable-internet-income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27</v>
      </c>
      <c r="H6" s="15">
        <v>73</v>
      </c>
      <c r="I6" s="15"/>
      <c r="J6" s="15"/>
      <c r="K6" s="15"/>
      <c r="L6" s="15"/>
      <c r="M6" s="15"/>
      <c r="N6" s="15"/>
      <c r="O6" s="15"/>
    </row>
    <row r="7" spans="1:17" ht="15.75" customHeight="1" x14ac:dyDescent="0.2">
      <c r="E7" s="80"/>
      <c r="F7" t="s">
        <v>2166</v>
      </c>
      <c r="G7" s="15">
        <v>24</v>
      </c>
      <c r="H7" s="15">
        <v>75</v>
      </c>
      <c r="I7" s="15"/>
      <c r="J7" s="15"/>
      <c r="K7" s="15"/>
      <c r="L7" s="15"/>
      <c r="M7" s="15"/>
      <c r="N7" s="15"/>
      <c r="O7" s="15"/>
    </row>
    <row r="8" spans="1:17" x14ac:dyDescent="0.2">
      <c r="E8" s="80"/>
      <c r="F8" t="s">
        <v>2167</v>
      </c>
      <c r="G8" s="15">
        <v>20</v>
      </c>
      <c r="H8" s="15">
        <v>78</v>
      </c>
      <c r="I8" s="15"/>
      <c r="J8" s="15"/>
      <c r="K8" s="15"/>
      <c r="L8" s="15"/>
      <c r="M8" s="15"/>
      <c r="N8" s="15"/>
      <c r="O8" s="15"/>
    </row>
    <row r="9" spans="1:17" x14ac:dyDescent="0.2">
      <c r="A9" s="83" t="s">
        <v>1098</v>
      </c>
      <c r="B9" s="80"/>
      <c r="E9" s="80"/>
      <c r="F9" t="s">
        <v>2168</v>
      </c>
      <c r="G9" s="15">
        <v>10</v>
      </c>
      <c r="H9" s="15">
        <v>89</v>
      </c>
      <c r="I9" s="15"/>
      <c r="J9" s="15"/>
      <c r="K9" s="15"/>
      <c r="L9" s="15"/>
      <c r="M9" s="15"/>
      <c r="N9" s="15"/>
      <c r="O9" s="15"/>
    </row>
    <row r="10" spans="1:17" x14ac:dyDescent="0.2">
      <c r="A10" t="s">
        <v>1100</v>
      </c>
      <c r="B10" t="s">
        <v>1300</v>
      </c>
      <c r="E10" s="80"/>
      <c r="F10" t="s">
        <v>2169</v>
      </c>
      <c r="G10" s="15">
        <v>13</v>
      </c>
      <c r="H10" s="15">
        <v>86</v>
      </c>
    </row>
    <row r="11" spans="1:17" x14ac:dyDescent="0.2">
      <c r="A11" t="s">
        <v>1102</v>
      </c>
      <c r="B11" t="s">
        <v>2181</v>
      </c>
      <c r="E11" s="80"/>
      <c r="G11" s="15"/>
      <c r="H11" s="15"/>
      <c r="I11" s="15"/>
      <c r="J11" s="17"/>
      <c r="K11" s="17"/>
      <c r="L11" s="17"/>
      <c r="M11" s="17"/>
      <c r="N11" s="17"/>
    </row>
    <row r="12" spans="1:17" x14ac:dyDescent="0.2">
      <c r="A12" t="s">
        <v>1104</v>
      </c>
      <c r="E12" s="80"/>
      <c r="F12" s="21"/>
      <c r="G12" s="63"/>
      <c r="H12" s="63"/>
      <c r="I12" s="15"/>
      <c r="J12" s="15"/>
      <c r="K12" s="15"/>
      <c r="L12" s="15"/>
    </row>
    <row r="13" spans="1:17" x14ac:dyDescent="0.2">
      <c r="A13" t="s">
        <v>1108</v>
      </c>
      <c r="E13" s="80"/>
      <c r="G13" s="63"/>
      <c r="H13" s="63"/>
    </row>
    <row r="14" spans="1:17" x14ac:dyDescent="0.2">
      <c r="A14" t="s">
        <v>1112</v>
      </c>
      <c r="B14" t="s">
        <v>990</v>
      </c>
      <c r="E14" s="80"/>
      <c r="G14" s="63"/>
      <c r="H14" s="63"/>
    </row>
    <row r="15" spans="1:17" x14ac:dyDescent="0.2">
      <c r="A15" t="s">
        <v>1114</v>
      </c>
      <c r="B15" t="b">
        <v>1</v>
      </c>
      <c r="E15" s="80"/>
      <c r="G15" s="63"/>
      <c r="H15" s="63"/>
    </row>
    <row r="16" spans="1:17" x14ac:dyDescent="0.2">
      <c r="A16" t="s">
        <v>1116</v>
      </c>
      <c r="B16" t="b">
        <v>1</v>
      </c>
      <c r="E16" s="80"/>
      <c r="G16" s="63"/>
      <c r="H16" s="64"/>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F200-000000000000}">
      <formula1>"Line,Clustered Bar,Stacked Bar,Bar,Horizontal Stacked Bar"</formula1>
    </dataValidation>
    <dataValidation type="list" allowBlank="1" showInputMessage="1" showErrorMessage="1" sqref="B2" xr:uid="{00000000-0002-0000-F200-000001000000}">
      <formula1>"Table,Figure,Both"</formula1>
    </dataValidation>
    <dataValidation type="list" allowBlank="1" showInputMessage="1" showErrorMessage="1" sqref="B6 B15:B16" xr:uid="{00000000-0002-0000-F200-000002000000}">
      <formula1>"True,False"</formula1>
    </dataValidation>
  </dataValidations>
  <pageMargins left="0.75" right="0.75" top="1" bottom="1" header="0.5" footer="0.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73</v>
      </c>
      <c r="H6" s="15">
        <v>27</v>
      </c>
      <c r="I6" s="15"/>
      <c r="J6" s="15"/>
      <c r="K6" s="15"/>
      <c r="L6" s="15"/>
      <c r="M6" s="15"/>
      <c r="N6" s="15"/>
      <c r="O6" s="15"/>
    </row>
    <row r="7" spans="1:17" ht="15.75" customHeight="1" x14ac:dyDescent="0.2">
      <c r="E7" s="80"/>
      <c r="F7" t="s">
        <v>2166</v>
      </c>
      <c r="G7" s="15">
        <v>74</v>
      </c>
      <c r="H7" s="15">
        <v>26</v>
      </c>
      <c r="I7" s="15"/>
      <c r="J7" s="15"/>
      <c r="K7" s="15"/>
      <c r="L7" s="15"/>
      <c r="M7" s="15"/>
      <c r="N7" s="15"/>
      <c r="O7" s="15"/>
    </row>
    <row r="8" spans="1:17" x14ac:dyDescent="0.2">
      <c r="E8" s="80"/>
      <c r="F8" t="s">
        <v>2167</v>
      </c>
      <c r="G8" s="15">
        <v>75</v>
      </c>
      <c r="H8" s="15">
        <v>25</v>
      </c>
      <c r="I8" s="15"/>
      <c r="J8" s="15"/>
      <c r="K8" s="15"/>
      <c r="L8" s="15"/>
      <c r="M8" s="15"/>
      <c r="N8" s="15"/>
      <c r="O8" s="15"/>
    </row>
    <row r="9" spans="1:17" x14ac:dyDescent="0.2">
      <c r="A9" s="83" t="s">
        <v>1098</v>
      </c>
      <c r="B9" s="80"/>
      <c r="E9" s="80"/>
      <c r="F9" t="s">
        <v>2168</v>
      </c>
      <c r="G9" s="15">
        <v>81</v>
      </c>
      <c r="H9" s="15">
        <v>19</v>
      </c>
      <c r="I9" s="15"/>
      <c r="J9" s="15"/>
      <c r="K9" s="15"/>
      <c r="L9" s="15"/>
      <c r="M9" s="15"/>
      <c r="N9" s="15"/>
      <c r="O9" s="15"/>
    </row>
    <row r="10" spans="1:17" x14ac:dyDescent="0.2">
      <c r="A10" t="s">
        <v>1100</v>
      </c>
      <c r="B10" t="s">
        <v>1300</v>
      </c>
      <c r="E10" s="80"/>
      <c r="F10" t="s">
        <v>2169</v>
      </c>
      <c r="G10" s="15">
        <v>89</v>
      </c>
      <c r="H10">
        <v>11</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B14" t="s">
        <v>990</v>
      </c>
      <c r="E14" s="80"/>
    </row>
    <row r="15" spans="1:17" x14ac:dyDescent="0.2">
      <c r="A15" t="s">
        <v>1114</v>
      </c>
      <c r="B15" t="b">
        <v>1</v>
      </c>
      <c r="E15" s="80"/>
    </row>
    <row r="16" spans="1:17" x14ac:dyDescent="0.2">
      <c r="A16" t="s">
        <v>1116</v>
      </c>
      <c r="B16" t="b">
        <v>1</v>
      </c>
      <c r="E16" s="80"/>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F300-000000000000}">
      <formula1>"Line,Clustered Bar,Stacked Bar,Bar,Horizontal Stacked Bar"</formula1>
    </dataValidation>
    <dataValidation type="list" allowBlank="1" showInputMessage="1" showErrorMessage="1" sqref="B2" xr:uid="{00000000-0002-0000-F300-000001000000}">
      <formula1>"Table,Figure,Both"</formula1>
    </dataValidation>
    <dataValidation type="list" allowBlank="1" showInputMessage="1" showErrorMessage="1" sqref="B6 B15:B16" xr:uid="{00000000-0002-0000-F300-000002000000}">
      <formula1>"True,False"</formula1>
    </dataValidation>
  </dataValidations>
  <pageMargins left="0.75" right="0.75" top="1" bottom="1" header="0.5" footer="0.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Q57"/>
  <sheetViews>
    <sheetView workbookViewId="0">
      <selection activeCell="F5" sqref="F5:I13"/>
    </sheetView>
  </sheetViews>
  <sheetFormatPr baseColWidth="10" defaultColWidth="8.6640625" defaultRowHeight="15" x14ac:dyDescent="0.2"/>
  <cols>
    <col min="1" max="1" width="20" bestFit="1" customWidth="1"/>
    <col min="2" max="2" width="22.1640625" bestFit="1" customWidth="1"/>
    <col min="5" max="5" width="6.6640625" customWidth="1"/>
    <col min="6" max="6" width="57.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817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tbl-siena-not-routine-physical</v>
      </c>
    </row>
    <row r="4" spans="1:17" x14ac:dyDescent="0.2">
      <c r="A4" s="16" t="s">
        <v>7</v>
      </c>
      <c r="B4" t="str">
        <f>IF($B$1="","",_xlfn.XLOOKUP($B$1,Master!$F$2:$F$321,Master!$H$2:$H$321,""))</f>
        <v>fig-siena-not-routine-physical</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2215</v>
      </c>
      <c r="G5">
        <v>2022</v>
      </c>
      <c r="H5">
        <v>2023</v>
      </c>
      <c r="I5">
        <v>2024</v>
      </c>
    </row>
    <row r="6" spans="1:17" ht="15" customHeight="1" x14ac:dyDescent="0.2">
      <c r="A6" t="s">
        <v>1088</v>
      </c>
      <c r="B6" t="b">
        <v>0</v>
      </c>
      <c r="E6" s="80"/>
      <c r="F6" s="37" t="s">
        <v>2216</v>
      </c>
      <c r="G6" s="15">
        <v>20</v>
      </c>
      <c r="H6" s="15">
        <v>21</v>
      </c>
      <c r="I6" s="15">
        <v>15</v>
      </c>
      <c r="J6" s="15"/>
      <c r="K6" s="15"/>
      <c r="L6" s="15"/>
      <c r="M6" s="15"/>
      <c r="N6" s="15"/>
      <c r="O6" s="15"/>
    </row>
    <row r="7" spans="1:17" ht="15.75" customHeight="1" x14ac:dyDescent="0.2">
      <c r="E7" s="80"/>
      <c r="F7" s="37" t="s">
        <v>2217</v>
      </c>
      <c r="G7" s="15">
        <v>12</v>
      </c>
      <c r="H7" s="15">
        <v>14</v>
      </c>
      <c r="I7" s="15">
        <v>11</v>
      </c>
      <c r="J7" s="15"/>
      <c r="K7" s="15"/>
      <c r="L7" s="15"/>
      <c r="M7" s="15"/>
      <c r="N7" s="15"/>
      <c r="O7" s="15"/>
    </row>
    <row r="8" spans="1:17" x14ac:dyDescent="0.2">
      <c r="E8" s="80"/>
      <c r="F8" s="37" t="s">
        <v>2218</v>
      </c>
      <c r="G8" s="15">
        <v>5</v>
      </c>
      <c r="H8" s="15">
        <v>3</v>
      </c>
      <c r="I8" s="15">
        <v>7</v>
      </c>
      <c r="J8" s="15"/>
      <c r="K8" s="15"/>
      <c r="L8" s="15"/>
      <c r="M8" s="15"/>
      <c r="N8" s="15"/>
      <c r="O8" s="15"/>
    </row>
    <row r="9" spans="1:17" x14ac:dyDescent="0.2">
      <c r="A9" s="83" t="s">
        <v>1098</v>
      </c>
      <c r="B9" s="80"/>
      <c r="E9" s="80"/>
      <c r="F9" s="37" t="s">
        <v>2219</v>
      </c>
      <c r="G9" s="15">
        <v>29</v>
      </c>
      <c r="H9" s="15">
        <v>31</v>
      </c>
      <c r="I9" s="15">
        <v>41</v>
      </c>
      <c r="J9" s="15"/>
      <c r="K9" s="15"/>
      <c r="L9" s="15"/>
      <c r="M9" s="15"/>
      <c r="N9" s="15"/>
      <c r="O9" s="15"/>
    </row>
    <row r="10" spans="1:17" x14ac:dyDescent="0.2">
      <c r="A10" t="s">
        <v>1100</v>
      </c>
      <c r="B10" t="s">
        <v>1300</v>
      </c>
      <c r="E10" s="80"/>
      <c r="F10" s="37" t="s">
        <v>2220</v>
      </c>
      <c r="G10" s="15">
        <v>18</v>
      </c>
      <c r="H10" s="15">
        <v>4</v>
      </c>
      <c r="I10" s="15">
        <v>4</v>
      </c>
    </row>
    <row r="11" spans="1:17" x14ac:dyDescent="0.2">
      <c r="A11" t="s">
        <v>1102</v>
      </c>
      <c r="B11" t="s">
        <v>1303</v>
      </c>
      <c r="E11" s="80"/>
      <c r="F11" s="37" t="s">
        <v>2221</v>
      </c>
      <c r="G11" s="15">
        <v>27</v>
      </c>
      <c r="H11" s="15">
        <v>34</v>
      </c>
      <c r="I11" s="15">
        <v>48</v>
      </c>
      <c r="J11" s="17"/>
      <c r="K11" s="17"/>
      <c r="L11" s="17"/>
      <c r="M11" s="17"/>
      <c r="N11" s="17"/>
    </row>
    <row r="12" spans="1:17" x14ac:dyDescent="0.2">
      <c r="A12" t="s">
        <v>1104</v>
      </c>
      <c r="B12" t="s">
        <v>2215</v>
      </c>
      <c r="E12" s="80"/>
      <c r="F12" s="57" t="s">
        <v>2222</v>
      </c>
      <c r="G12" s="17">
        <v>8</v>
      </c>
      <c r="H12" s="17">
        <v>8</v>
      </c>
      <c r="I12" s="15">
        <v>5</v>
      </c>
      <c r="J12" s="15"/>
      <c r="K12" s="15"/>
      <c r="L12" s="15"/>
    </row>
    <row r="13" spans="1:17" x14ac:dyDescent="0.2">
      <c r="A13" t="s">
        <v>1108</v>
      </c>
      <c r="E13" s="80"/>
      <c r="F13" s="37" t="s">
        <v>1015</v>
      </c>
      <c r="G13" s="15">
        <v>13</v>
      </c>
      <c r="H13" s="15">
        <v>6</v>
      </c>
      <c r="I13" s="15">
        <v>3</v>
      </c>
    </row>
    <row r="14" spans="1:17" x14ac:dyDescent="0.2">
      <c r="A14" t="s">
        <v>1112</v>
      </c>
      <c r="E14" s="80"/>
      <c r="F14" s="37"/>
    </row>
    <row r="15" spans="1:17" x14ac:dyDescent="0.2">
      <c r="A15" t="s">
        <v>1114</v>
      </c>
      <c r="B15" t="b">
        <v>1</v>
      </c>
      <c r="E15" s="80"/>
    </row>
    <row r="16" spans="1:17" x14ac:dyDescent="0.2">
      <c r="A16" t="s">
        <v>1116</v>
      </c>
      <c r="B16" t="b">
        <v>0</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F400-000000000000}">
      <formula1>"Line,Clustered Bar,Stacked Bar,Bar,Horizontal Stacked Bar"</formula1>
    </dataValidation>
    <dataValidation type="list" allowBlank="1" showInputMessage="1" showErrorMessage="1" sqref="B2" xr:uid="{00000000-0002-0000-F400-000001000000}">
      <formula1>"Table,Figure,Both"</formula1>
    </dataValidation>
    <dataValidation type="list" allowBlank="1" showInputMessage="1" showErrorMessage="1" sqref="B6 B15:B16" xr:uid="{00000000-0002-0000-F400-000002000000}">
      <formula1>"True,False"</formula1>
    </dataValidation>
  </dataValidations>
  <pageMargins left="0.75" right="0.75" top="1" bottom="1" header="0.5" footer="0.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Q57"/>
  <sheetViews>
    <sheetView workbookViewId="0">
      <selection activeCell="F12" sqref="F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820</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tbl-siena-not-routine-physical-income</v>
      </c>
    </row>
    <row r="4" spans="1:17" x14ac:dyDescent="0.2">
      <c r="A4" s="16" t="s">
        <v>7</v>
      </c>
      <c r="B4" t="str">
        <f>IF($B$1="","",_xlfn.XLOOKUP($B$1,Master!$F$2:$F$321,Master!$H$2:$H$321,""))</f>
        <v>fig-siena-not-routine-physical-income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2215</v>
      </c>
      <c r="G5" t="s">
        <v>2180</v>
      </c>
      <c r="H5" t="s">
        <v>2166</v>
      </c>
      <c r="I5" t="s">
        <v>2167</v>
      </c>
      <c r="J5" t="s">
        <v>2168</v>
      </c>
      <c r="K5" t="s">
        <v>2169</v>
      </c>
    </row>
    <row r="6" spans="1:17" ht="15" customHeight="1" x14ac:dyDescent="0.2">
      <c r="A6" t="s">
        <v>1088</v>
      </c>
      <c r="B6" t="b">
        <v>0</v>
      </c>
      <c r="E6" s="80"/>
      <c r="F6" t="s">
        <v>2216</v>
      </c>
      <c r="G6" s="15">
        <v>33</v>
      </c>
      <c r="H6" s="15">
        <v>14</v>
      </c>
      <c r="I6" s="15">
        <v>22</v>
      </c>
      <c r="J6" s="15">
        <v>6</v>
      </c>
      <c r="K6" s="15">
        <v>4</v>
      </c>
      <c r="L6" s="15"/>
      <c r="M6" s="15"/>
      <c r="N6" s="15"/>
      <c r="O6" s="15"/>
    </row>
    <row r="7" spans="1:17" ht="15.75" customHeight="1" x14ac:dyDescent="0.2">
      <c r="E7" s="80"/>
      <c r="F7" t="s">
        <v>2217</v>
      </c>
      <c r="G7" s="15">
        <v>21</v>
      </c>
      <c r="H7" s="15">
        <v>20</v>
      </c>
      <c r="I7" s="15">
        <v>6</v>
      </c>
      <c r="J7" s="15">
        <v>8</v>
      </c>
      <c r="K7" s="15">
        <v>4</v>
      </c>
      <c r="L7" s="15"/>
      <c r="M7" s="15"/>
      <c r="N7" s="15"/>
      <c r="O7" s="15"/>
    </row>
    <row r="8" spans="1:17" x14ac:dyDescent="0.2">
      <c r="E8" s="80"/>
      <c r="F8" t="s">
        <v>2218</v>
      </c>
      <c r="G8" s="15">
        <v>18</v>
      </c>
      <c r="H8" s="15">
        <v>14</v>
      </c>
      <c r="I8" s="15">
        <v>0</v>
      </c>
      <c r="J8" s="15">
        <v>0</v>
      </c>
      <c r="K8" s="15">
        <v>4</v>
      </c>
      <c r="L8" s="15"/>
      <c r="M8" s="15"/>
      <c r="N8" s="15"/>
      <c r="O8" s="15"/>
    </row>
    <row r="9" spans="1:17" x14ac:dyDescent="0.2">
      <c r="A9" s="83" t="s">
        <v>1098</v>
      </c>
      <c r="B9" s="80"/>
      <c r="E9" s="80"/>
      <c r="F9" t="s">
        <v>2219</v>
      </c>
      <c r="G9" s="15">
        <v>22</v>
      </c>
      <c r="H9" s="15">
        <v>37</v>
      </c>
      <c r="I9" s="15">
        <v>47</v>
      </c>
      <c r="J9" s="15">
        <v>36</v>
      </c>
      <c r="K9" s="15">
        <v>68</v>
      </c>
      <c r="L9" s="15"/>
      <c r="M9" s="15"/>
      <c r="N9" s="15"/>
      <c r="O9" s="15"/>
    </row>
    <row r="10" spans="1:17" x14ac:dyDescent="0.2">
      <c r="A10" t="s">
        <v>1100</v>
      </c>
      <c r="E10" s="80"/>
      <c r="F10" t="s">
        <v>2220</v>
      </c>
      <c r="G10" s="15">
        <v>8</v>
      </c>
      <c r="H10" s="15">
        <v>0</v>
      </c>
      <c r="I10" s="15">
        <v>4</v>
      </c>
      <c r="J10" s="15">
        <v>0</v>
      </c>
      <c r="K10" s="15">
        <v>4</v>
      </c>
    </row>
    <row r="11" spans="1:17" x14ac:dyDescent="0.2">
      <c r="A11" t="s">
        <v>1102</v>
      </c>
      <c r="E11" s="80"/>
      <c r="F11" t="s">
        <v>2221</v>
      </c>
      <c r="G11" s="15">
        <v>43</v>
      </c>
      <c r="H11" s="15">
        <v>54</v>
      </c>
      <c r="I11" s="15">
        <v>40</v>
      </c>
      <c r="J11" s="17">
        <v>65</v>
      </c>
      <c r="K11" s="17">
        <v>35</v>
      </c>
      <c r="L11" s="17"/>
      <c r="M11" s="17"/>
      <c r="N11" s="17"/>
    </row>
    <row r="12" spans="1:17" x14ac:dyDescent="0.2">
      <c r="A12" t="s">
        <v>1104</v>
      </c>
      <c r="E12" s="80"/>
      <c r="F12" s="21" t="s">
        <v>2222</v>
      </c>
      <c r="G12" s="17">
        <v>9</v>
      </c>
      <c r="H12" s="17">
        <v>11</v>
      </c>
      <c r="I12" s="15">
        <v>3</v>
      </c>
      <c r="J12" s="15">
        <v>4</v>
      </c>
      <c r="K12" s="15">
        <v>4</v>
      </c>
      <c r="L12" s="15"/>
    </row>
    <row r="13" spans="1:17" x14ac:dyDescent="0.2">
      <c r="A13" t="s">
        <v>1108</v>
      </c>
      <c r="E13" s="80"/>
      <c r="F13" t="s">
        <v>1015</v>
      </c>
      <c r="G13" s="15">
        <v>11</v>
      </c>
      <c r="H13" s="15">
        <v>8</v>
      </c>
      <c r="I13" s="15">
        <v>1</v>
      </c>
      <c r="J13" s="15">
        <v>0</v>
      </c>
      <c r="K13" s="15">
        <v>0</v>
      </c>
    </row>
    <row r="14" spans="1:17" x14ac:dyDescent="0.2">
      <c r="A14" t="s">
        <v>1112</v>
      </c>
      <c r="E14" s="80"/>
      <c r="F14" t="s">
        <v>2179</v>
      </c>
      <c r="G14" s="15">
        <v>3</v>
      </c>
      <c r="H14" s="15">
        <v>4</v>
      </c>
      <c r="I14" s="15">
        <v>6</v>
      </c>
      <c r="J14" s="15">
        <v>0</v>
      </c>
      <c r="K14" s="15">
        <v>0</v>
      </c>
    </row>
    <row r="15" spans="1:17" x14ac:dyDescent="0.2">
      <c r="A15" t="s">
        <v>1114</v>
      </c>
      <c r="E15" s="80"/>
    </row>
    <row r="16" spans="1:17" x14ac:dyDescent="0.2">
      <c r="A16" t="s">
        <v>1116</v>
      </c>
      <c r="E16" s="80"/>
    </row>
    <row r="17" spans="1:11" x14ac:dyDescent="0.2">
      <c r="A17" s="76" t="s">
        <v>2137</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500-000000000000}">
      <formula1>"True,False"</formula1>
    </dataValidation>
    <dataValidation type="list" allowBlank="1" showInputMessage="1" showErrorMessage="1" sqref="B2" xr:uid="{00000000-0002-0000-F500-000001000000}">
      <formula1>"Table,Figure,Both"</formula1>
    </dataValidation>
    <dataValidation type="list" allowBlank="1" showInputMessage="1" showErrorMessage="1" sqref="B10" xr:uid="{00000000-0002-0000-F500-000002000000}">
      <formula1>"Line,Clustered Bar,Stacked Bar,Bar,Horizontal Stacked Bar"</formula1>
    </dataValidation>
  </dataValidations>
  <pageMargins left="0.75" right="0.75" top="1" bottom="1" header="0.5" footer="0.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826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tbl-siena-routine-dentist-income</v>
      </c>
    </row>
    <row r="4" spans="1:17" x14ac:dyDescent="0.2">
      <c r="A4" s="16" t="s">
        <v>7</v>
      </c>
      <c r="B4" t="str">
        <f>IF($B$1="","",_xlfn.XLOOKUP($B$1,Master!$F$2:$F$321,Master!$H$2:$H$321,""))</f>
        <v>fig-siena-routine-dentist-income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50</v>
      </c>
      <c r="H6" s="15">
        <v>50</v>
      </c>
      <c r="I6" s="63"/>
      <c r="J6" s="63"/>
      <c r="K6" s="63"/>
      <c r="L6" s="15"/>
      <c r="M6" s="15"/>
      <c r="N6" s="15"/>
      <c r="O6" s="15"/>
    </row>
    <row r="7" spans="1:17" ht="15.75" customHeight="1" x14ac:dyDescent="0.2">
      <c r="E7" s="80"/>
      <c r="F7" t="s">
        <v>2166</v>
      </c>
      <c r="G7" s="15">
        <v>59</v>
      </c>
      <c r="H7" s="15">
        <v>40</v>
      </c>
      <c r="I7" s="63"/>
      <c r="J7" s="63"/>
      <c r="K7" s="63"/>
      <c r="L7" s="15"/>
      <c r="M7" s="15"/>
      <c r="N7" s="15"/>
      <c r="O7" s="15"/>
    </row>
    <row r="8" spans="1:17" x14ac:dyDescent="0.2">
      <c r="E8" s="80"/>
      <c r="F8" t="s">
        <v>2167</v>
      </c>
      <c r="G8" s="15">
        <v>64</v>
      </c>
      <c r="H8" s="15">
        <v>36</v>
      </c>
      <c r="I8" s="63"/>
      <c r="J8" s="63"/>
      <c r="K8" s="63"/>
      <c r="L8" s="15"/>
      <c r="M8" s="15"/>
      <c r="N8" s="15"/>
      <c r="O8" s="15"/>
    </row>
    <row r="9" spans="1:17" x14ac:dyDescent="0.2">
      <c r="A9" s="83" t="s">
        <v>1098</v>
      </c>
      <c r="B9" s="80"/>
      <c r="E9" s="80"/>
      <c r="F9" t="s">
        <v>2168</v>
      </c>
      <c r="G9" s="15">
        <v>80</v>
      </c>
      <c r="H9" s="15">
        <v>20</v>
      </c>
      <c r="I9" s="63"/>
      <c r="J9" s="63"/>
      <c r="K9" s="63"/>
      <c r="L9" s="15"/>
      <c r="M9" s="15"/>
      <c r="N9" s="15"/>
      <c r="O9" s="15"/>
    </row>
    <row r="10" spans="1:17" x14ac:dyDescent="0.2">
      <c r="A10" t="s">
        <v>1100</v>
      </c>
      <c r="B10" t="s">
        <v>1300</v>
      </c>
      <c r="E10" s="80"/>
      <c r="F10" t="s">
        <v>2169</v>
      </c>
      <c r="G10" s="15">
        <v>77</v>
      </c>
      <c r="H10">
        <v>23</v>
      </c>
      <c r="I10" s="64"/>
      <c r="J10" s="64"/>
      <c r="K10" s="64"/>
    </row>
    <row r="11" spans="1:17" x14ac:dyDescent="0.2">
      <c r="A11" t="s">
        <v>1102</v>
      </c>
      <c r="B11" t="s">
        <v>2181</v>
      </c>
      <c r="E11" s="80"/>
      <c r="G11" s="63"/>
      <c r="H11" s="63"/>
      <c r="I11" s="63"/>
      <c r="J11" s="65"/>
      <c r="K11" s="65"/>
      <c r="L11" s="17"/>
      <c r="M11" s="17"/>
      <c r="N11" s="17"/>
    </row>
    <row r="12" spans="1:17" x14ac:dyDescent="0.2">
      <c r="A12" t="s">
        <v>1104</v>
      </c>
      <c r="E12" s="80"/>
      <c r="F12" s="21"/>
      <c r="G12" s="65"/>
      <c r="H12" s="65"/>
      <c r="I12" s="63"/>
      <c r="J12" s="63"/>
      <c r="K12" s="63"/>
      <c r="L12" s="15"/>
    </row>
    <row r="13" spans="1:17" x14ac:dyDescent="0.2">
      <c r="A13" t="s">
        <v>1108</v>
      </c>
      <c r="E13" s="80"/>
      <c r="G13" s="64"/>
      <c r="H13" s="64"/>
      <c r="I13" s="64"/>
      <c r="J13" s="64"/>
      <c r="K13" s="64"/>
    </row>
    <row r="14" spans="1:17" x14ac:dyDescent="0.2">
      <c r="A14" t="s">
        <v>1112</v>
      </c>
      <c r="B14" t="s">
        <v>990</v>
      </c>
      <c r="E14" s="80"/>
      <c r="G14" s="64"/>
      <c r="H14" s="64"/>
      <c r="I14" s="64"/>
      <c r="J14" s="64"/>
      <c r="K14" s="64"/>
    </row>
    <row r="15" spans="1:17" x14ac:dyDescent="0.2">
      <c r="A15" t="s">
        <v>1114</v>
      </c>
      <c r="B15" t="b">
        <v>1</v>
      </c>
      <c r="E15" s="80"/>
    </row>
    <row r="16" spans="1:17" x14ac:dyDescent="0.2">
      <c r="A16" t="s">
        <v>1116</v>
      </c>
      <c r="B16" t="b">
        <v>1</v>
      </c>
      <c r="E16" s="80"/>
    </row>
    <row r="17" spans="1:11" x14ac:dyDescent="0.2">
      <c r="A17" s="76" t="s">
        <v>2137</v>
      </c>
      <c r="B17" t="b">
        <v>0</v>
      </c>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F600-000000000000}">
      <formula1>"Line,Clustered Bar,Stacked Bar,Bar,Horizontal Stacked Bar"</formula1>
    </dataValidation>
    <dataValidation type="list" allowBlank="1" showInputMessage="1" showErrorMessage="1" sqref="B2" xr:uid="{00000000-0002-0000-F600-000001000000}">
      <formula1>"Table,Figure,Both"</formula1>
    </dataValidation>
    <dataValidation type="list" allowBlank="1" showInputMessage="1" showErrorMessage="1" sqref="B6 B15:B16" xr:uid="{00000000-0002-0000-F600-000002000000}">
      <formula1>"True,False"</formula1>
    </dataValidation>
  </dataValidations>
  <pageMargins left="0.75" right="0.75" top="1" bottom="1" header="0.5" footer="0.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Q57"/>
  <sheetViews>
    <sheetView workbookViewId="0">
      <selection activeCell="F12" sqref="F12"/>
    </sheetView>
  </sheetViews>
  <sheetFormatPr baseColWidth="10" defaultColWidth="8.6640625" defaultRowHeight="15" x14ac:dyDescent="0.2"/>
  <cols>
    <col min="1" max="1" width="20" bestFit="1" customWidth="1"/>
    <col min="2" max="2" width="22.1640625" bestFit="1" customWidth="1"/>
    <col min="5" max="5" width="6.6640625" customWidth="1"/>
    <col min="6" max="6" width="49.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2223</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2215</v>
      </c>
      <c r="G5" s="15" t="s">
        <v>2180</v>
      </c>
      <c r="H5" s="15" t="s">
        <v>2166</v>
      </c>
      <c r="I5" s="15" t="s">
        <v>2167</v>
      </c>
      <c r="J5" s="15" t="s">
        <v>2168</v>
      </c>
      <c r="K5" s="15" t="s">
        <v>2169</v>
      </c>
    </row>
    <row r="6" spans="1:17" ht="15" customHeight="1" x14ac:dyDescent="0.2">
      <c r="A6" t="s">
        <v>1088</v>
      </c>
      <c r="B6" t="b">
        <v>0</v>
      </c>
      <c r="E6" s="80"/>
      <c r="F6" t="s">
        <v>2216</v>
      </c>
      <c r="G6" s="15">
        <v>33</v>
      </c>
      <c r="H6" s="15">
        <v>14</v>
      </c>
      <c r="I6" s="15">
        <v>22</v>
      </c>
      <c r="J6" s="15">
        <v>6</v>
      </c>
      <c r="K6" s="15">
        <v>4</v>
      </c>
      <c r="L6" s="15"/>
      <c r="M6" s="15"/>
      <c r="N6" s="15"/>
      <c r="O6" s="15"/>
    </row>
    <row r="7" spans="1:17" ht="15.75" customHeight="1" x14ac:dyDescent="0.2">
      <c r="E7" s="80"/>
      <c r="F7" t="s">
        <v>2217</v>
      </c>
      <c r="G7" s="15">
        <v>21</v>
      </c>
      <c r="H7" s="15">
        <v>20</v>
      </c>
      <c r="I7" s="15">
        <v>6</v>
      </c>
      <c r="J7" s="15">
        <v>8</v>
      </c>
      <c r="K7" s="15">
        <v>4</v>
      </c>
      <c r="L7" s="15"/>
      <c r="M7" s="15"/>
      <c r="N7" s="15"/>
      <c r="O7" s="15"/>
    </row>
    <row r="8" spans="1:17" x14ac:dyDescent="0.2">
      <c r="E8" s="80"/>
      <c r="F8" t="s">
        <v>2218</v>
      </c>
      <c r="G8" s="15">
        <v>18</v>
      </c>
      <c r="H8" s="15">
        <v>14</v>
      </c>
      <c r="I8" s="15">
        <v>0</v>
      </c>
      <c r="J8" s="15">
        <v>0</v>
      </c>
      <c r="K8" s="15">
        <v>4</v>
      </c>
      <c r="L8" s="15"/>
      <c r="M8" s="15"/>
      <c r="N8" s="15"/>
      <c r="O8" s="15"/>
    </row>
    <row r="9" spans="1:17" x14ac:dyDescent="0.2">
      <c r="A9" s="83" t="s">
        <v>1098</v>
      </c>
      <c r="B9" s="80"/>
      <c r="E9" s="80"/>
      <c r="F9" t="s">
        <v>2219</v>
      </c>
      <c r="G9" s="15">
        <v>22</v>
      </c>
      <c r="H9" s="15">
        <v>37</v>
      </c>
      <c r="I9" s="15">
        <v>47</v>
      </c>
      <c r="J9" s="15">
        <v>36</v>
      </c>
      <c r="K9" s="15">
        <v>68</v>
      </c>
      <c r="L9" s="15"/>
      <c r="M9" s="15"/>
      <c r="N9" s="15"/>
      <c r="O9" s="15"/>
    </row>
    <row r="10" spans="1:17" x14ac:dyDescent="0.2">
      <c r="A10" t="s">
        <v>1100</v>
      </c>
      <c r="E10" s="80"/>
      <c r="F10" t="s">
        <v>2220</v>
      </c>
      <c r="G10" s="15">
        <v>8</v>
      </c>
      <c r="H10" s="15">
        <v>0</v>
      </c>
      <c r="I10" s="15">
        <v>4</v>
      </c>
      <c r="J10" s="15">
        <v>0</v>
      </c>
      <c r="K10" s="15">
        <v>4</v>
      </c>
    </row>
    <row r="11" spans="1:17" x14ac:dyDescent="0.2">
      <c r="A11" t="s">
        <v>1102</v>
      </c>
      <c r="E11" s="80"/>
      <c r="F11" t="s">
        <v>2221</v>
      </c>
      <c r="G11" s="15">
        <v>43</v>
      </c>
      <c r="H11" s="15">
        <v>54</v>
      </c>
      <c r="I11" s="15">
        <v>40</v>
      </c>
      <c r="J11" s="17">
        <v>65</v>
      </c>
      <c r="K11" s="17">
        <v>35</v>
      </c>
      <c r="L11" s="17"/>
      <c r="M11" s="17"/>
      <c r="N11" s="17"/>
    </row>
    <row r="12" spans="1:17" x14ac:dyDescent="0.2">
      <c r="A12" t="s">
        <v>1104</v>
      </c>
      <c r="E12" s="80"/>
      <c r="F12" s="21" t="s">
        <v>2222</v>
      </c>
      <c r="G12" s="17">
        <v>9</v>
      </c>
      <c r="H12" s="17">
        <v>11</v>
      </c>
      <c r="I12" s="15">
        <v>3</v>
      </c>
      <c r="J12" s="15">
        <v>4</v>
      </c>
      <c r="K12" s="15">
        <v>4</v>
      </c>
      <c r="L12" s="15"/>
    </row>
    <row r="13" spans="1:17" x14ac:dyDescent="0.2">
      <c r="A13" t="s">
        <v>1108</v>
      </c>
      <c r="E13" s="80"/>
      <c r="F13" t="s">
        <v>1015</v>
      </c>
      <c r="G13" s="15">
        <v>11</v>
      </c>
      <c r="H13" s="15">
        <v>8</v>
      </c>
      <c r="I13" s="15">
        <v>1</v>
      </c>
      <c r="J13" s="15">
        <v>0</v>
      </c>
      <c r="K13" s="15">
        <v>0</v>
      </c>
    </row>
    <row r="14" spans="1:17" x14ac:dyDescent="0.2">
      <c r="A14" t="s">
        <v>1112</v>
      </c>
      <c r="E14" s="80"/>
      <c r="F14" t="s">
        <v>2179</v>
      </c>
      <c r="G14" s="15">
        <v>3</v>
      </c>
      <c r="H14" s="15">
        <v>4</v>
      </c>
      <c r="I14" s="15">
        <v>6</v>
      </c>
      <c r="J14" s="15">
        <v>0</v>
      </c>
      <c r="K14" s="15">
        <v>0</v>
      </c>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700-000000000000}">
      <formula1>"True,False"</formula1>
    </dataValidation>
    <dataValidation type="list" allowBlank="1" showInputMessage="1" showErrorMessage="1" sqref="B2" xr:uid="{00000000-0002-0000-F700-000001000000}">
      <formula1>"Table,Figure,Both"</formula1>
    </dataValidation>
    <dataValidation type="list" allowBlank="1" showInputMessage="1" showErrorMessage="1" sqref="B10" xr:uid="{00000000-0002-0000-F700-000002000000}">
      <formula1>"Line,Clustered Bar,Stacked Bar,Bar,Horizontal Stacked Bar"</formula1>
    </dataValidation>
  </dataValidations>
  <pageMargins left="0.75" right="0.75" top="1" bottom="1" header="0.5" footer="0.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832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tbl-siena-not-routine-dentist-income</v>
      </c>
    </row>
    <row r="4" spans="1:17" x14ac:dyDescent="0.2">
      <c r="A4" s="16" t="s">
        <v>7</v>
      </c>
      <c r="B4" t="str">
        <f>IF($B$1="","",_xlfn.XLOOKUP($B$1,Master!$F$2:$F$321,Master!$H$2:$H$321,""))</f>
        <v>fig-siena-not-routine-dentist-income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2215</v>
      </c>
      <c r="G5" t="s">
        <v>2180</v>
      </c>
      <c r="H5" t="s">
        <v>2166</v>
      </c>
      <c r="I5" t="s">
        <v>2167</v>
      </c>
      <c r="J5" t="s">
        <v>2168</v>
      </c>
      <c r="K5" t="s">
        <v>2169</v>
      </c>
    </row>
    <row r="6" spans="1:17" ht="15" customHeight="1" x14ac:dyDescent="0.2">
      <c r="A6" t="s">
        <v>1088</v>
      </c>
      <c r="B6" t="b">
        <v>0</v>
      </c>
      <c r="E6" s="80"/>
      <c r="F6" t="s">
        <v>2216</v>
      </c>
      <c r="G6" s="15">
        <v>32</v>
      </c>
      <c r="H6" s="15">
        <v>35</v>
      </c>
      <c r="I6" s="15">
        <v>28</v>
      </c>
      <c r="J6" s="15">
        <v>9</v>
      </c>
      <c r="K6" s="15">
        <v>7</v>
      </c>
      <c r="L6" s="15"/>
      <c r="M6" s="15"/>
      <c r="N6" s="15"/>
      <c r="O6" s="15"/>
    </row>
    <row r="7" spans="1:17" ht="15.75" customHeight="1" x14ac:dyDescent="0.2">
      <c r="E7" s="80"/>
      <c r="F7" t="s">
        <v>2217</v>
      </c>
      <c r="G7" s="15">
        <v>25</v>
      </c>
      <c r="H7" s="15">
        <v>32</v>
      </c>
      <c r="I7" s="15">
        <v>23</v>
      </c>
      <c r="J7" s="15">
        <v>13</v>
      </c>
      <c r="K7" s="15">
        <v>10</v>
      </c>
      <c r="L7" s="15"/>
      <c r="M7" s="15"/>
      <c r="N7" s="15"/>
      <c r="O7" s="15"/>
    </row>
    <row r="8" spans="1:17" x14ac:dyDescent="0.2">
      <c r="E8" s="80"/>
      <c r="F8" t="s">
        <v>2218</v>
      </c>
      <c r="G8" s="15">
        <v>17</v>
      </c>
      <c r="H8" s="15">
        <v>17</v>
      </c>
      <c r="I8" s="15">
        <v>5</v>
      </c>
      <c r="J8" s="15">
        <v>0</v>
      </c>
      <c r="K8" s="15">
        <v>0</v>
      </c>
      <c r="L8" s="15"/>
      <c r="M8" s="15"/>
      <c r="N8" s="15"/>
      <c r="O8" s="15"/>
    </row>
    <row r="9" spans="1:17" x14ac:dyDescent="0.2">
      <c r="A9" s="83" t="s">
        <v>1098</v>
      </c>
      <c r="B9" s="80"/>
      <c r="E9" s="80"/>
      <c r="F9" t="s">
        <v>2219</v>
      </c>
      <c r="G9" s="15">
        <v>18</v>
      </c>
      <c r="H9" s="15">
        <v>39</v>
      </c>
      <c r="I9" s="15">
        <v>27</v>
      </c>
      <c r="J9" s="15">
        <v>30</v>
      </c>
      <c r="K9" s="15">
        <v>51</v>
      </c>
      <c r="L9" s="15"/>
      <c r="M9" s="15"/>
      <c r="N9" s="15"/>
      <c r="O9" s="15"/>
    </row>
    <row r="10" spans="1:17" x14ac:dyDescent="0.2">
      <c r="A10" t="s">
        <v>1100</v>
      </c>
      <c r="B10" t="s">
        <v>1300</v>
      </c>
      <c r="E10" s="80"/>
      <c r="F10" t="s">
        <v>2220</v>
      </c>
      <c r="G10" s="15">
        <v>9</v>
      </c>
      <c r="H10" s="15">
        <v>5</v>
      </c>
      <c r="I10" s="15">
        <v>3</v>
      </c>
      <c r="J10" s="15">
        <v>0</v>
      </c>
      <c r="K10" s="15">
        <v>0</v>
      </c>
    </row>
    <row r="11" spans="1:17" x14ac:dyDescent="0.2">
      <c r="A11" t="s">
        <v>1102</v>
      </c>
      <c r="B11" t="s">
        <v>2215</v>
      </c>
      <c r="E11" s="80"/>
      <c r="F11" t="s">
        <v>2221</v>
      </c>
      <c r="G11" s="15">
        <v>53</v>
      </c>
      <c r="H11" s="15">
        <v>26</v>
      </c>
      <c r="I11" s="15">
        <v>32</v>
      </c>
      <c r="J11" s="17">
        <v>40</v>
      </c>
      <c r="K11" s="17">
        <v>37</v>
      </c>
      <c r="L11" s="17"/>
      <c r="M11" s="17"/>
      <c r="N11" s="17"/>
    </row>
    <row r="12" spans="1:17" x14ac:dyDescent="0.2">
      <c r="A12" t="s">
        <v>1104</v>
      </c>
      <c r="B12" t="s">
        <v>2164</v>
      </c>
      <c r="E12" s="80"/>
      <c r="F12" s="21" t="s">
        <v>2224</v>
      </c>
      <c r="G12" s="17">
        <v>15</v>
      </c>
      <c r="H12" s="17">
        <v>20</v>
      </c>
      <c r="I12" s="15">
        <v>10</v>
      </c>
      <c r="J12" s="15">
        <v>11</v>
      </c>
      <c r="K12" s="15">
        <v>8</v>
      </c>
      <c r="L12" s="15"/>
    </row>
    <row r="13" spans="1:17" x14ac:dyDescent="0.2">
      <c r="A13" t="s">
        <v>1108</v>
      </c>
      <c r="E13" s="80"/>
      <c r="F13" t="s">
        <v>1015</v>
      </c>
      <c r="G13" s="15">
        <v>2</v>
      </c>
      <c r="H13" s="15">
        <v>5</v>
      </c>
      <c r="I13" s="15">
        <v>4</v>
      </c>
      <c r="J13" s="15">
        <v>4</v>
      </c>
      <c r="K13" s="15">
        <v>1</v>
      </c>
    </row>
    <row r="14" spans="1:17" x14ac:dyDescent="0.2">
      <c r="A14" t="s">
        <v>1112</v>
      </c>
      <c r="E14" s="80"/>
      <c r="F14" t="s">
        <v>2179</v>
      </c>
      <c r="G14" s="15">
        <v>1</v>
      </c>
      <c r="H14" s="15">
        <v>4</v>
      </c>
      <c r="I14" s="15">
        <v>9</v>
      </c>
      <c r="J14" s="15">
        <v>7</v>
      </c>
      <c r="K14" s="15">
        <v>5</v>
      </c>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800-000000000000}">
      <formula1>"True,False"</formula1>
    </dataValidation>
    <dataValidation type="list" allowBlank="1" showInputMessage="1" showErrorMessage="1" sqref="B2" xr:uid="{00000000-0002-0000-F800-000001000000}">
      <formula1>"Table,Figure,Both"</formula1>
    </dataValidation>
    <dataValidation type="list" allowBlank="1" showInputMessage="1" showErrorMessage="1" sqref="B10" xr:uid="{00000000-0002-0000-F800-000002000000}">
      <formula1>"Line,Clustered Bar,Stacked Bar,Bar,Horizontal Stacked Bar"</formula1>
    </dataValidation>
  </dataValidations>
  <pageMargins left="0.75" right="0.75" top="1" bottom="1" header="0.5" footer="0.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Q57"/>
  <sheetViews>
    <sheetView workbookViewId="0">
      <selection activeCell="L16" sqref="L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838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tbl-siena-ed-not-for-emergency-income</v>
      </c>
    </row>
    <row r="4" spans="1:17" x14ac:dyDescent="0.2">
      <c r="A4" s="16" t="s">
        <v>7</v>
      </c>
      <c r="B4" t="str">
        <f>IF($B$1="","",_xlfn.XLOOKUP($B$1,Master!$F$2:$F$321,Master!$H$2:$H$321,""))</f>
        <v>fig-siena-ed-not-for-emergency-income</v>
      </c>
      <c r="E4" s="8"/>
      <c r="F4" s="10" t="s">
        <v>1009</v>
      </c>
      <c r="G4" s="10" t="s">
        <v>979</v>
      </c>
      <c r="H4" s="10" t="s">
        <v>979</v>
      </c>
      <c r="I4" s="10"/>
      <c r="J4" s="10"/>
      <c r="K4" s="10"/>
      <c r="L4" s="10"/>
      <c r="M4" s="10"/>
      <c r="N4" s="10"/>
      <c r="O4" s="10"/>
      <c r="P4" s="10"/>
      <c r="Q4" s="10"/>
    </row>
    <row r="5" spans="1:17" x14ac:dyDescent="0.2">
      <c r="A5" s="83" t="s">
        <v>1081</v>
      </c>
      <c r="B5" s="80"/>
      <c r="E5" s="82" t="s">
        <v>1082</v>
      </c>
      <c r="F5" s="15" t="s">
        <v>2164</v>
      </c>
      <c r="G5" s="15" t="s">
        <v>2211</v>
      </c>
      <c r="H5" s="15" t="s">
        <v>2212</v>
      </c>
    </row>
    <row r="6" spans="1:17" ht="15" customHeight="1" x14ac:dyDescent="0.2">
      <c r="A6" t="s">
        <v>1088</v>
      </c>
      <c r="B6" t="b">
        <v>0</v>
      </c>
      <c r="E6" s="80"/>
      <c r="F6" s="15" t="s">
        <v>2180</v>
      </c>
      <c r="G6" s="15">
        <v>15</v>
      </c>
      <c r="H6" s="15">
        <v>85</v>
      </c>
      <c r="I6" s="63"/>
      <c r="J6" s="63"/>
      <c r="K6" s="63"/>
      <c r="L6" s="15"/>
      <c r="M6" s="15"/>
      <c r="N6" s="15"/>
      <c r="O6" s="15"/>
    </row>
    <row r="7" spans="1:17" ht="15.75" customHeight="1" x14ac:dyDescent="0.2">
      <c r="E7" s="80"/>
      <c r="F7" s="15" t="s">
        <v>2166</v>
      </c>
      <c r="G7" s="15">
        <v>6</v>
      </c>
      <c r="H7" s="15">
        <v>94</v>
      </c>
      <c r="I7" s="63"/>
      <c r="J7" s="63"/>
      <c r="K7" s="63"/>
      <c r="L7" s="15"/>
      <c r="M7" s="15"/>
      <c r="N7" s="15"/>
      <c r="O7" s="15"/>
    </row>
    <row r="8" spans="1:17" x14ac:dyDescent="0.2">
      <c r="E8" s="80"/>
      <c r="F8" s="15" t="s">
        <v>2167</v>
      </c>
      <c r="G8" s="15">
        <v>6</v>
      </c>
      <c r="H8" s="15">
        <v>94</v>
      </c>
      <c r="I8" s="63"/>
      <c r="J8" s="63"/>
      <c r="K8" s="63"/>
      <c r="L8" s="15"/>
      <c r="M8" s="15"/>
      <c r="N8" s="15"/>
      <c r="O8" s="15"/>
    </row>
    <row r="9" spans="1:17" x14ac:dyDescent="0.2">
      <c r="A9" s="83" t="s">
        <v>1098</v>
      </c>
      <c r="B9" s="80"/>
      <c r="E9" s="80"/>
      <c r="F9" s="15" t="s">
        <v>2168</v>
      </c>
      <c r="G9" s="15">
        <v>9</v>
      </c>
      <c r="H9" s="15">
        <v>91</v>
      </c>
      <c r="I9" s="63"/>
      <c r="J9" s="63"/>
      <c r="K9" s="63"/>
      <c r="L9" s="15"/>
      <c r="M9" s="15"/>
      <c r="N9" s="15"/>
      <c r="O9" s="15"/>
    </row>
    <row r="10" spans="1:17" x14ac:dyDescent="0.2">
      <c r="A10" t="s">
        <v>1100</v>
      </c>
      <c r="B10" t="s">
        <v>1300</v>
      </c>
      <c r="E10" s="80"/>
      <c r="F10" s="15" t="s">
        <v>2169</v>
      </c>
      <c r="G10" s="15">
        <v>7</v>
      </c>
      <c r="H10" s="15">
        <v>93</v>
      </c>
      <c r="I10" s="64"/>
      <c r="J10" s="64"/>
      <c r="K10" s="64"/>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B14" t="s">
        <v>990</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900-000000000000}">
      <formula1>"True,False"</formula1>
    </dataValidation>
    <dataValidation type="list" allowBlank="1" showInputMessage="1" showErrorMessage="1" sqref="B2" xr:uid="{00000000-0002-0000-F900-000001000000}">
      <formula1>"Table,Figure,Both"</formula1>
    </dataValidation>
    <dataValidation type="list" allowBlank="1" showInputMessage="1" showErrorMessage="1" sqref="B10" xr:uid="{00000000-0002-0000-F900-000002000000}">
      <formula1>"Line,Clustered Bar,Stacked Bar,Bar,Horizontal Stacked Bar"</formula1>
    </dataValidation>
  </dataValidations>
  <pageMargins left="0.75" right="0.75" top="1" bottom="1" header="0.5" footer="0.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Q57"/>
  <sheetViews>
    <sheetView workbookViewId="0">
      <selection activeCell="F20" sqref="F20"/>
    </sheetView>
  </sheetViews>
  <sheetFormatPr baseColWidth="10" defaultColWidth="8.6640625" defaultRowHeight="15" x14ac:dyDescent="0.2"/>
  <cols>
    <col min="1" max="1" width="20" bestFit="1" customWidth="1"/>
    <col min="2" max="2" width="22.1640625" bestFit="1" customWidth="1"/>
    <col min="5" max="5" width="6.6640625" customWidth="1"/>
    <col min="6" max="6" width="95.6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841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tbl-siena-reason-ed-not-emergency</v>
      </c>
    </row>
    <row r="4" spans="1:17" x14ac:dyDescent="0.2">
      <c r="A4" s="16" t="s">
        <v>7</v>
      </c>
      <c r="B4" t="str">
        <f>IF($B$1="","",_xlfn.XLOOKUP($B$1,Master!$F$2:$F$321,Master!$H$2:$H$321,""))</f>
        <v>fig-siena-reason-ed-not-emergency</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2215</v>
      </c>
      <c r="G5">
        <v>2022</v>
      </c>
      <c r="H5">
        <v>2023</v>
      </c>
      <c r="I5">
        <v>2024</v>
      </c>
    </row>
    <row r="6" spans="1:17" ht="15" customHeight="1" x14ac:dyDescent="0.2">
      <c r="A6" t="s">
        <v>1088</v>
      </c>
      <c r="B6" t="b">
        <v>0</v>
      </c>
      <c r="E6" s="80"/>
      <c r="F6" t="s">
        <v>2225</v>
      </c>
      <c r="G6" s="15">
        <v>25</v>
      </c>
      <c r="H6" s="15">
        <v>15</v>
      </c>
      <c r="I6" s="15">
        <v>9</v>
      </c>
      <c r="J6" s="63"/>
      <c r="K6" s="63"/>
      <c r="L6" s="15"/>
      <c r="M6" s="15"/>
      <c r="N6" s="15"/>
      <c r="O6" s="15"/>
    </row>
    <row r="7" spans="1:17" ht="15.75" customHeight="1" x14ac:dyDescent="0.2">
      <c r="E7" s="80"/>
      <c r="F7" t="s">
        <v>2226</v>
      </c>
      <c r="G7" s="15">
        <v>19</v>
      </c>
      <c r="H7" s="15">
        <v>22</v>
      </c>
      <c r="I7" s="15">
        <v>24</v>
      </c>
      <c r="J7" s="63"/>
      <c r="K7" s="63"/>
      <c r="L7" s="15"/>
      <c r="M7" s="15"/>
      <c r="N7" s="15"/>
      <c r="O7" s="15"/>
    </row>
    <row r="8" spans="1:17" x14ac:dyDescent="0.2">
      <c r="E8" s="80"/>
      <c r="F8" t="s">
        <v>2227</v>
      </c>
      <c r="G8" s="15">
        <v>9</v>
      </c>
      <c r="H8" s="15">
        <v>11</v>
      </c>
      <c r="I8" s="15">
        <v>10</v>
      </c>
      <c r="J8" s="63"/>
      <c r="K8" s="63"/>
      <c r="L8" s="15"/>
      <c r="M8" s="15"/>
      <c r="N8" s="15"/>
      <c r="O8" s="15"/>
    </row>
    <row r="9" spans="1:17" x14ac:dyDescent="0.2">
      <c r="A9" s="83" t="s">
        <v>1098</v>
      </c>
      <c r="B9" s="80"/>
      <c r="E9" s="80"/>
      <c r="F9" t="s">
        <v>2228</v>
      </c>
      <c r="G9" s="15">
        <v>40</v>
      </c>
      <c r="H9" s="15">
        <v>37</v>
      </c>
      <c r="I9" s="15">
        <v>41</v>
      </c>
      <c r="J9" s="63"/>
      <c r="K9" s="63"/>
      <c r="L9" s="15"/>
      <c r="M9" s="15"/>
      <c r="N9" s="15"/>
      <c r="O9" s="15"/>
    </row>
    <row r="10" spans="1:17" x14ac:dyDescent="0.2">
      <c r="A10" t="s">
        <v>1100</v>
      </c>
      <c r="B10" t="s">
        <v>1300</v>
      </c>
      <c r="E10" s="80"/>
      <c r="F10" t="s">
        <v>2229</v>
      </c>
      <c r="G10" s="15">
        <v>27</v>
      </c>
      <c r="H10" s="15">
        <v>27</v>
      </c>
      <c r="I10" s="15">
        <v>42</v>
      </c>
      <c r="J10" s="64"/>
      <c r="K10" s="64"/>
    </row>
    <row r="11" spans="1:17" x14ac:dyDescent="0.2">
      <c r="A11" t="s">
        <v>1102</v>
      </c>
      <c r="B11" t="s">
        <v>1303</v>
      </c>
      <c r="E11" s="80"/>
      <c r="F11" t="s">
        <v>2230</v>
      </c>
      <c r="G11" s="15">
        <v>2</v>
      </c>
      <c r="H11" s="15">
        <v>7</v>
      </c>
      <c r="I11" s="15">
        <v>3</v>
      </c>
      <c r="J11" s="65"/>
      <c r="K11" s="65"/>
      <c r="L11" s="17"/>
      <c r="M11" s="17"/>
      <c r="N11" s="17"/>
    </row>
    <row r="12" spans="1:17" x14ac:dyDescent="0.2">
      <c r="A12" t="s">
        <v>1104</v>
      </c>
      <c r="B12" t="s">
        <v>2215</v>
      </c>
      <c r="E12" s="80"/>
      <c r="F12" t="s">
        <v>2231</v>
      </c>
      <c r="G12" s="17">
        <v>10</v>
      </c>
      <c r="H12" s="17">
        <v>9</v>
      </c>
      <c r="I12" s="15">
        <v>9</v>
      </c>
      <c r="J12" s="63"/>
      <c r="K12" s="63"/>
      <c r="L12" s="15"/>
    </row>
    <row r="13" spans="1:17" x14ac:dyDescent="0.2">
      <c r="A13" t="s">
        <v>1108</v>
      </c>
      <c r="E13" s="80"/>
      <c r="F13" t="s">
        <v>2179</v>
      </c>
      <c r="G13" s="15">
        <v>14</v>
      </c>
      <c r="H13" s="15">
        <v>18</v>
      </c>
      <c r="I13" s="15">
        <v>16</v>
      </c>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A00-000000000000}">
      <formula1>"True,False"</formula1>
    </dataValidation>
    <dataValidation type="list" allowBlank="1" showInputMessage="1" showErrorMessage="1" sqref="B2" xr:uid="{00000000-0002-0000-FA00-000001000000}">
      <formula1>"Table,Figure,Both"</formula1>
    </dataValidation>
    <dataValidation type="list" allowBlank="1" showInputMessage="1" showErrorMessage="1" sqref="B10" xr:uid="{00000000-0002-0000-FA00-000002000000}">
      <formula1>"Line,Clustered Bar,Stacked Bar,Bar,Horizontal Stacked Bar"</formula1>
    </dataValidation>
  </dataValidations>
  <pageMargins left="0.75" right="0.75" top="1" bottom="1" header="0.5" footer="0.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Q57"/>
  <sheetViews>
    <sheetView workbookViewId="0">
      <selection activeCell="M32" sqref="M3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844</v>
      </c>
      <c r="C1" s="80"/>
      <c r="D1" s="80"/>
      <c r="E1" s="80"/>
      <c r="F1" s="80"/>
      <c r="G1" s="80"/>
      <c r="H1" s="80"/>
      <c r="I1" s="80"/>
      <c r="J1" s="80"/>
      <c r="K1" s="80"/>
      <c r="L1" s="80"/>
      <c r="M1" s="80"/>
      <c r="N1" s="80"/>
      <c r="O1" s="80"/>
    </row>
    <row r="2" spans="1:17" x14ac:dyDescent="0.2">
      <c r="A2" s="16" t="s">
        <v>1078</v>
      </c>
      <c r="B2" t="s">
        <v>9</v>
      </c>
    </row>
    <row r="3" spans="1:17" x14ac:dyDescent="0.2">
      <c r="A3" s="16" t="s">
        <v>1080</v>
      </c>
      <c r="B3" t="str">
        <f>IF($B$1="","",_xlfn.XLOOKUP($B$1,Master!$F$2:$F$321,Master!$G$2:$G$321,""))</f>
        <v>tbl-siena-reason-ed-not-emergency-income</v>
      </c>
    </row>
    <row r="4" spans="1:17" x14ac:dyDescent="0.2">
      <c r="A4" s="16" t="s">
        <v>7</v>
      </c>
      <c r="B4" t="str">
        <f>IF($B$1="","",_xlfn.XLOOKUP($B$1,Master!$F$2:$F$321,Master!$H$2:$H$321,""))</f>
        <v>fig-siena-reason-ed-not-emergency-income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2215</v>
      </c>
      <c r="G5" s="15" t="s">
        <v>2180</v>
      </c>
      <c r="H5" s="15" t="s">
        <v>2166</v>
      </c>
      <c r="I5" s="15" t="s">
        <v>2167</v>
      </c>
      <c r="J5" s="15" t="s">
        <v>2168</v>
      </c>
      <c r="K5" s="15" t="s">
        <v>2169</v>
      </c>
    </row>
    <row r="6" spans="1:17" ht="15" customHeight="1" x14ac:dyDescent="0.2">
      <c r="A6" t="s">
        <v>1088</v>
      </c>
      <c r="B6" t="b">
        <v>0</v>
      </c>
      <c r="E6" s="80"/>
      <c r="F6" t="s">
        <v>2225</v>
      </c>
      <c r="G6" s="15">
        <v>21</v>
      </c>
      <c r="H6" s="15">
        <v>18</v>
      </c>
      <c r="I6" s="15">
        <v>10</v>
      </c>
      <c r="J6" s="15">
        <v>0</v>
      </c>
      <c r="K6" s="15">
        <v>0</v>
      </c>
      <c r="L6" s="15"/>
      <c r="M6" s="15"/>
      <c r="N6" s="15"/>
      <c r="O6" s="15"/>
    </row>
    <row r="7" spans="1:17" ht="15.75" customHeight="1" x14ac:dyDescent="0.2">
      <c r="E7" s="80"/>
      <c r="F7" t="s">
        <v>2226</v>
      </c>
      <c r="G7" s="15">
        <v>22</v>
      </c>
      <c r="H7" s="15">
        <v>40</v>
      </c>
      <c r="I7" s="15">
        <v>21</v>
      </c>
      <c r="J7" s="15">
        <v>26</v>
      </c>
      <c r="K7" s="15">
        <v>0</v>
      </c>
      <c r="L7" s="15"/>
      <c r="M7" s="15"/>
      <c r="N7" s="15"/>
      <c r="O7" s="15"/>
    </row>
    <row r="8" spans="1:17" x14ac:dyDescent="0.2">
      <c r="E8" s="80"/>
      <c r="F8" t="s">
        <v>2227</v>
      </c>
      <c r="G8" s="15">
        <v>0</v>
      </c>
      <c r="H8" s="15">
        <v>6</v>
      </c>
      <c r="I8" s="15">
        <v>6</v>
      </c>
      <c r="J8" s="15">
        <v>36</v>
      </c>
      <c r="K8" s="15">
        <v>0</v>
      </c>
      <c r="L8" s="15"/>
      <c r="M8" s="15"/>
      <c r="N8" s="15"/>
      <c r="O8" s="15"/>
    </row>
    <row r="9" spans="1:17" x14ac:dyDescent="0.2">
      <c r="A9" s="83" t="s">
        <v>1098</v>
      </c>
      <c r="B9" s="80"/>
      <c r="E9" s="80"/>
      <c r="F9" t="s">
        <v>2228</v>
      </c>
      <c r="G9" s="15">
        <v>57</v>
      </c>
      <c r="H9" s="15">
        <v>40</v>
      </c>
      <c r="I9" s="15">
        <v>33</v>
      </c>
      <c r="J9" s="15">
        <v>60</v>
      </c>
      <c r="K9" s="15">
        <v>24</v>
      </c>
      <c r="L9" s="15"/>
      <c r="M9" s="15"/>
      <c r="N9" s="15"/>
      <c r="O9" s="15"/>
    </row>
    <row r="10" spans="1:17" x14ac:dyDescent="0.2">
      <c r="A10" t="s">
        <v>1100</v>
      </c>
      <c r="E10" s="80"/>
      <c r="F10" t="s">
        <v>2229</v>
      </c>
      <c r="G10" s="15">
        <v>24</v>
      </c>
      <c r="H10" s="15">
        <v>50</v>
      </c>
      <c r="I10" s="15">
        <v>46</v>
      </c>
      <c r="J10" s="15">
        <v>41</v>
      </c>
      <c r="K10" s="15">
        <v>52</v>
      </c>
    </row>
    <row r="11" spans="1:17" x14ac:dyDescent="0.2">
      <c r="A11" t="s">
        <v>1102</v>
      </c>
      <c r="E11" s="80"/>
      <c r="F11" t="s">
        <v>2230</v>
      </c>
      <c r="G11" s="15">
        <v>5</v>
      </c>
      <c r="H11" s="15">
        <v>5</v>
      </c>
      <c r="I11" s="15">
        <v>6</v>
      </c>
      <c r="J11" s="17">
        <v>0</v>
      </c>
      <c r="K11" s="17">
        <v>0</v>
      </c>
      <c r="L11" s="17"/>
      <c r="M11" s="17"/>
      <c r="N11" s="17"/>
    </row>
    <row r="12" spans="1:17" x14ac:dyDescent="0.2">
      <c r="A12" t="s">
        <v>1104</v>
      </c>
      <c r="E12" s="80"/>
      <c r="F12" s="21" t="s">
        <v>2231</v>
      </c>
      <c r="G12" s="17">
        <v>7</v>
      </c>
      <c r="H12" s="17">
        <v>13</v>
      </c>
      <c r="I12" s="15">
        <v>12</v>
      </c>
      <c r="J12" s="15">
        <v>14</v>
      </c>
      <c r="K12" s="15">
        <v>0</v>
      </c>
      <c r="L12" s="15"/>
    </row>
    <row r="13" spans="1:17" x14ac:dyDescent="0.2">
      <c r="A13" t="s">
        <v>1108</v>
      </c>
      <c r="E13" s="80"/>
      <c r="F13" t="s">
        <v>2179</v>
      </c>
      <c r="G13" s="15">
        <v>7</v>
      </c>
      <c r="H13" s="15">
        <v>26</v>
      </c>
      <c r="I13" s="15">
        <v>16</v>
      </c>
      <c r="J13" s="15">
        <v>7</v>
      </c>
      <c r="K13" s="15">
        <v>33</v>
      </c>
    </row>
    <row r="14" spans="1:17" x14ac:dyDescent="0.2">
      <c r="A14" t="s">
        <v>1112</v>
      </c>
      <c r="E14" s="80"/>
      <c r="G14" s="64"/>
      <c r="H14" s="64"/>
      <c r="I14" s="64"/>
      <c r="J14" s="64"/>
      <c r="K14" s="64"/>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B00-000000000000}">
      <formula1>"True,False"</formula1>
    </dataValidation>
    <dataValidation type="list" allowBlank="1" showInputMessage="1" showErrorMessage="1" sqref="B2" xr:uid="{00000000-0002-0000-FB00-000001000000}">
      <formula1>"Table,Figure,Both"</formula1>
    </dataValidation>
    <dataValidation type="list" allowBlank="1" showInputMessage="1" showErrorMessage="1" sqref="B10" xr:uid="{00000000-0002-0000-FB00-000002000000}">
      <formula1>"Line,Clustered Bar,Stacked Bar,Bar,Horizontal Stacked Bar"</formula1>
    </dataValidation>
  </dataValidations>
  <pageMargins left="0.75" right="0.75" top="1" bottom="1" header="0.5" footer="0.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Q57"/>
  <sheetViews>
    <sheetView workbookViewId="0">
      <selection activeCell="C19" sqref="C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850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tbl-siena-routine-mh-visit-income</v>
      </c>
    </row>
    <row r="4" spans="1:17" x14ac:dyDescent="0.2">
      <c r="A4" s="16" t="s">
        <v>7</v>
      </c>
      <c r="B4" t="str">
        <f>IF($B$1="","",_xlfn.XLOOKUP($B$1,Master!$F$2:$F$321,Master!$H$2:$H$321,""))</f>
        <v>fig-siena-routine-mh-visit-income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s="15" t="s">
        <v>2211</v>
      </c>
      <c r="H5" s="15" t="s">
        <v>2212</v>
      </c>
    </row>
    <row r="6" spans="1:17" ht="15" customHeight="1" x14ac:dyDescent="0.2">
      <c r="A6" t="s">
        <v>1088</v>
      </c>
      <c r="B6" t="b">
        <v>0</v>
      </c>
      <c r="E6" s="80"/>
      <c r="F6" t="s">
        <v>2180</v>
      </c>
      <c r="G6" s="15">
        <v>24</v>
      </c>
      <c r="H6" s="15">
        <v>76</v>
      </c>
      <c r="I6" s="63"/>
      <c r="J6" s="63"/>
      <c r="K6" s="63"/>
      <c r="L6" s="15"/>
      <c r="M6" s="15"/>
      <c r="N6" s="15"/>
      <c r="O6" s="15"/>
    </row>
    <row r="7" spans="1:17" ht="15.75" customHeight="1" x14ac:dyDescent="0.2">
      <c r="E7" s="80"/>
      <c r="F7" t="s">
        <v>2166</v>
      </c>
      <c r="G7" s="15">
        <v>28</v>
      </c>
      <c r="H7" s="15">
        <v>72</v>
      </c>
      <c r="I7" s="63"/>
      <c r="J7" s="63"/>
      <c r="K7" s="63"/>
      <c r="L7" s="15"/>
      <c r="M7" s="15"/>
      <c r="N7" s="15"/>
      <c r="O7" s="15"/>
    </row>
    <row r="8" spans="1:17" x14ac:dyDescent="0.2">
      <c r="E8" s="80"/>
      <c r="F8" t="s">
        <v>2167</v>
      </c>
      <c r="G8" s="15">
        <v>19</v>
      </c>
      <c r="H8" s="15">
        <v>81</v>
      </c>
      <c r="I8" s="63"/>
      <c r="J8" s="63"/>
      <c r="K8" s="63"/>
      <c r="L8" s="15"/>
      <c r="M8" s="15"/>
      <c r="N8" s="15"/>
      <c r="O8" s="15"/>
    </row>
    <row r="9" spans="1:17" x14ac:dyDescent="0.2">
      <c r="A9" s="83" t="s">
        <v>1098</v>
      </c>
      <c r="B9" s="80"/>
      <c r="E9" s="80"/>
      <c r="F9" t="s">
        <v>2168</v>
      </c>
      <c r="G9" s="15">
        <v>26</v>
      </c>
      <c r="H9" s="15">
        <v>74</v>
      </c>
      <c r="I9" s="63"/>
      <c r="J9" s="63"/>
      <c r="K9" s="63"/>
      <c r="L9" s="15"/>
      <c r="M9" s="15"/>
      <c r="N9" s="15"/>
      <c r="O9" s="15"/>
    </row>
    <row r="10" spans="1:17" x14ac:dyDescent="0.2">
      <c r="A10" t="s">
        <v>1100</v>
      </c>
      <c r="B10" t="s">
        <v>1300</v>
      </c>
      <c r="E10" s="80"/>
      <c r="F10" t="s">
        <v>2169</v>
      </c>
      <c r="G10" s="15">
        <v>17</v>
      </c>
      <c r="H10" s="15">
        <v>83</v>
      </c>
      <c r="I10" s="64"/>
      <c r="J10" s="64"/>
      <c r="K10" s="64"/>
    </row>
    <row r="11" spans="1:17" x14ac:dyDescent="0.2">
      <c r="A11" t="s">
        <v>1102</v>
      </c>
      <c r="B11" t="s">
        <v>2232</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B14" t="s">
        <v>990</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C00-000000000000}">
      <formula1>"True,False"</formula1>
    </dataValidation>
    <dataValidation type="list" allowBlank="1" showInputMessage="1" showErrorMessage="1" sqref="B2" xr:uid="{00000000-0002-0000-FC00-000001000000}">
      <formula1>"Table,Figure,Both"</formula1>
    </dataValidation>
    <dataValidation type="list" allowBlank="1" showInputMessage="1" showErrorMessage="1" sqref="B10" xr:uid="{00000000-0002-0000-FC00-000002000000}">
      <formula1>"Line,Clustered Bar,Stacked Bar,Bar,Horizontal Stacked Bar"</formula1>
    </dataValidation>
  </dataValidations>
  <pageMargins left="0.75" right="0.75" top="1" bottom="1" header="0.5" footer="0.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Q57"/>
  <sheetViews>
    <sheetView workbookViewId="0">
      <selection activeCell="D16" sqref="D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853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tbl-siena-reason-not-mh-visist</v>
      </c>
    </row>
    <row r="4" spans="1:17" x14ac:dyDescent="0.2">
      <c r="A4" s="16" t="s">
        <v>7</v>
      </c>
      <c r="B4" t="str">
        <f>IF($B$1="","",_xlfn.XLOOKUP($B$1,Master!$F$2:$F$321,Master!$H$2:$H$321,""))</f>
        <v>fig-siena-reason-not-mh-visist</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2215</v>
      </c>
      <c r="G5" s="15">
        <v>2022</v>
      </c>
      <c r="H5" s="15">
        <v>2023</v>
      </c>
      <c r="I5" s="15">
        <v>2024</v>
      </c>
    </row>
    <row r="6" spans="1:17" ht="15" customHeight="1" x14ac:dyDescent="0.2">
      <c r="A6" t="s">
        <v>1088</v>
      </c>
      <c r="B6" t="b">
        <v>0</v>
      </c>
      <c r="E6" s="80"/>
      <c r="F6" t="s">
        <v>2233</v>
      </c>
      <c r="G6" s="15">
        <v>74</v>
      </c>
      <c r="H6" s="15">
        <v>81</v>
      </c>
      <c r="I6" s="15">
        <v>80</v>
      </c>
      <c r="J6" s="63"/>
      <c r="K6" s="63"/>
      <c r="L6" s="15"/>
      <c r="M6" s="15"/>
      <c r="N6" s="15"/>
      <c r="O6" s="15"/>
    </row>
    <row r="7" spans="1:17" ht="15.75" customHeight="1" x14ac:dyDescent="0.2">
      <c r="E7" s="80"/>
      <c r="F7" t="s">
        <v>2216</v>
      </c>
      <c r="G7" s="15">
        <v>6</v>
      </c>
      <c r="H7" s="15">
        <v>3</v>
      </c>
      <c r="I7" s="15">
        <v>5</v>
      </c>
      <c r="J7" s="63"/>
      <c r="K7" s="63"/>
      <c r="L7" s="15"/>
      <c r="M7" s="15"/>
      <c r="N7" s="15"/>
      <c r="O7" s="15"/>
    </row>
    <row r="8" spans="1:17" x14ac:dyDescent="0.2">
      <c r="E8" s="80"/>
      <c r="F8" t="s">
        <v>2217</v>
      </c>
      <c r="G8" s="15">
        <v>5</v>
      </c>
      <c r="H8" s="15">
        <v>5</v>
      </c>
      <c r="I8" s="15">
        <v>6</v>
      </c>
      <c r="J8" s="63"/>
      <c r="K8" s="63"/>
      <c r="L8" s="15"/>
      <c r="M8" s="15"/>
      <c r="N8" s="15"/>
      <c r="O8" s="15"/>
    </row>
    <row r="9" spans="1:17" x14ac:dyDescent="0.2">
      <c r="A9" s="83" t="s">
        <v>1098</v>
      </c>
      <c r="B9" s="80"/>
      <c r="E9" s="80"/>
      <c r="F9" t="s">
        <v>2218</v>
      </c>
      <c r="G9" s="15">
        <v>2</v>
      </c>
      <c r="H9" s="15">
        <v>1</v>
      </c>
      <c r="I9" s="15">
        <v>2</v>
      </c>
      <c r="J9" s="63"/>
      <c r="K9" s="63"/>
      <c r="L9" s="15"/>
      <c r="M9" s="15"/>
      <c r="N9" s="15"/>
      <c r="O9" s="15"/>
    </row>
    <row r="10" spans="1:17" x14ac:dyDescent="0.2">
      <c r="A10" t="s">
        <v>1100</v>
      </c>
      <c r="B10" t="s">
        <v>1300</v>
      </c>
      <c r="E10" s="80"/>
      <c r="F10" t="s">
        <v>2219</v>
      </c>
      <c r="G10" s="15">
        <v>7</v>
      </c>
      <c r="H10" s="15">
        <v>6</v>
      </c>
      <c r="I10" s="15">
        <v>6</v>
      </c>
      <c r="J10" s="64"/>
      <c r="K10" s="64"/>
    </row>
    <row r="11" spans="1:17" x14ac:dyDescent="0.2">
      <c r="A11" t="s">
        <v>1102</v>
      </c>
      <c r="B11" t="s">
        <v>1303</v>
      </c>
      <c r="E11" s="80"/>
      <c r="F11" t="s">
        <v>2234</v>
      </c>
      <c r="G11" s="15">
        <v>18</v>
      </c>
      <c r="H11" s="15">
        <v>16</v>
      </c>
      <c r="I11" s="15">
        <v>18</v>
      </c>
      <c r="J11" s="65"/>
      <c r="K11" s="65"/>
      <c r="L11" s="17"/>
      <c r="M11" s="17"/>
      <c r="N11" s="17"/>
    </row>
    <row r="12" spans="1:17" x14ac:dyDescent="0.2">
      <c r="A12" t="s">
        <v>1104</v>
      </c>
      <c r="B12" t="s">
        <v>2215</v>
      </c>
      <c r="E12" s="80"/>
      <c r="F12" s="21" t="s">
        <v>2235</v>
      </c>
      <c r="G12" s="17">
        <v>3</v>
      </c>
      <c r="H12" s="17">
        <v>2</v>
      </c>
      <c r="I12" s="15">
        <v>2</v>
      </c>
      <c r="J12" s="63"/>
      <c r="K12" s="63"/>
      <c r="L12" s="15"/>
    </row>
    <row r="13" spans="1:17" x14ac:dyDescent="0.2">
      <c r="A13" t="s">
        <v>1108</v>
      </c>
      <c r="E13" s="80"/>
      <c r="F13" t="s">
        <v>1015</v>
      </c>
      <c r="G13" s="15">
        <v>1</v>
      </c>
      <c r="H13" s="15">
        <v>2</v>
      </c>
      <c r="I13" s="15">
        <v>0</v>
      </c>
      <c r="J13" s="64"/>
      <c r="K13" s="64"/>
    </row>
    <row r="14" spans="1:17" x14ac:dyDescent="0.2">
      <c r="A14" t="s">
        <v>1112</v>
      </c>
      <c r="E14" s="80"/>
      <c r="F14" t="s">
        <v>2179</v>
      </c>
      <c r="G14" s="15">
        <v>4</v>
      </c>
      <c r="H14" s="15">
        <v>3</v>
      </c>
      <c r="I14" s="15">
        <v>4</v>
      </c>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D00-000000000000}">
      <formula1>"True,False"</formula1>
    </dataValidation>
    <dataValidation type="list" allowBlank="1" showInputMessage="1" showErrorMessage="1" sqref="B2" xr:uid="{00000000-0002-0000-FD00-000001000000}">
      <formula1>"Table,Figure,Both"</formula1>
    </dataValidation>
    <dataValidation type="list" allowBlank="1" showInputMessage="1" showErrorMessage="1" sqref="B10" xr:uid="{00000000-0002-0000-FD00-000002000000}">
      <formula1>"Line,Clustered Bar,Stacked Bar,Bar,Horizontal Stacked Bar"</formula1>
    </dataValidation>
  </dataValidations>
  <pageMargins left="0.75" right="0.75" top="1" bottom="1" header="0.5" footer="0.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856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tbl-siena-reason-not-mh-visist-income</v>
      </c>
    </row>
    <row r="4" spans="1:17" x14ac:dyDescent="0.2">
      <c r="A4" s="16" t="s">
        <v>7</v>
      </c>
      <c r="B4" t="str">
        <f>IF($B$1="","",_xlfn.XLOOKUP($B$1,Master!$F$2:$F$321,Master!$H$2:$H$321,""))</f>
        <v>fig-siena-reason-not-mh-visist-income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2215</v>
      </c>
      <c r="G5" t="s">
        <v>2180</v>
      </c>
      <c r="H5" t="s">
        <v>2166</v>
      </c>
      <c r="I5" t="s">
        <v>2167</v>
      </c>
      <c r="J5" t="s">
        <v>2168</v>
      </c>
      <c r="K5" t="s">
        <v>2169</v>
      </c>
    </row>
    <row r="6" spans="1:17" ht="15" customHeight="1" x14ac:dyDescent="0.2">
      <c r="A6" t="s">
        <v>1088</v>
      </c>
      <c r="B6" t="b">
        <v>0</v>
      </c>
      <c r="E6" s="80"/>
      <c r="F6" t="s">
        <v>2233</v>
      </c>
      <c r="G6" s="15">
        <v>80</v>
      </c>
      <c r="H6" s="15">
        <v>73</v>
      </c>
      <c r="I6" s="15">
        <v>79</v>
      </c>
      <c r="J6" s="15">
        <v>77</v>
      </c>
      <c r="K6" s="15">
        <v>86</v>
      </c>
      <c r="L6" s="15"/>
      <c r="M6" s="15"/>
      <c r="N6" s="15"/>
      <c r="O6" s="15"/>
    </row>
    <row r="7" spans="1:17" ht="15.75" customHeight="1" x14ac:dyDescent="0.2">
      <c r="E7" s="80"/>
      <c r="F7" t="s">
        <v>2216</v>
      </c>
      <c r="G7" s="15">
        <v>8</v>
      </c>
      <c r="H7" s="15">
        <v>8</v>
      </c>
      <c r="I7" s="15">
        <v>5</v>
      </c>
      <c r="J7" s="15">
        <v>4</v>
      </c>
      <c r="K7" s="15">
        <v>0</v>
      </c>
      <c r="L7" s="15"/>
      <c r="M7" s="15"/>
      <c r="N7" s="15"/>
      <c r="O7" s="15"/>
    </row>
    <row r="8" spans="1:17" x14ac:dyDescent="0.2">
      <c r="E8" s="80"/>
      <c r="F8" t="s">
        <v>2217</v>
      </c>
      <c r="G8" s="15">
        <v>5</v>
      </c>
      <c r="H8" s="15">
        <v>11</v>
      </c>
      <c r="I8" s="15">
        <v>8</v>
      </c>
      <c r="J8" s="15">
        <v>9</v>
      </c>
      <c r="K8" s="15">
        <v>1</v>
      </c>
      <c r="L8" s="15"/>
      <c r="M8" s="15"/>
      <c r="N8" s="15"/>
      <c r="O8" s="15"/>
    </row>
    <row r="9" spans="1:17" x14ac:dyDescent="0.2">
      <c r="A9" s="83" t="s">
        <v>1098</v>
      </c>
      <c r="B9" s="80"/>
      <c r="E9" s="80"/>
      <c r="F9" t="s">
        <v>2218</v>
      </c>
      <c r="G9" s="15">
        <v>3</v>
      </c>
      <c r="H9" s="15">
        <v>5</v>
      </c>
      <c r="I9" s="15">
        <v>1</v>
      </c>
      <c r="J9" s="15">
        <v>1</v>
      </c>
      <c r="K9" s="15">
        <v>1</v>
      </c>
      <c r="L9" s="15"/>
      <c r="M9" s="15"/>
      <c r="N9" s="15"/>
      <c r="O9" s="15"/>
    </row>
    <row r="10" spans="1:17" x14ac:dyDescent="0.2">
      <c r="A10" t="s">
        <v>1100</v>
      </c>
      <c r="E10" s="80"/>
      <c r="F10" t="s">
        <v>2219</v>
      </c>
      <c r="G10" s="15">
        <v>4</v>
      </c>
      <c r="H10" s="15">
        <v>9</v>
      </c>
      <c r="I10" s="15">
        <v>5</v>
      </c>
      <c r="J10" s="15">
        <v>7</v>
      </c>
      <c r="K10" s="15">
        <v>6</v>
      </c>
    </row>
    <row r="11" spans="1:17" x14ac:dyDescent="0.2">
      <c r="A11" t="s">
        <v>1102</v>
      </c>
      <c r="E11" s="80"/>
      <c r="F11" t="s">
        <v>2234</v>
      </c>
      <c r="G11" s="15">
        <v>17</v>
      </c>
      <c r="H11" s="15">
        <v>18</v>
      </c>
      <c r="I11" s="15">
        <v>21</v>
      </c>
      <c r="J11" s="17">
        <v>19</v>
      </c>
      <c r="K11" s="17">
        <v>14</v>
      </c>
      <c r="L11" s="17"/>
      <c r="M11" s="17"/>
      <c r="N11" s="17"/>
    </row>
    <row r="12" spans="1:17" x14ac:dyDescent="0.2">
      <c r="A12" t="s">
        <v>1104</v>
      </c>
      <c r="E12" s="80"/>
      <c r="F12" s="21" t="s">
        <v>2235</v>
      </c>
      <c r="G12" s="17">
        <v>3</v>
      </c>
      <c r="H12" s="17">
        <v>1</v>
      </c>
      <c r="I12" s="15">
        <v>3</v>
      </c>
      <c r="J12" s="15">
        <v>4</v>
      </c>
      <c r="K12" s="15">
        <v>1</v>
      </c>
      <c r="L12" s="15"/>
    </row>
    <row r="13" spans="1:17" x14ac:dyDescent="0.2">
      <c r="A13" t="s">
        <v>1108</v>
      </c>
      <c r="E13" s="80"/>
      <c r="F13" t="s">
        <v>1015</v>
      </c>
      <c r="G13" s="15">
        <v>0</v>
      </c>
      <c r="H13" s="15">
        <v>1</v>
      </c>
      <c r="I13" s="15">
        <v>0</v>
      </c>
      <c r="J13" s="15">
        <v>0</v>
      </c>
      <c r="K13" s="15">
        <v>0</v>
      </c>
    </row>
    <row r="14" spans="1:17" x14ac:dyDescent="0.2">
      <c r="A14" t="s">
        <v>1112</v>
      </c>
      <c r="E14" s="80"/>
      <c r="F14" t="s">
        <v>2179</v>
      </c>
      <c r="G14" s="15">
        <v>3</v>
      </c>
      <c r="H14" s="15">
        <v>8</v>
      </c>
      <c r="I14" s="15">
        <v>6</v>
      </c>
      <c r="J14" s="15">
        <v>2</v>
      </c>
      <c r="K14" s="15">
        <v>3</v>
      </c>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E00-000000000000}">
      <formula1>"True,False"</formula1>
    </dataValidation>
    <dataValidation type="list" allowBlank="1" showInputMessage="1" showErrorMessage="1" sqref="B2" xr:uid="{00000000-0002-0000-FE00-000001000000}">
      <formula1>"Table,Figure,Both"</formula1>
    </dataValidation>
    <dataValidation type="list" allowBlank="1" showInputMessage="1" showErrorMessage="1" sqref="B10" xr:uid="{00000000-0002-0000-FE00-000002000000}">
      <formula1>"Line,Clustered Bar,Stacked Bar,Bar,Horizontal Stacked Bar"</formula1>
    </dataValidation>
  </dataValidations>
  <pageMargins left="0.75" right="0.75" top="1" bottom="1" header="0.5" footer="0.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Q57"/>
  <sheetViews>
    <sheetView workbookViewId="0">
      <selection activeCell="D13" sqref="D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862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tbl-siena-had-covid-income</v>
      </c>
    </row>
    <row r="4" spans="1:17" x14ac:dyDescent="0.2">
      <c r="A4" s="16" t="s">
        <v>7</v>
      </c>
      <c r="B4" t="str">
        <f>IF($B$1="","",_xlfn.XLOOKUP($B$1,Master!$F$2:$F$321,Master!$H$2:$H$321,""))</f>
        <v>fig-siena-had-covid-income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2164</v>
      </c>
      <c r="G5" t="s">
        <v>2211</v>
      </c>
      <c r="H5" t="s">
        <v>2212</v>
      </c>
      <c r="I5" t="s">
        <v>2236</v>
      </c>
    </row>
    <row r="6" spans="1:17" ht="15" customHeight="1" x14ac:dyDescent="0.2">
      <c r="A6" t="s">
        <v>1088</v>
      </c>
      <c r="B6" t="b">
        <v>0</v>
      </c>
      <c r="E6" s="80"/>
      <c r="F6" t="s">
        <v>2180</v>
      </c>
      <c r="G6" s="15">
        <v>52</v>
      </c>
      <c r="H6" s="15">
        <v>46</v>
      </c>
      <c r="I6" s="15">
        <v>1</v>
      </c>
      <c r="J6" s="63"/>
      <c r="K6" s="63"/>
      <c r="L6" s="15"/>
      <c r="M6" s="15"/>
      <c r="N6" s="15"/>
      <c r="O6" s="15"/>
    </row>
    <row r="7" spans="1:17" ht="15.75" customHeight="1" x14ac:dyDescent="0.2">
      <c r="E7" s="80"/>
      <c r="F7" t="s">
        <v>2166</v>
      </c>
      <c r="G7" s="15">
        <v>65</v>
      </c>
      <c r="H7" s="15">
        <v>34</v>
      </c>
      <c r="I7" s="15">
        <v>1</v>
      </c>
      <c r="J7" s="63"/>
      <c r="K7" s="63"/>
      <c r="L7" s="15"/>
      <c r="M7" s="15"/>
      <c r="N7" s="15"/>
      <c r="O7" s="15"/>
    </row>
    <row r="8" spans="1:17" x14ac:dyDescent="0.2">
      <c r="E8" s="80"/>
      <c r="F8" t="s">
        <v>2167</v>
      </c>
      <c r="G8" s="15">
        <v>73</v>
      </c>
      <c r="H8" s="15">
        <v>27</v>
      </c>
      <c r="I8" s="15">
        <v>1</v>
      </c>
      <c r="J8" s="63"/>
      <c r="K8" s="63"/>
      <c r="L8" s="15"/>
      <c r="M8" s="15"/>
      <c r="N8" s="15"/>
      <c r="O8" s="15"/>
    </row>
    <row r="9" spans="1:17" x14ac:dyDescent="0.2">
      <c r="A9" s="83" t="s">
        <v>1098</v>
      </c>
      <c r="B9" s="80"/>
      <c r="E9" s="80"/>
      <c r="F9" t="s">
        <v>2168</v>
      </c>
      <c r="G9" s="15">
        <v>71</v>
      </c>
      <c r="H9" s="15">
        <v>27</v>
      </c>
      <c r="I9" s="15">
        <v>2</v>
      </c>
      <c r="J9" s="63"/>
      <c r="K9" s="63"/>
      <c r="L9" s="15"/>
      <c r="M9" s="15"/>
      <c r="N9" s="15"/>
      <c r="O9" s="15"/>
    </row>
    <row r="10" spans="1:17" x14ac:dyDescent="0.2">
      <c r="A10" t="s">
        <v>1100</v>
      </c>
      <c r="B10" t="s">
        <v>1300</v>
      </c>
      <c r="E10" s="80"/>
      <c r="F10" t="s">
        <v>2169</v>
      </c>
      <c r="G10" s="15">
        <v>69</v>
      </c>
      <c r="H10" s="15">
        <v>27</v>
      </c>
      <c r="I10" s="15">
        <v>4</v>
      </c>
      <c r="J10" s="64"/>
      <c r="K10" s="64"/>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FF00-000000000000}">
      <formula1>"True,False"</formula1>
    </dataValidation>
    <dataValidation type="list" allowBlank="1" showInputMessage="1" showErrorMessage="1" sqref="B2" xr:uid="{00000000-0002-0000-FF00-000001000000}">
      <formula1>"Table,Figure,Both"</formula1>
    </dataValidation>
    <dataValidation type="list" allowBlank="1" showInputMessage="1" showErrorMessage="1" sqref="B10" xr:uid="{00000000-0002-0000-FF00-000002000000}">
      <formula1>"Line,Clustered Bar,Stacked Bar,Bar,Horizontal Stacked Bar"</formula1>
    </dataValidation>
  </dataValidations>
  <pageMargins left="0.75" right="0.75" top="1" bottom="1" header="0.5" footer="0.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Q57"/>
  <sheetViews>
    <sheetView workbookViewId="0">
      <selection activeCell="D13" sqref="D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868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tbl-siena-had-long-covid-income</v>
      </c>
    </row>
    <row r="4" spans="1:17" x14ac:dyDescent="0.2">
      <c r="A4" s="16" t="s">
        <v>7</v>
      </c>
      <c r="B4" t="str">
        <f>IF($B$1="","",_xlfn.XLOOKUP($B$1,Master!$F$2:$F$321,Master!$H$2:$H$321,""))</f>
        <v>fig-siena-had-long-covid-income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2164</v>
      </c>
      <c r="G5" s="15" t="s">
        <v>2211</v>
      </c>
      <c r="H5" s="15" t="s">
        <v>2212</v>
      </c>
      <c r="I5" s="15" t="s">
        <v>2179</v>
      </c>
    </row>
    <row r="6" spans="1:17" ht="15" customHeight="1" x14ac:dyDescent="0.2">
      <c r="A6" t="s">
        <v>1088</v>
      </c>
      <c r="B6" t="b">
        <v>0</v>
      </c>
      <c r="E6" s="80"/>
      <c r="F6" t="s">
        <v>2180</v>
      </c>
      <c r="G6" s="15">
        <v>15</v>
      </c>
      <c r="H6" s="15">
        <v>85</v>
      </c>
      <c r="I6" s="15">
        <v>0</v>
      </c>
      <c r="J6" s="63"/>
      <c r="K6" s="63"/>
      <c r="L6" s="15"/>
      <c r="M6" s="15"/>
      <c r="N6" s="15"/>
      <c r="O6" s="15"/>
    </row>
    <row r="7" spans="1:17" ht="15.75" customHeight="1" x14ac:dyDescent="0.2">
      <c r="E7" s="80"/>
      <c r="F7" t="s">
        <v>2166</v>
      </c>
      <c r="G7" s="15">
        <v>18</v>
      </c>
      <c r="H7" s="15">
        <v>79</v>
      </c>
      <c r="I7" s="15">
        <v>3</v>
      </c>
      <c r="J7" s="63"/>
      <c r="K7" s="63"/>
      <c r="L7" s="15"/>
      <c r="M7" s="15"/>
      <c r="N7" s="15"/>
      <c r="O7" s="15"/>
    </row>
    <row r="8" spans="1:17" x14ac:dyDescent="0.2">
      <c r="E8" s="80"/>
      <c r="F8" t="s">
        <v>2167</v>
      </c>
      <c r="G8" s="15">
        <v>15</v>
      </c>
      <c r="H8" s="15">
        <v>85</v>
      </c>
      <c r="I8" s="15">
        <v>0</v>
      </c>
      <c r="J8" s="63"/>
      <c r="K8" s="63"/>
      <c r="L8" s="15"/>
      <c r="M8" s="15"/>
      <c r="N8" s="15"/>
      <c r="O8" s="15"/>
    </row>
    <row r="9" spans="1:17" x14ac:dyDescent="0.2">
      <c r="A9" s="83" t="s">
        <v>1098</v>
      </c>
      <c r="B9" s="80"/>
      <c r="E9" s="80"/>
      <c r="F9" t="s">
        <v>2168</v>
      </c>
      <c r="G9" s="15">
        <v>22</v>
      </c>
      <c r="H9" s="15">
        <v>76</v>
      </c>
      <c r="I9" s="15">
        <v>2</v>
      </c>
      <c r="J9" s="63"/>
      <c r="K9" s="63"/>
      <c r="L9" s="15"/>
      <c r="M9" s="15"/>
      <c r="N9" s="15"/>
      <c r="O9" s="15"/>
    </row>
    <row r="10" spans="1:17" x14ac:dyDescent="0.2">
      <c r="A10" t="s">
        <v>1100</v>
      </c>
      <c r="B10" t="s">
        <v>1300</v>
      </c>
      <c r="E10" s="80"/>
      <c r="F10" t="s">
        <v>2169</v>
      </c>
      <c r="G10" s="15">
        <v>18</v>
      </c>
      <c r="H10" s="15">
        <v>81</v>
      </c>
      <c r="I10" s="15">
        <v>1</v>
      </c>
      <c r="J10" s="64"/>
      <c r="K10" s="64"/>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001-000000000000}">
      <formula1>"True,False"</formula1>
    </dataValidation>
    <dataValidation type="list" allowBlank="1" showInputMessage="1" showErrorMessage="1" sqref="B2" xr:uid="{00000000-0002-0000-0001-000001000000}">
      <formula1>"Table,Figure,Both"</formula1>
    </dataValidation>
    <dataValidation type="list" allowBlank="1" showInputMessage="1" showErrorMessage="1" sqref="B10" xr:uid="{00000000-0002-0000-0001-000002000000}">
      <formula1>"Line,Clustered Bar,Stacked Bar,Bar,Horizontal Stacked Bar"</formula1>
    </dataValidation>
  </dataValidations>
  <pageMargins left="0.75" right="0.75" top="1" bottom="1" header="0.5" footer="0.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Q57"/>
  <sheetViews>
    <sheetView workbookViewId="0">
      <selection activeCell="F16" sqref="F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874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tbl-siena-covid-vaccine-income</v>
      </c>
    </row>
    <row r="4" spans="1:17" x14ac:dyDescent="0.2">
      <c r="A4" s="16" t="s">
        <v>7</v>
      </c>
      <c r="B4" t="str">
        <f>IF($B$1="","",_xlfn.XLOOKUP($B$1,Master!$F$2:$F$321,Master!$H$2:$H$321,""))</f>
        <v>fig-siena-covid-vaccine-income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75</v>
      </c>
      <c r="H6" s="15">
        <v>25</v>
      </c>
      <c r="I6" s="63"/>
      <c r="J6" s="63"/>
      <c r="K6" s="63"/>
      <c r="L6" s="15"/>
      <c r="M6" s="15"/>
      <c r="N6" s="15"/>
      <c r="O6" s="15"/>
    </row>
    <row r="7" spans="1:17" ht="15.75" customHeight="1" x14ac:dyDescent="0.2">
      <c r="E7" s="80"/>
      <c r="F7" t="s">
        <v>2166</v>
      </c>
      <c r="G7" s="15">
        <v>63</v>
      </c>
      <c r="H7" s="15">
        <v>37</v>
      </c>
      <c r="I7" s="63"/>
      <c r="J7" s="63"/>
      <c r="K7" s="63"/>
      <c r="L7" s="15"/>
      <c r="M7" s="15"/>
      <c r="N7" s="15"/>
      <c r="O7" s="15"/>
    </row>
    <row r="8" spans="1:17" x14ac:dyDescent="0.2">
      <c r="E8" s="80"/>
      <c r="F8" t="s">
        <v>2167</v>
      </c>
      <c r="G8" s="15">
        <v>77</v>
      </c>
      <c r="H8" s="15">
        <v>23</v>
      </c>
      <c r="I8" s="63"/>
      <c r="J8" s="63"/>
      <c r="K8" s="63"/>
      <c r="L8" s="15"/>
      <c r="M8" s="15"/>
      <c r="N8" s="15"/>
      <c r="O8" s="15"/>
    </row>
    <row r="9" spans="1:17" x14ac:dyDescent="0.2">
      <c r="A9" s="83" t="s">
        <v>1098</v>
      </c>
      <c r="B9" s="80"/>
      <c r="E9" s="80"/>
      <c r="F9" t="s">
        <v>2168</v>
      </c>
      <c r="G9" s="15">
        <v>72</v>
      </c>
      <c r="H9" s="15">
        <v>26</v>
      </c>
      <c r="I9" s="63"/>
      <c r="J9" s="63"/>
      <c r="K9" s="63"/>
      <c r="L9" s="15"/>
      <c r="M9" s="15"/>
      <c r="N9" s="15"/>
      <c r="O9" s="15"/>
    </row>
    <row r="10" spans="1:17" x14ac:dyDescent="0.2">
      <c r="A10" t="s">
        <v>1100</v>
      </c>
      <c r="B10" t="s">
        <v>1300</v>
      </c>
      <c r="E10" s="80"/>
      <c r="F10" t="s">
        <v>2169</v>
      </c>
      <c r="G10" s="15">
        <v>82</v>
      </c>
      <c r="H10">
        <v>16</v>
      </c>
      <c r="I10" s="64"/>
      <c r="J10" s="64"/>
      <c r="K10" s="64"/>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101-000000000000}">
      <formula1>"True,False"</formula1>
    </dataValidation>
    <dataValidation type="list" allowBlank="1" showInputMessage="1" showErrorMessage="1" sqref="B2" xr:uid="{00000000-0002-0000-0101-000001000000}">
      <formula1>"Table,Figure,Both"</formula1>
    </dataValidation>
    <dataValidation type="list" allowBlank="1" showInputMessage="1" showErrorMessage="1" sqref="B10" xr:uid="{00000000-0002-0000-0101-000002000000}">
      <formula1>"Line,Clustered Bar,Stacked Bar,Bar,Horizontal Stacked Bar"</formula1>
    </dataValidation>
  </dataValidations>
  <pageMargins left="0.75" right="0.75" top="1" bottom="1" header="0.5" footer="0.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Q57"/>
  <sheetViews>
    <sheetView workbookViewId="0">
      <selection activeCell="F18" sqref="F18"/>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880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tbl-siena-updated-covid-vaccine-income</v>
      </c>
    </row>
    <row r="4" spans="1:17" x14ac:dyDescent="0.2">
      <c r="A4" s="16" t="s">
        <v>7</v>
      </c>
      <c r="B4" t="str">
        <f>IF($B$1="","",_xlfn.XLOOKUP($B$1,Master!$F$2:$F$321,Master!$H$2:$H$321,""))</f>
        <v>fig-siena-updated-covid-vaccine-income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s="15" t="s">
        <v>2237</v>
      </c>
      <c r="H5" s="15" t="s">
        <v>2238</v>
      </c>
      <c r="I5" s="15" t="s">
        <v>2239</v>
      </c>
      <c r="J5" s="15" t="s">
        <v>2240</v>
      </c>
      <c r="K5" s="15" t="s">
        <v>2190</v>
      </c>
    </row>
    <row r="6" spans="1:17" ht="15" customHeight="1" x14ac:dyDescent="0.2">
      <c r="A6" t="s">
        <v>1088</v>
      </c>
      <c r="B6" t="b">
        <v>0</v>
      </c>
      <c r="E6" s="80"/>
      <c r="F6" t="s">
        <v>2180</v>
      </c>
      <c r="G6" s="15">
        <v>30</v>
      </c>
      <c r="H6" s="15">
        <v>9</v>
      </c>
      <c r="I6" s="15">
        <v>16</v>
      </c>
      <c r="J6" s="15">
        <v>42</v>
      </c>
      <c r="K6" s="15">
        <v>3</v>
      </c>
      <c r="L6" s="15"/>
      <c r="M6" s="15"/>
      <c r="N6" s="15"/>
      <c r="O6" s="15"/>
    </row>
    <row r="7" spans="1:17" ht="15.75" customHeight="1" x14ac:dyDescent="0.2">
      <c r="E7" s="80"/>
      <c r="F7" t="s">
        <v>2166</v>
      </c>
      <c r="G7" s="15">
        <v>20</v>
      </c>
      <c r="H7" s="15">
        <v>9</v>
      </c>
      <c r="I7" s="15">
        <v>14</v>
      </c>
      <c r="J7" s="15">
        <v>53</v>
      </c>
      <c r="K7" s="15">
        <v>4</v>
      </c>
      <c r="L7" s="15"/>
      <c r="M7" s="15"/>
      <c r="N7" s="15"/>
      <c r="O7" s="15"/>
    </row>
    <row r="8" spans="1:17" x14ac:dyDescent="0.2">
      <c r="E8" s="80"/>
      <c r="F8" t="s">
        <v>2167</v>
      </c>
      <c r="G8" s="15">
        <v>21</v>
      </c>
      <c r="H8" s="15">
        <v>15</v>
      </c>
      <c r="I8" s="15">
        <v>15</v>
      </c>
      <c r="J8" s="15">
        <v>48</v>
      </c>
      <c r="K8" s="15">
        <v>1</v>
      </c>
      <c r="L8" s="15"/>
      <c r="M8" s="15"/>
      <c r="N8" s="15"/>
      <c r="O8" s="15"/>
    </row>
    <row r="9" spans="1:17" x14ac:dyDescent="0.2">
      <c r="A9" s="83" t="s">
        <v>1098</v>
      </c>
      <c r="B9" s="80"/>
      <c r="E9" s="80"/>
      <c r="F9" t="s">
        <v>2168</v>
      </c>
      <c r="G9" s="15">
        <v>21</v>
      </c>
      <c r="H9" s="15">
        <v>4</v>
      </c>
      <c r="I9" s="15">
        <v>14</v>
      </c>
      <c r="J9" s="15">
        <v>49</v>
      </c>
      <c r="K9" s="15">
        <v>1</v>
      </c>
      <c r="L9" s="15"/>
      <c r="M9" s="15"/>
      <c r="N9" s="15"/>
      <c r="O9" s="15"/>
    </row>
    <row r="10" spans="1:17" x14ac:dyDescent="0.2">
      <c r="A10" t="s">
        <v>1100</v>
      </c>
      <c r="B10" t="s">
        <v>1300</v>
      </c>
      <c r="E10" s="80"/>
      <c r="F10" t="s">
        <v>2169</v>
      </c>
      <c r="G10" s="15">
        <v>22</v>
      </c>
      <c r="H10" s="15">
        <v>3</v>
      </c>
      <c r="I10" s="15">
        <v>14</v>
      </c>
      <c r="J10" s="15">
        <v>52</v>
      </c>
      <c r="K10" s="15">
        <v>0</v>
      </c>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0201-000000000000}">
      <formula1>"Line,Clustered Bar,Stacked Bar,Bar,Horizontal Stacked Bar"</formula1>
    </dataValidation>
    <dataValidation type="list" allowBlank="1" showInputMessage="1" showErrorMessage="1" sqref="B2" xr:uid="{00000000-0002-0000-0201-000001000000}">
      <formula1>"Table,Figure,Both"</formula1>
    </dataValidation>
    <dataValidation type="list" allowBlank="1" showInputMessage="1" showErrorMessage="1" sqref="B6 B15:B16" xr:uid="{00000000-0002-0000-0201-000002000000}">
      <formula1>"True,False"</formula1>
    </dataValidation>
  </dataValidations>
  <pageMargins left="0.75" right="0.75" top="1" bottom="1" header="0.5" footer="0.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Q57"/>
  <sheetViews>
    <sheetView workbookViewId="0">
      <selection activeCell="F15" sqref="F1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886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tbl-siena-flu-vaccine-income</v>
      </c>
    </row>
    <row r="4" spans="1:17" x14ac:dyDescent="0.2">
      <c r="A4" s="16" t="s">
        <v>7</v>
      </c>
      <c r="B4" t="str">
        <f>IF($B$1="","",_xlfn.XLOOKUP($B$1,Master!$F$2:$F$321,Master!$H$2:$H$321,""))</f>
        <v>fig-siena-flu-vaccine-income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s="15" t="s">
        <v>2211</v>
      </c>
      <c r="H5" s="15" t="s">
        <v>2212</v>
      </c>
    </row>
    <row r="6" spans="1:17" ht="15" customHeight="1" x14ac:dyDescent="0.2">
      <c r="A6" t="s">
        <v>1088</v>
      </c>
      <c r="B6" t="b">
        <v>0</v>
      </c>
      <c r="E6" s="80"/>
      <c r="F6" t="s">
        <v>2180</v>
      </c>
      <c r="G6" s="15">
        <v>48</v>
      </c>
      <c r="H6" s="15">
        <v>52</v>
      </c>
      <c r="I6" s="63"/>
      <c r="J6" s="63"/>
      <c r="K6" s="63"/>
      <c r="L6" s="15"/>
      <c r="M6" s="15"/>
      <c r="N6" s="15"/>
      <c r="O6" s="15"/>
    </row>
    <row r="7" spans="1:17" ht="15.75" customHeight="1" x14ac:dyDescent="0.2">
      <c r="E7" s="80"/>
      <c r="F7" t="s">
        <v>2166</v>
      </c>
      <c r="G7" s="15">
        <v>39</v>
      </c>
      <c r="H7" s="15">
        <v>60</v>
      </c>
      <c r="I7" s="63"/>
      <c r="J7" s="63"/>
      <c r="K7" s="63"/>
      <c r="L7" s="15"/>
      <c r="M7" s="15"/>
      <c r="N7" s="15"/>
      <c r="O7" s="15"/>
    </row>
    <row r="8" spans="1:17" x14ac:dyDescent="0.2">
      <c r="E8" s="80"/>
      <c r="F8" t="s">
        <v>2167</v>
      </c>
      <c r="G8" s="15">
        <v>45</v>
      </c>
      <c r="H8" s="15">
        <v>55</v>
      </c>
      <c r="I8" s="63"/>
      <c r="J8" s="63"/>
      <c r="K8" s="63"/>
      <c r="L8" s="15"/>
      <c r="M8" s="15"/>
      <c r="N8" s="15"/>
      <c r="O8" s="15"/>
    </row>
    <row r="9" spans="1:17" x14ac:dyDescent="0.2">
      <c r="A9" s="83" t="s">
        <v>1098</v>
      </c>
      <c r="B9" s="80"/>
      <c r="E9" s="80"/>
      <c r="F9" t="s">
        <v>2168</v>
      </c>
      <c r="G9" s="15">
        <v>45</v>
      </c>
      <c r="H9" s="15">
        <v>54</v>
      </c>
      <c r="I9" s="63"/>
      <c r="J9" s="63"/>
      <c r="K9" s="63"/>
      <c r="L9" s="15"/>
      <c r="M9" s="15"/>
      <c r="N9" s="15"/>
      <c r="O9" s="15"/>
    </row>
    <row r="10" spans="1:17" x14ac:dyDescent="0.2">
      <c r="A10" t="s">
        <v>1100</v>
      </c>
      <c r="B10" t="s">
        <v>1300</v>
      </c>
      <c r="E10" s="80"/>
      <c r="F10" t="s">
        <v>2169</v>
      </c>
      <c r="G10" s="15">
        <v>48</v>
      </c>
      <c r="H10" s="15">
        <v>52</v>
      </c>
      <c r="I10" s="64"/>
      <c r="J10" s="64"/>
      <c r="K10" s="64"/>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301-000000000000}">
      <formula1>"True,False"</formula1>
    </dataValidation>
    <dataValidation type="list" allowBlank="1" showInputMessage="1" showErrorMessage="1" sqref="B2" xr:uid="{00000000-0002-0000-0301-000001000000}">
      <formula1>"Table,Figure,Both"</formula1>
    </dataValidation>
    <dataValidation type="list" allowBlank="1" showInputMessage="1" showErrorMessage="1" sqref="B10" xr:uid="{00000000-0002-0000-0301-000002000000}">
      <formula1>"Line,Clustered Bar,Stacked Bar,Bar,Horizontal Stacked Bar"</formula1>
    </dataValidation>
  </dataValidations>
  <pageMargins left="0.75" right="0.75" top="1" bottom="1" header="0.5" footer="0.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Q57"/>
  <sheetViews>
    <sheetView workbookViewId="0">
      <selection activeCell="J22" sqref="J2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895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tbl-siena-feeling-nervous-income</v>
      </c>
    </row>
    <row r="4" spans="1:17" x14ac:dyDescent="0.2">
      <c r="A4" s="16" t="s">
        <v>7</v>
      </c>
      <c r="B4" t="str">
        <f>IF($B$1="","",_xlfn.XLOOKUP($B$1,Master!$F$2:$F$321,Master!$H$2:$H$321,""))</f>
        <v>fig-siena-feeling-nervous-income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2241</v>
      </c>
      <c r="H5" t="s">
        <v>2242</v>
      </c>
      <c r="I5" t="s">
        <v>2243</v>
      </c>
      <c r="J5" t="s">
        <v>2244</v>
      </c>
      <c r="K5" t="s">
        <v>2245</v>
      </c>
    </row>
    <row r="6" spans="1:17" ht="15" customHeight="1" x14ac:dyDescent="0.2">
      <c r="A6" t="s">
        <v>1088</v>
      </c>
      <c r="B6" t="b">
        <v>0</v>
      </c>
      <c r="E6" s="80"/>
      <c r="F6" t="s">
        <v>2180</v>
      </c>
      <c r="G6" s="15">
        <v>11</v>
      </c>
      <c r="H6" s="15">
        <v>4</v>
      </c>
      <c r="I6" s="15">
        <v>29</v>
      </c>
      <c r="J6" s="15">
        <v>24</v>
      </c>
      <c r="K6" s="15">
        <v>31</v>
      </c>
      <c r="L6" s="15"/>
      <c r="M6" s="15"/>
      <c r="N6" s="15"/>
      <c r="O6" s="15"/>
    </row>
    <row r="7" spans="1:17" ht="15.75" customHeight="1" x14ac:dyDescent="0.2">
      <c r="E7" s="80"/>
      <c r="F7" t="s">
        <v>2166</v>
      </c>
      <c r="G7" s="15">
        <v>8</v>
      </c>
      <c r="H7" s="15">
        <v>9</v>
      </c>
      <c r="I7" s="15">
        <v>22</v>
      </c>
      <c r="J7" s="15">
        <v>23</v>
      </c>
      <c r="K7" s="15">
        <v>38</v>
      </c>
      <c r="L7" s="15"/>
      <c r="M7" s="15"/>
      <c r="N7" s="15"/>
      <c r="O7" s="15"/>
    </row>
    <row r="8" spans="1:17" x14ac:dyDescent="0.2">
      <c r="E8" s="80"/>
      <c r="F8" t="s">
        <v>2167</v>
      </c>
      <c r="G8" s="15">
        <v>2</v>
      </c>
      <c r="H8" s="15">
        <v>7</v>
      </c>
      <c r="I8" s="15">
        <v>25</v>
      </c>
      <c r="J8" s="15">
        <v>24</v>
      </c>
      <c r="K8" s="15">
        <v>41</v>
      </c>
      <c r="L8" s="15"/>
      <c r="M8" s="15"/>
      <c r="N8" s="15"/>
      <c r="O8" s="15"/>
    </row>
    <row r="9" spans="1:17" x14ac:dyDescent="0.2">
      <c r="A9" s="83" t="s">
        <v>1098</v>
      </c>
      <c r="B9" s="80"/>
      <c r="E9" s="80"/>
      <c r="F9" t="s">
        <v>2168</v>
      </c>
      <c r="G9" s="15">
        <v>4</v>
      </c>
      <c r="H9" s="15">
        <v>9</v>
      </c>
      <c r="I9" s="15">
        <v>27</v>
      </c>
      <c r="J9" s="15">
        <v>23</v>
      </c>
      <c r="K9" s="15">
        <v>37</v>
      </c>
      <c r="L9" s="15"/>
      <c r="M9" s="15"/>
      <c r="N9" s="15"/>
      <c r="O9" s="15"/>
    </row>
    <row r="10" spans="1:17" x14ac:dyDescent="0.2">
      <c r="A10" t="s">
        <v>1100</v>
      </c>
      <c r="B10" t="s">
        <v>1300</v>
      </c>
      <c r="E10" s="80"/>
      <c r="F10" t="s">
        <v>2169</v>
      </c>
      <c r="G10" s="15">
        <v>2</v>
      </c>
      <c r="H10">
        <v>8</v>
      </c>
      <c r="I10">
        <v>17</v>
      </c>
      <c r="J10">
        <v>26</v>
      </c>
      <c r="K10">
        <v>46</v>
      </c>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401-000000000000}">
      <formula1>"True,False"</formula1>
    </dataValidation>
    <dataValidation type="list" allowBlank="1" showInputMessage="1" showErrorMessage="1" sqref="B2" xr:uid="{00000000-0002-0000-0401-000001000000}">
      <formula1>"Table,Figure,Both"</formula1>
    </dataValidation>
    <dataValidation type="list" allowBlank="1" showInputMessage="1" showErrorMessage="1" sqref="B10" xr:uid="{00000000-0002-0000-0401-000002000000}">
      <formula1>"Line,Clustered Bar,Stacked Bar,Bar,Horizontal Stacked Bar"</formula1>
    </dataValidation>
  </dataValidations>
  <pageMargins left="0.75" right="0.75" top="1" bottom="1" header="0.5" footer="0.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Q57"/>
  <sheetViews>
    <sheetView workbookViewId="0">
      <selection activeCell="M19" sqref="M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901</v>
      </c>
      <c r="C1" s="80"/>
      <c r="D1" s="80"/>
      <c r="E1" s="80"/>
      <c r="F1" s="80"/>
      <c r="G1" s="80"/>
      <c r="H1" s="80"/>
      <c r="I1" s="80"/>
      <c r="J1" s="80"/>
      <c r="K1" s="80"/>
      <c r="L1" s="80"/>
      <c r="M1" s="80"/>
      <c r="N1" s="80"/>
      <c r="O1" s="80"/>
    </row>
    <row r="2" spans="1:17" x14ac:dyDescent="0.2">
      <c r="A2" s="16" t="s">
        <v>1078</v>
      </c>
      <c r="B2" t="s">
        <v>1079</v>
      </c>
    </row>
    <row r="3" spans="1:17" x14ac:dyDescent="0.2">
      <c r="A3" s="16" t="s">
        <v>1080</v>
      </c>
      <c r="B3" t="s">
        <v>902</v>
      </c>
    </row>
    <row r="4" spans="1:17" x14ac:dyDescent="0.2">
      <c r="A4" s="16" t="s">
        <v>7</v>
      </c>
      <c r="B4" t="s">
        <v>2246</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2241</v>
      </c>
      <c r="H5" t="s">
        <v>2242</v>
      </c>
      <c r="I5" t="s">
        <v>2243</v>
      </c>
      <c r="J5" t="s">
        <v>2244</v>
      </c>
      <c r="K5" t="s">
        <v>2245</v>
      </c>
    </row>
    <row r="6" spans="1:17" ht="15" customHeight="1" x14ac:dyDescent="0.2">
      <c r="A6" t="s">
        <v>1088</v>
      </c>
      <c r="B6" t="b">
        <v>0</v>
      </c>
      <c r="E6" s="80"/>
      <c r="F6" t="s">
        <v>2180</v>
      </c>
      <c r="G6" s="15">
        <v>3</v>
      </c>
      <c r="H6" s="15">
        <v>4</v>
      </c>
      <c r="I6" s="15">
        <v>17</v>
      </c>
      <c r="J6" s="15">
        <v>9</v>
      </c>
      <c r="K6" s="15">
        <v>66</v>
      </c>
      <c r="L6" s="15"/>
      <c r="M6" s="15"/>
      <c r="N6" s="15"/>
      <c r="O6" s="15"/>
    </row>
    <row r="7" spans="1:17" ht="15.75" customHeight="1" x14ac:dyDescent="0.2">
      <c r="E7" s="80"/>
      <c r="F7" t="s">
        <v>2166</v>
      </c>
      <c r="G7" s="15">
        <v>2</v>
      </c>
      <c r="H7" s="15">
        <v>6</v>
      </c>
      <c r="I7" s="15">
        <v>11</v>
      </c>
      <c r="J7" s="15">
        <v>14</v>
      </c>
      <c r="K7" s="15">
        <v>65</v>
      </c>
      <c r="L7" s="15"/>
      <c r="M7" s="15"/>
      <c r="N7" s="15"/>
      <c r="O7" s="15"/>
    </row>
    <row r="8" spans="1:17" x14ac:dyDescent="0.2">
      <c r="E8" s="80"/>
      <c r="F8" t="s">
        <v>2167</v>
      </c>
      <c r="G8" s="15">
        <v>1</v>
      </c>
      <c r="H8" s="15">
        <v>4</v>
      </c>
      <c r="I8" s="15">
        <v>9</v>
      </c>
      <c r="J8" s="15">
        <v>11</v>
      </c>
      <c r="K8" s="15">
        <v>74</v>
      </c>
      <c r="L8" s="15"/>
      <c r="M8" s="15"/>
      <c r="N8" s="15"/>
      <c r="O8" s="15"/>
    </row>
    <row r="9" spans="1:17" x14ac:dyDescent="0.2">
      <c r="A9" s="83" t="s">
        <v>1098</v>
      </c>
      <c r="B9" s="80"/>
      <c r="E9" s="80"/>
      <c r="F9" t="s">
        <v>2168</v>
      </c>
      <c r="G9" s="15">
        <v>1</v>
      </c>
      <c r="H9" s="15">
        <v>1</v>
      </c>
      <c r="I9" s="15">
        <v>14</v>
      </c>
      <c r="J9" s="15">
        <v>7</v>
      </c>
      <c r="K9" s="15">
        <v>76</v>
      </c>
      <c r="L9" s="15"/>
      <c r="M9" s="15"/>
      <c r="N9" s="15"/>
      <c r="O9" s="15"/>
    </row>
    <row r="10" spans="1:17" x14ac:dyDescent="0.2">
      <c r="A10" t="s">
        <v>1100</v>
      </c>
      <c r="B10" t="s">
        <v>1300</v>
      </c>
      <c r="E10" s="80"/>
      <c r="F10" t="s">
        <v>2169</v>
      </c>
      <c r="G10" s="15">
        <v>1</v>
      </c>
      <c r="H10">
        <v>2</v>
      </c>
      <c r="I10">
        <v>9</v>
      </c>
      <c r="J10">
        <v>7</v>
      </c>
      <c r="K10">
        <v>82</v>
      </c>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501-000000000000}">
      <formula1>"True,False"</formula1>
    </dataValidation>
    <dataValidation type="list" allowBlank="1" showInputMessage="1" showErrorMessage="1" sqref="B2" xr:uid="{00000000-0002-0000-0501-000001000000}">
      <formula1>"Table,Figure,Both"</formula1>
    </dataValidation>
    <dataValidation type="list" allowBlank="1" showInputMessage="1" showErrorMessage="1" sqref="B10" xr:uid="{00000000-0002-0000-0501-000002000000}">
      <formula1>"Line,Clustered Bar,Stacked Bar,Bar,Horizontal Stacked Bar"</formula1>
    </dataValidation>
  </dataValidations>
  <pageMargins left="0.75" right="0.75" top="1" bottom="1" header="0.5" footer="0.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Q57"/>
  <sheetViews>
    <sheetView workbookViewId="0">
      <selection activeCell="F10" sqref="F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907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tbl-siena-restless-fidgety-income</v>
      </c>
    </row>
    <row r="4" spans="1:17" x14ac:dyDescent="0.2">
      <c r="A4" s="16" t="s">
        <v>7</v>
      </c>
      <c r="B4" t="str">
        <f>IF($B$1="","",_xlfn.XLOOKUP($B$1,Master!$F$2:$F$321,Master!$H$2:$H$321,""))</f>
        <v>fig-siena-restless-fidgety-income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2241</v>
      </c>
      <c r="H5" t="s">
        <v>2242</v>
      </c>
      <c r="I5" t="s">
        <v>2243</v>
      </c>
      <c r="J5" t="s">
        <v>2244</v>
      </c>
      <c r="K5" t="s">
        <v>2245</v>
      </c>
    </row>
    <row r="6" spans="1:17" ht="15" customHeight="1" x14ac:dyDescent="0.2">
      <c r="A6" t="s">
        <v>1088</v>
      </c>
      <c r="B6" t="b">
        <v>0</v>
      </c>
      <c r="E6" s="80"/>
      <c r="F6" t="s">
        <v>2180</v>
      </c>
      <c r="G6" s="15">
        <v>6</v>
      </c>
      <c r="H6" s="15">
        <v>9</v>
      </c>
      <c r="I6" s="15">
        <v>27</v>
      </c>
      <c r="J6" s="15">
        <v>25</v>
      </c>
      <c r="K6" s="15">
        <v>33</v>
      </c>
      <c r="L6" s="15"/>
      <c r="M6" s="15"/>
      <c r="N6" s="15"/>
      <c r="O6" s="15"/>
    </row>
    <row r="7" spans="1:17" ht="15.75" customHeight="1" x14ac:dyDescent="0.2">
      <c r="E7" s="80"/>
      <c r="F7" t="s">
        <v>2166</v>
      </c>
      <c r="G7" s="15">
        <v>6</v>
      </c>
      <c r="H7" s="15">
        <v>11</v>
      </c>
      <c r="I7" s="15">
        <v>21</v>
      </c>
      <c r="J7" s="15">
        <v>17</v>
      </c>
      <c r="K7" s="15">
        <v>43</v>
      </c>
      <c r="L7" s="15"/>
      <c r="M7" s="15"/>
      <c r="N7" s="15"/>
      <c r="O7" s="15"/>
    </row>
    <row r="8" spans="1:17" x14ac:dyDescent="0.2">
      <c r="E8" s="80"/>
      <c r="F8" t="s">
        <v>2167</v>
      </c>
      <c r="G8" s="15">
        <v>1</v>
      </c>
      <c r="H8" s="15">
        <v>5</v>
      </c>
      <c r="I8" s="15">
        <v>21</v>
      </c>
      <c r="J8" s="15">
        <v>22</v>
      </c>
      <c r="K8" s="15">
        <v>51</v>
      </c>
      <c r="L8" s="15"/>
      <c r="M8" s="15"/>
      <c r="N8" s="15"/>
      <c r="O8" s="15"/>
    </row>
    <row r="9" spans="1:17" x14ac:dyDescent="0.2">
      <c r="A9" s="83" t="s">
        <v>1098</v>
      </c>
      <c r="B9" s="80"/>
      <c r="E9" s="80"/>
      <c r="F9" t="s">
        <v>2168</v>
      </c>
      <c r="G9" s="15">
        <v>3</v>
      </c>
      <c r="H9" s="15">
        <v>6</v>
      </c>
      <c r="I9" s="15">
        <v>21</v>
      </c>
      <c r="J9" s="15">
        <v>16</v>
      </c>
      <c r="K9" s="15">
        <v>54</v>
      </c>
      <c r="L9" s="15"/>
      <c r="M9" s="15"/>
      <c r="N9" s="15"/>
      <c r="O9" s="15"/>
    </row>
    <row r="10" spans="1:17" x14ac:dyDescent="0.2">
      <c r="A10" t="s">
        <v>1100</v>
      </c>
      <c r="B10" t="s">
        <v>1300</v>
      </c>
      <c r="E10" s="80"/>
      <c r="F10" t="s">
        <v>2169</v>
      </c>
      <c r="G10" s="15">
        <v>4</v>
      </c>
      <c r="H10">
        <v>4</v>
      </c>
      <c r="I10">
        <v>22</v>
      </c>
      <c r="J10">
        <v>18</v>
      </c>
      <c r="K10">
        <v>51</v>
      </c>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601-000000000000}">
      <formula1>"True,False"</formula1>
    </dataValidation>
    <dataValidation type="list" allowBlank="1" showInputMessage="1" showErrorMessage="1" sqref="B2" xr:uid="{00000000-0002-0000-0601-000001000000}">
      <formula1>"Table,Figure,Both"</formula1>
    </dataValidation>
    <dataValidation type="list" allowBlank="1" showInputMessage="1" showErrorMessage="1" sqref="B10" xr:uid="{00000000-0002-0000-0601-000002000000}">
      <formula1>"Line,Clustered Bar,Stacked Bar,Bar,Horizontal Stacked Bar"</formula1>
    </dataValidation>
  </dataValidations>
  <pageMargins left="0.75" right="0.75" top="1" bottom="1" header="0.5" footer="0.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Q57"/>
  <sheetViews>
    <sheetView workbookViewId="0">
      <selection activeCell="C19" sqref="C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tbl-siena-depressed-income</v>
      </c>
    </row>
    <row r="4" spans="1:17" x14ac:dyDescent="0.2">
      <c r="A4" s="16" t="s">
        <v>7</v>
      </c>
      <c r="B4" t="str">
        <f>IF($B$1="","",_xlfn.XLOOKUP($B$1,Master!$F$2:$F$321,Master!$H$2:$H$321,""))</f>
        <v>fig-siena-depressed-income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2241</v>
      </c>
      <c r="H5" t="s">
        <v>2242</v>
      </c>
      <c r="I5" t="s">
        <v>2243</v>
      </c>
      <c r="J5" t="s">
        <v>2244</v>
      </c>
      <c r="K5" t="s">
        <v>2245</v>
      </c>
    </row>
    <row r="6" spans="1:17" ht="15" customHeight="1" x14ac:dyDescent="0.2">
      <c r="A6" t="s">
        <v>1088</v>
      </c>
      <c r="B6" t="b">
        <v>0</v>
      </c>
      <c r="E6" s="80"/>
      <c r="F6" t="s">
        <v>2180</v>
      </c>
      <c r="G6" s="15">
        <v>4</v>
      </c>
      <c r="H6" s="15">
        <v>4</v>
      </c>
      <c r="I6" s="15">
        <v>17</v>
      </c>
      <c r="J6" s="15">
        <v>15</v>
      </c>
      <c r="K6" s="15">
        <v>60</v>
      </c>
      <c r="L6" s="15"/>
      <c r="M6" s="15"/>
      <c r="N6" s="15"/>
      <c r="O6" s="15"/>
    </row>
    <row r="7" spans="1:17" ht="15.75" customHeight="1" x14ac:dyDescent="0.2">
      <c r="E7" s="80"/>
      <c r="F7" t="s">
        <v>2166</v>
      </c>
      <c r="G7" s="15">
        <v>3</v>
      </c>
      <c r="H7" s="15">
        <v>2</v>
      </c>
      <c r="I7" s="15">
        <v>11</v>
      </c>
      <c r="J7" s="15">
        <v>14</v>
      </c>
      <c r="K7" s="15">
        <v>70</v>
      </c>
      <c r="L7" s="15"/>
      <c r="M7" s="15"/>
      <c r="N7" s="15"/>
      <c r="O7" s="15"/>
    </row>
    <row r="8" spans="1:17" x14ac:dyDescent="0.2">
      <c r="E8" s="80"/>
      <c r="F8" t="s">
        <v>2167</v>
      </c>
      <c r="G8" s="15">
        <v>0</v>
      </c>
      <c r="H8" s="15">
        <v>1</v>
      </c>
      <c r="I8" s="15">
        <v>8</v>
      </c>
      <c r="J8" s="15">
        <v>10</v>
      </c>
      <c r="K8" s="15">
        <v>81</v>
      </c>
      <c r="L8" s="15"/>
      <c r="M8" s="15"/>
      <c r="N8" s="15"/>
      <c r="O8" s="15"/>
    </row>
    <row r="9" spans="1:17" x14ac:dyDescent="0.2">
      <c r="A9" s="83" t="s">
        <v>1098</v>
      </c>
      <c r="B9" s="80"/>
      <c r="E9" s="80"/>
      <c r="F9" t="s">
        <v>2168</v>
      </c>
      <c r="G9" s="15">
        <v>0</v>
      </c>
      <c r="H9" s="15">
        <v>3</v>
      </c>
      <c r="I9" s="15">
        <v>8</v>
      </c>
      <c r="J9" s="15">
        <v>9</v>
      </c>
      <c r="K9" s="15">
        <v>80</v>
      </c>
      <c r="L9" s="15"/>
      <c r="M9" s="15"/>
      <c r="N9" s="15"/>
      <c r="O9" s="15"/>
    </row>
    <row r="10" spans="1:17" x14ac:dyDescent="0.2">
      <c r="A10" t="s">
        <v>1100</v>
      </c>
      <c r="B10" t="s">
        <v>1300</v>
      </c>
      <c r="E10" s="80"/>
      <c r="F10" t="s">
        <v>2169</v>
      </c>
      <c r="G10" s="15">
        <v>0</v>
      </c>
      <c r="H10">
        <v>1</v>
      </c>
      <c r="I10">
        <v>7</v>
      </c>
      <c r="J10">
        <v>3</v>
      </c>
      <c r="K10">
        <v>89</v>
      </c>
    </row>
    <row r="11" spans="1:17" x14ac:dyDescent="0.2">
      <c r="A11" t="s">
        <v>1102</v>
      </c>
      <c r="B11" t="s">
        <v>2247</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0701-000000000000}">
      <formula1>"Line,Clustered Bar,Stacked Bar,Bar,Horizontal Stacked Bar"</formula1>
    </dataValidation>
    <dataValidation type="list" allowBlank="1" showInputMessage="1" showErrorMessage="1" sqref="B2" xr:uid="{00000000-0002-0000-0701-000001000000}">
      <formula1>"Table,Figure,Both"</formula1>
    </dataValidation>
    <dataValidation type="list" allowBlank="1" showInputMessage="1" showErrorMessage="1" sqref="B6 B15:B16" xr:uid="{00000000-0002-0000-0701-000002000000}">
      <formula1>"True,False"</formula1>
    </dataValidation>
  </dataValidations>
  <pageMargins left="0.75" right="0.75" top="1" bottom="1" header="0.5" footer="0.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Q57"/>
  <sheetViews>
    <sheetView workbookViewId="0">
      <selection activeCell="B12" sqref="B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919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tbl-siena-everything-effort-income</v>
      </c>
    </row>
    <row r="4" spans="1:17" x14ac:dyDescent="0.2">
      <c r="A4" s="16" t="s">
        <v>7</v>
      </c>
      <c r="B4" t="str">
        <f>IF($B$1="","",_xlfn.XLOOKUP($B$1,Master!$F$2:$F$321,Master!$H$2:$H$321,""))</f>
        <v>fig-siena-everything-effort-income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2241</v>
      </c>
      <c r="H5" t="s">
        <v>2242</v>
      </c>
      <c r="I5" t="s">
        <v>2243</v>
      </c>
      <c r="J5" t="s">
        <v>2244</v>
      </c>
      <c r="K5" t="s">
        <v>2245</v>
      </c>
    </row>
    <row r="6" spans="1:17" ht="15" customHeight="1" x14ac:dyDescent="0.2">
      <c r="A6" t="s">
        <v>1088</v>
      </c>
      <c r="B6" t="b">
        <v>0</v>
      </c>
      <c r="E6" s="80"/>
      <c r="F6" t="s">
        <v>2180</v>
      </c>
      <c r="G6" s="15">
        <v>8</v>
      </c>
      <c r="H6" s="15">
        <v>9</v>
      </c>
      <c r="I6" s="15">
        <v>27</v>
      </c>
      <c r="J6" s="15">
        <v>14</v>
      </c>
      <c r="K6" s="15">
        <v>39</v>
      </c>
      <c r="L6" s="15"/>
      <c r="M6" s="15"/>
      <c r="N6" s="15"/>
      <c r="O6" s="15"/>
    </row>
    <row r="7" spans="1:17" ht="15.75" customHeight="1" x14ac:dyDescent="0.2">
      <c r="E7" s="80"/>
      <c r="F7" t="s">
        <v>2166</v>
      </c>
      <c r="G7" s="15">
        <v>6</v>
      </c>
      <c r="H7" s="15">
        <v>12</v>
      </c>
      <c r="I7" s="15">
        <v>22</v>
      </c>
      <c r="J7" s="15">
        <v>16</v>
      </c>
      <c r="K7" s="15">
        <v>43</v>
      </c>
      <c r="L7" s="15"/>
      <c r="M7" s="15"/>
      <c r="N7" s="15"/>
      <c r="O7" s="15"/>
    </row>
    <row r="8" spans="1:17" x14ac:dyDescent="0.2">
      <c r="E8" s="80"/>
      <c r="F8" t="s">
        <v>2167</v>
      </c>
      <c r="G8" s="15">
        <v>9</v>
      </c>
      <c r="H8" s="15">
        <v>6</v>
      </c>
      <c r="I8" s="15">
        <v>15</v>
      </c>
      <c r="J8" s="15">
        <v>16</v>
      </c>
      <c r="K8" s="15">
        <v>49</v>
      </c>
      <c r="L8" s="15"/>
      <c r="M8" s="15"/>
      <c r="N8" s="15"/>
      <c r="O8" s="15"/>
    </row>
    <row r="9" spans="1:17" x14ac:dyDescent="0.2">
      <c r="A9" s="83" t="s">
        <v>1098</v>
      </c>
      <c r="B9" s="80"/>
      <c r="E9" s="80"/>
      <c r="F9" t="s">
        <v>2168</v>
      </c>
      <c r="G9" s="15">
        <v>1</v>
      </c>
      <c r="H9" s="15">
        <v>6</v>
      </c>
      <c r="I9" s="15">
        <v>19</v>
      </c>
      <c r="J9" s="15">
        <v>21</v>
      </c>
      <c r="K9" s="15">
        <v>44</v>
      </c>
      <c r="L9" s="15"/>
      <c r="M9" s="15"/>
      <c r="N9" s="15"/>
      <c r="O9" s="15"/>
    </row>
    <row r="10" spans="1:17" x14ac:dyDescent="0.2">
      <c r="A10" t="s">
        <v>1100</v>
      </c>
      <c r="B10" t="s">
        <v>1300</v>
      </c>
      <c r="E10" s="80"/>
      <c r="F10" t="s">
        <v>2169</v>
      </c>
      <c r="G10" s="15">
        <v>6</v>
      </c>
      <c r="H10">
        <v>11</v>
      </c>
      <c r="I10">
        <v>16</v>
      </c>
      <c r="J10">
        <v>24</v>
      </c>
      <c r="K10">
        <v>57</v>
      </c>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801-000000000000}">
      <formula1>"True,False"</formula1>
    </dataValidation>
    <dataValidation type="list" allowBlank="1" showInputMessage="1" showErrorMessage="1" sqref="B2" xr:uid="{00000000-0002-0000-0801-000001000000}">
      <formula1>"Table,Figure,Both"</formula1>
    </dataValidation>
    <dataValidation type="list" allowBlank="1" showInputMessage="1" showErrorMessage="1" sqref="B10" xr:uid="{00000000-0002-0000-0801-000002000000}">
      <formula1>"Line,Clustered Bar,Stacked Bar,Bar,Horizontal Stacked Bar"</formula1>
    </dataValidation>
  </dataValidations>
  <pageMargins left="0.75" right="0.75" top="1" bottom="1" header="0.5" footer="0.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Q57"/>
  <sheetViews>
    <sheetView zoomScaleNormal="100" workbookViewId="0">
      <selection activeCell="H23" sqref="H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3.83203125" bestFit="1" customWidth="1"/>
    <col min="8" max="8" width="15.83203125" bestFit="1" customWidth="1"/>
    <col min="9" max="9" width="16.5" bestFit="1" customWidth="1"/>
    <col min="10" max="10" width="17.5" bestFit="1" customWidth="1"/>
    <col min="11" max="11" width="16.3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922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tbl-siena-worthless</v>
      </c>
    </row>
    <row r="4" spans="1:17" x14ac:dyDescent="0.2">
      <c r="A4" s="16" t="s">
        <v>7</v>
      </c>
      <c r="B4" t="str">
        <f>IF($B$1="","",_xlfn.XLOOKUP($B$1,Master!$F$2:$F$321,Master!$H$2:$H$321,""))</f>
        <v>fig-siena-worthless</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2241</v>
      </c>
      <c r="H5" t="s">
        <v>2242</v>
      </c>
      <c r="I5" t="s">
        <v>2243</v>
      </c>
      <c r="J5" t="s">
        <v>2244</v>
      </c>
      <c r="K5" t="s">
        <v>2245</v>
      </c>
    </row>
    <row r="6" spans="1:17" ht="15" customHeight="1" x14ac:dyDescent="0.2">
      <c r="A6" t="s">
        <v>1088</v>
      </c>
      <c r="B6" t="b">
        <v>0</v>
      </c>
      <c r="E6" s="80"/>
      <c r="F6">
        <v>2024</v>
      </c>
      <c r="G6" s="15">
        <v>1</v>
      </c>
      <c r="H6" s="15">
        <v>3</v>
      </c>
      <c r="I6" s="15">
        <v>7</v>
      </c>
      <c r="J6" s="15">
        <v>8</v>
      </c>
      <c r="K6" s="15">
        <v>80</v>
      </c>
      <c r="M6" s="15"/>
      <c r="N6" s="15"/>
      <c r="O6" s="15"/>
    </row>
    <row r="7" spans="1:17" ht="15.75" customHeight="1" x14ac:dyDescent="0.2">
      <c r="E7" s="80"/>
      <c r="F7">
        <v>2023</v>
      </c>
      <c r="G7" s="15">
        <v>3</v>
      </c>
      <c r="H7" s="15">
        <v>2</v>
      </c>
      <c r="I7" s="15">
        <v>8</v>
      </c>
      <c r="J7" s="15">
        <v>10</v>
      </c>
      <c r="K7" s="15">
        <v>77</v>
      </c>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901-000000000000}">
      <formula1>"True,False"</formula1>
    </dataValidation>
    <dataValidation type="list" allowBlank="1" showInputMessage="1" showErrorMessage="1" sqref="B2" xr:uid="{00000000-0002-0000-0901-000001000000}">
      <formula1>"Table,Figure,Both"</formula1>
    </dataValidation>
    <dataValidation type="list" allowBlank="1" showInputMessage="1" showErrorMessage="1" sqref="B10" xr:uid="{00000000-0002-0000-0901-000002000000}">
      <formula1>"Line,Clustered Bar,Stacked Bar,Bar,Horizontal Stacked Bar"</formula1>
    </dataValidation>
  </dataValidations>
  <pageMargins left="0.75" right="0.75" top="1" bottom="1" header="0.5" footer="0.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Q57"/>
  <sheetViews>
    <sheetView workbookViewId="0">
      <selection activeCell="D19" sqref="D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925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tbl-siena-worthless-income</v>
      </c>
    </row>
    <row r="4" spans="1:17" x14ac:dyDescent="0.2">
      <c r="A4" s="16" t="s">
        <v>7</v>
      </c>
      <c r="B4" t="str">
        <f>IF($B$1="","",_xlfn.XLOOKUP($B$1,Master!$F$2:$F$321,Master!$H$2:$H$321,""))</f>
        <v>fig-siena-worthless-income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2164</v>
      </c>
      <c r="G5" t="s">
        <v>2241</v>
      </c>
      <c r="H5" t="s">
        <v>2242</v>
      </c>
      <c r="I5" t="s">
        <v>2243</v>
      </c>
      <c r="J5" t="s">
        <v>2244</v>
      </c>
      <c r="K5" t="s">
        <v>2245</v>
      </c>
    </row>
    <row r="6" spans="1:17" ht="15" customHeight="1" x14ac:dyDescent="0.2">
      <c r="A6" t="s">
        <v>1088</v>
      </c>
      <c r="B6" t="b">
        <v>0</v>
      </c>
      <c r="E6" s="80"/>
      <c r="F6" t="s">
        <v>2180</v>
      </c>
      <c r="G6" s="15">
        <v>2</v>
      </c>
      <c r="H6" s="15">
        <v>8</v>
      </c>
      <c r="I6" s="15">
        <v>12</v>
      </c>
      <c r="J6" s="15">
        <v>8</v>
      </c>
      <c r="K6" s="15">
        <v>70</v>
      </c>
      <c r="L6" s="15"/>
      <c r="M6" s="15"/>
      <c r="N6" s="15"/>
      <c r="O6" s="15"/>
    </row>
    <row r="7" spans="1:17" ht="15.75" customHeight="1" x14ac:dyDescent="0.2">
      <c r="E7" s="80"/>
      <c r="F7" t="s">
        <v>2166</v>
      </c>
      <c r="G7" s="15">
        <v>3</v>
      </c>
      <c r="H7" s="15">
        <v>2</v>
      </c>
      <c r="I7" s="15">
        <v>2</v>
      </c>
      <c r="J7" s="15">
        <v>12</v>
      </c>
      <c r="K7" s="15">
        <v>71</v>
      </c>
      <c r="L7" s="15"/>
      <c r="M7" s="15"/>
      <c r="N7" s="15"/>
      <c r="O7" s="15"/>
    </row>
    <row r="8" spans="1:17" x14ac:dyDescent="0.2">
      <c r="E8" s="80"/>
      <c r="F8" t="s">
        <v>2167</v>
      </c>
      <c r="G8" s="15">
        <v>1</v>
      </c>
      <c r="H8" s="15">
        <v>4</v>
      </c>
      <c r="I8" s="15">
        <v>4</v>
      </c>
      <c r="J8" s="15">
        <v>7</v>
      </c>
      <c r="K8" s="15">
        <v>84</v>
      </c>
      <c r="L8" s="15"/>
      <c r="M8" s="15"/>
      <c r="N8" s="15"/>
      <c r="O8" s="15"/>
    </row>
    <row r="9" spans="1:17" x14ac:dyDescent="0.2">
      <c r="A9" s="83" t="s">
        <v>1098</v>
      </c>
      <c r="B9" s="80"/>
      <c r="E9" s="80"/>
      <c r="F9" t="s">
        <v>2168</v>
      </c>
      <c r="G9" s="15">
        <v>0</v>
      </c>
      <c r="H9" s="15">
        <v>4</v>
      </c>
      <c r="I9" s="15">
        <v>6</v>
      </c>
      <c r="J9" s="15">
        <v>6</v>
      </c>
      <c r="K9" s="15">
        <v>77</v>
      </c>
      <c r="L9" s="15"/>
      <c r="M9" s="15"/>
      <c r="N9" s="15"/>
      <c r="O9" s="15"/>
    </row>
    <row r="10" spans="1:17" x14ac:dyDescent="0.2">
      <c r="A10" t="s">
        <v>1100</v>
      </c>
      <c r="B10" t="s">
        <v>1300</v>
      </c>
      <c r="E10" s="80"/>
      <c r="F10" t="s">
        <v>2169</v>
      </c>
      <c r="G10" s="15">
        <v>0</v>
      </c>
      <c r="H10">
        <v>1</v>
      </c>
      <c r="I10">
        <v>5</v>
      </c>
      <c r="J10">
        <v>4</v>
      </c>
      <c r="K10">
        <v>89</v>
      </c>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A01-000000000000}">
      <formula1>"True,False"</formula1>
    </dataValidation>
    <dataValidation type="list" allowBlank="1" showInputMessage="1" showErrorMessage="1" sqref="B2" xr:uid="{00000000-0002-0000-0A01-000001000000}">
      <formula1>"Table,Figure,Both"</formula1>
    </dataValidation>
    <dataValidation type="list" allowBlank="1" showInputMessage="1" showErrorMessage="1" sqref="B10" xr:uid="{00000000-0002-0000-0A01-000002000000}">
      <formula1>"Line,Clustered Bar,Stacked Bar,Bar,Horizontal Stacked Bar"</formula1>
    </dataValidation>
  </dataValidations>
  <pageMargins left="0.75" right="0.75" top="1" bottom="1" header="0.5" footer="0.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Q57"/>
  <sheetViews>
    <sheetView workbookViewId="0">
      <selection activeCell="J24" sqref="J2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928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tbl-siena-kessler</v>
      </c>
    </row>
    <row r="4" spans="1:17" x14ac:dyDescent="0.2">
      <c r="A4" s="16" t="s">
        <v>7</v>
      </c>
      <c r="B4" t="str">
        <f>IF($B$1="","",_xlfn.XLOOKUP($B$1,Master!$F$2:$F$321,Master!$H$2:$H$321,""))</f>
        <v>fig-siena-kessler</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2248</v>
      </c>
      <c r="H5" t="s">
        <v>2249</v>
      </c>
      <c r="I5" t="s">
        <v>2250</v>
      </c>
    </row>
    <row r="6" spans="1:17" ht="15" customHeight="1" x14ac:dyDescent="0.2">
      <c r="A6" t="s">
        <v>1088</v>
      </c>
      <c r="B6" t="b">
        <v>0</v>
      </c>
      <c r="E6" s="80"/>
      <c r="F6">
        <v>2024</v>
      </c>
      <c r="G6" s="15">
        <v>64</v>
      </c>
      <c r="H6" s="15">
        <v>28</v>
      </c>
      <c r="I6" s="15">
        <v>8</v>
      </c>
      <c r="J6" s="63"/>
      <c r="K6" s="63"/>
      <c r="L6" s="15"/>
      <c r="M6" s="15"/>
      <c r="N6" s="15"/>
      <c r="O6" s="15"/>
    </row>
    <row r="7" spans="1:17" ht="15.75" customHeight="1" x14ac:dyDescent="0.2">
      <c r="E7" s="80"/>
      <c r="F7">
        <v>2023</v>
      </c>
      <c r="G7" s="15">
        <v>61</v>
      </c>
      <c r="H7" s="15">
        <v>30</v>
      </c>
      <c r="I7" s="15">
        <v>9</v>
      </c>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B01-000000000000}">
      <formula1>"True,False"</formula1>
    </dataValidation>
    <dataValidation type="list" allowBlank="1" showInputMessage="1" showErrorMessage="1" sqref="B2" xr:uid="{00000000-0002-0000-0B01-000001000000}">
      <formula1>"Table,Figure,Both"</formula1>
    </dataValidation>
    <dataValidation type="list" allowBlank="1" showInputMessage="1" showErrorMessage="1" sqref="B10" xr:uid="{00000000-0002-0000-0B01-000002000000}">
      <formula1>"Line,Clustered Bar,Stacked Bar,Bar,Horizontal Stacked Bar"</formula1>
    </dataValidation>
  </dataValidations>
  <pageMargins left="0.75" right="0.75" top="1" bottom="1" header="0.5" footer="0.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Q57"/>
  <sheetViews>
    <sheetView workbookViewId="0">
      <selection activeCell="P7" sqref="A1:Q5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931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tbl-siena-kessler-income</v>
      </c>
    </row>
    <row r="4" spans="1:17" x14ac:dyDescent="0.2">
      <c r="A4" s="16" t="s">
        <v>7</v>
      </c>
      <c r="B4" t="str">
        <f>IF($B$1="","",_xlfn.XLOOKUP($B$1,Master!$F$2:$F$321,Master!$H$2:$H$321,""))</f>
        <v>fig-siena-kessler-income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2164</v>
      </c>
      <c r="G5" t="s">
        <v>2248</v>
      </c>
      <c r="H5" t="s">
        <v>2249</v>
      </c>
      <c r="I5" t="s">
        <v>2250</v>
      </c>
    </row>
    <row r="6" spans="1:17" ht="15" customHeight="1" x14ac:dyDescent="0.2">
      <c r="A6" t="s">
        <v>1088</v>
      </c>
      <c r="B6" t="b">
        <v>0</v>
      </c>
      <c r="E6" s="80"/>
      <c r="F6" t="s">
        <v>2180</v>
      </c>
      <c r="G6" s="15">
        <v>53</v>
      </c>
      <c r="H6" s="15">
        <v>33</v>
      </c>
      <c r="I6" s="15">
        <v>14</v>
      </c>
      <c r="J6" s="63"/>
      <c r="K6" s="63"/>
      <c r="L6" s="15"/>
      <c r="M6" s="15"/>
      <c r="N6" s="15"/>
      <c r="O6" s="15"/>
    </row>
    <row r="7" spans="1:17" ht="15.75" customHeight="1" x14ac:dyDescent="0.2">
      <c r="E7" s="80"/>
      <c r="F7" t="s">
        <v>2166</v>
      </c>
      <c r="G7" s="15">
        <v>59</v>
      </c>
      <c r="H7" s="15">
        <v>26</v>
      </c>
      <c r="I7" s="15">
        <v>15</v>
      </c>
      <c r="J7" s="63"/>
      <c r="K7" s="63"/>
      <c r="L7" s="15"/>
      <c r="M7" s="15"/>
      <c r="N7" s="15"/>
      <c r="O7" s="15"/>
    </row>
    <row r="8" spans="1:17" x14ac:dyDescent="0.2">
      <c r="E8" s="80"/>
      <c r="F8" t="s">
        <v>2167</v>
      </c>
      <c r="G8" s="15">
        <v>67</v>
      </c>
      <c r="H8" s="15">
        <v>28</v>
      </c>
      <c r="I8" s="15">
        <v>5</v>
      </c>
      <c r="J8" s="63"/>
      <c r="K8" s="63"/>
      <c r="L8" s="15"/>
      <c r="M8" s="15"/>
      <c r="N8" s="15"/>
      <c r="O8" s="15"/>
    </row>
    <row r="9" spans="1:17" x14ac:dyDescent="0.2">
      <c r="A9" s="83" t="s">
        <v>1098</v>
      </c>
      <c r="B9" s="80"/>
      <c r="E9" s="80"/>
      <c r="F9" t="s">
        <v>2168</v>
      </c>
      <c r="G9" s="15">
        <v>65</v>
      </c>
      <c r="H9" s="15">
        <v>29</v>
      </c>
      <c r="I9" s="15">
        <v>7</v>
      </c>
      <c r="J9" s="63"/>
      <c r="K9" s="63"/>
      <c r="L9" s="15"/>
      <c r="M9" s="15"/>
      <c r="N9" s="15"/>
      <c r="O9" s="15"/>
    </row>
    <row r="10" spans="1:17" x14ac:dyDescent="0.2">
      <c r="A10" t="s">
        <v>1100</v>
      </c>
      <c r="B10" t="s">
        <v>1300</v>
      </c>
      <c r="E10" s="80"/>
      <c r="F10" t="s">
        <v>2169</v>
      </c>
      <c r="G10" s="15">
        <v>70</v>
      </c>
      <c r="H10">
        <v>26</v>
      </c>
      <c r="I10">
        <v>4</v>
      </c>
      <c r="J10" s="64"/>
      <c r="K10" s="64"/>
    </row>
    <row r="11" spans="1:17" x14ac:dyDescent="0.2">
      <c r="A11" t="s">
        <v>1102</v>
      </c>
      <c r="B11" t="s">
        <v>2181</v>
      </c>
      <c r="E11" s="80"/>
      <c r="G11" s="63"/>
      <c r="H11" s="63"/>
      <c r="I11" s="63"/>
      <c r="J11" s="65"/>
      <c r="K11" s="65"/>
      <c r="L11" s="17"/>
      <c r="M11" s="17"/>
      <c r="N11" s="17"/>
    </row>
    <row r="12" spans="1:17" x14ac:dyDescent="0.2">
      <c r="A12" t="s">
        <v>1104</v>
      </c>
      <c r="B12" t="s">
        <v>2164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C01-000000000000}">
      <formula1>"True,False"</formula1>
    </dataValidation>
    <dataValidation type="list" allowBlank="1" showInputMessage="1" showErrorMessage="1" sqref="B2" xr:uid="{00000000-0002-0000-0C01-000001000000}">
      <formula1>"Table,Figure,Both"</formula1>
    </dataValidation>
    <dataValidation type="list" allowBlank="1" showInputMessage="1" showErrorMessage="1" sqref="B10" xr:uid="{00000000-0002-0000-0C01-000002000000}">
      <formula1>"Line,Clustered Bar,Stacked Bar,Bar,Horizontal Stacked Bar"</formula1>
    </dataValidation>
  </dataValidations>
  <pageMargins left="0.75" right="0.75" top="1" bottom="1" header="0.5" footer="0.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Q57"/>
  <sheetViews>
    <sheetView workbookViewId="0">
      <selection activeCell="F7" sqref="F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934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tbl-siena-had-a-child</v>
      </c>
    </row>
    <row r="4" spans="1:17" x14ac:dyDescent="0.2">
      <c r="A4" s="16" t="s">
        <v>7</v>
      </c>
      <c r="B4" t="str">
        <f>IF($B$1="","",_xlfn.XLOOKUP($B$1,Master!$F$2:$F$321,Master!$H$2:$H$321,""))</f>
        <v>fig-siena-had-a-child</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2251</v>
      </c>
    </row>
    <row r="6" spans="1:17" ht="15" customHeight="1" x14ac:dyDescent="0.2">
      <c r="A6" t="s">
        <v>1088</v>
      </c>
      <c r="B6" t="b">
        <v>0</v>
      </c>
      <c r="E6" s="80"/>
      <c r="F6">
        <v>2024</v>
      </c>
      <c r="G6" s="15">
        <v>26</v>
      </c>
      <c r="H6" s="15">
        <v>73</v>
      </c>
      <c r="I6" s="15">
        <v>1</v>
      </c>
      <c r="J6" s="63"/>
      <c r="K6" s="63"/>
      <c r="L6" s="15"/>
      <c r="M6" s="15"/>
      <c r="N6" s="15"/>
      <c r="O6" s="15"/>
    </row>
    <row r="7" spans="1:17" ht="15.75" customHeight="1" x14ac:dyDescent="0.2">
      <c r="E7" s="80"/>
      <c r="F7">
        <v>2024</v>
      </c>
      <c r="G7" s="15">
        <v>23</v>
      </c>
      <c r="H7" s="15">
        <v>77</v>
      </c>
      <c r="I7" s="15"/>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0D01-000000000000}">
      <formula1>"True,False"</formula1>
    </dataValidation>
    <dataValidation type="list" allowBlank="1" showInputMessage="1" showErrorMessage="1" sqref="B2" xr:uid="{00000000-0002-0000-0D01-000001000000}">
      <formula1>"Table,Figure,Both"</formula1>
    </dataValidation>
    <dataValidation type="list" allowBlank="1" showInputMessage="1" showErrorMessage="1" sqref="B10" xr:uid="{00000000-0002-0000-0D01-000002000000}">
      <formula1>"Line,Clustered Bar,Stacked Bar,Bar,Horizontal Stacked Bar"</formula1>
    </dataValidation>
  </dataValidations>
  <pageMargins left="0.75" right="0.75" top="1" bottom="1" header="0.5" footer="0.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Q57"/>
  <sheetViews>
    <sheetView workbookViewId="0">
      <selection activeCell="R21" sqref="R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937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tbl-siena-bf-any-child</v>
      </c>
    </row>
    <row r="4" spans="1:17" x14ac:dyDescent="0.2">
      <c r="A4" s="16" t="s">
        <v>7</v>
      </c>
      <c r="B4" t="str">
        <f>IF($B$1="","",_xlfn.XLOOKUP($B$1,Master!$F$2:$F$321,Master!$H$2:$H$321,""))</f>
        <v>fig-siena-bf-any-child</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t="s">
        <v>2252</v>
      </c>
      <c r="H5" t="s">
        <v>2253</v>
      </c>
      <c r="I5" t="s">
        <v>2254</v>
      </c>
      <c r="J5" t="s">
        <v>2251</v>
      </c>
    </row>
    <row r="6" spans="1:17" ht="15" customHeight="1" x14ac:dyDescent="0.2">
      <c r="A6" t="s">
        <v>1088</v>
      </c>
      <c r="B6" t="b">
        <v>0</v>
      </c>
      <c r="E6" s="80"/>
      <c r="F6">
        <v>2024</v>
      </c>
      <c r="G6" s="15">
        <v>76</v>
      </c>
      <c r="H6" s="15">
        <v>14</v>
      </c>
      <c r="I6" s="15">
        <v>10</v>
      </c>
      <c r="J6" s="15">
        <v>1</v>
      </c>
      <c r="K6" s="63"/>
      <c r="L6" s="15"/>
      <c r="M6" s="15"/>
      <c r="N6" s="15"/>
      <c r="O6" s="15"/>
    </row>
    <row r="7" spans="1:17" ht="15.75" customHeight="1" x14ac:dyDescent="0.2">
      <c r="E7" s="80"/>
      <c r="F7">
        <v>2023</v>
      </c>
      <c r="G7" s="15">
        <v>76</v>
      </c>
      <c r="H7" s="15">
        <v>8</v>
      </c>
      <c r="I7" s="15">
        <v>16</v>
      </c>
      <c r="J7" s="15"/>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0E01-000000000000}">
      <formula1>"Line,Clustered Bar,Stacked Bar,Bar,Horizontal Stacked Bar"</formula1>
    </dataValidation>
    <dataValidation type="list" allowBlank="1" showInputMessage="1" showErrorMessage="1" sqref="B2" xr:uid="{00000000-0002-0000-0E01-000001000000}">
      <formula1>"Table,Figure,Both"</formula1>
    </dataValidation>
    <dataValidation type="list" allowBlank="1" showInputMessage="1" showErrorMessage="1" sqref="B6 B15:B16" xr:uid="{00000000-0002-0000-0E01-000002000000}">
      <formula1>"True,False"</formula1>
    </dataValidation>
  </dataValidations>
  <pageMargins left="0.75" right="0.75" top="1" bottom="1" header="0.5" footer="0.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Q57"/>
  <sheetViews>
    <sheetView workbookViewId="0">
      <selection activeCell="F23" sqref="F2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940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tbl-siena-bf-duration</v>
      </c>
    </row>
    <row r="4" spans="1:17" x14ac:dyDescent="0.2">
      <c r="A4" s="16" t="s">
        <v>7</v>
      </c>
      <c r="B4" t="str">
        <f>IF($B$1="","",_xlfn.XLOOKUP($B$1,Master!$F$2:$F$321,Master!$H$2:$H$321,""))</f>
        <v>fig-siena-bf-duration</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2255</v>
      </c>
      <c r="H5" t="s">
        <v>2256</v>
      </c>
      <c r="I5" t="s">
        <v>2257</v>
      </c>
      <c r="J5" t="s">
        <v>2258</v>
      </c>
      <c r="K5" t="s">
        <v>2259</v>
      </c>
      <c r="L5" t="s">
        <v>2179</v>
      </c>
    </row>
    <row r="6" spans="1:17" ht="15" customHeight="1" x14ac:dyDescent="0.2">
      <c r="A6" t="s">
        <v>1088</v>
      </c>
      <c r="B6" t="b">
        <v>0</v>
      </c>
      <c r="E6" s="80"/>
      <c r="F6">
        <v>2024</v>
      </c>
      <c r="G6" s="15">
        <v>3</v>
      </c>
      <c r="H6" s="15">
        <v>11</v>
      </c>
      <c r="I6" s="15">
        <v>13</v>
      </c>
      <c r="J6" s="15">
        <v>29</v>
      </c>
      <c r="K6" s="15">
        <v>42</v>
      </c>
      <c r="L6" s="15">
        <v>2</v>
      </c>
      <c r="M6" s="15"/>
      <c r="N6" s="15"/>
      <c r="O6" s="15"/>
    </row>
    <row r="7" spans="1:17" ht="15.75" customHeight="1" x14ac:dyDescent="0.2">
      <c r="E7" s="80"/>
      <c r="F7">
        <v>2023</v>
      </c>
      <c r="G7" s="15">
        <v>5</v>
      </c>
      <c r="H7" s="15">
        <v>12</v>
      </c>
      <c r="I7" s="15">
        <v>14</v>
      </c>
      <c r="J7" s="15">
        <v>20</v>
      </c>
      <c r="K7" s="15">
        <v>48</v>
      </c>
      <c r="L7" s="15">
        <v>1</v>
      </c>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0F01-000000000000}">
      <formula1>"Line,Clustered Bar,Stacked Bar,Bar,Horizontal Stacked Bar"</formula1>
    </dataValidation>
    <dataValidation type="list" allowBlank="1" showInputMessage="1" showErrorMessage="1" sqref="B2" xr:uid="{00000000-0002-0000-0F01-000001000000}">
      <formula1>"Table,Figure,Both"</formula1>
    </dataValidation>
    <dataValidation type="list" allowBlank="1" showInputMessage="1" showErrorMessage="1" sqref="B6 B15:B16" xr:uid="{00000000-0002-0000-0F01-000002000000}">
      <formula1>"True,False"</formula1>
    </dataValidation>
  </dataValidations>
  <pageMargins left="0.75" right="0.75" top="1" bottom="1" header="0.5" footer="0.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943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tbl-siena-help-basic-needs</v>
      </c>
    </row>
    <row r="4" spans="1:17" x14ac:dyDescent="0.2">
      <c r="A4" s="16" t="s">
        <v>7</v>
      </c>
      <c r="B4" t="str">
        <f>IF($B$1="","",_xlfn.XLOOKUP($B$1,Master!$F$2:$F$321,Master!$H$2:$H$321,""))</f>
        <v>fig-siena-help-basic-needs</v>
      </c>
      <c r="E4" s="8"/>
      <c r="F4" s="10" t="s">
        <v>1009</v>
      </c>
      <c r="G4" s="10" t="s">
        <v>979</v>
      </c>
      <c r="H4" s="10"/>
      <c r="I4" s="10"/>
      <c r="J4" s="10"/>
      <c r="K4" s="10"/>
      <c r="L4" s="10"/>
      <c r="M4" s="10"/>
      <c r="N4" s="10"/>
      <c r="O4" s="10"/>
      <c r="P4" s="10"/>
      <c r="Q4" s="10"/>
    </row>
    <row r="5" spans="1:17" x14ac:dyDescent="0.2">
      <c r="A5" s="83" t="s">
        <v>1081</v>
      </c>
      <c r="B5" s="80"/>
      <c r="E5" s="82" t="s">
        <v>1082</v>
      </c>
      <c r="F5" t="s">
        <v>1121</v>
      </c>
      <c r="G5" t="s">
        <v>2151</v>
      </c>
    </row>
    <row r="6" spans="1:17" ht="15" customHeight="1" x14ac:dyDescent="0.2">
      <c r="A6" t="s">
        <v>1088</v>
      </c>
      <c r="B6" t="b">
        <v>0</v>
      </c>
      <c r="E6" s="80"/>
      <c r="F6" t="s">
        <v>2260</v>
      </c>
      <c r="G6" s="15">
        <v>10</v>
      </c>
      <c r="H6" s="63"/>
      <c r="I6" s="63"/>
      <c r="J6" s="63"/>
      <c r="K6" s="63"/>
      <c r="L6" s="15"/>
      <c r="M6" s="15"/>
      <c r="N6" s="15"/>
      <c r="O6" s="15"/>
    </row>
    <row r="7" spans="1:17" ht="15.75" customHeight="1" x14ac:dyDescent="0.2">
      <c r="E7" s="80"/>
      <c r="F7" t="s">
        <v>2261</v>
      </c>
      <c r="G7" s="15">
        <v>3</v>
      </c>
      <c r="H7" s="63"/>
      <c r="I7" s="63"/>
      <c r="J7" s="63"/>
      <c r="K7" s="63"/>
      <c r="L7" s="15"/>
      <c r="M7" s="15"/>
      <c r="N7" s="15"/>
      <c r="O7" s="15"/>
    </row>
    <row r="8" spans="1:17" x14ac:dyDescent="0.2">
      <c r="E8" s="80"/>
      <c r="F8" t="s">
        <v>2262</v>
      </c>
      <c r="G8" s="15">
        <v>26</v>
      </c>
      <c r="H8" s="63"/>
      <c r="I8" s="63"/>
      <c r="J8" s="63"/>
      <c r="K8" s="63"/>
      <c r="L8" s="15"/>
      <c r="M8" s="15"/>
      <c r="N8" s="15"/>
      <c r="O8" s="15"/>
    </row>
    <row r="9" spans="1:17" x14ac:dyDescent="0.2">
      <c r="A9" s="83" t="s">
        <v>1098</v>
      </c>
      <c r="B9" s="80"/>
      <c r="E9" s="80"/>
      <c r="F9" t="s">
        <v>2263</v>
      </c>
      <c r="G9" s="15">
        <v>2</v>
      </c>
      <c r="H9" s="63"/>
      <c r="I9" s="63"/>
      <c r="J9" s="63"/>
      <c r="K9" s="63"/>
      <c r="L9" s="15"/>
      <c r="M9" s="15"/>
      <c r="N9" s="15"/>
      <c r="O9" s="15"/>
    </row>
    <row r="10" spans="1:17" x14ac:dyDescent="0.2">
      <c r="A10" t="s">
        <v>1100</v>
      </c>
      <c r="E10" s="80"/>
      <c r="F10" t="s">
        <v>2264</v>
      </c>
      <c r="G10" s="15">
        <v>10</v>
      </c>
      <c r="H10" s="64"/>
      <c r="I10" s="64"/>
      <c r="J10" s="64"/>
      <c r="K10" s="64"/>
    </row>
    <row r="11" spans="1:17" x14ac:dyDescent="0.2">
      <c r="A11" t="s">
        <v>1102</v>
      </c>
      <c r="E11" s="80"/>
      <c r="F11">
        <v>211</v>
      </c>
      <c r="G11" s="15">
        <v>0</v>
      </c>
      <c r="H11" s="63"/>
      <c r="I11" s="63"/>
      <c r="J11" s="65"/>
      <c r="K11" s="65"/>
      <c r="L11" s="17"/>
      <c r="M11" s="17"/>
      <c r="N11" s="17"/>
    </row>
    <row r="12" spans="1:17" x14ac:dyDescent="0.2">
      <c r="A12" t="s">
        <v>1104</v>
      </c>
      <c r="E12" s="80"/>
      <c r="F12" s="21">
        <v>311</v>
      </c>
      <c r="G12" s="17">
        <v>2</v>
      </c>
      <c r="H12" s="65"/>
      <c r="I12" s="63"/>
      <c r="J12" s="63"/>
      <c r="K12" s="63"/>
      <c r="L12" s="15"/>
    </row>
    <row r="13" spans="1:17" x14ac:dyDescent="0.2">
      <c r="A13" t="s">
        <v>1108</v>
      </c>
      <c r="E13" s="80"/>
      <c r="F13" t="s">
        <v>2265</v>
      </c>
      <c r="G13">
        <v>28</v>
      </c>
      <c r="H13" s="64"/>
      <c r="I13" s="64"/>
      <c r="J13" s="64"/>
      <c r="K13" s="64"/>
    </row>
    <row r="14" spans="1:17" x14ac:dyDescent="0.2">
      <c r="A14" t="s">
        <v>1112</v>
      </c>
      <c r="E14" s="80"/>
      <c r="F14" t="s">
        <v>1015</v>
      </c>
      <c r="G14">
        <v>1</v>
      </c>
      <c r="H14" s="64"/>
      <c r="I14" s="64"/>
      <c r="J14" s="64"/>
      <c r="K14" s="64"/>
    </row>
    <row r="15" spans="1:17" x14ac:dyDescent="0.2">
      <c r="A15" t="s">
        <v>1114</v>
      </c>
      <c r="E15" s="80"/>
      <c r="F15" t="s">
        <v>2266</v>
      </c>
      <c r="G15">
        <v>19</v>
      </c>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001-000000000000}">
      <formula1>"Line,Clustered Bar,Stacked Bar,Bar,Horizontal Stacked Bar"</formula1>
    </dataValidation>
    <dataValidation type="list" allowBlank="1" showInputMessage="1" showErrorMessage="1" sqref="B2" xr:uid="{00000000-0002-0000-1001-000001000000}">
      <formula1>"Table,Figure,Both"</formula1>
    </dataValidation>
    <dataValidation type="list" allowBlank="1" showInputMessage="1" showErrorMessage="1" sqref="B6 B15:B16" xr:uid="{00000000-0002-0000-1001-000002000000}">
      <formula1>"True,False"</formula1>
    </dataValidation>
  </dataValidations>
  <pageMargins left="0.75" right="0.75" top="1" bottom="1" header="0.5" footer="0.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Q57"/>
  <sheetViews>
    <sheetView workbookViewId="0">
      <selection activeCell="O12" sqref="O12"/>
    </sheetView>
  </sheetViews>
  <sheetFormatPr baseColWidth="10" defaultColWidth="8.6640625" defaultRowHeight="15" x14ac:dyDescent="0.2"/>
  <cols>
    <col min="1" max="1" width="20" bestFit="1" customWidth="1"/>
    <col min="2" max="2" width="22.1640625" bestFit="1" customWidth="1"/>
    <col min="5" max="5" width="6.6640625" customWidth="1"/>
    <col min="6" max="6" width="49.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946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tbl-siena-help-child-behavior-develop</v>
      </c>
    </row>
    <row r="4" spans="1:17" x14ac:dyDescent="0.2">
      <c r="A4" s="16" t="s">
        <v>7</v>
      </c>
      <c r="B4" t="str">
        <f>IF($B$1="","",_xlfn.XLOOKUP($B$1,Master!$F$2:$F$321,Master!$H$2:$H$321,""))</f>
        <v>fig-siena-help-child-behavior-develop</v>
      </c>
      <c r="E4" s="8"/>
      <c r="F4" s="10" t="s">
        <v>1009</v>
      </c>
      <c r="G4" s="10" t="s">
        <v>979</v>
      </c>
      <c r="H4" s="10"/>
      <c r="I4" s="10"/>
      <c r="J4" s="10"/>
      <c r="K4" s="10"/>
      <c r="L4" s="10"/>
      <c r="M4" s="10"/>
      <c r="N4" s="10"/>
      <c r="O4" s="10"/>
      <c r="P4" s="10"/>
      <c r="Q4" s="10"/>
    </row>
    <row r="5" spans="1:17" x14ac:dyDescent="0.2">
      <c r="A5" s="83" t="s">
        <v>1081</v>
      </c>
      <c r="B5" s="80"/>
      <c r="E5" s="82" t="s">
        <v>1082</v>
      </c>
      <c r="F5" t="s">
        <v>1121</v>
      </c>
      <c r="G5" s="15" t="s">
        <v>1089</v>
      </c>
    </row>
    <row r="6" spans="1:17" ht="15" customHeight="1" x14ac:dyDescent="0.2">
      <c r="A6" t="s">
        <v>1088</v>
      </c>
      <c r="B6" t="b">
        <v>0</v>
      </c>
      <c r="E6" s="80"/>
      <c r="F6" t="s">
        <v>2260</v>
      </c>
      <c r="G6" s="15">
        <v>68</v>
      </c>
      <c r="H6" s="63"/>
      <c r="I6" s="63"/>
      <c r="J6" s="63"/>
      <c r="K6" s="63"/>
      <c r="L6" s="15"/>
      <c r="M6" s="15"/>
      <c r="N6" s="15"/>
      <c r="O6" s="15"/>
    </row>
    <row r="7" spans="1:17" ht="15.75" customHeight="1" x14ac:dyDescent="0.2">
      <c r="E7" s="80"/>
      <c r="F7" t="s">
        <v>2261</v>
      </c>
      <c r="G7" s="15">
        <v>2</v>
      </c>
      <c r="H7" s="63"/>
      <c r="I7" s="63"/>
      <c r="J7" s="63"/>
      <c r="K7" s="63"/>
      <c r="L7" s="15"/>
      <c r="M7" s="15"/>
      <c r="N7" s="15"/>
      <c r="O7" s="15"/>
    </row>
    <row r="8" spans="1:17" x14ac:dyDescent="0.2">
      <c r="E8" s="80"/>
      <c r="F8" t="s">
        <v>2262</v>
      </c>
      <c r="G8" s="15">
        <v>2</v>
      </c>
      <c r="H8" s="63"/>
      <c r="I8" s="63"/>
      <c r="J8" s="63"/>
      <c r="K8" s="63"/>
      <c r="L8" s="15"/>
      <c r="M8" s="15"/>
      <c r="N8" s="15"/>
      <c r="O8" s="15"/>
    </row>
    <row r="9" spans="1:17" x14ac:dyDescent="0.2">
      <c r="A9" s="83" t="s">
        <v>1098</v>
      </c>
      <c r="B9" s="80"/>
      <c r="E9" s="80"/>
      <c r="F9" t="s">
        <v>2263</v>
      </c>
      <c r="G9" s="15">
        <v>12</v>
      </c>
      <c r="H9" s="63"/>
      <c r="I9" s="63"/>
      <c r="J9" s="63"/>
      <c r="K9" s="63"/>
      <c r="L9" s="15"/>
      <c r="M9" s="15"/>
      <c r="N9" s="15"/>
      <c r="O9" s="15"/>
    </row>
    <row r="10" spans="1:17" x14ac:dyDescent="0.2">
      <c r="A10" t="s">
        <v>1100</v>
      </c>
      <c r="E10" s="80"/>
      <c r="F10" t="s">
        <v>2264</v>
      </c>
      <c r="G10" s="15">
        <v>3</v>
      </c>
      <c r="H10" s="64"/>
      <c r="I10" s="64"/>
      <c r="J10" s="64"/>
      <c r="K10" s="64"/>
    </row>
    <row r="11" spans="1:17" x14ac:dyDescent="0.2">
      <c r="A11" t="s">
        <v>1102</v>
      </c>
      <c r="E11" s="80"/>
      <c r="F11">
        <v>211</v>
      </c>
      <c r="G11" s="15">
        <v>0</v>
      </c>
      <c r="H11" s="63"/>
      <c r="I11" s="63"/>
      <c r="J11" s="65"/>
      <c r="K11" s="65"/>
      <c r="L11" s="17"/>
      <c r="M11" s="17"/>
      <c r="N11" s="17"/>
    </row>
    <row r="12" spans="1:17" x14ac:dyDescent="0.2">
      <c r="A12" t="s">
        <v>1104</v>
      </c>
      <c r="E12" s="80"/>
      <c r="F12" s="21">
        <v>311</v>
      </c>
      <c r="G12" s="17">
        <v>0</v>
      </c>
      <c r="H12" s="65"/>
      <c r="I12" s="63"/>
      <c r="J12" s="63"/>
      <c r="K12" s="63"/>
      <c r="L12" s="15"/>
    </row>
    <row r="13" spans="1:17" x14ac:dyDescent="0.2">
      <c r="A13" t="s">
        <v>1108</v>
      </c>
      <c r="E13" s="80"/>
      <c r="F13" t="s">
        <v>1015</v>
      </c>
      <c r="G13" s="15">
        <v>5</v>
      </c>
      <c r="H13" s="64"/>
      <c r="I13" s="64"/>
      <c r="J13" s="64"/>
      <c r="K13" s="64"/>
    </row>
    <row r="14" spans="1:17" x14ac:dyDescent="0.2">
      <c r="A14" t="s">
        <v>1112</v>
      </c>
      <c r="E14" s="80"/>
      <c r="F14" t="s">
        <v>2266</v>
      </c>
      <c r="G14" s="15">
        <v>7</v>
      </c>
      <c r="H14" s="64"/>
      <c r="I14" s="64"/>
      <c r="J14" s="64"/>
      <c r="K14" s="64"/>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101-000000000000}">
      <formula1>"Line,Clustered Bar,Stacked Bar,Bar,Horizontal Stacked Bar"</formula1>
    </dataValidation>
    <dataValidation type="list" allowBlank="1" showInputMessage="1" showErrorMessage="1" sqref="B2" xr:uid="{00000000-0002-0000-1101-000001000000}">
      <formula1>"Table,Figure,Both"</formula1>
    </dataValidation>
    <dataValidation type="list" allowBlank="1" showInputMessage="1" showErrorMessage="1" sqref="B6 B15:B16" xr:uid="{00000000-0002-0000-1101-000002000000}">
      <formula1>"True,False"</formula1>
    </dataValidation>
  </dataValidations>
  <pageMargins left="0.75" right="0.75" top="1" bottom="1" header="0.5" footer="0.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Q57"/>
  <sheetViews>
    <sheetView workbookViewId="0">
      <selection activeCell="B16" sqref="B16"/>
    </sheetView>
  </sheetViews>
  <sheetFormatPr baseColWidth="10" defaultColWidth="8.6640625" defaultRowHeight="15" x14ac:dyDescent="0.2"/>
  <cols>
    <col min="1" max="1" width="20" bestFit="1" customWidth="1"/>
    <col min="2" max="2" width="22.1640625" bestFit="1" customWidth="1"/>
    <col min="5" max="5" width="6.6640625" customWidth="1"/>
    <col min="6" max="6" width="44.5" bestFit="1" customWidth="1"/>
    <col min="7" max="7" width="150.33203125" bestFit="1" customWidth="1"/>
    <col min="8" max="8" width="144.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961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tbl-ebi-long-term-objective</v>
      </c>
    </row>
    <row r="4" spans="1:17" x14ac:dyDescent="0.2">
      <c r="A4" s="16" t="s">
        <v>7</v>
      </c>
      <c r="B4" t="str">
        <f>IF($B$1="","",_xlfn.XLOOKUP($B$1,Master!$F$2:$F$321,Master!$H$2:$H$321,""))</f>
        <v>fig-ebi-long-term-objective</v>
      </c>
      <c r="E4" s="8"/>
      <c r="F4" s="10" t="s">
        <v>1009</v>
      </c>
      <c r="G4" s="10" t="s">
        <v>1009</v>
      </c>
      <c r="H4" s="10" t="s">
        <v>1009</v>
      </c>
      <c r="I4" s="10"/>
      <c r="J4" s="10"/>
      <c r="K4" s="10"/>
      <c r="L4" s="10"/>
      <c r="M4" s="10"/>
      <c r="N4" s="10"/>
      <c r="O4" s="10"/>
      <c r="P4" s="10"/>
      <c r="Q4" s="10"/>
    </row>
    <row r="5" spans="1:17" x14ac:dyDescent="0.2">
      <c r="A5" s="83" t="s">
        <v>1081</v>
      </c>
      <c r="B5" s="80"/>
      <c r="E5" s="82" t="s">
        <v>1082</v>
      </c>
      <c r="F5" s="16" t="s">
        <v>2267</v>
      </c>
      <c r="G5" s="16" t="s">
        <v>2268</v>
      </c>
      <c r="H5" s="16" t="s">
        <v>2269</v>
      </c>
    </row>
    <row r="6" spans="1:17" ht="15" customHeight="1" x14ac:dyDescent="0.2">
      <c r="A6" t="s">
        <v>1088</v>
      </c>
      <c r="B6" t="b">
        <v>1</v>
      </c>
      <c r="E6" s="80"/>
      <c r="F6" s="90" t="s">
        <v>2270</v>
      </c>
      <c r="G6" s="97" t="s">
        <v>2271</v>
      </c>
      <c r="H6" s="97" t="s">
        <v>2272</v>
      </c>
      <c r="I6" s="63"/>
      <c r="J6" s="63"/>
      <c r="K6" s="63"/>
      <c r="L6" s="15"/>
      <c r="M6" s="15"/>
      <c r="N6" s="15"/>
      <c r="O6" s="15"/>
    </row>
    <row r="7" spans="1:17" ht="15.75" customHeight="1" x14ac:dyDescent="0.2">
      <c r="E7" s="80"/>
      <c r="F7" s="80"/>
      <c r="G7" s="80"/>
      <c r="H7" s="80"/>
      <c r="I7" s="63"/>
      <c r="J7" s="63"/>
      <c r="K7" s="63"/>
      <c r="L7" s="15"/>
      <c r="M7" s="15"/>
      <c r="N7" s="15"/>
      <c r="O7" s="15"/>
    </row>
    <row r="8" spans="1:17" x14ac:dyDescent="0.2">
      <c r="E8" s="80"/>
      <c r="F8" s="80"/>
      <c r="G8" s="80"/>
      <c r="H8" s="80"/>
      <c r="I8" s="63"/>
      <c r="J8" s="63"/>
      <c r="K8" s="63"/>
      <c r="L8" s="15"/>
      <c r="M8" s="15"/>
      <c r="N8" s="15"/>
      <c r="O8" s="15"/>
    </row>
    <row r="9" spans="1:17" ht="105" customHeight="1" x14ac:dyDescent="0.2">
      <c r="A9" s="83" t="s">
        <v>1098</v>
      </c>
      <c r="B9" s="80"/>
      <c r="E9" s="80"/>
      <c r="F9" s="90" t="s">
        <v>2273</v>
      </c>
      <c r="G9" s="97" t="s">
        <v>2274</v>
      </c>
      <c r="H9" s="96" t="s">
        <v>2275</v>
      </c>
      <c r="I9" s="63"/>
      <c r="J9" s="63"/>
      <c r="K9" s="63"/>
      <c r="L9" s="15"/>
      <c r="M9" s="15"/>
      <c r="N9" s="15"/>
      <c r="O9" s="15"/>
    </row>
    <row r="10" spans="1:17" x14ac:dyDescent="0.2">
      <c r="A10" t="s">
        <v>1100</v>
      </c>
      <c r="E10" s="80"/>
      <c r="F10" s="80"/>
      <c r="G10" s="80"/>
      <c r="H10" s="80"/>
      <c r="I10" s="64"/>
      <c r="J10" s="64"/>
      <c r="K10" s="64"/>
    </row>
    <row r="11" spans="1:17" x14ac:dyDescent="0.2">
      <c r="A11" t="s">
        <v>1102</v>
      </c>
      <c r="E11" s="80"/>
      <c r="F11" s="80"/>
      <c r="G11" s="80"/>
      <c r="H11" s="80"/>
      <c r="I11" s="63"/>
      <c r="J11" s="65"/>
      <c r="K11" s="65"/>
      <c r="L11" s="17"/>
      <c r="M11" s="17"/>
      <c r="N11" s="17"/>
    </row>
    <row r="12" spans="1:17" ht="60" customHeight="1" x14ac:dyDescent="0.2">
      <c r="A12" t="s">
        <v>1104</v>
      </c>
      <c r="E12" s="80"/>
      <c r="F12" s="66" t="s">
        <v>2276</v>
      </c>
      <c r="G12" s="67" t="s">
        <v>2277</v>
      </c>
      <c r="H12" s="65" t="s">
        <v>2278</v>
      </c>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13">
    <mergeCell ref="H9:H11"/>
    <mergeCell ref="B1:O1"/>
    <mergeCell ref="A21:B21"/>
    <mergeCell ref="F9:F11"/>
    <mergeCell ref="G9:G11"/>
    <mergeCell ref="E5:E57"/>
    <mergeCell ref="H6:H8"/>
    <mergeCell ref="A9:B9"/>
    <mergeCell ref="A5:B5"/>
    <mergeCell ref="G6:G8"/>
    <mergeCell ref="A18:B18"/>
    <mergeCell ref="A27:B27"/>
    <mergeCell ref="F6:F8"/>
  </mergeCells>
  <dataValidations count="3">
    <dataValidation type="list" allowBlank="1" showInputMessage="1" showErrorMessage="1" sqref="B10" xr:uid="{00000000-0002-0000-1201-000000000000}">
      <formula1>"Line,Clustered Bar,Stacked Bar,Bar,Horizontal Stacked Bar"</formula1>
    </dataValidation>
    <dataValidation type="list" allowBlank="1" showInputMessage="1" showErrorMessage="1" sqref="B2" xr:uid="{00000000-0002-0000-1201-000001000000}">
      <formula1>"Table,Figure,Both"</formula1>
    </dataValidation>
    <dataValidation type="list" allowBlank="1" showInputMessage="1" showErrorMessage="1" sqref="B6 B15:B16" xr:uid="{00000000-0002-0000-1201-000002000000}">
      <formula1>"True,False"</formula1>
    </dataValidation>
  </dataValidations>
  <pageMargins left="0.75" right="0.75" top="1" bottom="1" header="0.5" footer="0.5"/>
  <pageSetup orientation="portrait"/>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71.5" bestFit="1" customWidth="1"/>
    <col min="7" max="7" width="151.6640625" bestFit="1" customWidth="1"/>
    <col min="8" max="8" width="4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964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tbl-short-term-process</v>
      </c>
    </row>
    <row r="4" spans="1:17" x14ac:dyDescent="0.2">
      <c r="A4" s="16" t="s">
        <v>7</v>
      </c>
      <c r="B4" t="str">
        <f>IF($B$1="","",_xlfn.XLOOKUP($B$1,Master!$F$2:$F$321,Master!$H$2:$H$321,""))</f>
        <v>fig-short-term-process</v>
      </c>
      <c r="E4" s="8"/>
      <c r="F4" s="10" t="s">
        <v>1009</v>
      </c>
      <c r="G4" s="10" t="s">
        <v>1009</v>
      </c>
      <c r="H4" s="10" t="s">
        <v>1009</v>
      </c>
      <c r="I4" s="10"/>
      <c r="J4" s="10"/>
      <c r="K4" s="10"/>
      <c r="L4" s="10"/>
      <c r="M4" s="10"/>
      <c r="N4" s="10"/>
      <c r="O4" s="10"/>
      <c r="P4" s="10"/>
      <c r="Q4" s="10"/>
    </row>
    <row r="5" spans="1:17" x14ac:dyDescent="0.2">
      <c r="A5" s="83" t="s">
        <v>1081</v>
      </c>
      <c r="B5" s="80"/>
      <c r="E5" s="82" t="s">
        <v>1082</v>
      </c>
      <c r="F5" s="16" t="s">
        <v>2267</v>
      </c>
      <c r="G5" s="16" t="s">
        <v>2279</v>
      </c>
      <c r="H5" s="16" t="s">
        <v>2280</v>
      </c>
    </row>
    <row r="6" spans="1:17" ht="15" customHeight="1" x14ac:dyDescent="0.2">
      <c r="A6" t="s">
        <v>1088</v>
      </c>
      <c r="B6" t="b">
        <v>1</v>
      </c>
      <c r="E6" s="80"/>
      <c r="F6" s="85" t="s">
        <v>2270</v>
      </c>
      <c r="G6" s="64" t="s">
        <v>2281</v>
      </c>
      <c r="H6" s="68" t="s">
        <v>2282</v>
      </c>
      <c r="I6" s="63"/>
      <c r="J6" s="63"/>
      <c r="K6" s="63"/>
      <c r="L6" s="15"/>
      <c r="M6" s="15"/>
      <c r="N6" s="15"/>
      <c r="O6" s="15"/>
    </row>
    <row r="7" spans="1:17" ht="15.75" customHeight="1" x14ac:dyDescent="0.2">
      <c r="E7" s="80"/>
      <c r="F7" s="80"/>
      <c r="G7" s="64" t="s">
        <v>2283</v>
      </c>
      <c r="H7" s="68" t="s">
        <v>2284</v>
      </c>
      <c r="I7" s="63"/>
      <c r="J7" s="63"/>
      <c r="K7" s="63"/>
      <c r="L7" s="15"/>
      <c r="M7" s="15"/>
      <c r="N7" s="15"/>
      <c r="O7" s="15"/>
    </row>
    <row r="8" spans="1:17" x14ac:dyDescent="0.2">
      <c r="E8" s="80"/>
      <c r="F8" s="80"/>
      <c r="G8" s="64" t="s">
        <v>2285</v>
      </c>
      <c r="H8" s="68" t="s">
        <v>2286</v>
      </c>
      <c r="I8" s="63"/>
      <c r="J8" s="63"/>
      <c r="K8" s="63"/>
      <c r="L8" s="15"/>
      <c r="M8" s="15"/>
      <c r="N8" s="15"/>
      <c r="O8" s="15"/>
    </row>
    <row r="9" spans="1:17" x14ac:dyDescent="0.2">
      <c r="A9" s="83" t="s">
        <v>1098</v>
      </c>
      <c r="B9" s="80"/>
      <c r="E9" s="80"/>
      <c r="F9" s="80"/>
      <c r="G9" s="64" t="s">
        <v>2287</v>
      </c>
      <c r="H9" s="68" t="s">
        <v>2288</v>
      </c>
      <c r="I9" s="63"/>
      <c r="J9" s="63"/>
      <c r="K9" s="63"/>
      <c r="L9" s="15"/>
      <c r="M9" s="15"/>
      <c r="N9" s="15"/>
      <c r="O9" s="15"/>
    </row>
    <row r="10" spans="1:17" x14ac:dyDescent="0.2">
      <c r="A10" t="s">
        <v>1100</v>
      </c>
      <c r="E10" s="80"/>
      <c r="F10" s="80"/>
      <c r="G10" s="64" t="s">
        <v>2289</v>
      </c>
      <c r="H10" s="68" t="s">
        <v>2290</v>
      </c>
      <c r="I10" s="64"/>
      <c r="J10" s="64"/>
      <c r="K10" s="64"/>
    </row>
    <row r="11" spans="1:17" x14ac:dyDescent="0.2">
      <c r="A11" t="s">
        <v>1102</v>
      </c>
      <c r="E11" s="80"/>
      <c r="F11" s="80"/>
      <c r="G11" s="64" t="s">
        <v>2291</v>
      </c>
      <c r="H11" s="68" t="s">
        <v>2292</v>
      </c>
      <c r="I11" s="63"/>
      <c r="J11" s="65"/>
      <c r="K11" s="65"/>
      <c r="L11" s="17"/>
      <c r="M11" s="17"/>
      <c r="N11" s="17"/>
    </row>
    <row r="12" spans="1:17" x14ac:dyDescent="0.2">
      <c r="A12" t="s">
        <v>1104</v>
      </c>
      <c r="E12" s="80"/>
      <c r="F12" s="80"/>
      <c r="G12" s="70" t="s">
        <v>2293</v>
      </c>
      <c r="H12" s="69" t="s">
        <v>2294</v>
      </c>
      <c r="I12" s="63"/>
      <c r="J12" s="63"/>
      <c r="K12" s="63"/>
      <c r="L12" s="15"/>
    </row>
    <row r="13" spans="1:17" x14ac:dyDescent="0.2">
      <c r="A13" t="s">
        <v>1108</v>
      </c>
      <c r="E13" s="80"/>
      <c r="F13" s="80"/>
      <c r="G13" s="64" t="s">
        <v>2295</v>
      </c>
      <c r="H13" s="68" t="s">
        <v>2296</v>
      </c>
      <c r="I13" s="64"/>
      <c r="J13" s="64"/>
      <c r="K13" s="64"/>
    </row>
    <row r="14" spans="1:17" x14ac:dyDescent="0.2">
      <c r="A14" t="s">
        <v>1112</v>
      </c>
      <c r="E14" s="80"/>
      <c r="F14" s="80"/>
      <c r="G14" s="64" t="s">
        <v>2297</v>
      </c>
      <c r="H14" s="68" t="s">
        <v>2298</v>
      </c>
      <c r="I14" s="64"/>
      <c r="J14" s="64"/>
      <c r="K14" s="64"/>
    </row>
    <row r="15" spans="1:17" x14ac:dyDescent="0.2">
      <c r="A15" t="s">
        <v>1114</v>
      </c>
      <c r="E15" s="80"/>
      <c r="F15" s="80"/>
      <c r="G15" t="s">
        <v>2299</v>
      </c>
      <c r="H15" s="60" t="s">
        <v>2300</v>
      </c>
    </row>
    <row r="16" spans="1:17" x14ac:dyDescent="0.2">
      <c r="A16" t="s">
        <v>1116</v>
      </c>
      <c r="E16" s="80"/>
      <c r="F16" s="80"/>
      <c r="G16" t="s">
        <v>2301</v>
      </c>
      <c r="H16" s="60" t="s">
        <v>2302</v>
      </c>
    </row>
    <row r="17" spans="1:11" x14ac:dyDescent="0.2">
      <c r="E17" s="80"/>
      <c r="F17" s="90" t="s">
        <v>2273</v>
      </c>
      <c r="G17" t="s">
        <v>2303</v>
      </c>
      <c r="H17" s="60" t="s">
        <v>2304</v>
      </c>
    </row>
    <row r="18" spans="1:11" x14ac:dyDescent="0.2">
      <c r="A18" s="83" t="s">
        <v>1119</v>
      </c>
      <c r="B18" s="80"/>
      <c r="E18" s="80"/>
      <c r="F18" s="80"/>
      <c r="G18" t="s">
        <v>2305</v>
      </c>
      <c r="H18" s="60" t="s">
        <v>2304</v>
      </c>
    </row>
    <row r="19" spans="1:11" x14ac:dyDescent="0.2">
      <c r="A19" t="s">
        <v>1121</v>
      </c>
      <c r="E19" s="80"/>
      <c r="F19" s="80"/>
      <c r="G19" t="s">
        <v>2306</v>
      </c>
      <c r="H19" s="60" t="s">
        <v>2304</v>
      </c>
    </row>
    <row r="20" spans="1:11" x14ac:dyDescent="0.2">
      <c r="E20" s="80"/>
      <c r="F20" s="80"/>
      <c r="G20" t="s">
        <v>2307</v>
      </c>
      <c r="H20" s="60" t="s">
        <v>2308</v>
      </c>
    </row>
    <row r="21" spans="1:11" x14ac:dyDescent="0.2">
      <c r="A21" s="81" t="s">
        <v>1125</v>
      </c>
      <c r="B21" s="80"/>
      <c r="E21" s="80"/>
      <c r="F21" s="80"/>
      <c r="G21" t="s">
        <v>2309</v>
      </c>
      <c r="H21" s="60" t="s">
        <v>2310</v>
      </c>
    </row>
    <row r="22" spans="1:11" x14ac:dyDescent="0.2">
      <c r="A22" t="s">
        <v>1135</v>
      </c>
      <c r="E22" s="80"/>
      <c r="F22" s="90" t="s">
        <v>2311</v>
      </c>
      <c r="G22" t="s">
        <v>2312</v>
      </c>
      <c r="H22" s="60" t="s">
        <v>2284</v>
      </c>
    </row>
    <row r="23" spans="1:11" x14ac:dyDescent="0.2">
      <c r="E23" s="80"/>
      <c r="F23" s="80"/>
      <c r="G23" t="s">
        <v>2313</v>
      </c>
      <c r="H23" s="60" t="s">
        <v>2314</v>
      </c>
    </row>
    <row r="24" spans="1:11" x14ac:dyDescent="0.2">
      <c r="E24" s="80"/>
      <c r="F24" s="80"/>
      <c r="G24" t="s">
        <v>2315</v>
      </c>
      <c r="H24" s="60" t="s">
        <v>2282</v>
      </c>
    </row>
    <row r="25" spans="1:11" x14ac:dyDescent="0.2">
      <c r="E25" s="80"/>
      <c r="F25" s="80"/>
      <c r="G25" t="s">
        <v>2316</v>
      </c>
      <c r="H25" s="60" t="s">
        <v>2317</v>
      </c>
      <c r="K25" t="s">
        <v>1226</v>
      </c>
    </row>
    <row r="26" spans="1:11" x14ac:dyDescent="0.2">
      <c r="E26" s="80"/>
      <c r="F26" s="80"/>
      <c r="G26" t="s">
        <v>2318</v>
      </c>
      <c r="H26" s="60" t="s">
        <v>2319</v>
      </c>
    </row>
    <row r="27" spans="1:11" x14ac:dyDescent="0.2">
      <c r="A27" s="81"/>
      <c r="B27" s="80"/>
      <c r="E27" s="80"/>
      <c r="F27" s="80"/>
      <c r="G27" t="s">
        <v>2320</v>
      </c>
      <c r="H27" s="60" t="s">
        <v>2321</v>
      </c>
    </row>
    <row r="28" spans="1:11" x14ac:dyDescent="0.2">
      <c r="E28" s="80"/>
      <c r="F28" s="80"/>
      <c r="G28" t="s">
        <v>2322</v>
      </c>
      <c r="H28" s="60" t="s">
        <v>2323</v>
      </c>
    </row>
    <row r="29" spans="1:11" x14ac:dyDescent="0.2">
      <c r="E29" s="80"/>
      <c r="F29" s="80"/>
      <c r="G29" t="s">
        <v>2324</v>
      </c>
      <c r="H29" s="60" t="s">
        <v>2325</v>
      </c>
    </row>
    <row r="30" spans="1:11" x14ac:dyDescent="0.2">
      <c r="E30" s="80"/>
      <c r="F30" s="80"/>
      <c r="G30" t="s">
        <v>2326</v>
      </c>
      <c r="H30" s="60" t="s">
        <v>2323</v>
      </c>
    </row>
    <row r="31" spans="1:11" x14ac:dyDescent="0.2">
      <c r="E31" s="80"/>
      <c r="F31" s="15"/>
      <c r="H31" s="60"/>
    </row>
    <row r="32" spans="1:11" x14ac:dyDescent="0.2">
      <c r="E32" s="80"/>
      <c r="H32" s="60"/>
    </row>
    <row r="33" spans="5:9" x14ac:dyDescent="0.2">
      <c r="E33" s="80"/>
      <c r="F33" s="15"/>
      <c r="H33" s="60"/>
    </row>
    <row r="34" spans="5:9" x14ac:dyDescent="0.2">
      <c r="E34" s="80"/>
      <c r="F34" s="15"/>
      <c r="H34" s="60"/>
      <c r="I34" s="17"/>
    </row>
    <row r="35" spans="5:9" x14ac:dyDescent="0.2">
      <c r="E35" s="80"/>
      <c r="F35" s="15"/>
      <c r="H35" s="60"/>
      <c r="I35" s="17"/>
    </row>
    <row r="36" spans="5:9" x14ac:dyDescent="0.2">
      <c r="E36" s="80"/>
      <c r="F36" s="15"/>
      <c r="H36" s="60"/>
      <c r="I36" s="17"/>
    </row>
    <row r="37" spans="5:9" x14ac:dyDescent="0.2">
      <c r="E37" s="80"/>
      <c r="F37" s="15"/>
      <c r="H37" s="60"/>
      <c r="I37" s="17"/>
    </row>
    <row r="38" spans="5:9" x14ac:dyDescent="0.2">
      <c r="E38" s="80"/>
      <c r="H38" s="60"/>
    </row>
    <row r="39" spans="5:9" x14ac:dyDescent="0.2">
      <c r="E39" s="80"/>
      <c r="H39" s="60"/>
    </row>
    <row r="40" spans="5:9" x14ac:dyDescent="0.2">
      <c r="E40" s="80"/>
      <c r="H40" s="60"/>
    </row>
    <row r="41" spans="5:9" x14ac:dyDescent="0.2">
      <c r="E41" s="80"/>
      <c r="H41" s="60"/>
    </row>
    <row r="42" spans="5:9" x14ac:dyDescent="0.2">
      <c r="E42" s="80"/>
      <c r="H42" s="60"/>
    </row>
    <row r="43" spans="5:9" x14ac:dyDescent="0.2">
      <c r="E43" s="80"/>
      <c r="H43" s="60"/>
    </row>
    <row r="44" spans="5:9" x14ac:dyDescent="0.2">
      <c r="E44" s="80"/>
      <c r="H44" s="60"/>
    </row>
    <row r="45" spans="5:9" x14ac:dyDescent="0.2">
      <c r="E45" s="80"/>
      <c r="H45" s="60"/>
    </row>
    <row r="46" spans="5:9" x14ac:dyDescent="0.2">
      <c r="E46" s="80"/>
      <c r="H46" s="60"/>
    </row>
    <row r="47" spans="5:9" x14ac:dyDescent="0.2">
      <c r="E47" s="80"/>
      <c r="H47" s="60"/>
    </row>
    <row r="48" spans="5:9" x14ac:dyDescent="0.2">
      <c r="E48" s="80"/>
      <c r="H48" s="60"/>
    </row>
    <row r="49" spans="5:8" x14ac:dyDescent="0.2">
      <c r="E49" s="80"/>
      <c r="H49" s="60"/>
    </row>
    <row r="50" spans="5:8" x14ac:dyDescent="0.2">
      <c r="E50" s="80"/>
      <c r="H50" s="60"/>
    </row>
    <row r="51" spans="5:8" x14ac:dyDescent="0.2">
      <c r="E51" s="80"/>
    </row>
    <row r="52" spans="5:8" x14ac:dyDescent="0.2">
      <c r="E52" s="80"/>
    </row>
    <row r="53" spans="5:8" x14ac:dyDescent="0.2">
      <c r="E53" s="80"/>
    </row>
    <row r="54" spans="5:8" x14ac:dyDescent="0.2">
      <c r="E54" s="80"/>
    </row>
    <row r="55" spans="5:8" x14ac:dyDescent="0.2">
      <c r="E55" s="80"/>
    </row>
    <row r="56" spans="5:8" x14ac:dyDescent="0.2">
      <c r="E56" s="80"/>
    </row>
    <row r="57" spans="5:8" x14ac:dyDescent="0.2">
      <c r="E57" s="80"/>
    </row>
  </sheetData>
  <mergeCells count="10">
    <mergeCell ref="F22:F30"/>
    <mergeCell ref="B1:O1"/>
    <mergeCell ref="A21:B21"/>
    <mergeCell ref="E5:E57"/>
    <mergeCell ref="F17:F21"/>
    <mergeCell ref="A9:B9"/>
    <mergeCell ref="A5:B5"/>
    <mergeCell ref="F6:F16"/>
    <mergeCell ref="A18:B18"/>
    <mergeCell ref="A27:B27"/>
  </mergeCells>
  <dataValidations count="3">
    <dataValidation type="list" allowBlank="1" showInputMessage="1" showErrorMessage="1" sqref="B10" xr:uid="{00000000-0002-0000-1301-000000000000}">
      <formula1>"Line,Clustered Bar,Stacked Bar,Bar,Horizontal Stacked Bar"</formula1>
    </dataValidation>
    <dataValidation type="list" allowBlank="1" showInputMessage="1" showErrorMessage="1" sqref="B2" xr:uid="{00000000-0002-0000-1301-000001000000}">
      <formula1>"Table,Figure,Both"</formula1>
    </dataValidation>
    <dataValidation type="list" allowBlank="1" showInputMessage="1" showErrorMessage="1" sqref="B6 B15:B16" xr:uid="{00000000-0002-0000-1301-000002000000}">
      <formula1>"True,False"</formula1>
    </dataValidation>
  </dataValidations>
  <pageMargins left="0.75" right="0.75" top="1" bottom="1" header="0.5" footer="0.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955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tbl-top-areas-concern</v>
      </c>
    </row>
    <row r="4" spans="1:17" x14ac:dyDescent="0.2">
      <c r="A4" s="16" t="s">
        <v>7</v>
      </c>
      <c r="B4" t="str">
        <f>IF($B$1="","",_xlfn.XLOOKUP($B$1,Master!$F$2:$F$321,Master!$H$2:$H$321,""))</f>
        <v>fig-top-areas-concern</v>
      </c>
      <c r="E4" s="8"/>
      <c r="F4" s="10" t="s">
        <v>1009</v>
      </c>
      <c r="G4" s="10" t="s">
        <v>979</v>
      </c>
      <c r="H4" s="10" t="s">
        <v>979</v>
      </c>
      <c r="I4" s="10" t="s">
        <v>979</v>
      </c>
      <c r="J4" s="10" t="s">
        <v>979</v>
      </c>
      <c r="K4" s="10" t="s">
        <v>979</v>
      </c>
      <c r="L4" s="10" t="s">
        <v>979</v>
      </c>
      <c r="M4" s="10" t="s">
        <v>979</v>
      </c>
      <c r="N4" s="10" t="s">
        <v>979</v>
      </c>
      <c r="O4" s="10"/>
      <c r="P4" s="10"/>
      <c r="Q4" s="10"/>
    </row>
    <row r="5" spans="1:17" x14ac:dyDescent="0.2">
      <c r="A5" s="83" t="s">
        <v>1081</v>
      </c>
      <c r="B5" s="80"/>
      <c r="E5" s="82" t="s">
        <v>1082</v>
      </c>
      <c r="F5" s="16" t="s">
        <v>2327</v>
      </c>
      <c r="G5" s="16" t="s">
        <v>2024</v>
      </c>
      <c r="H5" s="16" t="s">
        <v>2035</v>
      </c>
      <c r="I5" s="16" t="s">
        <v>2328</v>
      </c>
      <c r="J5" s="16" t="s">
        <v>2031</v>
      </c>
      <c r="K5" s="16" t="s">
        <v>2329</v>
      </c>
      <c r="L5" s="16" t="s">
        <v>2330</v>
      </c>
      <c r="M5" s="16" t="s">
        <v>2028</v>
      </c>
      <c r="N5" s="16" t="s">
        <v>2039</v>
      </c>
    </row>
    <row r="6" spans="1:17" ht="15" customHeight="1" x14ac:dyDescent="0.2">
      <c r="A6" t="s">
        <v>1088</v>
      </c>
      <c r="B6" t="b">
        <v>0</v>
      </c>
      <c r="E6" s="80"/>
      <c r="F6" s="16" t="s">
        <v>2331</v>
      </c>
      <c r="G6" s="65" t="s">
        <v>2050</v>
      </c>
      <c r="H6" s="65"/>
      <c r="I6" s="65"/>
      <c r="J6" s="65" t="s">
        <v>2050</v>
      </c>
      <c r="K6" s="65"/>
      <c r="L6" s="17"/>
      <c r="M6" s="17"/>
      <c r="N6" s="17" t="s">
        <v>2050</v>
      </c>
      <c r="O6" s="15"/>
    </row>
    <row r="7" spans="1:17" ht="15.75" customHeight="1" x14ac:dyDescent="0.2">
      <c r="E7" s="80"/>
      <c r="F7" s="16" t="s">
        <v>2332</v>
      </c>
      <c r="G7" s="65" t="s">
        <v>2050</v>
      </c>
      <c r="H7" s="65"/>
      <c r="I7" s="65"/>
      <c r="J7" s="65"/>
      <c r="K7" s="65"/>
      <c r="L7" s="17"/>
      <c r="M7" s="17"/>
      <c r="N7" s="17"/>
      <c r="O7" s="15"/>
    </row>
    <row r="8" spans="1:17" x14ac:dyDescent="0.2">
      <c r="E8" s="80"/>
      <c r="F8" s="16" t="s">
        <v>1315</v>
      </c>
      <c r="G8" s="65"/>
      <c r="H8" s="65"/>
      <c r="I8" s="65" t="s">
        <v>2050</v>
      </c>
      <c r="J8" s="65" t="s">
        <v>2050</v>
      </c>
      <c r="K8" s="65"/>
      <c r="L8" s="17" t="s">
        <v>2050</v>
      </c>
      <c r="M8" s="17"/>
      <c r="N8" s="17" t="s">
        <v>2050</v>
      </c>
      <c r="O8" s="15"/>
    </row>
    <row r="9" spans="1:17" x14ac:dyDescent="0.2">
      <c r="A9" s="83" t="s">
        <v>1098</v>
      </c>
      <c r="B9" s="80"/>
      <c r="E9" s="80"/>
      <c r="F9" s="16" t="s">
        <v>2032</v>
      </c>
      <c r="G9" s="65" t="s">
        <v>2050</v>
      </c>
      <c r="H9" s="65"/>
      <c r="I9" s="65"/>
      <c r="J9" s="65"/>
      <c r="K9" s="65"/>
      <c r="L9" s="17"/>
      <c r="M9" s="17" t="s">
        <v>2050</v>
      </c>
      <c r="N9" s="17"/>
      <c r="O9" s="15"/>
    </row>
    <row r="10" spans="1:17" x14ac:dyDescent="0.2">
      <c r="A10" t="s">
        <v>1100</v>
      </c>
      <c r="E10" s="80"/>
      <c r="F10" s="16" t="s">
        <v>2333</v>
      </c>
      <c r="G10" s="65"/>
      <c r="H10" s="65"/>
      <c r="I10" s="65"/>
      <c r="J10" s="65" t="s">
        <v>2050</v>
      </c>
      <c r="K10" s="65"/>
      <c r="L10" s="17"/>
      <c r="M10" s="17" t="s">
        <v>2050</v>
      </c>
      <c r="N10" s="17"/>
    </row>
    <row r="11" spans="1:17" x14ac:dyDescent="0.2">
      <c r="A11" t="s">
        <v>1102</v>
      </c>
      <c r="E11" s="80"/>
      <c r="F11" s="16" t="s">
        <v>2334</v>
      </c>
      <c r="G11" s="65"/>
      <c r="H11" s="65"/>
      <c r="I11" s="65"/>
      <c r="J11" s="65"/>
      <c r="K11" s="65"/>
      <c r="L11" s="17" t="s">
        <v>2050</v>
      </c>
      <c r="M11" s="17"/>
      <c r="N11" s="17"/>
    </row>
    <row r="12" spans="1:17" x14ac:dyDescent="0.2">
      <c r="A12" t="s">
        <v>1104</v>
      </c>
      <c r="E12" s="80"/>
      <c r="F12" s="72" t="s">
        <v>2038</v>
      </c>
      <c r="G12" s="65" t="s">
        <v>2050</v>
      </c>
      <c r="H12" s="65"/>
      <c r="I12" s="65" t="s">
        <v>2050</v>
      </c>
      <c r="J12" s="65"/>
      <c r="K12" s="65"/>
      <c r="L12" s="17"/>
      <c r="M12" s="17"/>
      <c r="N12" s="17" t="s">
        <v>2050</v>
      </c>
    </row>
    <row r="13" spans="1:17" x14ac:dyDescent="0.2">
      <c r="A13" t="s">
        <v>1108</v>
      </c>
      <c r="E13" s="80"/>
      <c r="F13" s="16" t="s">
        <v>2335</v>
      </c>
      <c r="G13" s="65"/>
      <c r="H13" s="65"/>
      <c r="I13" s="65"/>
      <c r="J13" s="65"/>
      <c r="K13" s="65"/>
      <c r="L13" s="17" t="s">
        <v>2050</v>
      </c>
      <c r="M13" s="17"/>
      <c r="N13" s="17"/>
    </row>
    <row r="14" spans="1:17" x14ac:dyDescent="0.2">
      <c r="A14" t="s">
        <v>1112</v>
      </c>
      <c r="E14" s="80"/>
      <c r="F14" s="16" t="s">
        <v>2025</v>
      </c>
      <c r="G14" s="65" t="s">
        <v>2050</v>
      </c>
      <c r="H14" s="65" t="s">
        <v>2050</v>
      </c>
      <c r="I14" s="65" t="s">
        <v>2050</v>
      </c>
      <c r="J14" s="65" t="s">
        <v>2050</v>
      </c>
      <c r="K14" s="65"/>
      <c r="L14" s="17"/>
      <c r="M14" s="17"/>
      <c r="N14" s="17"/>
    </row>
    <row r="15" spans="1:17" x14ac:dyDescent="0.2">
      <c r="A15" t="s">
        <v>1114</v>
      </c>
      <c r="E15" s="80"/>
      <c r="F15" s="16" t="s">
        <v>2112</v>
      </c>
      <c r="G15" s="17"/>
      <c r="H15" s="17"/>
      <c r="I15" s="17"/>
      <c r="J15" s="17" t="s">
        <v>2050</v>
      </c>
      <c r="K15" s="17"/>
      <c r="L15" s="17"/>
      <c r="M15" s="17" t="s">
        <v>2050</v>
      </c>
      <c r="N15" s="17"/>
    </row>
    <row r="16" spans="1:17" x14ac:dyDescent="0.2">
      <c r="A16" t="s">
        <v>1116</v>
      </c>
      <c r="E16" s="80"/>
      <c r="F16" s="16" t="s">
        <v>2336</v>
      </c>
      <c r="G16" s="17"/>
      <c r="H16" s="17"/>
      <c r="I16" s="17"/>
      <c r="J16" s="17" t="s">
        <v>2050</v>
      </c>
      <c r="K16" s="17"/>
      <c r="L16" s="17"/>
      <c r="M16" s="17"/>
      <c r="N16" s="17"/>
    </row>
    <row r="17" spans="1:14" x14ac:dyDescent="0.2">
      <c r="E17" s="80"/>
      <c r="F17" s="16" t="s">
        <v>2337</v>
      </c>
      <c r="G17" s="17" t="s">
        <v>2050</v>
      </c>
      <c r="H17" s="17"/>
      <c r="I17" s="17" t="s">
        <v>2050</v>
      </c>
      <c r="J17" s="17"/>
      <c r="K17" s="17"/>
      <c r="L17" s="17"/>
      <c r="M17" s="17" t="s">
        <v>2050</v>
      </c>
      <c r="N17" s="17"/>
    </row>
    <row r="18" spans="1:14" x14ac:dyDescent="0.2">
      <c r="A18" s="83" t="s">
        <v>1119</v>
      </c>
      <c r="B18" s="80"/>
      <c r="E18" s="80"/>
      <c r="F18" s="16" t="s">
        <v>2036</v>
      </c>
      <c r="G18" s="17" t="s">
        <v>2050</v>
      </c>
      <c r="H18" s="17" t="s">
        <v>2050</v>
      </c>
      <c r="I18" s="17"/>
      <c r="J18" s="17"/>
      <c r="K18" s="17"/>
      <c r="L18" s="17"/>
      <c r="M18" s="17"/>
      <c r="N18" s="17"/>
    </row>
    <row r="19" spans="1:14" x14ac:dyDescent="0.2">
      <c r="A19" t="s">
        <v>1121</v>
      </c>
      <c r="E19" s="80"/>
    </row>
    <row r="20" spans="1:14" x14ac:dyDescent="0.2">
      <c r="E20" s="80"/>
      <c r="F20" s="15"/>
      <c r="G20" s="15"/>
      <c r="H20" s="15"/>
    </row>
    <row r="21" spans="1:14" x14ac:dyDescent="0.2">
      <c r="A21" s="81" t="s">
        <v>1125</v>
      </c>
      <c r="B21" s="80"/>
      <c r="E21" s="80"/>
      <c r="F21" s="15"/>
      <c r="G21" s="15"/>
      <c r="H21" s="15"/>
    </row>
    <row r="22" spans="1:14" x14ac:dyDescent="0.2">
      <c r="A22" t="s">
        <v>1135</v>
      </c>
      <c r="E22" s="80"/>
      <c r="F22" s="15"/>
      <c r="G22" s="15"/>
      <c r="H22" s="15"/>
    </row>
    <row r="23" spans="1:14" x14ac:dyDescent="0.2">
      <c r="E23" s="80"/>
      <c r="F23" s="15"/>
      <c r="G23" s="15"/>
      <c r="H23" s="15"/>
    </row>
    <row r="24" spans="1:14" x14ac:dyDescent="0.2">
      <c r="E24" s="80"/>
    </row>
    <row r="25" spans="1:14" x14ac:dyDescent="0.2">
      <c r="E25" s="80"/>
      <c r="F25" s="15"/>
      <c r="G25" s="15"/>
      <c r="H25" s="15"/>
      <c r="K25" t="s">
        <v>1226</v>
      </c>
    </row>
    <row r="26" spans="1:14" x14ac:dyDescent="0.2">
      <c r="E26" s="80"/>
      <c r="F26" s="15"/>
      <c r="G26" s="15"/>
      <c r="H26" s="15"/>
    </row>
    <row r="27" spans="1:14" x14ac:dyDescent="0.2">
      <c r="A27" s="81"/>
      <c r="B27" s="80"/>
      <c r="E27" s="80"/>
      <c r="F27" s="15"/>
      <c r="G27" s="15"/>
      <c r="H27" s="15"/>
    </row>
    <row r="28" spans="1:14" x14ac:dyDescent="0.2">
      <c r="E28" s="80"/>
      <c r="F28" s="15"/>
      <c r="G28" s="15"/>
      <c r="H28" s="15"/>
    </row>
    <row r="29" spans="1:14" x14ac:dyDescent="0.2">
      <c r="E29" s="80"/>
      <c r="F29" s="15"/>
      <c r="G29" s="15"/>
      <c r="H29" s="15"/>
    </row>
    <row r="30" spans="1:14" x14ac:dyDescent="0.2">
      <c r="E30" s="80"/>
      <c r="F30" s="15"/>
      <c r="G30" s="15"/>
      <c r="H30" s="15"/>
    </row>
    <row r="31" spans="1:14" x14ac:dyDescent="0.2">
      <c r="E31" s="80"/>
      <c r="F31" s="15"/>
      <c r="G31" s="15"/>
      <c r="H31" s="15"/>
    </row>
    <row r="32" spans="1:14"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401-000000000000}">
      <formula1>"Line,Clustered Bar,Stacked Bar,Bar,Horizontal Stacked Bar"</formula1>
    </dataValidation>
    <dataValidation type="list" allowBlank="1" showInputMessage="1" showErrorMessage="1" sqref="B2" xr:uid="{00000000-0002-0000-1401-000001000000}">
      <formula1>"Table,Figure,Both"</formula1>
    </dataValidation>
    <dataValidation type="list" allowBlank="1" showInputMessage="1" showErrorMessage="1" sqref="B6 B15:B16" xr:uid="{00000000-0002-0000-1401-000002000000}">
      <formula1>"True,False"</formula1>
    </dataValidation>
  </dataValidations>
  <pageMargins left="0.75" right="0.75" top="1" bottom="1" header="0.5" footer="0.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Q57"/>
  <sheetViews>
    <sheetView workbookViewId="0">
      <selection activeCell="M9" sqref="M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19.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709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tbl-siena-mental-health</v>
      </c>
    </row>
    <row r="4" spans="1:17" x14ac:dyDescent="0.2">
      <c r="A4" s="16" t="s">
        <v>7</v>
      </c>
      <c r="B4" t="str">
        <f>IF($B$1="","",_xlfn.XLOOKUP($B$1,Master!$F$2:$F$321,Master!$H$2:$H$321,""))</f>
        <v>fig-siena-mental-health</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2182</v>
      </c>
      <c r="H5" t="s">
        <v>2183</v>
      </c>
      <c r="I5" t="s">
        <v>2184</v>
      </c>
      <c r="J5" t="s">
        <v>2185</v>
      </c>
      <c r="K5" t="s">
        <v>2338</v>
      </c>
    </row>
    <row r="6" spans="1:17" ht="15" customHeight="1" x14ac:dyDescent="0.2">
      <c r="A6" t="s">
        <v>1088</v>
      </c>
      <c r="B6" t="b">
        <v>0</v>
      </c>
      <c r="E6" s="80"/>
      <c r="F6">
        <v>2024</v>
      </c>
      <c r="G6" s="15">
        <v>37</v>
      </c>
      <c r="H6" s="15">
        <v>42</v>
      </c>
      <c r="I6" s="15">
        <v>16</v>
      </c>
      <c r="J6" s="15">
        <v>5</v>
      </c>
      <c r="K6" s="15"/>
      <c r="L6" s="63"/>
      <c r="M6" s="15"/>
      <c r="N6" s="15"/>
      <c r="O6" s="15"/>
    </row>
    <row r="7" spans="1:17" ht="15.75" customHeight="1" x14ac:dyDescent="0.2">
      <c r="E7" s="80"/>
      <c r="F7">
        <v>2023</v>
      </c>
      <c r="G7" s="15">
        <v>35</v>
      </c>
      <c r="H7" s="15">
        <v>42</v>
      </c>
      <c r="I7" s="15">
        <v>16</v>
      </c>
      <c r="J7" s="15">
        <v>7</v>
      </c>
      <c r="K7" s="15"/>
      <c r="L7" s="63"/>
      <c r="M7" s="15"/>
      <c r="N7" s="15"/>
      <c r="O7" s="15"/>
    </row>
    <row r="8" spans="1:17" x14ac:dyDescent="0.2">
      <c r="E8" s="80"/>
      <c r="F8">
        <v>2022</v>
      </c>
      <c r="G8" s="15">
        <v>30</v>
      </c>
      <c r="H8" s="15">
        <v>45</v>
      </c>
      <c r="I8" s="15">
        <v>18</v>
      </c>
      <c r="J8" s="15">
        <v>6</v>
      </c>
      <c r="K8" s="15">
        <v>1</v>
      </c>
      <c r="L8" s="63"/>
      <c r="M8" s="15"/>
      <c r="N8" s="15"/>
      <c r="O8" s="15"/>
    </row>
    <row r="9" spans="1:17" x14ac:dyDescent="0.2">
      <c r="A9" s="83" t="s">
        <v>1098</v>
      </c>
      <c r="B9" s="80"/>
      <c r="E9" s="80"/>
      <c r="F9">
        <v>2018</v>
      </c>
      <c r="G9" s="15">
        <v>52</v>
      </c>
      <c r="H9" s="15">
        <v>32</v>
      </c>
      <c r="I9" s="15">
        <v>12</v>
      </c>
      <c r="J9" s="15">
        <v>3</v>
      </c>
      <c r="K9" s="15">
        <v>1</v>
      </c>
      <c r="L9" s="63"/>
      <c r="M9" s="15"/>
      <c r="N9" s="15"/>
      <c r="O9" s="15"/>
    </row>
    <row r="10" spans="1:17" x14ac:dyDescent="0.2">
      <c r="A10" t="s">
        <v>1100</v>
      </c>
      <c r="B10" t="s">
        <v>2072</v>
      </c>
      <c r="E10" s="80"/>
      <c r="G10" s="63"/>
      <c r="H10" s="64"/>
      <c r="I10" s="64"/>
      <c r="J10" s="64"/>
      <c r="K10" s="64"/>
    </row>
    <row r="11" spans="1:17" x14ac:dyDescent="0.2">
      <c r="A11" t="s">
        <v>1102</v>
      </c>
      <c r="E11" s="80"/>
      <c r="G11" s="63"/>
      <c r="H11" s="63"/>
      <c r="I11" s="63"/>
      <c r="J11" s="65"/>
      <c r="K11" s="65"/>
      <c r="L11" s="17"/>
      <c r="M11" s="17"/>
      <c r="N11" s="17"/>
    </row>
    <row r="12" spans="1:17" x14ac:dyDescent="0.2">
      <c r="A12" t="s">
        <v>1104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501-000000000000}">
      <formula1>"Line,Clustered Bar,Stacked Bar,Bar,Horizontal Stacked Bar"</formula1>
    </dataValidation>
    <dataValidation type="list" allowBlank="1" showInputMessage="1" showErrorMessage="1" sqref="B2" xr:uid="{00000000-0002-0000-1501-000001000000}">
      <formula1>"Table,Figure,Both"</formula1>
    </dataValidation>
    <dataValidation type="list" allowBlank="1" showInputMessage="1" showErrorMessage="1" sqref="B6 B15:B16" xr:uid="{00000000-0002-0000-1501-000002000000}">
      <formula1>"True,False"</formula1>
    </dataValidation>
  </dataValidations>
  <pageMargins left="0.75" right="0.75" top="1" bottom="1" header="0.5" footer="0.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Q57"/>
  <sheetViews>
    <sheetView workbookViewId="0">
      <selection activeCell="J30" sqref="J3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10.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715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tbl-siena-healthy-diet</v>
      </c>
    </row>
    <row r="4" spans="1:17" x14ac:dyDescent="0.2">
      <c r="A4" s="16" t="s">
        <v>7</v>
      </c>
      <c r="B4" t="str">
        <f>IF($B$1="","",_xlfn.XLOOKUP($B$1,Master!$F$2:$F$321,Master!$H$2:$H$321,""))</f>
        <v>fig-siena-healthy-diet</v>
      </c>
      <c r="E4" s="8"/>
      <c r="F4" s="10" t="s">
        <v>1009</v>
      </c>
      <c r="G4" s="10" t="s">
        <v>979</v>
      </c>
      <c r="H4" s="10" t="s">
        <v>979</v>
      </c>
      <c r="I4" s="10" t="s">
        <v>979</v>
      </c>
      <c r="J4" s="10" t="s">
        <v>979</v>
      </c>
      <c r="K4" s="10" t="s">
        <v>979</v>
      </c>
      <c r="L4" s="10"/>
      <c r="M4" s="10"/>
      <c r="N4" s="10"/>
      <c r="O4" s="10"/>
      <c r="P4" s="10"/>
      <c r="Q4" s="10"/>
    </row>
    <row r="5" spans="1:17" ht="15" customHeight="1" x14ac:dyDescent="0.2">
      <c r="A5" s="83" t="s">
        <v>1081</v>
      </c>
      <c r="B5" s="80"/>
      <c r="E5" s="82" t="s">
        <v>1082</v>
      </c>
      <c r="F5" t="s">
        <v>1303</v>
      </c>
      <c r="G5" t="s">
        <v>2191</v>
      </c>
      <c r="H5" t="s">
        <v>2339</v>
      </c>
      <c r="I5" t="s">
        <v>2193</v>
      </c>
      <c r="J5" t="s">
        <v>2194</v>
      </c>
      <c r="K5" t="s">
        <v>2179</v>
      </c>
    </row>
    <row r="6" spans="1:17" ht="15" customHeight="1" x14ac:dyDescent="0.2">
      <c r="A6" t="s">
        <v>1088</v>
      </c>
      <c r="B6" t="b">
        <v>0</v>
      </c>
      <c r="E6" s="80"/>
      <c r="F6">
        <v>2024</v>
      </c>
      <c r="G6" s="15">
        <v>4</v>
      </c>
      <c r="H6" s="15">
        <v>23</v>
      </c>
      <c r="I6" s="15">
        <v>43</v>
      </c>
      <c r="J6" s="15">
        <v>29</v>
      </c>
      <c r="K6" s="15">
        <v>1</v>
      </c>
      <c r="L6" s="15"/>
      <c r="M6" s="15"/>
      <c r="N6" s="15"/>
      <c r="O6" s="15"/>
    </row>
    <row r="7" spans="1:17" ht="15.75" customHeight="1" x14ac:dyDescent="0.2">
      <c r="E7" s="80"/>
      <c r="F7">
        <v>2023</v>
      </c>
      <c r="G7" s="15">
        <v>5</v>
      </c>
      <c r="H7" s="15">
        <v>23</v>
      </c>
      <c r="I7" s="15">
        <v>43</v>
      </c>
      <c r="J7" s="15">
        <v>27</v>
      </c>
      <c r="K7" s="15">
        <v>2</v>
      </c>
      <c r="L7" s="15"/>
      <c r="M7" s="15"/>
      <c r="N7" s="15"/>
      <c r="O7" s="15"/>
    </row>
    <row r="8" spans="1:17" x14ac:dyDescent="0.2">
      <c r="E8" s="80"/>
      <c r="F8">
        <v>2022</v>
      </c>
      <c r="G8" s="15">
        <v>5</v>
      </c>
      <c r="H8" s="15">
        <v>26</v>
      </c>
      <c r="I8" s="15">
        <v>37</v>
      </c>
      <c r="J8" s="15">
        <v>31</v>
      </c>
      <c r="K8" s="15">
        <v>1</v>
      </c>
      <c r="L8" s="15"/>
      <c r="M8" s="15"/>
      <c r="N8" s="15"/>
      <c r="O8" s="15"/>
    </row>
    <row r="9" spans="1:17" x14ac:dyDescent="0.2">
      <c r="A9" s="83" t="s">
        <v>1098</v>
      </c>
      <c r="B9" s="80"/>
      <c r="E9" s="80"/>
      <c r="F9">
        <v>2018</v>
      </c>
      <c r="G9" s="15">
        <v>5</v>
      </c>
      <c r="H9" s="15">
        <v>21</v>
      </c>
      <c r="I9" s="15">
        <v>40</v>
      </c>
      <c r="J9" s="15">
        <v>33</v>
      </c>
      <c r="K9" s="15">
        <v>1</v>
      </c>
      <c r="L9" s="15"/>
      <c r="M9" s="15"/>
      <c r="N9" s="15"/>
      <c r="O9" s="15"/>
    </row>
    <row r="10" spans="1:17" x14ac:dyDescent="0.2">
      <c r="A10" t="s">
        <v>1100</v>
      </c>
      <c r="B10" t="s">
        <v>2072</v>
      </c>
      <c r="E10" s="80"/>
      <c r="G10" s="15"/>
      <c r="K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601-000000000000}">
      <formula1>"Line,Clustered Bar,Stacked Bar,Bar,Horizontal Stacked Bar"</formula1>
    </dataValidation>
    <dataValidation type="list" allowBlank="1" showInputMessage="1" showErrorMessage="1" sqref="B2" xr:uid="{00000000-0002-0000-1601-000001000000}">
      <formula1>"Table,Figure,Both"</formula1>
    </dataValidation>
    <dataValidation type="list" allowBlank="1" showInputMessage="1" showErrorMessage="1" sqref="B6 B15:B16" xr:uid="{00000000-0002-0000-1601-000002000000}">
      <formula1>"True,False"</formula1>
    </dataValidation>
  </dataValidations>
  <pageMargins left="0.75" right="0.75" top="1" bottom="1" header="0.5" footer="0.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Q57"/>
  <sheetViews>
    <sheetView workbookViewId="0">
      <selection activeCell="L6" sqref="L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721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tbl-siena-exercise</v>
      </c>
    </row>
    <row r="4" spans="1:17" x14ac:dyDescent="0.2">
      <c r="A4" s="16" t="s">
        <v>7</v>
      </c>
      <c r="B4" t="str">
        <f>IF($B$1="","",_xlfn.XLOOKUP($B$1,Master!$F$2:$F$321,Master!$H$2:$H$321,""))</f>
        <v>fig-siena-exercise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2191</v>
      </c>
      <c r="H5" t="s">
        <v>2339</v>
      </c>
      <c r="I5" t="s">
        <v>2193</v>
      </c>
      <c r="J5" t="s">
        <v>2194</v>
      </c>
      <c r="K5" t="s">
        <v>2179</v>
      </c>
    </row>
    <row r="6" spans="1:17" ht="15" customHeight="1" x14ac:dyDescent="0.2">
      <c r="A6" t="s">
        <v>1088</v>
      </c>
      <c r="B6" t="b">
        <v>0</v>
      </c>
      <c r="E6" s="80"/>
      <c r="F6">
        <v>2024</v>
      </c>
      <c r="G6" s="15">
        <v>18</v>
      </c>
      <c r="H6" s="15">
        <v>40</v>
      </c>
      <c r="I6" s="15">
        <v>29</v>
      </c>
      <c r="J6" s="15">
        <v>13</v>
      </c>
      <c r="K6" s="15"/>
      <c r="L6" s="15"/>
      <c r="M6" s="15"/>
      <c r="N6" s="15"/>
      <c r="O6" s="15"/>
    </row>
    <row r="7" spans="1:17" ht="15.75" customHeight="1" x14ac:dyDescent="0.2">
      <c r="E7" s="80"/>
      <c r="F7">
        <v>2023</v>
      </c>
      <c r="G7" s="15">
        <v>17</v>
      </c>
      <c r="H7" s="15">
        <v>41</v>
      </c>
      <c r="I7" s="15">
        <v>28</v>
      </c>
      <c r="J7" s="15">
        <v>14</v>
      </c>
      <c r="K7" s="15"/>
      <c r="L7" s="15"/>
      <c r="M7" s="15"/>
      <c r="N7" s="15"/>
      <c r="O7" s="15"/>
    </row>
    <row r="8" spans="1:17" x14ac:dyDescent="0.2">
      <c r="E8" s="80"/>
      <c r="F8">
        <v>2022</v>
      </c>
      <c r="G8" s="15">
        <v>20</v>
      </c>
      <c r="H8" s="15">
        <v>38</v>
      </c>
      <c r="I8" s="15">
        <v>23</v>
      </c>
      <c r="J8" s="15">
        <v>17</v>
      </c>
      <c r="K8" s="15"/>
      <c r="L8" s="15"/>
      <c r="M8" s="15"/>
      <c r="N8" s="15"/>
      <c r="O8" s="15"/>
    </row>
    <row r="9" spans="1:17" x14ac:dyDescent="0.2">
      <c r="A9" s="83" t="s">
        <v>1098</v>
      </c>
      <c r="B9" s="80"/>
      <c r="E9" s="80"/>
      <c r="F9">
        <v>2018</v>
      </c>
      <c r="G9" s="15">
        <v>20</v>
      </c>
      <c r="H9" s="15">
        <v>38</v>
      </c>
      <c r="I9" s="15">
        <v>25</v>
      </c>
      <c r="J9" s="15">
        <v>15</v>
      </c>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701-000000000000}">
      <formula1>"Line,Clustered Bar,Stacked Bar,Bar,Horizontal Stacked Bar"</formula1>
    </dataValidation>
    <dataValidation type="list" allowBlank="1" showInputMessage="1" showErrorMessage="1" sqref="B2" xr:uid="{00000000-0002-0000-1701-000001000000}">
      <formula1>"Table,Figure,Both"</formula1>
    </dataValidation>
    <dataValidation type="list" allowBlank="1" showInputMessage="1" showErrorMessage="1" sqref="B6 B15:B16" xr:uid="{00000000-0002-0000-1701-000002000000}">
      <formula1>"True,False"</formula1>
    </dataValidation>
  </dataValidations>
  <pageMargins left="0.75" right="0.75" top="1" bottom="1" header="0.5" footer="0.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Q57"/>
  <sheetViews>
    <sheetView workbookViewId="0">
      <selection activeCell="F6" sqref="F6:F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727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tbl-siena-sleep</v>
      </c>
    </row>
    <row r="4" spans="1:17" x14ac:dyDescent="0.2">
      <c r="A4" s="16" t="s">
        <v>7</v>
      </c>
      <c r="B4" t="str">
        <f>IF($B$1="","",_xlfn.XLOOKUP($B$1,Master!$F$2:$F$321,Master!$H$2:$H$321,""))</f>
        <v>fig-siena-sleep</v>
      </c>
      <c r="E4" s="8"/>
      <c r="F4" s="10" t="s">
        <v>1009</v>
      </c>
      <c r="G4" s="10" t="s">
        <v>979</v>
      </c>
      <c r="H4" s="10" t="s">
        <v>979</v>
      </c>
      <c r="I4" s="10" t="s">
        <v>979</v>
      </c>
      <c r="J4" s="10" t="s">
        <v>979</v>
      </c>
      <c r="K4" s="10" t="s">
        <v>979</v>
      </c>
      <c r="L4" s="10" t="s">
        <v>979</v>
      </c>
      <c r="M4" s="10" t="s">
        <v>979</v>
      </c>
      <c r="N4" s="10" t="s">
        <v>979</v>
      </c>
      <c r="O4" s="10" t="s">
        <v>979</v>
      </c>
      <c r="P4" s="10" t="s">
        <v>979</v>
      </c>
      <c r="Q4" s="10" t="s">
        <v>979</v>
      </c>
    </row>
    <row r="5" spans="1:17" x14ac:dyDescent="0.2">
      <c r="A5" s="83" t="s">
        <v>1081</v>
      </c>
      <c r="B5" s="80"/>
      <c r="E5" s="82" t="s">
        <v>1082</v>
      </c>
      <c r="F5" t="s">
        <v>1303</v>
      </c>
      <c r="G5" t="s">
        <v>2191</v>
      </c>
      <c r="H5" t="s">
        <v>2339</v>
      </c>
      <c r="I5" t="s">
        <v>2193</v>
      </c>
      <c r="J5" t="s">
        <v>2194</v>
      </c>
      <c r="K5" t="s">
        <v>2179</v>
      </c>
    </row>
    <row r="6" spans="1:17" ht="15" customHeight="1" x14ac:dyDescent="0.2">
      <c r="A6" t="s">
        <v>1088</v>
      </c>
      <c r="B6" t="b">
        <v>0</v>
      </c>
      <c r="E6" s="80"/>
      <c r="F6">
        <v>2024</v>
      </c>
      <c r="G6" s="15">
        <v>14</v>
      </c>
      <c r="H6" s="15">
        <v>29</v>
      </c>
      <c r="I6" s="15">
        <v>34</v>
      </c>
      <c r="J6" s="15">
        <v>23</v>
      </c>
      <c r="K6" s="15"/>
      <c r="L6" s="15"/>
      <c r="M6" s="15"/>
      <c r="N6" s="15"/>
      <c r="O6" s="15"/>
    </row>
    <row r="7" spans="1:17" ht="15.75" customHeight="1" x14ac:dyDescent="0.2">
      <c r="E7" s="80"/>
      <c r="F7">
        <v>2023</v>
      </c>
      <c r="G7" s="15">
        <v>14</v>
      </c>
      <c r="H7" s="15">
        <v>28</v>
      </c>
      <c r="I7" s="15">
        <v>33</v>
      </c>
      <c r="J7" s="15">
        <v>24</v>
      </c>
      <c r="K7" s="15"/>
      <c r="L7" s="15"/>
      <c r="M7" s="15"/>
      <c r="N7" s="15"/>
      <c r="O7" s="15"/>
    </row>
    <row r="8" spans="1:17" x14ac:dyDescent="0.2">
      <c r="E8" s="80"/>
      <c r="F8">
        <v>2022</v>
      </c>
      <c r="G8" s="15">
        <v>15</v>
      </c>
      <c r="H8" s="15">
        <v>28</v>
      </c>
      <c r="I8" s="15">
        <v>32</v>
      </c>
      <c r="J8" s="15">
        <v>24</v>
      </c>
      <c r="K8" s="15"/>
      <c r="L8" s="15"/>
      <c r="M8" s="15"/>
      <c r="N8" s="15"/>
      <c r="O8" s="15"/>
    </row>
    <row r="9" spans="1:17" x14ac:dyDescent="0.2">
      <c r="A9" s="83" t="s">
        <v>1098</v>
      </c>
      <c r="B9" s="80"/>
      <c r="E9" s="80"/>
      <c r="F9">
        <v>2018</v>
      </c>
      <c r="G9" s="15">
        <v>12</v>
      </c>
      <c r="H9" s="15">
        <v>25</v>
      </c>
      <c r="I9" s="15">
        <v>36</v>
      </c>
      <c r="J9" s="15">
        <v>26</v>
      </c>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801-000000000000}">
      <formula1>"Line,Clustered Bar,Stacked Bar,Bar,Horizontal Stacked Bar"</formula1>
    </dataValidation>
    <dataValidation type="list" allowBlank="1" showInputMessage="1" showErrorMessage="1" sqref="B2" xr:uid="{00000000-0002-0000-1801-000001000000}">
      <formula1>"Table,Figure,Both"</formula1>
    </dataValidation>
    <dataValidation type="list" allowBlank="1" showInputMessage="1" showErrorMessage="1" sqref="B6 B15:B16" xr:uid="{00000000-0002-0000-1801-000002000000}">
      <formula1>"True,False"</formula1>
    </dataValidation>
  </dataValidations>
  <pageMargins left="0.75" right="0.75" top="1" bottom="1" header="0.5" footer="0.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Q57"/>
  <sheetViews>
    <sheetView workbookViewId="0">
      <selection activeCell="L13" sqref="L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1640625" customWidth="1"/>
    <col min="8" max="8" width="10.5" bestFit="1" customWidth="1"/>
    <col min="9" max="9" width="10.1640625" bestFit="1" customWidth="1"/>
    <col min="10" max="10" width="9.33203125" bestFit="1" customWidth="1"/>
    <col min="11" max="11" width="19.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733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tbl-siena-stress</v>
      </c>
    </row>
    <row r="4" spans="1:17" x14ac:dyDescent="0.2">
      <c r="A4" s="16" t="s">
        <v>7</v>
      </c>
      <c r="B4" t="str">
        <f>IF($B$1="","",_xlfn.XLOOKUP($B$1,Master!$F$2:$F$321,Master!$H$2:$H$321,""))</f>
        <v>fig-siena-stress</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2195</v>
      </c>
      <c r="H5" t="s">
        <v>2196</v>
      </c>
      <c r="I5" t="s">
        <v>2197</v>
      </c>
      <c r="J5" t="s">
        <v>2198</v>
      </c>
      <c r="K5" t="s">
        <v>2179</v>
      </c>
    </row>
    <row r="6" spans="1:17" ht="15" customHeight="1" x14ac:dyDescent="0.2">
      <c r="A6" t="s">
        <v>1088</v>
      </c>
      <c r="B6" t="b">
        <v>0</v>
      </c>
      <c r="E6" s="80"/>
      <c r="F6">
        <v>2024</v>
      </c>
      <c r="G6" s="15">
        <v>14</v>
      </c>
      <c r="H6" s="15">
        <v>23</v>
      </c>
      <c r="I6" s="15">
        <v>47</v>
      </c>
      <c r="J6" s="15">
        <v>16</v>
      </c>
      <c r="K6" s="15"/>
      <c r="L6" s="15"/>
      <c r="M6" s="15"/>
      <c r="N6" s="15"/>
      <c r="O6" s="15"/>
    </row>
    <row r="7" spans="1:17" ht="15.75" customHeight="1" x14ac:dyDescent="0.2">
      <c r="E7" s="80"/>
      <c r="F7">
        <v>2023</v>
      </c>
      <c r="G7" s="15">
        <v>14</v>
      </c>
      <c r="H7" s="15">
        <v>23</v>
      </c>
      <c r="I7" s="15">
        <v>45</v>
      </c>
      <c r="J7" s="15">
        <v>17</v>
      </c>
      <c r="K7" s="15">
        <v>1</v>
      </c>
      <c r="L7" s="15"/>
      <c r="M7" s="15"/>
      <c r="N7" s="15"/>
      <c r="O7" s="15"/>
    </row>
    <row r="8" spans="1:17" x14ac:dyDescent="0.2">
      <c r="E8" s="80"/>
      <c r="F8">
        <v>2022</v>
      </c>
      <c r="G8" s="15">
        <v>10</v>
      </c>
      <c r="H8" s="15">
        <v>25</v>
      </c>
      <c r="I8" s="15">
        <v>46</v>
      </c>
      <c r="J8" s="15">
        <v>17</v>
      </c>
      <c r="K8" s="15">
        <v>2</v>
      </c>
      <c r="L8" s="15"/>
      <c r="M8" s="15"/>
      <c r="N8" s="15"/>
      <c r="O8" s="15"/>
    </row>
    <row r="9" spans="1:17" x14ac:dyDescent="0.2">
      <c r="A9" s="83" t="s">
        <v>1098</v>
      </c>
      <c r="B9" s="80"/>
      <c r="E9" s="80"/>
      <c r="F9">
        <v>2018</v>
      </c>
      <c r="G9" s="15">
        <v>16</v>
      </c>
      <c r="H9" s="15">
        <v>24</v>
      </c>
      <c r="I9" s="15">
        <v>48</v>
      </c>
      <c r="J9" s="15">
        <v>12</v>
      </c>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901-000000000000}">
      <formula1>"Line,Clustered Bar,Stacked Bar,Bar,Horizontal Stacked Bar"</formula1>
    </dataValidation>
    <dataValidation type="list" allowBlank="1" showInputMessage="1" showErrorMessage="1" sqref="B2" xr:uid="{00000000-0002-0000-1901-000001000000}">
      <formula1>"Table,Figure,Both"</formula1>
    </dataValidation>
    <dataValidation type="list" allowBlank="1" showInputMessage="1" showErrorMessage="1" sqref="B6 B15:B16" xr:uid="{00000000-0002-0000-1901-000002000000}">
      <formula1>"True,False"</formula1>
    </dataValidation>
  </dataValidations>
  <pageMargins left="0.75" right="0.75" top="1" bottom="1" header="0.5" footer="0.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Q57"/>
  <sheetViews>
    <sheetView workbookViewId="0">
      <selection activeCell="B8" sqref="B8"/>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772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tbl-siena-unable-utilities-income</v>
      </c>
    </row>
    <row r="4" spans="1:17" x14ac:dyDescent="0.2">
      <c r="A4" s="16" t="s">
        <v>7</v>
      </c>
      <c r="B4" t="str">
        <f>IF($B$1="","",_xlfn.XLOOKUP($B$1,Master!$F$2:$F$321,Master!$H$2:$H$321,""))</f>
        <v>fig-siena-unable-utilities-income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2340</v>
      </c>
      <c r="H5" t="s">
        <v>2212</v>
      </c>
    </row>
    <row r="6" spans="1:17" ht="15" customHeight="1" x14ac:dyDescent="0.2">
      <c r="A6" t="s">
        <v>1088</v>
      </c>
      <c r="B6" t="b">
        <v>0</v>
      </c>
      <c r="E6" s="80"/>
      <c r="F6" t="s">
        <v>2180</v>
      </c>
      <c r="G6" s="15">
        <v>23</v>
      </c>
      <c r="H6" s="15">
        <v>77</v>
      </c>
      <c r="I6" s="15"/>
      <c r="J6" s="15"/>
      <c r="K6" s="15"/>
      <c r="L6" s="15"/>
      <c r="M6" s="15"/>
      <c r="N6" s="15"/>
      <c r="O6" s="15"/>
    </row>
    <row r="7" spans="1:17" ht="15.75" customHeight="1" x14ac:dyDescent="0.2">
      <c r="E7" s="80"/>
      <c r="F7" t="s">
        <v>2166</v>
      </c>
      <c r="G7" s="15">
        <v>20</v>
      </c>
      <c r="H7" s="15">
        <v>80</v>
      </c>
      <c r="I7" s="15"/>
      <c r="J7" s="15"/>
      <c r="K7" s="15"/>
      <c r="L7" s="15"/>
      <c r="M7" s="15"/>
      <c r="N7" s="15"/>
      <c r="O7" s="15"/>
    </row>
    <row r="8" spans="1:17" x14ac:dyDescent="0.2">
      <c r="E8" s="80"/>
      <c r="F8" t="s">
        <v>2167</v>
      </c>
      <c r="G8" s="15">
        <v>18</v>
      </c>
      <c r="H8" s="15">
        <v>82</v>
      </c>
      <c r="I8" s="15"/>
      <c r="J8" s="15"/>
      <c r="K8" s="15"/>
      <c r="L8" s="15"/>
      <c r="M8" s="15"/>
      <c r="N8" s="15"/>
      <c r="O8" s="15"/>
    </row>
    <row r="9" spans="1:17" x14ac:dyDescent="0.2">
      <c r="A9" s="83" t="s">
        <v>1098</v>
      </c>
      <c r="B9" s="80"/>
      <c r="E9" s="80"/>
      <c r="F9" t="s">
        <v>2168</v>
      </c>
      <c r="G9" s="15">
        <v>8</v>
      </c>
      <c r="H9" s="15">
        <v>92</v>
      </c>
      <c r="I9" s="15"/>
      <c r="J9" s="15"/>
      <c r="K9" s="15"/>
      <c r="L9" s="15"/>
      <c r="M9" s="15"/>
      <c r="N9" s="15"/>
      <c r="O9" s="15"/>
    </row>
    <row r="10" spans="1:17" x14ac:dyDescent="0.2">
      <c r="A10" t="s">
        <v>1100</v>
      </c>
      <c r="B10" t="s">
        <v>1300</v>
      </c>
      <c r="E10" s="80"/>
      <c r="F10" t="s">
        <v>2169</v>
      </c>
      <c r="G10" s="15">
        <v>9</v>
      </c>
      <c r="H10" s="15">
        <v>91</v>
      </c>
    </row>
    <row r="11" spans="1:17" x14ac:dyDescent="0.2">
      <c r="A11" t="s">
        <v>1102</v>
      </c>
      <c r="B11" t="s">
        <v>2181</v>
      </c>
      <c r="E11" s="80"/>
      <c r="G11" s="15"/>
      <c r="H11" s="15"/>
      <c r="I11" s="15"/>
      <c r="J11" s="17"/>
      <c r="K11" s="17"/>
      <c r="L11" s="17"/>
      <c r="M11" s="17"/>
      <c r="N11" s="17"/>
    </row>
    <row r="12" spans="1:17" x14ac:dyDescent="0.2">
      <c r="A12" t="s">
        <v>1104</v>
      </c>
      <c r="B12" t="s">
        <v>2164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A01-000000000000}">
      <formula1>"Line,Clustered Bar,Stacked Bar,Bar,Horizontal Stacked Bar"</formula1>
    </dataValidation>
    <dataValidation type="list" allowBlank="1" showInputMessage="1" showErrorMessage="1" sqref="B2" xr:uid="{00000000-0002-0000-1A01-000001000000}">
      <formula1>"Table,Figure,Both"</formula1>
    </dataValidation>
    <dataValidation type="list" allowBlank="1" showInputMessage="1" showErrorMessage="1" sqref="B6 B15:B16" xr:uid="{00000000-0002-0000-1A01-000002000000}">
      <formula1>"True,False"</formula1>
    </dataValidation>
  </dataValidations>
  <pageMargins left="0.75" right="0.75" top="1" bottom="1" header="0.5" footer="0.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Q57"/>
  <sheetViews>
    <sheetView workbookViewId="0">
      <selection activeCell="F22" sqref="F2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805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tbl-siena-unable-internet</v>
      </c>
    </row>
    <row r="4" spans="1:17" x14ac:dyDescent="0.2">
      <c r="A4" s="16" t="s">
        <v>7</v>
      </c>
      <c r="B4" t="str">
        <f>IF($B$1="","",_xlfn.XLOOKUP($B$1,Master!$F$2:$F$321,Master!$H$2:$H$321,""))</f>
        <v>fig-siena-unable-internet</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2341</v>
      </c>
    </row>
    <row r="6" spans="1:17" ht="15" customHeight="1" x14ac:dyDescent="0.2">
      <c r="A6" t="s">
        <v>1088</v>
      </c>
      <c r="B6" t="b">
        <v>0</v>
      </c>
      <c r="E6" s="80"/>
      <c r="F6">
        <v>2024</v>
      </c>
      <c r="G6" s="15">
        <v>18</v>
      </c>
      <c r="H6" s="15">
        <v>80</v>
      </c>
      <c r="I6" s="15">
        <v>2</v>
      </c>
      <c r="J6" s="15"/>
      <c r="K6" s="15"/>
      <c r="L6" s="15"/>
      <c r="M6" s="15"/>
      <c r="N6" s="15"/>
      <c r="O6" s="15"/>
    </row>
    <row r="7" spans="1:17" ht="15.75" customHeight="1" x14ac:dyDescent="0.2">
      <c r="E7" s="80"/>
      <c r="F7">
        <v>2023</v>
      </c>
      <c r="G7" s="15">
        <v>18</v>
      </c>
      <c r="H7" s="15">
        <v>81</v>
      </c>
      <c r="I7" s="15">
        <v>1</v>
      </c>
      <c r="J7" s="15"/>
      <c r="K7" s="15"/>
      <c r="L7" s="15"/>
      <c r="M7" s="15"/>
      <c r="N7" s="15"/>
      <c r="O7" s="15"/>
    </row>
    <row r="8" spans="1:17" x14ac:dyDescent="0.2">
      <c r="E8" s="80"/>
      <c r="F8">
        <v>2022</v>
      </c>
      <c r="G8" s="15">
        <v>17</v>
      </c>
      <c r="H8" s="15">
        <v>81</v>
      </c>
      <c r="I8" s="15">
        <v>2</v>
      </c>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B11" t="s">
        <v>2181</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B01-000000000000}">
      <formula1>"Line,Clustered Bar,Stacked Bar,Bar,Horizontal Stacked Bar"</formula1>
    </dataValidation>
    <dataValidation type="list" allowBlank="1" showInputMessage="1" showErrorMessage="1" sqref="B2" xr:uid="{00000000-0002-0000-1B01-000001000000}">
      <formula1>"Table,Figure,Both"</formula1>
    </dataValidation>
    <dataValidation type="list" allowBlank="1" showInputMessage="1" showErrorMessage="1" sqref="B6 B15:B16" xr:uid="{00000000-0002-0000-1B01-000002000000}">
      <formula1>"True,False"</formula1>
    </dataValidation>
  </dataValidations>
  <pageMargins left="0.75" right="0.75" top="1" bottom="1" header="0.5" footer="0.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Q57"/>
  <sheetViews>
    <sheetView topLeftCell="E1" workbookViewId="0">
      <selection activeCell="P25" sqref="P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16.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787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tbl-siena-unable-transportation</v>
      </c>
    </row>
    <row r="4" spans="1:17" x14ac:dyDescent="0.2">
      <c r="A4" s="16" t="s">
        <v>7</v>
      </c>
      <c r="B4" t="str">
        <f>IF($B$1="","",_xlfn.XLOOKUP($B$1,Master!$F$2:$F$321,Master!$H$2:$H$321,""))</f>
        <v>fig-siena-unable-transportation</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17</v>
      </c>
      <c r="H6" s="15">
        <v>83</v>
      </c>
      <c r="I6" s="15"/>
      <c r="J6" s="15"/>
      <c r="K6" s="15"/>
      <c r="L6" s="15"/>
      <c r="M6" s="15"/>
      <c r="N6" s="15"/>
      <c r="O6" s="15"/>
    </row>
    <row r="7" spans="1:17" ht="15.75" customHeight="1" x14ac:dyDescent="0.2">
      <c r="E7" s="80"/>
      <c r="F7">
        <v>2023</v>
      </c>
      <c r="G7" s="15">
        <v>17</v>
      </c>
      <c r="H7" s="15">
        <v>83</v>
      </c>
      <c r="I7" s="15"/>
      <c r="J7" s="15"/>
      <c r="K7" s="15"/>
      <c r="L7" s="15"/>
      <c r="M7" s="15"/>
      <c r="N7" s="15"/>
      <c r="O7" s="15"/>
    </row>
    <row r="8" spans="1:17" x14ac:dyDescent="0.2">
      <c r="E8" s="80"/>
      <c r="F8">
        <v>2022</v>
      </c>
      <c r="G8" s="15">
        <v>17</v>
      </c>
      <c r="H8" s="15">
        <v>83</v>
      </c>
      <c r="I8" s="15"/>
      <c r="J8" s="15"/>
      <c r="K8" s="15"/>
      <c r="L8" s="15"/>
      <c r="M8" s="15"/>
      <c r="N8" s="15"/>
      <c r="O8" s="15"/>
    </row>
    <row r="9" spans="1:17" x14ac:dyDescent="0.2">
      <c r="A9" s="83" t="s">
        <v>1098</v>
      </c>
      <c r="B9" s="80"/>
      <c r="E9" s="80"/>
      <c r="F9">
        <v>2018</v>
      </c>
      <c r="G9" s="15">
        <v>16</v>
      </c>
      <c r="H9" s="15">
        <v>83</v>
      </c>
      <c r="I9" s="15"/>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C01-000000000000}">
      <formula1>"Line,Clustered Bar,Stacked Bar,Bar,Horizontal Stacked Bar"</formula1>
    </dataValidation>
    <dataValidation type="list" allowBlank="1" showInputMessage="1" showErrorMessage="1" sqref="B2" xr:uid="{00000000-0002-0000-1C01-000001000000}">
      <formula1>"Table,Figure,Both"</formula1>
    </dataValidation>
    <dataValidation type="list" allowBlank="1" showInputMessage="1" showErrorMessage="1" sqref="B6 B15:B16" xr:uid="{00000000-0002-0000-1C01-000002000000}">
      <formula1>"True,False"</formula1>
    </dataValidation>
  </dataValidations>
  <pageMargins left="0.75" right="0.75" top="1" bottom="1" header="0.5" footer="0.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Q57"/>
  <sheetViews>
    <sheetView workbookViewId="0">
      <selection activeCell="M26" sqref="M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814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tbl-siena-routine-physical-income</v>
      </c>
    </row>
    <row r="4" spans="1:17" x14ac:dyDescent="0.2">
      <c r="A4" s="16" t="s">
        <v>7</v>
      </c>
      <c r="B4" t="str">
        <f>IF($B$1="","",_xlfn.XLOOKUP($B$1,Master!$F$2:$F$321,Master!$H$2:$H$321,""))</f>
        <v>fig-siena-routine-physical-income</v>
      </c>
      <c r="E4" s="8"/>
      <c r="F4" s="10" t="s">
        <v>1009</v>
      </c>
      <c r="G4" s="10" t="s">
        <v>979</v>
      </c>
      <c r="H4" s="10" t="s">
        <v>979</v>
      </c>
      <c r="I4" s="10"/>
      <c r="J4" s="10"/>
      <c r="K4" s="10"/>
      <c r="L4" s="10"/>
      <c r="M4" s="10"/>
      <c r="N4" s="10"/>
      <c r="O4" s="10"/>
      <c r="P4" s="10"/>
      <c r="Q4" s="10"/>
    </row>
    <row r="5" spans="1:17" x14ac:dyDescent="0.2">
      <c r="A5" s="83" t="s">
        <v>1081</v>
      </c>
      <c r="B5" s="80"/>
      <c r="E5" s="82" t="s">
        <v>1082</v>
      </c>
      <c r="F5" t="s">
        <v>2164</v>
      </c>
      <c r="G5" t="s">
        <v>2211</v>
      </c>
      <c r="H5" t="s">
        <v>2212</v>
      </c>
    </row>
    <row r="6" spans="1:17" ht="15" customHeight="1" x14ac:dyDescent="0.2">
      <c r="A6" t="s">
        <v>1088</v>
      </c>
      <c r="B6" t="b">
        <v>0</v>
      </c>
      <c r="E6" s="80"/>
      <c r="F6" t="s">
        <v>2180</v>
      </c>
      <c r="G6" s="15">
        <v>73</v>
      </c>
      <c r="H6" s="15">
        <v>27</v>
      </c>
      <c r="I6" s="15"/>
      <c r="J6" s="15"/>
      <c r="K6" s="15"/>
      <c r="L6" s="15"/>
      <c r="M6" s="15"/>
      <c r="N6" s="15"/>
      <c r="O6" s="15"/>
    </row>
    <row r="7" spans="1:17" ht="15.75" customHeight="1" x14ac:dyDescent="0.2">
      <c r="E7" s="80"/>
      <c r="F7" t="s">
        <v>2166</v>
      </c>
      <c r="G7" s="15">
        <v>74</v>
      </c>
      <c r="H7" s="15">
        <v>26</v>
      </c>
      <c r="I7" s="15"/>
      <c r="J7" s="15"/>
      <c r="K7" s="15"/>
      <c r="L7" s="15"/>
      <c r="M7" s="15"/>
      <c r="N7" s="15"/>
      <c r="O7" s="15"/>
    </row>
    <row r="8" spans="1:17" x14ac:dyDescent="0.2">
      <c r="E8" s="80"/>
      <c r="F8" t="s">
        <v>2167</v>
      </c>
      <c r="G8" s="15">
        <v>75</v>
      </c>
      <c r="H8" s="15">
        <v>25</v>
      </c>
      <c r="I8" s="15"/>
      <c r="J8" s="15"/>
      <c r="K8" s="15"/>
      <c r="L8" s="15"/>
      <c r="M8" s="15"/>
      <c r="N8" s="15"/>
      <c r="O8" s="15"/>
    </row>
    <row r="9" spans="1:17" x14ac:dyDescent="0.2">
      <c r="A9" s="83" t="s">
        <v>1098</v>
      </c>
      <c r="B9" s="80"/>
      <c r="E9" s="80"/>
      <c r="F9" t="s">
        <v>2168</v>
      </c>
      <c r="G9" s="15">
        <v>81</v>
      </c>
      <c r="H9" s="15">
        <v>19</v>
      </c>
      <c r="I9" s="15"/>
      <c r="J9" s="15"/>
      <c r="K9" s="15"/>
      <c r="L9" s="15"/>
      <c r="M9" s="15"/>
      <c r="N9" s="15"/>
      <c r="O9" s="15"/>
    </row>
    <row r="10" spans="1:17" x14ac:dyDescent="0.2">
      <c r="A10" t="s">
        <v>1100</v>
      </c>
      <c r="B10" t="s">
        <v>1300</v>
      </c>
      <c r="E10" s="80"/>
      <c r="F10" t="s">
        <v>2169</v>
      </c>
      <c r="G10" s="15">
        <v>89</v>
      </c>
      <c r="H10" s="15">
        <v>11</v>
      </c>
    </row>
    <row r="11" spans="1:17" x14ac:dyDescent="0.2">
      <c r="A11" t="s">
        <v>1102</v>
      </c>
      <c r="B11" t="s">
        <v>2181</v>
      </c>
      <c r="E11" s="80"/>
      <c r="G11" s="15"/>
      <c r="H11" s="15"/>
      <c r="I11" s="15"/>
      <c r="J11" s="17"/>
      <c r="K11" s="17"/>
      <c r="L11" s="17"/>
      <c r="M11" s="17"/>
      <c r="N11" s="17"/>
    </row>
    <row r="12" spans="1:17" x14ac:dyDescent="0.2">
      <c r="A12" t="s">
        <v>1104</v>
      </c>
      <c r="B12" t="s">
        <v>2164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D01-000000000000}">
      <formula1>"Line,Clustered Bar,Stacked Bar,Bar,Horizontal Stacked Bar"</formula1>
    </dataValidation>
    <dataValidation type="list" allowBlank="1" showInputMessage="1" showErrorMessage="1" sqref="B2" xr:uid="{00000000-0002-0000-1D01-000001000000}">
      <formula1>"Table,Figure,Both"</formula1>
    </dataValidation>
    <dataValidation type="list" allowBlank="1" showInputMessage="1" showErrorMessage="1" sqref="B6 B15:B16" xr:uid="{00000000-0002-0000-1D01-000002000000}">
      <formula1>"True,False"</formula1>
    </dataValidation>
  </dataValidations>
  <pageMargins left="0.75" right="0.75" top="1" bottom="1" header="0.5" footer="0.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Q57"/>
  <sheetViews>
    <sheetView workbookViewId="0">
      <selection activeCell="B12" sqref="B12"/>
    </sheetView>
  </sheetViews>
  <sheetFormatPr baseColWidth="10" defaultColWidth="8.6640625" defaultRowHeight="15" x14ac:dyDescent="0.2"/>
  <cols>
    <col min="1" max="1" width="20" bestFit="1" customWidth="1"/>
    <col min="2" max="2" width="22.1640625" bestFit="1" customWidth="1"/>
    <col min="5" max="5" width="6.6640625" customWidth="1"/>
    <col min="6" max="6" width="50.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829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tbl-siena-not-routine-dentist</v>
      </c>
    </row>
    <row r="4" spans="1:17" x14ac:dyDescent="0.2">
      <c r="A4" s="16" t="s">
        <v>7</v>
      </c>
      <c r="B4" t="str">
        <f>IF($B$1="","",_xlfn.XLOOKUP($B$1,Master!$F$2:$F$321,Master!$H$2:$H$321,""))</f>
        <v>fig-siena-not-routine-dentist</v>
      </c>
      <c r="E4" s="8"/>
      <c r="F4" s="10" t="s">
        <v>1009</v>
      </c>
      <c r="G4" s="10" t="s">
        <v>979</v>
      </c>
      <c r="H4" s="10" t="s">
        <v>979</v>
      </c>
      <c r="I4" s="10" t="s">
        <v>979</v>
      </c>
      <c r="J4" s="10"/>
      <c r="K4" s="10"/>
      <c r="L4" s="10"/>
      <c r="M4" s="10"/>
      <c r="N4" s="10"/>
      <c r="O4" s="10"/>
      <c r="P4" s="10"/>
      <c r="Q4" s="10"/>
    </row>
    <row r="5" spans="1:17" x14ac:dyDescent="0.2">
      <c r="A5" s="83" t="s">
        <v>1081</v>
      </c>
      <c r="B5" s="80"/>
      <c r="E5" s="82" t="s">
        <v>1082</v>
      </c>
      <c r="F5" t="s">
        <v>2215</v>
      </c>
      <c r="G5">
        <v>2022</v>
      </c>
      <c r="H5">
        <v>2023</v>
      </c>
      <c r="I5">
        <v>2024</v>
      </c>
    </row>
    <row r="6" spans="1:17" ht="15" customHeight="1" x14ac:dyDescent="0.2">
      <c r="A6" t="s">
        <v>1088</v>
      </c>
      <c r="B6" t="b">
        <v>0</v>
      </c>
      <c r="E6" s="80"/>
      <c r="F6" s="37" t="s">
        <v>2216</v>
      </c>
      <c r="G6" s="15">
        <v>29</v>
      </c>
      <c r="H6" s="15">
        <v>22</v>
      </c>
      <c r="I6" s="15">
        <v>24</v>
      </c>
      <c r="J6" s="15"/>
      <c r="K6" s="15"/>
      <c r="L6" s="15"/>
      <c r="M6" s="15"/>
      <c r="N6" s="15"/>
      <c r="O6" s="15"/>
    </row>
    <row r="7" spans="1:17" ht="15.75" customHeight="1" x14ac:dyDescent="0.2">
      <c r="E7" s="80"/>
      <c r="F7" s="37" t="s">
        <v>2217</v>
      </c>
      <c r="G7" s="15">
        <v>18</v>
      </c>
      <c r="H7" s="15">
        <v>20</v>
      </c>
      <c r="I7" s="15">
        <v>21</v>
      </c>
      <c r="J7" s="15"/>
      <c r="K7" s="15"/>
      <c r="L7" s="15"/>
      <c r="M7" s="15"/>
      <c r="N7" s="15"/>
      <c r="O7" s="15"/>
    </row>
    <row r="8" spans="1:17" x14ac:dyDescent="0.2">
      <c r="E8" s="80"/>
      <c r="F8" s="37" t="s">
        <v>2218</v>
      </c>
      <c r="G8" s="15">
        <v>4</v>
      </c>
      <c r="H8" s="15">
        <v>3</v>
      </c>
      <c r="I8" s="15">
        <v>8</v>
      </c>
      <c r="J8" s="15"/>
      <c r="K8" s="15"/>
      <c r="L8" s="15"/>
      <c r="M8" s="15"/>
      <c r="N8" s="15"/>
      <c r="O8" s="15"/>
    </row>
    <row r="9" spans="1:17" x14ac:dyDescent="0.2">
      <c r="A9" s="83" t="s">
        <v>1098</v>
      </c>
      <c r="B9" s="80"/>
      <c r="E9" s="80"/>
      <c r="F9" s="37" t="s">
        <v>2219</v>
      </c>
      <c r="G9" s="15">
        <v>19</v>
      </c>
      <c r="H9" s="15">
        <v>32</v>
      </c>
      <c r="I9" s="15">
        <v>31</v>
      </c>
      <c r="J9" s="15"/>
      <c r="K9" s="15"/>
      <c r="L9" s="15"/>
      <c r="M9" s="15"/>
      <c r="N9" s="15"/>
      <c r="O9" s="15"/>
    </row>
    <row r="10" spans="1:17" x14ac:dyDescent="0.2">
      <c r="A10" t="s">
        <v>1100</v>
      </c>
      <c r="B10" t="s">
        <v>1300</v>
      </c>
      <c r="E10" s="80"/>
      <c r="F10" s="37" t="s">
        <v>2220</v>
      </c>
      <c r="G10" s="15">
        <v>23</v>
      </c>
      <c r="H10" s="15">
        <v>9</v>
      </c>
      <c r="I10" s="15">
        <v>3</v>
      </c>
    </row>
    <row r="11" spans="1:17" x14ac:dyDescent="0.2">
      <c r="A11" t="s">
        <v>1102</v>
      </c>
      <c r="B11" t="s">
        <v>1303</v>
      </c>
      <c r="E11" s="80"/>
      <c r="F11" s="57" t="s">
        <v>2221</v>
      </c>
      <c r="G11" s="17">
        <v>22</v>
      </c>
      <c r="H11" s="17">
        <v>38</v>
      </c>
      <c r="I11" s="15">
        <v>37</v>
      </c>
      <c r="J11" s="17"/>
      <c r="K11" s="17"/>
      <c r="L11" s="17"/>
      <c r="M11" s="17"/>
      <c r="N11" s="17"/>
    </row>
    <row r="12" spans="1:17" x14ac:dyDescent="0.2">
      <c r="A12" t="s">
        <v>1104</v>
      </c>
      <c r="E12" s="80"/>
      <c r="F12" s="37" t="s">
        <v>2224</v>
      </c>
      <c r="G12" s="15">
        <v>8</v>
      </c>
      <c r="H12" s="15">
        <v>10</v>
      </c>
      <c r="I12" s="15">
        <v>14</v>
      </c>
      <c r="J12" s="15"/>
      <c r="K12" s="15"/>
      <c r="L12" s="15"/>
    </row>
    <row r="13" spans="1:17" x14ac:dyDescent="0.2">
      <c r="A13" t="s">
        <v>1108</v>
      </c>
      <c r="E13" s="80"/>
      <c r="F13" t="s">
        <v>1015</v>
      </c>
      <c r="G13">
        <v>11</v>
      </c>
      <c r="H13">
        <v>5</v>
      </c>
      <c r="I13">
        <v>4</v>
      </c>
    </row>
    <row r="14" spans="1:17" x14ac:dyDescent="0.2">
      <c r="A14" t="s">
        <v>1112</v>
      </c>
      <c r="E14" s="80"/>
      <c r="F14" t="s">
        <v>2179</v>
      </c>
      <c r="G14">
        <v>3</v>
      </c>
      <c r="H14">
        <v>5</v>
      </c>
      <c r="I14">
        <v>5</v>
      </c>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1E01-000000000000}">
      <formula1>"Line,Clustered Bar,Stacked Bar,Bar,Horizontal Stacked Bar"</formula1>
    </dataValidation>
    <dataValidation type="list" allowBlank="1" showInputMessage="1" showErrorMessage="1" sqref="B2" xr:uid="{00000000-0002-0000-1E01-000001000000}">
      <formula1>"Table,Figure,Both"</formula1>
    </dataValidation>
    <dataValidation type="list" allowBlank="1" showInputMessage="1" showErrorMessage="1" sqref="B6 B15:B16" xr:uid="{00000000-0002-0000-1E01-000002000000}">
      <formula1>"True,False"</formula1>
    </dataValidation>
  </dataValidations>
  <pageMargins left="0.75" right="0.75" top="1" bottom="1" header="0.5" footer="0.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sheetPr>
    <tabColor rgb="FFFFFF00"/>
  </sheetPr>
  <dimension ref="A1"/>
  <sheetViews>
    <sheetView workbookViewId="0"/>
  </sheetViews>
  <sheetFormatPr baseColWidth="10" defaultColWidth="8.83203125" defaultRowHeight="15" x14ac:dyDescent="0.2"/>
  <sheetData>
    <row r="1" spans="1:1" x14ac:dyDescent="0.2">
      <c r="A1" t="s">
        <v>1227</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t="s">
        <v>979</v>
      </c>
      <c r="M4" s="10" t="s">
        <v>979</v>
      </c>
      <c r="N4" s="10" t="s">
        <v>979</v>
      </c>
      <c r="O4" s="10" t="s">
        <v>979</v>
      </c>
      <c r="P4" s="10" t="s">
        <v>979</v>
      </c>
      <c r="Q4" s="10" t="s">
        <v>979</v>
      </c>
    </row>
    <row r="5" spans="1:17" x14ac:dyDescent="0.2">
      <c r="A5" s="83" t="s">
        <v>1081</v>
      </c>
      <c r="B5" s="80"/>
      <c r="E5" s="82" t="s">
        <v>1082</v>
      </c>
    </row>
    <row r="6" spans="1:17" ht="15" customHeight="1" x14ac:dyDescent="0.2">
      <c r="A6" t="s">
        <v>1088</v>
      </c>
      <c r="B6" t="b">
        <v>0</v>
      </c>
      <c r="E6" s="80"/>
      <c r="G6" s="15"/>
      <c r="H6" s="15"/>
      <c r="I6" s="15"/>
      <c r="J6" s="15"/>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001-000000000000}">
      <formula1>"True,False"</formula1>
    </dataValidation>
    <dataValidation type="list" allowBlank="1" showInputMessage="1" showErrorMessage="1" sqref="B2" xr:uid="{00000000-0002-0000-2001-000001000000}">
      <formula1>"Table,Figure,Both"</formula1>
    </dataValidation>
    <dataValidation type="list" allowBlank="1" showInputMessage="1" showErrorMessage="1" sqref="B10" xr:uid="{00000000-0002-0000-2001-000002000000}">
      <formula1>"Line,Clustered Bar,Stacked Bar,Bar,Horizontal Stacked Bar"</formula1>
    </dataValidation>
  </dataValidations>
  <pageMargins left="0.75" right="0.75" top="1" bottom="1" header="0.5" footer="0.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8.1640625" bestFit="1" customWidth="1"/>
    <col min="7" max="7" width="9.5"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949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tbl-siena-difficulty-help-for-child</v>
      </c>
    </row>
    <row r="4" spans="1:17" x14ac:dyDescent="0.2">
      <c r="A4" s="16" t="s">
        <v>7</v>
      </c>
      <c r="B4" t="str">
        <f>IF($B$1="","",_xlfn.XLOOKUP($B$1,Master!$F$2:$F$321,Master!$H$2:$H$321,""))</f>
        <v>fig-siena-difficulty-help-for-child</v>
      </c>
      <c r="E4" s="8"/>
      <c r="F4" s="10" t="s">
        <v>1009</v>
      </c>
      <c r="G4" s="10" t="s">
        <v>979</v>
      </c>
      <c r="H4" s="10"/>
      <c r="I4" s="10"/>
      <c r="J4" s="10"/>
      <c r="K4" s="10"/>
      <c r="L4" s="10"/>
      <c r="M4" s="10"/>
      <c r="N4" s="10"/>
      <c r="O4" s="10"/>
      <c r="P4" s="10"/>
      <c r="Q4" s="10"/>
    </row>
    <row r="5" spans="1:17" x14ac:dyDescent="0.2">
      <c r="A5" s="83" t="s">
        <v>1081</v>
      </c>
      <c r="B5" s="80"/>
      <c r="E5" s="82" t="s">
        <v>1082</v>
      </c>
      <c r="F5" t="s">
        <v>2232</v>
      </c>
      <c r="G5" t="s">
        <v>2151</v>
      </c>
    </row>
    <row r="6" spans="1:17" ht="15" customHeight="1" x14ac:dyDescent="0.2">
      <c r="A6" t="s">
        <v>1088</v>
      </c>
      <c r="B6" t="b">
        <v>0</v>
      </c>
      <c r="E6" s="80"/>
      <c r="F6" t="s">
        <v>2211</v>
      </c>
      <c r="G6" s="15">
        <v>12</v>
      </c>
      <c r="H6" s="63"/>
      <c r="I6" s="63"/>
      <c r="J6" s="63"/>
      <c r="K6" s="63"/>
      <c r="L6" s="15"/>
      <c r="M6" s="15"/>
      <c r="N6" s="15"/>
      <c r="O6" s="15"/>
    </row>
    <row r="7" spans="1:17" ht="15.75" customHeight="1" x14ac:dyDescent="0.2">
      <c r="E7" s="80"/>
      <c r="F7" t="s">
        <v>2212</v>
      </c>
      <c r="G7" s="15">
        <v>88</v>
      </c>
      <c r="H7" s="63"/>
      <c r="I7" s="63"/>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2342</v>
      </c>
      <c r="E10" s="80"/>
      <c r="G10" s="63"/>
      <c r="H10" s="64"/>
      <c r="I10" s="64"/>
      <c r="J10" s="64"/>
      <c r="K10" s="64"/>
    </row>
    <row r="11" spans="1:17" x14ac:dyDescent="0.2">
      <c r="A11" t="s">
        <v>1102</v>
      </c>
      <c r="E11" s="80"/>
      <c r="G11" s="63"/>
      <c r="H11" s="63"/>
      <c r="I11" s="63"/>
      <c r="J11" s="65"/>
      <c r="K11" s="65"/>
      <c r="L11" s="17"/>
      <c r="M11" s="17"/>
      <c r="N11" s="17"/>
    </row>
    <row r="12" spans="1:17" x14ac:dyDescent="0.2">
      <c r="A12" t="s">
        <v>1104</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E15" s="80"/>
    </row>
    <row r="16" spans="1:17" x14ac:dyDescent="0.2">
      <c r="A16" t="s">
        <v>1116</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2101-000000000000}">
      <formula1>"Line,Clustered Bar,Stacked Bar,Bar,Horizontal Stacked Bar,Pie Chart"</formula1>
    </dataValidation>
    <dataValidation type="list" allowBlank="1" showInputMessage="1" showErrorMessage="1" sqref="B2" xr:uid="{00000000-0002-0000-2101-000001000000}">
      <formula1>"Table,Figure,Both"</formula1>
    </dataValidation>
    <dataValidation type="list" allowBlank="1" showInputMessage="1" showErrorMessage="1" sqref="B6 B15:B16" xr:uid="{00000000-0002-0000-2101-000002000000}">
      <formula1>"True,False"</formula1>
    </dataValidation>
  </dataValidations>
  <pageMargins left="0.75" right="0.75" top="1" bottom="1" header="0.5" footer="0.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Q57"/>
  <sheetViews>
    <sheetView workbookViewId="0">
      <selection activeCell="D10" sqref="D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916</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tbl-siena-everything-effort</v>
      </c>
    </row>
    <row r="4" spans="1:17" x14ac:dyDescent="0.2">
      <c r="A4" s="16" t="s">
        <v>7</v>
      </c>
      <c r="B4" t="str">
        <f>IF($B$1="","",_xlfn.XLOOKUP($B$1,Master!$F$2:$F$321,Master!$H$2:$H$321,""))</f>
        <v>fig-siena-everything-effort</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2241</v>
      </c>
      <c r="H5" t="s">
        <v>2242</v>
      </c>
      <c r="I5" t="s">
        <v>2243</v>
      </c>
      <c r="J5" t="s">
        <v>2244</v>
      </c>
      <c r="K5" t="s">
        <v>2245</v>
      </c>
      <c r="L5" t="s">
        <v>2179</v>
      </c>
    </row>
    <row r="6" spans="1:17" ht="15" customHeight="1" x14ac:dyDescent="0.2">
      <c r="A6" t="s">
        <v>1088</v>
      </c>
      <c r="B6" t="b">
        <v>0</v>
      </c>
      <c r="E6" s="80"/>
      <c r="F6">
        <v>2024</v>
      </c>
      <c r="G6" s="15">
        <v>6</v>
      </c>
      <c r="H6" s="15">
        <v>9</v>
      </c>
      <c r="I6" s="15">
        <v>18</v>
      </c>
      <c r="J6" s="15">
        <v>18</v>
      </c>
      <c r="K6" s="15">
        <v>48</v>
      </c>
      <c r="L6" s="15">
        <v>1</v>
      </c>
      <c r="M6" s="15"/>
      <c r="N6" s="15"/>
      <c r="O6" s="15"/>
    </row>
    <row r="7" spans="1:17" ht="15.75" customHeight="1" x14ac:dyDescent="0.2">
      <c r="E7" s="80"/>
      <c r="F7">
        <v>2023</v>
      </c>
      <c r="G7" s="15">
        <v>7</v>
      </c>
      <c r="H7" s="15">
        <v>7</v>
      </c>
      <c r="I7" s="15">
        <v>20</v>
      </c>
      <c r="J7" s="15">
        <v>19</v>
      </c>
      <c r="K7" s="15">
        <v>46</v>
      </c>
      <c r="L7" s="15">
        <v>1</v>
      </c>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2201-000000000000}">
      <formula1>"Line,Clustered Bar,Stacked Bar,Bar,Horizontal Stacked Bar"</formula1>
    </dataValidation>
    <dataValidation type="list" allowBlank="1" showInputMessage="1" showErrorMessage="1" sqref="B2" xr:uid="{00000000-0002-0000-2201-000001000000}">
      <formula1>"Table,Figure,Both"</formula1>
    </dataValidation>
    <dataValidation type="list" allowBlank="1" showInputMessage="1" showErrorMessage="1" sqref="B6 B15:B16" xr:uid="{00000000-0002-0000-2201-000002000000}">
      <formula1>"True,False"</formula1>
    </dataValidation>
  </dataValidations>
  <pageMargins left="0.75" right="0.75" top="1" bottom="1" header="0.5" footer="0.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Q57"/>
  <sheetViews>
    <sheetView workbookViewId="0">
      <selection activeCell="G19" sqref="G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910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tbl-siena-depressed</v>
      </c>
    </row>
    <row r="4" spans="1:17" x14ac:dyDescent="0.2">
      <c r="A4" s="16" t="s">
        <v>7</v>
      </c>
      <c r="B4" t="str">
        <f>IF($B$1="","",_xlfn.XLOOKUP($B$1,Master!$F$2:$F$321,Master!$H$2:$H$321,""))</f>
        <v>fig-siena-depressed</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2241</v>
      </c>
      <c r="H5" t="s">
        <v>2242</v>
      </c>
      <c r="I5" t="s">
        <v>2243</v>
      </c>
      <c r="J5" t="s">
        <v>2244</v>
      </c>
      <c r="K5" t="s">
        <v>2245</v>
      </c>
      <c r="L5" t="s">
        <v>2179</v>
      </c>
    </row>
    <row r="6" spans="1:17" ht="15" customHeight="1" x14ac:dyDescent="0.2">
      <c r="A6" t="s">
        <v>1088</v>
      </c>
      <c r="B6" t="b">
        <v>0</v>
      </c>
      <c r="E6" s="80"/>
      <c r="F6">
        <v>2024</v>
      </c>
      <c r="G6" s="15">
        <v>1</v>
      </c>
      <c r="H6" s="15">
        <v>2</v>
      </c>
      <c r="I6" s="15">
        <v>9</v>
      </c>
      <c r="J6" s="15">
        <v>10</v>
      </c>
      <c r="K6" s="15">
        <v>78</v>
      </c>
      <c r="L6" s="15"/>
      <c r="M6" s="15"/>
      <c r="N6" s="15"/>
      <c r="O6" s="15"/>
    </row>
    <row r="7" spans="1:17" ht="15.75" customHeight="1" x14ac:dyDescent="0.2">
      <c r="E7" s="80"/>
      <c r="F7">
        <v>2023</v>
      </c>
      <c r="G7" s="15">
        <v>2</v>
      </c>
      <c r="H7" s="15">
        <v>3</v>
      </c>
      <c r="I7" s="15">
        <v>8</v>
      </c>
      <c r="J7" s="15">
        <v>13</v>
      </c>
      <c r="K7" s="15">
        <v>73</v>
      </c>
      <c r="L7" s="15">
        <v>1</v>
      </c>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301-000000000000}">
      <formula1>"True,False"</formula1>
    </dataValidation>
    <dataValidation type="list" allowBlank="1" showInputMessage="1" showErrorMessage="1" sqref="B2" xr:uid="{00000000-0002-0000-2301-000001000000}">
      <formula1>"Table,Figure,Both"</formula1>
    </dataValidation>
    <dataValidation type="list" allowBlank="1" showInputMessage="1" showErrorMessage="1" sqref="B10" xr:uid="{00000000-0002-0000-2301-000002000000}">
      <formula1>"Line,Clustered Bar,Stacked Bar,Bar,Horizontal Stacked Bar"</formula1>
    </dataValidation>
  </dataValidations>
  <pageMargins left="0.75" right="0.75" top="1" bottom="1" header="0.5" footer="0.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Q57"/>
  <sheetViews>
    <sheetView workbookViewId="0">
      <selection activeCell="G13" sqref="G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904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tbl-siena-restless-fidgety</v>
      </c>
    </row>
    <row r="4" spans="1:17" x14ac:dyDescent="0.2">
      <c r="A4" s="16" t="s">
        <v>7</v>
      </c>
      <c r="B4" t="str">
        <f>IF($B$1="","",_xlfn.XLOOKUP($B$1,Master!$F$2:$F$321,Master!$H$2:$H$321,""))</f>
        <v>fig-siena-restless-fidgety</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2241</v>
      </c>
      <c r="H5" t="s">
        <v>2242</v>
      </c>
      <c r="I5" t="s">
        <v>2243</v>
      </c>
      <c r="J5" t="s">
        <v>2244</v>
      </c>
      <c r="K5" t="s">
        <v>2245</v>
      </c>
      <c r="L5" t="s">
        <v>2179</v>
      </c>
    </row>
    <row r="6" spans="1:17" ht="15" customHeight="1" x14ac:dyDescent="0.2">
      <c r="A6" t="s">
        <v>1088</v>
      </c>
      <c r="B6" t="b">
        <v>0</v>
      </c>
      <c r="E6" s="80"/>
      <c r="F6">
        <v>2024</v>
      </c>
      <c r="G6" s="15">
        <v>4</v>
      </c>
      <c r="H6" s="15">
        <v>7</v>
      </c>
      <c r="I6" s="15">
        <v>21</v>
      </c>
      <c r="J6" s="15">
        <v>19</v>
      </c>
      <c r="K6" s="15">
        <v>49</v>
      </c>
      <c r="L6" s="15"/>
      <c r="M6" s="15"/>
      <c r="N6" s="15"/>
      <c r="O6" s="15"/>
    </row>
    <row r="7" spans="1:17" ht="15.75" customHeight="1" x14ac:dyDescent="0.2">
      <c r="E7" s="80"/>
      <c r="F7">
        <v>2023</v>
      </c>
      <c r="G7" s="15">
        <v>7</v>
      </c>
      <c r="H7" s="15">
        <v>7</v>
      </c>
      <c r="I7" s="15">
        <v>21</v>
      </c>
      <c r="J7" s="15">
        <v>18</v>
      </c>
      <c r="K7" s="15">
        <v>46</v>
      </c>
      <c r="L7" s="15">
        <v>1</v>
      </c>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2401-000000000000}">
      <formula1>"Line,Clustered Bar,Stacked Bar,Bar,Horizontal Stacked Bar"</formula1>
    </dataValidation>
    <dataValidation type="list" allowBlank="1" showInputMessage="1" showErrorMessage="1" sqref="B2" xr:uid="{00000000-0002-0000-2401-000001000000}">
      <formula1>"Table,Figure,Both"</formula1>
    </dataValidation>
    <dataValidation type="list" allowBlank="1" showInputMessage="1" showErrorMessage="1" sqref="B6 B15:B16" xr:uid="{00000000-0002-0000-2401-000002000000}">
      <formula1>"True,False"</formula1>
    </dataValidation>
  </dataValidations>
  <pageMargins left="0.75" right="0.75" top="1" bottom="1" header="0.5" footer="0.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Q57"/>
  <sheetViews>
    <sheetView workbookViewId="0">
      <selection activeCell="K12" sqref="K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3.83203125" bestFit="1" customWidth="1"/>
    <col min="8" max="8" width="8.33203125" bestFit="1" customWidth="1"/>
    <col min="9" max="9" width="8.83203125" bestFit="1" customWidth="1"/>
    <col min="10" max="10" width="9" bestFit="1" customWidth="1"/>
    <col min="11" max="11" width="16.3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898</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tbl-siena-feeling-hopeless</v>
      </c>
    </row>
    <row r="4" spans="1:17" x14ac:dyDescent="0.2">
      <c r="A4" s="16" t="s">
        <v>7</v>
      </c>
      <c r="B4" t="str">
        <f>IF($B$1="","",_xlfn.XLOOKUP($B$1,Master!$F$2:$F$321,Master!$H$2:$H$321,""))</f>
        <v>fig-siena-feeling-hopeless</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2241</v>
      </c>
      <c r="H5" t="s">
        <v>2242</v>
      </c>
      <c r="I5" t="s">
        <v>2243</v>
      </c>
      <c r="J5" t="s">
        <v>2244</v>
      </c>
      <c r="K5" t="s">
        <v>2245</v>
      </c>
      <c r="L5" t="s">
        <v>2179</v>
      </c>
    </row>
    <row r="6" spans="1:17" ht="15" customHeight="1" x14ac:dyDescent="0.2">
      <c r="A6" t="s">
        <v>1088</v>
      </c>
      <c r="B6" t="b">
        <v>0</v>
      </c>
      <c r="E6" s="80"/>
      <c r="F6">
        <v>2024</v>
      </c>
      <c r="G6" s="15">
        <v>1</v>
      </c>
      <c r="H6" s="15">
        <v>3</v>
      </c>
      <c r="I6" s="15">
        <v>11</v>
      </c>
      <c r="J6" s="15">
        <v>10</v>
      </c>
      <c r="K6" s="15">
        <v>74</v>
      </c>
      <c r="L6" s="15">
        <v>0</v>
      </c>
      <c r="M6" s="15"/>
      <c r="N6" s="15"/>
      <c r="O6" s="15"/>
    </row>
    <row r="7" spans="1:17" ht="15.75" customHeight="1" x14ac:dyDescent="0.2">
      <c r="E7" s="80"/>
      <c r="F7">
        <v>2023</v>
      </c>
      <c r="G7" s="15">
        <v>3</v>
      </c>
      <c r="H7" s="15">
        <v>3</v>
      </c>
      <c r="I7" s="15">
        <v>9</v>
      </c>
      <c r="J7" s="15">
        <v>15</v>
      </c>
      <c r="K7" s="15">
        <v>69</v>
      </c>
      <c r="L7" s="15">
        <v>0</v>
      </c>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disablePrompts="1" count="3">
    <dataValidation type="list" allowBlank="1" showInputMessage="1" showErrorMessage="1" sqref="B6 B15:B16" xr:uid="{00000000-0002-0000-2501-000000000000}">
      <formula1>"True,False"</formula1>
    </dataValidation>
    <dataValidation type="list" allowBlank="1" showInputMessage="1" showErrorMessage="1" sqref="B2" xr:uid="{00000000-0002-0000-2501-000001000000}">
      <formula1>"Table,Figure,Both"</formula1>
    </dataValidation>
    <dataValidation type="list" allowBlank="1" showInputMessage="1" showErrorMessage="1" sqref="B10" xr:uid="{00000000-0002-0000-2501-000002000000}">
      <formula1>"Line,Clustered Bar,Stacked Bar,Bar,Horizontal Stacked Bar"</formula1>
    </dataValidation>
  </dataValidations>
  <pageMargins left="0.75" right="0.75" top="1" bottom="1" header="0.5" footer="0.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892</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tbl-siena-feeling-nervous</v>
      </c>
    </row>
    <row r="4" spans="1:17" x14ac:dyDescent="0.2">
      <c r="A4" s="16" t="s">
        <v>7</v>
      </c>
      <c r="B4" t="str">
        <f>IF($B$1="","",_xlfn.XLOOKUP($B$1,Master!$F$2:$F$321,Master!$H$2:$H$321,""))</f>
        <v>fig-siena-feeling-nervous</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2241</v>
      </c>
      <c r="H5" t="s">
        <v>2242</v>
      </c>
      <c r="I5" t="s">
        <v>2243</v>
      </c>
      <c r="J5" t="s">
        <v>2244</v>
      </c>
      <c r="K5" t="s">
        <v>2245</v>
      </c>
      <c r="L5" t="s">
        <v>2179</v>
      </c>
    </row>
    <row r="6" spans="1:17" ht="15" customHeight="1" x14ac:dyDescent="0.2">
      <c r="A6" t="s">
        <v>1088</v>
      </c>
      <c r="B6" t="b">
        <v>0</v>
      </c>
      <c r="E6" s="80"/>
      <c r="F6">
        <v>2024</v>
      </c>
      <c r="G6" s="15">
        <v>4</v>
      </c>
      <c r="H6" s="15">
        <v>8</v>
      </c>
      <c r="I6" s="15">
        <v>24</v>
      </c>
      <c r="J6" s="15">
        <v>24</v>
      </c>
      <c r="K6" s="15">
        <v>40</v>
      </c>
      <c r="L6" s="15"/>
      <c r="M6" s="15"/>
      <c r="N6" s="15"/>
      <c r="O6" s="15"/>
    </row>
    <row r="7" spans="1:17" ht="15.75" customHeight="1" x14ac:dyDescent="0.2">
      <c r="E7" s="80"/>
      <c r="F7">
        <v>2023</v>
      </c>
      <c r="G7" s="15">
        <v>5</v>
      </c>
      <c r="H7" s="15">
        <v>8</v>
      </c>
      <c r="I7" s="15">
        <v>22</v>
      </c>
      <c r="J7" s="15">
        <v>25</v>
      </c>
      <c r="K7" s="15">
        <v>38</v>
      </c>
      <c r="L7" s="15">
        <v>2</v>
      </c>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601-000000000000}">
      <formula1>"True,False"</formula1>
    </dataValidation>
    <dataValidation type="list" allowBlank="1" showInputMessage="1" showErrorMessage="1" sqref="B2" xr:uid="{00000000-0002-0000-2601-000001000000}">
      <formula1>"Table,Figure,Both"</formula1>
    </dataValidation>
    <dataValidation type="list" allowBlank="1" showInputMessage="1" showErrorMessage="1" sqref="B10" xr:uid="{00000000-0002-0000-2601-000002000000}">
      <formula1>"Line,Clustered Bar,Stacked Bar,Bar,Horizontal Stacked Bar"</formula1>
    </dataValidation>
  </dataValidations>
  <pageMargins left="0.75" right="0.75" top="1" bottom="1" header="0.5" footer="0.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Q57"/>
  <sheetViews>
    <sheetView workbookViewId="0">
      <selection activeCell="N12" sqref="N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889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tbl-siena-flu-vaccine-60yo</v>
      </c>
    </row>
    <row r="4" spans="1:17" x14ac:dyDescent="0.2">
      <c r="A4" s="16" t="s">
        <v>7</v>
      </c>
      <c r="B4" t="str">
        <f>IF($B$1="","",_xlfn.XLOOKUP($B$1,Master!$F$2:$F$321,Master!$H$2:$H$321,""))</f>
        <v>fig-siena-flu-vaccine-60yo</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2343</v>
      </c>
    </row>
    <row r="6" spans="1:17" ht="15" customHeight="1" x14ac:dyDescent="0.2">
      <c r="A6" t="s">
        <v>1088</v>
      </c>
      <c r="B6" t="b">
        <v>0</v>
      </c>
      <c r="E6" s="80"/>
      <c r="F6">
        <v>2024</v>
      </c>
      <c r="G6" s="15">
        <v>19</v>
      </c>
      <c r="H6" s="15">
        <v>72</v>
      </c>
      <c r="I6" s="15">
        <v>8</v>
      </c>
      <c r="J6" s="63"/>
      <c r="K6" s="63"/>
      <c r="L6" s="15"/>
      <c r="M6" s="15"/>
      <c r="N6" s="15"/>
      <c r="O6" s="15"/>
    </row>
    <row r="7" spans="1:17" ht="15.75" customHeight="1" x14ac:dyDescent="0.2">
      <c r="E7" s="80"/>
      <c r="G7" s="63"/>
      <c r="H7" s="63"/>
      <c r="I7" s="63"/>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701-000000000000}">
      <formula1>"True,False"</formula1>
    </dataValidation>
    <dataValidation type="list" allowBlank="1" showInputMessage="1" showErrorMessage="1" sqref="B2" xr:uid="{00000000-0002-0000-2701-000001000000}">
      <formula1>"Table,Figure,Both"</formula1>
    </dataValidation>
    <dataValidation type="list" allowBlank="1" showInputMessage="1" showErrorMessage="1" sqref="B10" xr:uid="{00000000-0002-0000-2701-000002000000}">
      <formula1>"Line,Clustered Bar,Stacked Bar,Bar,Horizontal Stacked Bar"</formula1>
    </dataValidation>
  </dataValidations>
  <pageMargins left="0.75" right="0.75" top="1" bottom="1" header="0.5" footer="0.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Q57"/>
  <sheetViews>
    <sheetView workbookViewId="0">
      <selection activeCell="K20" sqref="K2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883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tbl-siena-flu-vaccine</v>
      </c>
    </row>
    <row r="4" spans="1:17" x14ac:dyDescent="0.2">
      <c r="A4" s="16" t="s">
        <v>7</v>
      </c>
      <c r="B4" t="str">
        <f>IF($B$1="","",_xlfn.XLOOKUP($B$1,Master!$F$2:$F$321,Master!$H$2:$H$321,""))</f>
        <v>fig-siena-flu-vaccine</v>
      </c>
      <c r="E4" s="8"/>
      <c r="F4" s="10" t="s">
        <v>1009</v>
      </c>
      <c r="G4" s="10" t="s">
        <v>979</v>
      </c>
      <c r="H4" s="10" t="s">
        <v>979</v>
      </c>
      <c r="I4" s="10"/>
      <c r="J4" s="10"/>
      <c r="K4" s="10"/>
      <c r="L4" s="10"/>
      <c r="M4" s="10"/>
      <c r="N4" s="10"/>
      <c r="O4" s="10"/>
      <c r="P4" s="10"/>
      <c r="Q4" s="10"/>
    </row>
    <row r="5" spans="1:17" x14ac:dyDescent="0.2">
      <c r="A5" s="83" t="s">
        <v>1081</v>
      </c>
      <c r="B5" s="80"/>
      <c r="E5" s="82" t="s">
        <v>1082</v>
      </c>
      <c r="F5" t="s">
        <v>1303</v>
      </c>
      <c r="G5" t="s">
        <v>2211</v>
      </c>
      <c r="H5" t="s">
        <v>2212</v>
      </c>
    </row>
    <row r="6" spans="1:17" ht="15" customHeight="1" x14ac:dyDescent="0.2">
      <c r="A6" t="s">
        <v>1088</v>
      </c>
      <c r="B6" t="b">
        <v>0</v>
      </c>
      <c r="E6" s="80"/>
      <c r="F6">
        <v>2024</v>
      </c>
      <c r="G6" s="15">
        <v>46</v>
      </c>
      <c r="H6" s="15">
        <v>53</v>
      </c>
      <c r="I6" s="63"/>
      <c r="J6" s="63"/>
      <c r="K6" s="63"/>
      <c r="L6" s="15"/>
      <c r="M6" s="15"/>
      <c r="N6" s="15"/>
      <c r="O6" s="15"/>
    </row>
    <row r="7" spans="1:17" ht="15.75" customHeight="1" x14ac:dyDescent="0.2">
      <c r="E7" s="80"/>
      <c r="G7" s="63"/>
      <c r="H7" s="63"/>
      <c r="I7" s="63"/>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2801-000000000000}">
      <formula1>"Line,Clustered Bar,Stacked Bar,Bar,Horizontal Stacked Bar"</formula1>
    </dataValidation>
    <dataValidation type="list" allowBlank="1" showInputMessage="1" showErrorMessage="1" sqref="B2" xr:uid="{00000000-0002-0000-2801-000001000000}">
      <formula1>"Table,Figure,Both"</formula1>
    </dataValidation>
    <dataValidation type="list" allowBlank="1" showInputMessage="1" showErrorMessage="1" sqref="B6 B15:B16" xr:uid="{00000000-0002-0000-2801-000002000000}">
      <formula1>"True,False"</formula1>
    </dataValidation>
  </dataValidations>
  <pageMargins left="0.75" right="0.75" top="1" bottom="1" header="0.5" footer="0.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sheetPr>
    <tabColor rgb="FFFF0000"/>
  </sheetPr>
  <dimension ref="A1:Q57"/>
  <sheetViews>
    <sheetView workbookViewId="0">
      <selection activeCell="G17" sqref="G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877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tbl-siena-updated-covid-vaccine</v>
      </c>
    </row>
    <row r="4" spans="1:17" x14ac:dyDescent="0.2">
      <c r="A4" s="16" t="s">
        <v>7</v>
      </c>
      <c r="B4" t="str">
        <f>IF($B$1="","",_xlfn.XLOOKUP($B$1,Master!$F$2:$F$321,Master!$H$2:$H$321,""))</f>
        <v>fig-siena-updated-covid-vaccine</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2237</v>
      </c>
      <c r="H5" t="s">
        <v>2238</v>
      </c>
      <c r="I5" t="s">
        <v>2239</v>
      </c>
      <c r="J5" t="s">
        <v>2240</v>
      </c>
      <c r="K5" t="s">
        <v>2190</v>
      </c>
    </row>
    <row r="6" spans="1:17" ht="15" customHeight="1" x14ac:dyDescent="0.2">
      <c r="A6" t="s">
        <v>1088</v>
      </c>
      <c r="B6" t="b">
        <v>0</v>
      </c>
      <c r="E6" s="80"/>
      <c r="F6">
        <v>2024</v>
      </c>
      <c r="G6" s="15">
        <v>22</v>
      </c>
      <c r="H6" s="15">
        <v>13</v>
      </c>
      <c r="I6" s="15">
        <v>14</v>
      </c>
      <c r="J6" s="15">
        <v>49</v>
      </c>
      <c r="K6" s="15">
        <v>1</v>
      </c>
      <c r="L6" s="15"/>
      <c r="M6" s="15"/>
      <c r="N6" s="15"/>
      <c r="O6" s="15"/>
    </row>
    <row r="7" spans="1:17" ht="15.75" customHeight="1" x14ac:dyDescent="0.2">
      <c r="E7" s="80"/>
      <c r="G7" s="63"/>
      <c r="H7" s="63"/>
      <c r="I7" s="63"/>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901-000000000000}">
      <formula1>"True,False"</formula1>
    </dataValidation>
    <dataValidation type="list" allowBlank="1" showInputMessage="1" showErrorMessage="1" sqref="B2" xr:uid="{00000000-0002-0000-2901-000001000000}">
      <formula1>"Table,Figure,Both"</formula1>
    </dataValidation>
    <dataValidation type="list" allowBlank="1" showInputMessage="1" showErrorMessage="1" sqref="B10" xr:uid="{00000000-0002-0000-2901-000002000000}">
      <formula1>"Line,Clustered Bar,Stacked Bar,Bar,Horizontal Stacked Bar"</formula1>
    </dataValidation>
  </dataValidations>
  <pageMargins left="0.75" right="0.75" top="1" bottom="1" header="0.5" footer="0.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Q57"/>
  <sheetViews>
    <sheetView workbookViewId="0">
      <selection activeCell="C19" sqref="C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871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tbl-siena-covid-vaccine</v>
      </c>
    </row>
    <row r="4" spans="1:17" x14ac:dyDescent="0.2">
      <c r="A4" s="16" t="s">
        <v>7</v>
      </c>
      <c r="B4" t="str">
        <f>IF($B$1="","",_xlfn.XLOOKUP($B$1,Master!$F$2:$F$321,Master!$H$2:$H$321,""))</f>
        <v>fig-siena-covid-vaccine</v>
      </c>
      <c r="E4" s="8"/>
      <c r="F4" s="10" t="s">
        <v>1009</v>
      </c>
      <c r="G4" s="10" t="s">
        <v>979</v>
      </c>
      <c r="H4" s="10" t="s">
        <v>979</v>
      </c>
      <c r="I4" s="10"/>
      <c r="J4" s="10"/>
      <c r="K4" s="10"/>
      <c r="L4" s="10"/>
      <c r="M4" s="10"/>
      <c r="N4" s="10"/>
      <c r="O4" s="10"/>
      <c r="P4" s="10"/>
      <c r="Q4" s="10"/>
    </row>
    <row r="5" spans="1:17" x14ac:dyDescent="0.2">
      <c r="A5" s="83" t="s">
        <v>1081</v>
      </c>
      <c r="B5" s="80"/>
      <c r="E5" s="82" t="s">
        <v>1082</v>
      </c>
      <c r="F5" t="s">
        <v>1303</v>
      </c>
      <c r="G5" t="s">
        <v>2211</v>
      </c>
      <c r="H5" t="s">
        <v>2212</v>
      </c>
    </row>
    <row r="6" spans="1:17" ht="15" customHeight="1" x14ac:dyDescent="0.2">
      <c r="A6" t="s">
        <v>1088</v>
      </c>
      <c r="B6" t="b">
        <v>0</v>
      </c>
      <c r="E6" s="80"/>
      <c r="F6">
        <v>2024</v>
      </c>
      <c r="G6" s="15">
        <v>74</v>
      </c>
      <c r="H6" s="15">
        <v>25</v>
      </c>
      <c r="I6" s="63"/>
      <c r="J6" s="63"/>
      <c r="K6" s="63"/>
      <c r="L6" s="15"/>
      <c r="M6" s="15"/>
      <c r="N6" s="15"/>
      <c r="O6" s="15"/>
    </row>
    <row r="7" spans="1:17" ht="15.75" customHeight="1" x14ac:dyDescent="0.2">
      <c r="E7" s="80"/>
      <c r="G7" s="63"/>
      <c r="H7" s="63"/>
      <c r="I7" s="63"/>
      <c r="J7" s="63"/>
      <c r="K7" s="63"/>
      <c r="L7" s="15"/>
      <c r="M7" s="15"/>
      <c r="N7" s="15"/>
      <c r="O7" s="15"/>
    </row>
    <row r="8" spans="1:17" x14ac:dyDescent="0.2">
      <c r="E8" s="80"/>
      <c r="G8" s="63"/>
      <c r="H8" s="63"/>
      <c r="I8" s="63"/>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A01-000000000000}">
      <formula1>"True,False"</formula1>
    </dataValidation>
    <dataValidation type="list" allowBlank="1" showInputMessage="1" showErrorMessage="1" sqref="B2" xr:uid="{00000000-0002-0000-2A01-000001000000}">
      <formula1>"Table,Figure,Both"</formula1>
    </dataValidation>
    <dataValidation type="list" allowBlank="1" showInputMessage="1" showErrorMessage="1" sqref="B10" xr:uid="{00000000-0002-0000-2A01-000002000000}">
      <formula1>"Line,Clustered Bar,Stacked Bar,Bar,Horizontal Stacked Bar"</formula1>
    </dataValidation>
  </dataValidations>
  <pageMargins left="0.75" right="0.75" top="1" bottom="1" header="0.5" footer="0.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865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tbl-siena-had-long-covid</v>
      </c>
    </row>
    <row r="4" spans="1:17" x14ac:dyDescent="0.2">
      <c r="A4" s="16" t="s">
        <v>7</v>
      </c>
      <c r="B4" t="str">
        <f>IF($B$1="","",_xlfn.XLOOKUP($B$1,Master!$F$2:$F$321,Master!$H$2:$H$321,""))</f>
        <v>fig-siena-had-long-covid</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17</v>
      </c>
      <c r="H6" s="15">
        <v>81</v>
      </c>
      <c r="I6" s="15">
        <v>1</v>
      </c>
      <c r="J6" s="63"/>
      <c r="K6" s="63"/>
      <c r="L6" s="15"/>
      <c r="M6" s="15"/>
      <c r="N6" s="15"/>
      <c r="O6" s="15"/>
    </row>
    <row r="7" spans="1:17" ht="15.75" customHeight="1" x14ac:dyDescent="0.2">
      <c r="E7" s="80"/>
      <c r="F7">
        <v>2023</v>
      </c>
      <c r="G7" s="15">
        <v>22</v>
      </c>
      <c r="H7" s="15">
        <v>75</v>
      </c>
      <c r="I7" s="15">
        <v>3</v>
      </c>
      <c r="J7" s="63"/>
      <c r="K7" s="63"/>
      <c r="L7" s="15"/>
      <c r="M7" s="15"/>
      <c r="N7" s="15"/>
      <c r="O7" s="15"/>
    </row>
    <row r="8" spans="1:17" x14ac:dyDescent="0.2">
      <c r="E8" s="80"/>
      <c r="F8">
        <v>2022</v>
      </c>
      <c r="G8" s="15">
        <v>23</v>
      </c>
      <c r="H8" s="15">
        <v>74</v>
      </c>
      <c r="I8" s="15">
        <v>4</v>
      </c>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B01-000000000000}">
      <formula1>"True,False"</formula1>
    </dataValidation>
    <dataValidation type="list" allowBlank="1" showInputMessage="1" showErrorMessage="1" sqref="B2" xr:uid="{00000000-0002-0000-2B01-000001000000}">
      <formula1>"Table,Figure,Both"</formula1>
    </dataValidation>
    <dataValidation type="list" allowBlank="1" showInputMessage="1" showErrorMessage="1" sqref="B10" xr:uid="{00000000-0002-0000-2B01-000002000000}">
      <formula1>"Line,Clustered Bar,Stacked Bar,Bar,Horizontal Stacked Bar"</formula1>
    </dataValidation>
  </dataValidations>
  <pageMargins left="0.75" right="0.75" top="1" bottom="1" header="0.5" footer="0.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859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tbl-siena-had-covid</v>
      </c>
    </row>
    <row r="4" spans="1:17" x14ac:dyDescent="0.2">
      <c r="A4" s="16" t="s">
        <v>7</v>
      </c>
      <c r="B4" t="str">
        <f>IF($B$1="","",_xlfn.XLOOKUP($B$1,Master!$F$2:$F$321,Master!$H$2:$H$321,""))</f>
        <v>fig-siena-had-covid</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63</v>
      </c>
      <c r="H6" s="15">
        <v>33</v>
      </c>
      <c r="I6" s="15">
        <v>2</v>
      </c>
      <c r="J6" s="63"/>
      <c r="K6" s="63"/>
      <c r="L6" s="15"/>
      <c r="M6" s="15"/>
      <c r="N6" s="15"/>
      <c r="O6" s="15"/>
    </row>
    <row r="7" spans="1:17" ht="15.75" customHeight="1" x14ac:dyDescent="0.2">
      <c r="E7" s="80"/>
      <c r="F7">
        <v>2023</v>
      </c>
      <c r="G7" s="15">
        <v>62</v>
      </c>
      <c r="H7" s="15">
        <v>35</v>
      </c>
      <c r="I7" s="15">
        <v>3</v>
      </c>
      <c r="J7" s="63"/>
      <c r="K7" s="63"/>
      <c r="L7" s="15"/>
      <c r="M7" s="15"/>
      <c r="N7" s="15"/>
      <c r="O7" s="15"/>
    </row>
    <row r="8" spans="1:17" x14ac:dyDescent="0.2">
      <c r="E8" s="80"/>
      <c r="F8">
        <v>2022</v>
      </c>
      <c r="G8" s="15">
        <v>37</v>
      </c>
      <c r="H8" s="15">
        <v>58</v>
      </c>
      <c r="I8" s="15">
        <v>5</v>
      </c>
      <c r="J8" s="63"/>
      <c r="K8" s="63"/>
      <c r="L8" s="15"/>
      <c r="M8" s="15"/>
      <c r="N8" s="15"/>
      <c r="O8" s="15"/>
    </row>
    <row r="9" spans="1:17" x14ac:dyDescent="0.2">
      <c r="A9" s="83" t="s">
        <v>1098</v>
      </c>
      <c r="B9" s="80"/>
      <c r="E9" s="80"/>
      <c r="G9" s="15"/>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C01-000000000000}">
      <formula1>"True,False"</formula1>
    </dataValidation>
    <dataValidation type="list" allowBlank="1" showInputMessage="1" showErrorMessage="1" sqref="B2" xr:uid="{00000000-0002-0000-2C01-000001000000}">
      <formula1>"Table,Figure,Both"</formula1>
    </dataValidation>
    <dataValidation type="list" allowBlank="1" showInputMessage="1" showErrorMessage="1" sqref="B10" xr:uid="{00000000-0002-0000-2C01-000002000000}">
      <formula1>"Line,Clustered Bar,Stacked Bar,Bar,Horizontal Stacked Bar"</formula1>
    </dataValidation>
  </dataValidations>
  <pageMargins left="0.75" right="0.75" top="1" bottom="1" header="0.5" footer="0.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Q57"/>
  <sheetViews>
    <sheetView workbookViewId="0">
      <selection activeCell="J28" sqref="J28"/>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847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tbl-siena-routine-mh-visit</v>
      </c>
    </row>
    <row r="4" spans="1:17" x14ac:dyDescent="0.2">
      <c r="A4" s="16" t="s">
        <v>7</v>
      </c>
      <c r="B4" t="str">
        <f>IF($B$1="","",_xlfn.XLOOKUP($B$1,Master!$F$2:$F$321,Master!$H$2:$H$321,""))</f>
        <v>fig-siena-routine-mh-visit</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22</v>
      </c>
      <c r="H6" s="15">
        <v>78</v>
      </c>
      <c r="I6" s="15"/>
      <c r="J6" s="63"/>
      <c r="K6" s="63"/>
      <c r="L6" s="15"/>
      <c r="M6" s="15"/>
      <c r="N6" s="15"/>
      <c r="O6" s="15"/>
    </row>
    <row r="7" spans="1:17" ht="15.75" customHeight="1" x14ac:dyDescent="0.2">
      <c r="E7" s="80"/>
      <c r="F7">
        <v>2023</v>
      </c>
      <c r="G7" s="15">
        <v>22</v>
      </c>
      <c r="H7" s="15">
        <v>78</v>
      </c>
      <c r="I7" s="15"/>
      <c r="J7" s="63"/>
      <c r="K7" s="63"/>
      <c r="L7" s="15"/>
      <c r="M7" s="15"/>
      <c r="N7" s="15"/>
      <c r="O7" s="15"/>
    </row>
    <row r="8" spans="1:17" x14ac:dyDescent="0.2">
      <c r="E8" s="80"/>
      <c r="F8">
        <v>2022</v>
      </c>
      <c r="G8" s="15">
        <v>17</v>
      </c>
      <c r="H8" s="15">
        <v>83</v>
      </c>
      <c r="I8" s="15"/>
      <c r="J8" s="63"/>
      <c r="K8" s="63"/>
      <c r="L8" s="15"/>
      <c r="M8" s="15"/>
      <c r="N8" s="15"/>
      <c r="O8" s="15"/>
    </row>
    <row r="9" spans="1:17" x14ac:dyDescent="0.2">
      <c r="A9" s="83" t="s">
        <v>1098</v>
      </c>
      <c r="B9" s="80"/>
      <c r="E9" s="80"/>
      <c r="G9" s="63"/>
      <c r="H9" s="63"/>
      <c r="I9" s="63"/>
      <c r="J9" s="63"/>
      <c r="K9" s="63"/>
      <c r="L9" s="15"/>
      <c r="M9" s="15"/>
      <c r="N9" s="15"/>
      <c r="O9" s="15"/>
    </row>
    <row r="10" spans="1:17" x14ac:dyDescent="0.2">
      <c r="A10" t="s">
        <v>1100</v>
      </c>
      <c r="B10" t="s">
        <v>2072</v>
      </c>
      <c r="E10" s="80"/>
      <c r="G10" s="63"/>
      <c r="H10" s="64"/>
      <c r="I10" s="64"/>
      <c r="J10" s="64"/>
      <c r="K10" s="64"/>
    </row>
    <row r="11" spans="1:17" x14ac:dyDescent="0.2">
      <c r="A11" t="s">
        <v>1102</v>
      </c>
      <c r="B11" t="s">
        <v>2181</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D01-000000000000}">
      <formula1>"True,False"</formula1>
    </dataValidation>
    <dataValidation type="list" allowBlank="1" showInputMessage="1" showErrorMessage="1" sqref="B2" xr:uid="{00000000-0002-0000-2D01-000001000000}">
      <formula1>"Table,Figure,Both"</formula1>
    </dataValidation>
    <dataValidation type="list" allowBlank="1" showInputMessage="1" showErrorMessage="1" sqref="B10" xr:uid="{00000000-0002-0000-2D01-000002000000}">
      <formula1>"Line,Clustered Bar,Stacked Bar,Bar,Horizontal Stacked Bar"</formula1>
    </dataValidation>
  </dataValidations>
  <pageMargins left="0.75" right="0.75" top="1" bottom="1" header="0.5" footer="0.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Q57"/>
  <sheetViews>
    <sheetView topLeftCell="A4" workbookViewId="0">
      <selection activeCell="F19" sqref="F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835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tbl-siena-ed-not-for-emergency</v>
      </c>
    </row>
    <row r="4" spans="1:17" x14ac:dyDescent="0.2">
      <c r="A4" s="16" t="s">
        <v>7</v>
      </c>
      <c r="B4" t="str">
        <f>IF($B$1="","",_xlfn.XLOOKUP($B$1,Master!$F$2:$F$321,Master!$H$2:$H$321,""))</f>
        <v>fig-siena-ed-not-for-emergency</v>
      </c>
      <c r="E4" s="8"/>
      <c r="F4" s="10" t="s">
        <v>1009</v>
      </c>
      <c r="G4" s="10" t="s">
        <v>979</v>
      </c>
      <c r="H4" s="10" t="s">
        <v>979</v>
      </c>
      <c r="I4" s="10" t="s">
        <v>979</v>
      </c>
      <c r="J4" s="10"/>
      <c r="K4" s="10"/>
      <c r="L4" s="10"/>
      <c r="M4" s="10"/>
      <c r="N4" s="10"/>
      <c r="O4" s="10"/>
      <c r="P4" s="10"/>
      <c r="Q4" s="10"/>
    </row>
    <row r="5" spans="1:17" x14ac:dyDescent="0.2">
      <c r="A5" s="83" t="s">
        <v>1081</v>
      </c>
      <c r="B5" s="80"/>
      <c r="E5" s="82" t="s">
        <v>1082</v>
      </c>
      <c r="G5" t="s">
        <v>2211</v>
      </c>
      <c r="H5" t="s">
        <v>2212</v>
      </c>
      <c r="I5" t="s">
        <v>2179</v>
      </c>
    </row>
    <row r="6" spans="1:17" ht="15" customHeight="1" x14ac:dyDescent="0.2">
      <c r="A6" t="s">
        <v>1088</v>
      </c>
      <c r="B6" t="b">
        <v>0</v>
      </c>
      <c r="E6" s="80"/>
      <c r="F6">
        <v>2024</v>
      </c>
      <c r="G6" s="15">
        <v>8</v>
      </c>
      <c r="H6" s="15">
        <v>92</v>
      </c>
      <c r="I6" s="15"/>
      <c r="J6" s="15"/>
      <c r="K6" s="15"/>
      <c r="L6" s="15"/>
      <c r="M6" s="15"/>
      <c r="N6" s="15"/>
      <c r="O6" s="15"/>
    </row>
    <row r="7" spans="1:17" ht="15.75" customHeight="1" x14ac:dyDescent="0.2">
      <c r="E7" s="80"/>
      <c r="F7">
        <v>2023</v>
      </c>
      <c r="G7" s="15">
        <v>10</v>
      </c>
      <c r="H7" s="15">
        <v>90</v>
      </c>
      <c r="I7" s="15"/>
      <c r="J7" s="15"/>
      <c r="K7" s="15"/>
      <c r="L7" s="15"/>
      <c r="M7" s="15"/>
      <c r="N7" s="15"/>
      <c r="O7" s="15"/>
    </row>
    <row r="8" spans="1:17" x14ac:dyDescent="0.2">
      <c r="E8" s="80"/>
      <c r="F8">
        <v>2022</v>
      </c>
      <c r="G8" s="15">
        <v>9</v>
      </c>
      <c r="H8" s="15">
        <v>90</v>
      </c>
      <c r="I8" s="15"/>
      <c r="J8" s="15"/>
      <c r="K8" s="15"/>
      <c r="L8" s="15"/>
      <c r="M8" s="15"/>
      <c r="N8" s="15"/>
      <c r="O8" s="15"/>
    </row>
    <row r="9" spans="1:17" x14ac:dyDescent="0.2">
      <c r="A9" s="83" t="s">
        <v>1098</v>
      </c>
      <c r="B9" s="80"/>
      <c r="E9" s="80"/>
      <c r="F9">
        <v>2018</v>
      </c>
      <c r="G9" s="15">
        <v>9</v>
      </c>
      <c r="H9" s="15">
        <v>90</v>
      </c>
      <c r="I9" s="15">
        <v>1</v>
      </c>
      <c r="J9" s="15"/>
      <c r="K9" s="15"/>
      <c r="L9" s="15"/>
      <c r="M9" s="15"/>
      <c r="N9" s="15"/>
      <c r="O9" s="15"/>
    </row>
    <row r="10" spans="1:17" x14ac:dyDescent="0.2">
      <c r="A10" t="s">
        <v>1100</v>
      </c>
      <c r="B10" t="s">
        <v>2072</v>
      </c>
      <c r="E10" s="80"/>
      <c r="G10" s="15"/>
    </row>
    <row r="11" spans="1:17" x14ac:dyDescent="0.2">
      <c r="A11" t="s">
        <v>1102</v>
      </c>
      <c r="B11" t="s">
        <v>2181</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2E01-000000000000}">
      <formula1>"Line,Clustered Bar,Stacked Bar,Bar,Horizontal Stacked Bar"</formula1>
    </dataValidation>
    <dataValidation type="list" allowBlank="1" showInputMessage="1" showErrorMessage="1" sqref="B2" xr:uid="{00000000-0002-0000-2E01-000001000000}">
      <formula1>"Table,Figure,Both"</formula1>
    </dataValidation>
    <dataValidation type="list" allowBlank="1" showInputMessage="1" showErrorMessage="1" sqref="B6 B15:B16" xr:uid="{00000000-0002-0000-2E01-000002000000}">
      <formula1>"True,False"</formula1>
    </dataValidation>
  </dataValidations>
  <pageMargins left="0.75" right="0.75" top="1" bottom="1" header="0.5" footer="0.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Q57"/>
  <sheetViews>
    <sheetView workbookViewId="0">
      <selection activeCell="G19" sqref="G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823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tbl-siena-routine-dentist</v>
      </c>
    </row>
    <row r="4" spans="1:17" x14ac:dyDescent="0.2">
      <c r="A4" s="16" t="s">
        <v>7</v>
      </c>
      <c r="B4" t="str">
        <f>IF($B$1="","",_xlfn.XLOOKUP($B$1,Master!$F$2:$F$321,Master!$H$2:$H$321,""))</f>
        <v>fig-siena-routine-dentist</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68</v>
      </c>
      <c r="H6" s="15">
        <v>32</v>
      </c>
      <c r="I6" s="15"/>
      <c r="J6" s="63"/>
      <c r="K6" s="63"/>
      <c r="L6" s="15"/>
      <c r="M6" s="15"/>
      <c r="N6" s="15"/>
      <c r="O6" s="15"/>
    </row>
    <row r="7" spans="1:17" ht="15.75" customHeight="1" x14ac:dyDescent="0.2">
      <c r="E7" s="80"/>
      <c r="F7">
        <v>2023</v>
      </c>
      <c r="G7" s="15">
        <v>63</v>
      </c>
      <c r="H7" s="15">
        <v>37</v>
      </c>
      <c r="I7" s="15"/>
      <c r="J7" s="63"/>
      <c r="K7" s="63"/>
      <c r="L7" s="15"/>
      <c r="M7" s="15"/>
      <c r="N7" s="15"/>
      <c r="O7" s="15"/>
    </row>
    <row r="8" spans="1:17" x14ac:dyDescent="0.2">
      <c r="E8" s="80"/>
      <c r="F8">
        <v>2022</v>
      </c>
      <c r="G8" s="15">
        <v>63</v>
      </c>
      <c r="H8" s="15">
        <v>36</v>
      </c>
      <c r="I8" s="15">
        <v>1</v>
      </c>
      <c r="J8" s="63"/>
      <c r="K8" s="63"/>
      <c r="L8" s="15"/>
      <c r="M8" s="15"/>
      <c r="N8" s="15"/>
      <c r="O8" s="15"/>
    </row>
    <row r="9" spans="1:17" x14ac:dyDescent="0.2">
      <c r="A9" s="83" t="s">
        <v>1098</v>
      </c>
      <c r="B9" s="80"/>
      <c r="E9" s="80"/>
      <c r="F9">
        <v>2018</v>
      </c>
      <c r="G9" s="15">
        <v>70</v>
      </c>
      <c r="H9" s="15">
        <v>30</v>
      </c>
      <c r="I9" s="15"/>
      <c r="J9" s="63"/>
      <c r="K9" s="63"/>
      <c r="L9" s="15"/>
      <c r="M9" s="15"/>
      <c r="N9" s="15"/>
      <c r="O9" s="15"/>
    </row>
    <row r="10" spans="1:17" x14ac:dyDescent="0.2">
      <c r="A10" t="s">
        <v>1100</v>
      </c>
      <c r="B10" t="s">
        <v>2072</v>
      </c>
      <c r="E10" s="80"/>
      <c r="G10" s="63"/>
      <c r="H10" s="64"/>
      <c r="I10" s="64"/>
      <c r="J10" s="64"/>
      <c r="K10" s="64"/>
    </row>
    <row r="11" spans="1:17" x14ac:dyDescent="0.2">
      <c r="A11" t="s">
        <v>1102</v>
      </c>
      <c r="E11" s="80"/>
      <c r="G11" s="63"/>
      <c r="H11" s="63"/>
      <c r="I11" s="63"/>
      <c r="J11" s="65"/>
      <c r="K11" s="65"/>
      <c r="L11" s="17"/>
      <c r="M11" s="17"/>
      <c r="N11" s="17"/>
    </row>
    <row r="12" spans="1:17" x14ac:dyDescent="0.2">
      <c r="A12" t="s">
        <v>1104</v>
      </c>
      <c r="B12" t="s">
        <v>1303</v>
      </c>
      <c r="E12" s="80"/>
      <c r="F12" s="21"/>
      <c r="G12" s="65"/>
      <c r="H12" s="65"/>
      <c r="I12" s="63"/>
      <c r="J12" s="63"/>
      <c r="K12" s="63"/>
      <c r="L12" s="15"/>
    </row>
    <row r="13" spans="1:17" x14ac:dyDescent="0.2">
      <c r="A13" t="s">
        <v>1108</v>
      </c>
      <c r="E13" s="80"/>
      <c r="G13" s="64"/>
      <c r="H13" s="64"/>
      <c r="I13" s="64"/>
      <c r="J13" s="64"/>
      <c r="K13" s="64"/>
    </row>
    <row r="14" spans="1:17" x14ac:dyDescent="0.2">
      <c r="A14" t="s">
        <v>1112</v>
      </c>
      <c r="E14" s="80"/>
      <c r="G14" s="64"/>
      <c r="H14" s="64"/>
      <c r="I14" s="64"/>
      <c r="J14" s="64"/>
      <c r="K14" s="64"/>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2F01-000000000000}">
      <formula1>"True,False"</formula1>
    </dataValidation>
    <dataValidation type="list" allowBlank="1" showInputMessage="1" showErrorMessage="1" sqref="B2" xr:uid="{00000000-0002-0000-2F01-000001000000}">
      <formula1>"Table,Figure,Both"</formula1>
    </dataValidation>
    <dataValidation type="list" allowBlank="1" showInputMessage="1" showErrorMessage="1" sqref="B10" xr:uid="{00000000-0002-0000-2F01-000002000000}">
      <formula1>"Line,Clustered Bar,Stacked Bar,Bar,Horizontal Stacked Bar"</formula1>
    </dataValidation>
  </dataValidations>
  <pageMargins left="0.75" right="0.75" top="1" bottom="1" header="0.5" footer="0.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Q57"/>
  <sheetViews>
    <sheetView workbookViewId="0">
      <selection activeCell="I14" sqref="I1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811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tbl-siena-routine-physical</v>
      </c>
    </row>
    <row r="4" spans="1:17" x14ac:dyDescent="0.2">
      <c r="A4" s="16" t="s">
        <v>7</v>
      </c>
      <c r="B4" t="str">
        <f>IF($B$1="","",_xlfn.XLOOKUP($B$1,Master!$F$2:$F$321,Master!$H$2:$H$321,""))</f>
        <v>fig-siena-routine-physical</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79</v>
      </c>
      <c r="H6" s="15">
        <v>21</v>
      </c>
      <c r="I6" s="15"/>
      <c r="J6" s="15"/>
      <c r="K6" s="15"/>
      <c r="L6" s="15"/>
      <c r="M6" s="15"/>
      <c r="N6" s="15"/>
      <c r="O6" s="15"/>
    </row>
    <row r="7" spans="1:17" ht="15.75" customHeight="1" x14ac:dyDescent="0.2">
      <c r="E7" s="80"/>
      <c r="F7">
        <v>2023</v>
      </c>
      <c r="G7" s="15">
        <v>78</v>
      </c>
      <c r="H7" s="15">
        <v>22</v>
      </c>
      <c r="I7" s="15"/>
      <c r="J7" s="15"/>
      <c r="K7" s="15"/>
      <c r="L7" s="15"/>
      <c r="M7" s="15"/>
      <c r="N7" s="15"/>
      <c r="O7" s="15"/>
    </row>
    <row r="8" spans="1:17" x14ac:dyDescent="0.2">
      <c r="E8" s="80"/>
      <c r="F8">
        <v>2022</v>
      </c>
      <c r="G8" s="15">
        <v>75</v>
      </c>
      <c r="H8" s="15">
        <v>24</v>
      </c>
      <c r="I8" s="15">
        <v>1</v>
      </c>
      <c r="J8" s="15"/>
      <c r="K8" s="15"/>
      <c r="L8" s="15"/>
      <c r="M8" s="15"/>
      <c r="N8" s="15"/>
      <c r="O8" s="15"/>
    </row>
    <row r="9" spans="1:17" x14ac:dyDescent="0.2">
      <c r="A9" s="83" t="s">
        <v>1098</v>
      </c>
      <c r="B9" s="80"/>
      <c r="E9" s="80"/>
      <c r="F9">
        <v>2018</v>
      </c>
      <c r="G9" s="15">
        <v>82</v>
      </c>
      <c r="H9" s="15">
        <v>17</v>
      </c>
      <c r="I9" s="15">
        <v>1</v>
      </c>
      <c r="J9" s="15"/>
      <c r="K9" s="15"/>
      <c r="L9" s="15"/>
      <c r="M9" s="15"/>
      <c r="N9" s="15"/>
      <c r="O9" s="15"/>
    </row>
    <row r="10" spans="1:17" x14ac:dyDescent="0.2">
      <c r="A10" t="s">
        <v>1100</v>
      </c>
      <c r="B10" t="s">
        <v>2072</v>
      </c>
      <c r="E10" s="80"/>
      <c r="G10" s="15"/>
    </row>
    <row r="11" spans="1:17" x14ac:dyDescent="0.2">
      <c r="A11" t="s">
        <v>1102</v>
      </c>
      <c r="B11" t="s">
        <v>2181</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001-000000000000}">
      <formula1>"Line,Clustered Bar,Stacked Bar,Bar,Horizontal Stacked Bar"</formula1>
    </dataValidation>
    <dataValidation type="list" allowBlank="1" showInputMessage="1" showErrorMessage="1" sqref="B2" xr:uid="{00000000-0002-0000-3001-000001000000}">
      <formula1>"Table,Figure,Both"</formula1>
    </dataValidation>
    <dataValidation type="list" allowBlank="1" showInputMessage="1" showErrorMessage="1" sqref="B6 B15:B16" xr:uid="{00000000-0002-0000-3001-000002000000}">
      <formula1>"True,False"</formula1>
    </dataValidation>
  </dataValidations>
  <pageMargins left="0.75" right="0.75" top="1" bottom="1" header="0.5" footer="0.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18</v>
      </c>
      <c r="H6" s="15">
        <v>80</v>
      </c>
      <c r="I6" s="15">
        <v>2</v>
      </c>
      <c r="J6" s="15"/>
      <c r="K6" s="15"/>
      <c r="L6" s="15"/>
      <c r="M6" s="15"/>
      <c r="N6" s="15"/>
      <c r="O6" s="15"/>
    </row>
    <row r="7" spans="1:17" ht="15.75" customHeight="1" x14ac:dyDescent="0.2">
      <c r="E7" s="80"/>
      <c r="F7">
        <v>2023</v>
      </c>
      <c r="G7" s="15">
        <v>18</v>
      </c>
      <c r="H7" s="15">
        <v>81</v>
      </c>
      <c r="I7" s="15">
        <v>1</v>
      </c>
      <c r="J7" s="15"/>
      <c r="K7" s="15"/>
      <c r="L7" s="15"/>
      <c r="M7" s="15"/>
      <c r="N7" s="15"/>
      <c r="O7" s="15"/>
    </row>
    <row r="8" spans="1:17" x14ac:dyDescent="0.2">
      <c r="E8" s="80"/>
      <c r="F8">
        <v>2022</v>
      </c>
      <c r="G8" s="15">
        <v>17</v>
      </c>
      <c r="H8" s="15">
        <v>81</v>
      </c>
      <c r="I8" s="15">
        <v>2</v>
      </c>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101-000000000000}">
      <formula1>"Line,Clustered Bar,Stacked Bar,Bar,Horizontal Stacked Bar"</formula1>
    </dataValidation>
    <dataValidation type="list" allowBlank="1" showInputMessage="1" showErrorMessage="1" sqref="B2" xr:uid="{00000000-0002-0000-3101-000001000000}">
      <formula1>"Table,Figure,Both"</formula1>
    </dataValidation>
    <dataValidation type="list" allowBlank="1" showInputMessage="1" showErrorMessage="1" sqref="B6 B15:B16" xr:uid="{00000000-0002-0000-3101-000002000000}">
      <formula1>"True,False"</formula1>
    </dataValidation>
  </dataValidations>
  <pageMargins left="0.75" right="0.75" top="1" bottom="1" header="0.5" footer="0.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Q57"/>
  <sheetViews>
    <sheetView workbookViewId="0">
      <selection activeCell="K30" sqref="K3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799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tbl-siena-unable-childcare</v>
      </c>
    </row>
    <row r="4" spans="1:17" x14ac:dyDescent="0.2">
      <c r="A4" s="16" t="s">
        <v>7</v>
      </c>
      <c r="B4" t="str">
        <f>IF($B$1="","",_xlfn.XLOOKUP($B$1,Master!$F$2:$F$321,Master!$H$2:$H$321,""))</f>
        <v>fig-siena-unable-childcare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9</v>
      </c>
      <c r="H6" s="15">
        <v>82</v>
      </c>
      <c r="I6" s="15">
        <v>5</v>
      </c>
      <c r="J6" s="15"/>
      <c r="K6" s="15"/>
      <c r="L6" s="15"/>
      <c r="M6" s="15"/>
      <c r="N6" s="15"/>
      <c r="O6" s="15"/>
    </row>
    <row r="7" spans="1:17" ht="15.75" customHeight="1" x14ac:dyDescent="0.2">
      <c r="E7" s="80"/>
      <c r="F7">
        <v>2023</v>
      </c>
      <c r="G7" s="15">
        <v>9</v>
      </c>
      <c r="H7" s="15">
        <v>82</v>
      </c>
      <c r="I7" s="15">
        <v>10</v>
      </c>
      <c r="J7" s="15"/>
      <c r="K7" s="15"/>
      <c r="L7" s="15"/>
      <c r="M7" s="15"/>
      <c r="N7" s="15"/>
      <c r="O7" s="15"/>
    </row>
    <row r="8" spans="1:17" x14ac:dyDescent="0.2">
      <c r="E8" s="80"/>
      <c r="F8">
        <v>2022</v>
      </c>
      <c r="G8" s="15">
        <v>11</v>
      </c>
      <c r="H8" s="15">
        <v>80</v>
      </c>
      <c r="I8" s="15">
        <v>10</v>
      </c>
      <c r="J8" s="15"/>
      <c r="K8" s="15"/>
      <c r="L8" s="15"/>
      <c r="M8" s="15"/>
      <c r="N8" s="15"/>
      <c r="O8" s="15"/>
    </row>
    <row r="9" spans="1:17" x14ac:dyDescent="0.2">
      <c r="A9" s="83" t="s">
        <v>1098</v>
      </c>
      <c r="B9" s="80"/>
      <c r="E9" s="80"/>
      <c r="F9">
        <v>2018</v>
      </c>
      <c r="G9" s="15">
        <v>6</v>
      </c>
      <c r="H9" s="15">
        <v>85</v>
      </c>
      <c r="I9" s="15">
        <v>9</v>
      </c>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201-000000000000}">
      <formula1>"Line,Clustered Bar,Stacked Bar,Bar,Horizontal Stacked Bar"</formula1>
    </dataValidation>
    <dataValidation type="list" allowBlank="1" showInputMessage="1" showErrorMessage="1" sqref="B2" xr:uid="{00000000-0002-0000-3201-000001000000}">
      <formula1>"Table,Figure,Both"</formula1>
    </dataValidation>
    <dataValidation type="list" allowBlank="1" showInputMessage="1" showErrorMessage="1" sqref="B6 B15:B16" xr:uid="{00000000-0002-0000-3201-000002000000}">
      <formula1>"True,False"</formula1>
    </dataValidation>
  </dataValidations>
  <pageMargins left="0.75" right="0.75" top="1" bottom="1" header="0.5" footer="0.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Q57"/>
  <sheetViews>
    <sheetView workbookViewId="0">
      <selection activeCell="F22" sqref="F2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793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tbl-siena-unable-housing</v>
      </c>
    </row>
    <row r="4" spans="1:17" x14ac:dyDescent="0.2">
      <c r="A4" s="16" t="s">
        <v>7</v>
      </c>
      <c r="B4" t="str">
        <f>IF($B$1="","",_xlfn.XLOOKUP($B$1,Master!$F$2:$F$321,Master!$H$2:$H$321,""))</f>
        <v>fig-siena-unable-housing</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14</v>
      </c>
      <c r="H6" s="15">
        <v>86</v>
      </c>
      <c r="I6" s="15"/>
      <c r="J6" s="15"/>
      <c r="K6" s="15"/>
      <c r="L6" s="15"/>
      <c r="M6" s="15"/>
      <c r="N6" s="15"/>
      <c r="O6" s="15"/>
    </row>
    <row r="7" spans="1:17" ht="15.75" customHeight="1" x14ac:dyDescent="0.2">
      <c r="E7" s="80"/>
      <c r="F7">
        <v>2023</v>
      </c>
      <c r="G7" s="15">
        <v>12</v>
      </c>
      <c r="H7" s="15">
        <v>87</v>
      </c>
      <c r="I7" s="15">
        <v>1</v>
      </c>
      <c r="J7" s="15"/>
      <c r="K7" s="15"/>
      <c r="L7" s="15"/>
      <c r="M7" s="15"/>
      <c r="N7" s="15"/>
      <c r="O7" s="15"/>
    </row>
    <row r="8" spans="1:17" x14ac:dyDescent="0.2">
      <c r="E8" s="80"/>
      <c r="F8">
        <v>2022</v>
      </c>
      <c r="G8" s="15">
        <v>13</v>
      </c>
      <c r="H8" s="15">
        <v>87</v>
      </c>
      <c r="I8" s="15"/>
      <c r="J8" s="15"/>
      <c r="K8" s="15"/>
      <c r="L8" s="15"/>
      <c r="M8" s="15"/>
      <c r="N8" s="15"/>
      <c r="O8" s="15"/>
    </row>
    <row r="9" spans="1:17" x14ac:dyDescent="0.2">
      <c r="A9" s="83" t="s">
        <v>1098</v>
      </c>
      <c r="B9" s="80"/>
      <c r="E9" s="80"/>
      <c r="F9">
        <v>2018</v>
      </c>
      <c r="G9" s="15">
        <v>14</v>
      </c>
      <c r="H9" s="15">
        <v>85</v>
      </c>
      <c r="I9" s="15">
        <v>1</v>
      </c>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3301-000000000000}">
      <formula1>"True,False"</formula1>
    </dataValidation>
    <dataValidation type="list" allowBlank="1" showInputMessage="1" showErrorMessage="1" sqref="B2" xr:uid="{00000000-0002-0000-3301-000001000000}">
      <formula1>"Table,Figure,Both"</formula1>
    </dataValidation>
    <dataValidation type="list" allowBlank="1" showInputMessage="1" showErrorMessage="1" sqref="B10" xr:uid="{00000000-0002-0000-3301-000002000000}">
      <formula1>"Line,Clustered Bar,Stacked Bar,Bar,Horizontal Stacked Bar"</formula1>
    </dataValidation>
  </dataValidations>
  <pageMargins left="0.75" right="0.75" top="1" bottom="1" header="0.5" footer="0.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2344</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17</v>
      </c>
      <c r="H6" s="15">
        <v>83</v>
      </c>
      <c r="I6" s="15"/>
      <c r="J6" s="15"/>
      <c r="K6" s="15"/>
      <c r="L6" s="15"/>
      <c r="M6" s="15"/>
      <c r="N6" s="15"/>
      <c r="O6" s="15"/>
    </row>
    <row r="7" spans="1:17" ht="15.75" customHeight="1" x14ac:dyDescent="0.2">
      <c r="E7" s="80"/>
      <c r="F7">
        <v>2023</v>
      </c>
      <c r="G7" s="15">
        <v>17</v>
      </c>
      <c r="H7" s="15">
        <v>83</v>
      </c>
      <c r="I7" s="15"/>
      <c r="J7" s="15"/>
      <c r="K7" s="15"/>
      <c r="L7" s="15"/>
      <c r="M7" s="15"/>
      <c r="N7" s="15"/>
      <c r="O7" s="15"/>
    </row>
    <row r="8" spans="1:17" x14ac:dyDescent="0.2">
      <c r="E8" s="80"/>
      <c r="F8">
        <v>2022</v>
      </c>
      <c r="G8" s="15">
        <v>17</v>
      </c>
      <c r="H8" s="15">
        <v>83</v>
      </c>
      <c r="I8" s="15"/>
      <c r="J8" s="15"/>
      <c r="K8" s="15"/>
      <c r="L8" s="15"/>
      <c r="M8" s="15"/>
      <c r="N8" s="15"/>
      <c r="O8" s="15"/>
    </row>
    <row r="9" spans="1:17" x14ac:dyDescent="0.2">
      <c r="A9" s="83" t="s">
        <v>1098</v>
      </c>
      <c r="B9" s="80"/>
      <c r="E9" s="80"/>
      <c r="F9">
        <v>2018</v>
      </c>
      <c r="G9" s="15">
        <v>16</v>
      </c>
      <c r="H9" s="15">
        <v>83</v>
      </c>
      <c r="I9" s="15">
        <v>1</v>
      </c>
      <c r="J9" s="15"/>
      <c r="K9" s="15"/>
      <c r="L9" s="15"/>
      <c r="M9" s="15"/>
      <c r="N9" s="15"/>
      <c r="O9" s="15"/>
    </row>
    <row r="10" spans="1:17" x14ac:dyDescent="0.2">
      <c r="A10" t="s">
        <v>1100</v>
      </c>
      <c r="B10" t="s">
        <v>1300</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6 B15:B16" xr:uid="{00000000-0002-0000-3401-000000000000}">
      <formula1>"True,False"</formula1>
    </dataValidation>
    <dataValidation type="list" allowBlank="1" showInputMessage="1" showErrorMessage="1" sqref="B2" xr:uid="{00000000-0002-0000-3401-000001000000}">
      <formula1>"Table,Figure,Both"</formula1>
    </dataValidation>
    <dataValidation type="list" allowBlank="1" showInputMessage="1" showErrorMessage="1" sqref="B10" xr:uid="{00000000-0002-0000-3401-000002000000}">
      <formula1>"Line,Clustered Bar,Stacked Bar,Bar,Horizontal Stacked Bar"</formula1>
    </dataValidation>
  </dataValidations>
  <pageMargins left="0.75" right="0.75" top="1" bottom="1" header="0.5" footer="0.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sheetPr>
    <tabColor rgb="FFFF0000"/>
  </sheetPr>
  <dimension ref="A1:Q57"/>
  <sheetViews>
    <sheetView workbookViewId="0">
      <selection activeCell="O31" sqref="O3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781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tbl-siena-unable-phone</v>
      </c>
    </row>
    <row r="4" spans="1:17" x14ac:dyDescent="0.2">
      <c r="A4" s="16" t="s">
        <v>7</v>
      </c>
      <c r="B4" t="str">
        <f>IF($B$1="","",_xlfn.XLOOKUP($B$1,Master!$F$2:$F$321,Master!$H$2:$H$321,""))</f>
        <v>fig-siena-unable-phone</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15</v>
      </c>
      <c r="H6" s="15">
        <v>84</v>
      </c>
      <c r="I6" s="15">
        <v>1</v>
      </c>
      <c r="J6" s="15"/>
      <c r="K6" s="15"/>
      <c r="L6" s="15"/>
      <c r="M6" s="15"/>
      <c r="N6" s="15"/>
      <c r="O6" s="15"/>
    </row>
    <row r="7" spans="1:17" ht="15.75" customHeight="1" x14ac:dyDescent="0.2">
      <c r="E7" s="80"/>
      <c r="F7">
        <v>2023</v>
      </c>
      <c r="G7" s="15">
        <v>16</v>
      </c>
      <c r="H7" s="15">
        <v>84</v>
      </c>
      <c r="I7" s="15"/>
      <c r="J7" s="15"/>
      <c r="K7" s="15"/>
      <c r="L7" s="15"/>
      <c r="M7" s="15"/>
      <c r="N7" s="15"/>
      <c r="O7" s="15"/>
    </row>
    <row r="8" spans="1:17" x14ac:dyDescent="0.2">
      <c r="E8" s="80"/>
      <c r="F8">
        <v>2022</v>
      </c>
      <c r="G8" s="15">
        <v>13</v>
      </c>
      <c r="H8" s="15">
        <v>87</v>
      </c>
      <c r="I8" s="15"/>
      <c r="J8" s="15"/>
      <c r="K8" s="15"/>
      <c r="L8" s="15"/>
      <c r="M8" s="15"/>
      <c r="N8" s="15"/>
      <c r="O8" s="15"/>
    </row>
    <row r="9" spans="1:17" x14ac:dyDescent="0.2">
      <c r="A9" s="83" t="s">
        <v>1098</v>
      </c>
      <c r="B9" s="80"/>
      <c r="E9" s="80"/>
      <c r="F9">
        <v>2018</v>
      </c>
      <c r="G9" s="15">
        <v>12</v>
      </c>
      <c r="H9" s="15">
        <v>87</v>
      </c>
      <c r="I9" s="15">
        <v>1</v>
      </c>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501-000000000000}">
      <formula1>"Line,Clustered Bar,Stacked Bar,Bar,Horizontal Stacked Bar"</formula1>
    </dataValidation>
    <dataValidation type="list" allowBlank="1" showInputMessage="1" showErrorMessage="1" sqref="B2" xr:uid="{00000000-0002-0000-3501-000001000000}">
      <formula1>"Table,Figure,Both"</formula1>
    </dataValidation>
    <dataValidation type="list" allowBlank="1" showInputMessage="1" showErrorMessage="1" sqref="B6 B15:B16" xr:uid="{00000000-0002-0000-3501-000002000000}">
      <formula1>"True,False"</formula1>
    </dataValidation>
  </dataValidations>
  <pageMargins left="0.75" right="0.75" top="1" bottom="1" header="0.5" footer="0.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sheetPr>
    <tabColor rgb="FFFF0000"/>
  </sheetPr>
  <dimension ref="A1:Q57"/>
  <sheetViews>
    <sheetView workbookViewId="0">
      <selection activeCell="H21" sqref="H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775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tbl-siena-unable-dental-vision</v>
      </c>
    </row>
    <row r="4" spans="1:17" x14ac:dyDescent="0.2">
      <c r="A4" s="16" t="s">
        <v>7</v>
      </c>
      <c r="B4" t="str">
        <f>IF($B$1="","",_xlfn.XLOOKUP($B$1,Master!$F$2:$F$321,Master!$H$2:$H$321,""))</f>
        <v>fig-siena-unable-dental-vision</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21</v>
      </c>
      <c r="H6" s="15">
        <v>78</v>
      </c>
      <c r="I6" s="15">
        <v>1</v>
      </c>
      <c r="J6" s="15"/>
      <c r="K6" s="15"/>
      <c r="L6" s="15"/>
      <c r="M6" s="15"/>
      <c r="N6" s="15"/>
      <c r="O6" s="15"/>
    </row>
    <row r="7" spans="1:17" ht="15.75" customHeight="1" x14ac:dyDescent="0.2">
      <c r="E7" s="80"/>
      <c r="F7">
        <v>2023</v>
      </c>
      <c r="G7" s="15">
        <v>21</v>
      </c>
      <c r="H7" s="15">
        <v>79</v>
      </c>
      <c r="I7" s="15"/>
      <c r="J7" s="15"/>
      <c r="K7" s="15"/>
      <c r="L7" s="15"/>
      <c r="M7" s="15"/>
      <c r="N7" s="15"/>
      <c r="O7" s="15"/>
    </row>
    <row r="8" spans="1:17" x14ac:dyDescent="0.2">
      <c r="E8" s="80"/>
      <c r="F8">
        <v>2022</v>
      </c>
      <c r="G8" s="15">
        <v>21</v>
      </c>
      <c r="H8" s="15">
        <v>78</v>
      </c>
      <c r="I8" s="15">
        <v>1</v>
      </c>
      <c r="J8" s="15"/>
      <c r="K8" s="15"/>
      <c r="L8" s="15"/>
      <c r="M8" s="15"/>
      <c r="N8" s="15"/>
      <c r="O8" s="15"/>
    </row>
    <row r="9" spans="1:17" x14ac:dyDescent="0.2">
      <c r="A9" s="83" t="s">
        <v>1098</v>
      </c>
      <c r="B9" s="80"/>
      <c r="E9" s="80"/>
      <c r="F9">
        <v>2018</v>
      </c>
      <c r="G9" s="15">
        <v>16</v>
      </c>
      <c r="H9" s="15">
        <v>83</v>
      </c>
      <c r="I9" s="15">
        <v>1</v>
      </c>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601-000000000000}">
      <formula1>"Line,Clustered Bar,Stacked Bar,Bar,Horizontal Stacked Bar"</formula1>
    </dataValidation>
    <dataValidation type="list" allowBlank="1" showInputMessage="1" showErrorMessage="1" sqref="B2" xr:uid="{00000000-0002-0000-3601-000001000000}">
      <formula1>"Table,Figure,Both"</formula1>
    </dataValidation>
    <dataValidation type="list" allowBlank="1" showInputMessage="1" showErrorMessage="1" sqref="B6 B15:B16" xr:uid="{00000000-0002-0000-3601-000002000000}">
      <formula1>"True,False"</formula1>
    </dataValidation>
  </dataValidations>
  <pageMargins left="0.75" right="0.75" top="1" bottom="1" header="0.5" footer="0.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sheetPr>
    <tabColor rgb="FFFF0000"/>
  </sheetPr>
  <dimension ref="A1:Q57"/>
  <sheetViews>
    <sheetView workbookViewId="0">
      <selection activeCell="M12" sqref="M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769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tbl-siena-unable-utilities</v>
      </c>
    </row>
    <row r="4" spans="1:17" x14ac:dyDescent="0.2">
      <c r="A4" s="16" t="s">
        <v>7</v>
      </c>
      <c r="B4" t="str">
        <f>IF($B$1="","",_xlfn.XLOOKUP($B$1,Master!$F$2:$F$321,Master!$H$2:$H$321,""))</f>
        <v>fig-siena-unable-utilities</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15</v>
      </c>
      <c r="H6" s="15">
        <v>85</v>
      </c>
      <c r="I6" s="15"/>
      <c r="J6" s="15"/>
      <c r="K6" s="15"/>
      <c r="L6" s="15"/>
      <c r="M6" s="15"/>
      <c r="N6" s="15"/>
      <c r="O6" s="15"/>
    </row>
    <row r="7" spans="1:17" ht="15.75" customHeight="1" x14ac:dyDescent="0.2">
      <c r="E7" s="80"/>
      <c r="F7">
        <v>2023</v>
      </c>
      <c r="G7" s="15">
        <v>14</v>
      </c>
      <c r="H7" s="15">
        <v>86</v>
      </c>
      <c r="I7" s="15"/>
      <c r="J7" s="15"/>
      <c r="K7" s="15"/>
      <c r="L7" s="15"/>
      <c r="M7" s="15"/>
      <c r="N7" s="15"/>
      <c r="O7" s="15"/>
    </row>
    <row r="8" spans="1:17" x14ac:dyDescent="0.2">
      <c r="E8" s="80"/>
      <c r="F8">
        <v>2022</v>
      </c>
      <c r="G8" s="15">
        <v>13</v>
      </c>
      <c r="H8" s="15">
        <v>87</v>
      </c>
      <c r="I8" s="15"/>
      <c r="J8" s="15"/>
      <c r="K8" s="15"/>
      <c r="L8" s="15"/>
      <c r="M8" s="15"/>
      <c r="N8" s="15"/>
      <c r="O8" s="15"/>
    </row>
    <row r="9" spans="1:17" x14ac:dyDescent="0.2">
      <c r="A9" s="83" t="s">
        <v>1098</v>
      </c>
      <c r="B9" s="80"/>
      <c r="E9" s="80"/>
      <c r="F9">
        <v>2018</v>
      </c>
      <c r="G9" s="15">
        <v>16</v>
      </c>
      <c r="H9" s="15">
        <v>83</v>
      </c>
      <c r="I9" s="15">
        <v>1</v>
      </c>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701-000000000000}">
      <formula1>"Line,Clustered Bar,Stacked Bar,Bar,Horizontal Stacked Bar"</formula1>
    </dataValidation>
    <dataValidation type="list" allowBlank="1" showInputMessage="1" showErrorMessage="1" sqref="B2" xr:uid="{00000000-0002-0000-3701-000001000000}">
      <formula1>"Table,Figure,Both"</formula1>
    </dataValidation>
    <dataValidation type="list" allowBlank="1" showInputMessage="1" showErrorMessage="1" sqref="B6 B15:B16" xr:uid="{00000000-0002-0000-3701-000002000000}">
      <formula1>"True,False"</formula1>
    </dataValidation>
  </dataValidations>
  <pageMargins left="0.75" right="0.75" top="1" bottom="1" header="0.5" footer="0.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sheetPr>
    <tabColor rgb="FFFF0000"/>
  </sheetPr>
  <dimension ref="A1:Q57"/>
  <sheetViews>
    <sheetView workbookViewId="0">
      <selection activeCell="J27" sqref="J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763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tbl-siena-unable-food</v>
      </c>
    </row>
    <row r="4" spans="1:17" x14ac:dyDescent="0.2">
      <c r="A4" s="16" t="s">
        <v>7</v>
      </c>
      <c r="B4" t="str">
        <f>IF($B$1="","",_xlfn.XLOOKUP($B$1,Master!$F$2:$F$321,Master!$H$2:$H$321,""))</f>
        <v>fig-siena-unable-food</v>
      </c>
      <c r="E4" s="8"/>
      <c r="F4" s="10" t="s">
        <v>1009</v>
      </c>
      <c r="G4" s="10" t="s">
        <v>979</v>
      </c>
      <c r="H4" s="10" t="s">
        <v>979</v>
      </c>
      <c r="I4" s="10" t="s">
        <v>979</v>
      </c>
      <c r="J4" s="10"/>
      <c r="K4" s="10"/>
      <c r="L4" s="10"/>
      <c r="M4" s="10"/>
      <c r="N4" s="10"/>
      <c r="O4" s="10"/>
      <c r="P4" s="10"/>
      <c r="Q4" s="10"/>
    </row>
    <row r="5" spans="1:17" x14ac:dyDescent="0.2">
      <c r="A5" s="83" t="s">
        <v>1081</v>
      </c>
      <c r="B5" s="80"/>
      <c r="E5" s="82" t="s">
        <v>1082</v>
      </c>
      <c r="F5" t="s">
        <v>1303</v>
      </c>
      <c r="G5" t="s">
        <v>2211</v>
      </c>
      <c r="H5" t="s">
        <v>2212</v>
      </c>
      <c r="I5" t="s">
        <v>2179</v>
      </c>
    </row>
    <row r="6" spans="1:17" ht="15" customHeight="1" x14ac:dyDescent="0.2">
      <c r="A6" t="s">
        <v>1088</v>
      </c>
      <c r="B6" t="b">
        <v>0</v>
      </c>
      <c r="E6" s="80"/>
      <c r="F6">
        <v>2024</v>
      </c>
      <c r="G6" s="15">
        <v>15</v>
      </c>
      <c r="H6" s="15">
        <v>84</v>
      </c>
      <c r="I6" s="15">
        <v>1</v>
      </c>
      <c r="J6" s="15"/>
      <c r="K6" s="15"/>
      <c r="L6" s="15"/>
      <c r="M6" s="15"/>
      <c r="N6" s="15"/>
      <c r="O6" s="15"/>
    </row>
    <row r="7" spans="1:17" ht="15.75" customHeight="1" x14ac:dyDescent="0.2">
      <c r="E7" s="80"/>
      <c r="F7">
        <v>2023</v>
      </c>
      <c r="G7" s="15">
        <v>15</v>
      </c>
      <c r="H7" s="15">
        <v>84</v>
      </c>
      <c r="I7" s="15">
        <v>1</v>
      </c>
      <c r="J7" s="15"/>
      <c r="K7" s="15"/>
      <c r="L7" s="15"/>
      <c r="M7" s="15"/>
      <c r="N7" s="15"/>
      <c r="O7" s="15"/>
    </row>
    <row r="8" spans="1:17" x14ac:dyDescent="0.2">
      <c r="E8" s="80"/>
      <c r="F8">
        <v>2022</v>
      </c>
      <c r="G8" s="15">
        <v>12</v>
      </c>
      <c r="H8" s="15">
        <v>88</v>
      </c>
      <c r="I8" s="15"/>
      <c r="J8" s="15"/>
      <c r="K8" s="15"/>
      <c r="L8" s="15"/>
      <c r="M8" s="15"/>
      <c r="N8" s="15"/>
      <c r="O8" s="15"/>
    </row>
    <row r="9" spans="1:17" x14ac:dyDescent="0.2">
      <c r="A9" s="83" t="s">
        <v>1098</v>
      </c>
      <c r="B9" s="80"/>
      <c r="E9" s="80"/>
      <c r="F9">
        <v>2018</v>
      </c>
      <c r="G9" s="15">
        <v>11</v>
      </c>
      <c r="H9" s="15">
        <v>89</v>
      </c>
      <c r="I9" s="15"/>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801-000000000000}">
      <formula1>"Line,Clustered Bar,Stacked Bar,Bar,Horizontal Stacked Bar"</formula1>
    </dataValidation>
    <dataValidation type="list" allowBlank="1" showInputMessage="1" showErrorMessage="1" sqref="B2" xr:uid="{00000000-0002-0000-3801-000001000000}">
      <formula1>"Table,Figure,Both"</formula1>
    </dataValidation>
    <dataValidation type="list" allowBlank="1" showInputMessage="1" showErrorMessage="1" sqref="B6 B15:B16" xr:uid="{00000000-0002-0000-3801-000002000000}">
      <formula1>"True,False"</formula1>
    </dataValidation>
  </dataValidations>
  <pageMargins left="0.75" right="0.75" top="1" bottom="1" header="0.5" footer="0.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sheetPr>
    <tabColor rgb="FFFF0000"/>
  </sheetPr>
  <dimension ref="A1:Q57"/>
  <sheetViews>
    <sheetView workbookViewId="0">
      <selection activeCell="J12" sqref="J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757</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tbl-siena-cannabis</v>
      </c>
    </row>
    <row r="4" spans="1:17" x14ac:dyDescent="0.2">
      <c r="A4" s="16" t="s">
        <v>7</v>
      </c>
      <c r="B4" t="str">
        <f>IF($B$1="","",_xlfn.XLOOKUP($B$1,Master!$F$2:$F$321,Master!$H$2:$H$321,""))</f>
        <v>fig-siena-cannabis</v>
      </c>
      <c r="E4" s="8"/>
      <c r="F4" s="10" t="s">
        <v>1009</v>
      </c>
      <c r="G4" s="10" t="s">
        <v>979</v>
      </c>
      <c r="H4" s="10" t="s">
        <v>979</v>
      </c>
      <c r="I4" s="10" t="s">
        <v>979</v>
      </c>
      <c r="J4" s="10" t="s">
        <v>979</v>
      </c>
      <c r="K4" s="10"/>
      <c r="L4" s="10"/>
      <c r="M4" s="10"/>
      <c r="N4" s="10"/>
      <c r="O4" s="10"/>
      <c r="P4" s="10"/>
      <c r="Q4" s="10"/>
    </row>
    <row r="5" spans="1:17" x14ac:dyDescent="0.2">
      <c r="A5" s="83" t="s">
        <v>1081</v>
      </c>
      <c r="B5" s="80"/>
      <c r="E5" s="82" t="s">
        <v>1082</v>
      </c>
      <c r="F5" t="s">
        <v>1303</v>
      </c>
      <c r="G5" t="s">
        <v>2208</v>
      </c>
      <c r="H5" t="s">
        <v>2209</v>
      </c>
      <c r="I5" t="s">
        <v>2210</v>
      </c>
      <c r="J5" t="s">
        <v>2251</v>
      </c>
    </row>
    <row r="6" spans="1:17" ht="15" customHeight="1" x14ac:dyDescent="0.2">
      <c r="A6" t="s">
        <v>1088</v>
      </c>
      <c r="B6" t="b">
        <v>0</v>
      </c>
      <c r="E6" s="80"/>
      <c r="F6">
        <v>2024</v>
      </c>
      <c r="G6" s="15">
        <v>6</v>
      </c>
      <c r="H6" s="15">
        <v>12</v>
      </c>
      <c r="I6" s="15">
        <v>80</v>
      </c>
      <c r="J6" s="15">
        <v>1</v>
      </c>
      <c r="K6" s="15"/>
      <c r="L6" s="15"/>
      <c r="M6" s="15"/>
      <c r="N6" s="15"/>
      <c r="O6" s="15"/>
    </row>
    <row r="7" spans="1:17" ht="15.75" customHeight="1" x14ac:dyDescent="0.2">
      <c r="E7" s="80"/>
      <c r="G7" s="15"/>
      <c r="H7" s="15"/>
      <c r="I7" s="15"/>
      <c r="J7" s="15"/>
      <c r="K7" s="15"/>
      <c r="L7" s="15"/>
      <c r="M7" s="15"/>
      <c r="N7" s="15"/>
      <c r="O7" s="15"/>
    </row>
    <row r="8" spans="1:17" x14ac:dyDescent="0.2">
      <c r="E8" s="80"/>
      <c r="G8" s="15"/>
      <c r="H8" s="15"/>
      <c r="I8" s="15"/>
      <c r="J8" s="15"/>
      <c r="K8" s="15"/>
      <c r="L8" s="15"/>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901-000000000000}">
      <formula1>"Line,Clustered Bar,Stacked Bar,Bar,Horizontal Stacked Bar"</formula1>
    </dataValidation>
    <dataValidation type="list" allowBlank="1" showInputMessage="1" showErrorMessage="1" sqref="B2" xr:uid="{00000000-0002-0000-3901-000001000000}">
      <formula1>"Table,Figure,Both"</formula1>
    </dataValidation>
    <dataValidation type="list" allowBlank="1" showInputMessage="1" showErrorMessage="1" sqref="B6 B15:B16" xr:uid="{00000000-0002-0000-3901-000002000000}">
      <formula1>"True,False"</formula1>
    </dataValidation>
  </dataValidations>
  <pageMargins left="0.75" right="0.75" top="1" bottom="1" header="0.5" footer="0.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sheetPr>
    <tabColor rgb="FFFF0000"/>
  </sheetPr>
  <dimension ref="A1:Q57"/>
  <sheetViews>
    <sheetView workbookViewId="0">
      <selection activeCell="B12" sqref="B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751</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tbl-siena-non-medical-drug-use</v>
      </c>
    </row>
    <row r="4" spans="1:17" x14ac:dyDescent="0.2">
      <c r="A4" s="16" t="s">
        <v>7</v>
      </c>
      <c r="B4" t="str">
        <f>IF($B$1="","",_xlfn.XLOOKUP($B$1,Master!$F$2:$F$321,Master!$H$2:$H$321,""))</f>
        <v>fig-siena-non-medical-drug-use</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2203</v>
      </c>
      <c r="H5" t="s">
        <v>2204</v>
      </c>
      <c r="I5" t="s">
        <v>2205</v>
      </c>
      <c r="J5" t="s">
        <v>2206</v>
      </c>
      <c r="K5" t="s">
        <v>2207</v>
      </c>
      <c r="L5" t="s">
        <v>2179</v>
      </c>
    </row>
    <row r="6" spans="1:17" ht="15" customHeight="1" x14ac:dyDescent="0.2">
      <c r="A6" t="s">
        <v>1088</v>
      </c>
      <c r="B6" t="b">
        <v>0</v>
      </c>
      <c r="E6" s="80"/>
      <c r="F6">
        <v>2024</v>
      </c>
      <c r="G6" s="15">
        <v>78</v>
      </c>
      <c r="H6" s="15">
        <v>7</v>
      </c>
      <c r="I6" s="15">
        <v>4</v>
      </c>
      <c r="J6" s="15">
        <v>2</v>
      </c>
      <c r="K6" s="15">
        <v>8</v>
      </c>
      <c r="L6" s="15"/>
      <c r="M6" s="15"/>
      <c r="N6" s="15"/>
      <c r="O6" s="15"/>
    </row>
    <row r="7" spans="1:17" ht="15.75" customHeight="1" x14ac:dyDescent="0.2">
      <c r="E7" s="80"/>
      <c r="F7">
        <v>2023</v>
      </c>
      <c r="G7" s="15">
        <v>73</v>
      </c>
      <c r="H7" s="15">
        <v>9</v>
      </c>
      <c r="I7" s="15">
        <v>4</v>
      </c>
      <c r="J7" s="15">
        <v>3</v>
      </c>
      <c r="K7" s="15">
        <v>9</v>
      </c>
      <c r="L7" s="15">
        <v>2</v>
      </c>
      <c r="M7" s="15"/>
      <c r="N7" s="15"/>
      <c r="O7" s="15"/>
    </row>
    <row r="8" spans="1:17" x14ac:dyDescent="0.2">
      <c r="E8" s="80"/>
      <c r="F8">
        <v>2022</v>
      </c>
      <c r="G8" s="15">
        <v>76</v>
      </c>
      <c r="H8" s="15">
        <v>6</v>
      </c>
      <c r="I8" s="15">
        <v>4</v>
      </c>
      <c r="J8" s="15">
        <v>3</v>
      </c>
      <c r="K8" s="15">
        <v>10</v>
      </c>
      <c r="L8" s="15">
        <v>1</v>
      </c>
      <c r="M8" s="15"/>
      <c r="N8" s="15"/>
      <c r="O8" s="15"/>
    </row>
    <row r="9" spans="1:17" x14ac:dyDescent="0.2">
      <c r="A9" s="83" t="s">
        <v>1098</v>
      </c>
      <c r="B9" s="80"/>
      <c r="E9" s="80"/>
      <c r="F9">
        <v>2018</v>
      </c>
      <c r="G9" s="15">
        <v>91</v>
      </c>
      <c r="H9" s="15">
        <v>2</v>
      </c>
      <c r="I9" s="15">
        <v>1</v>
      </c>
      <c r="J9" s="15">
        <v>1</v>
      </c>
      <c r="K9" s="15">
        <v>1</v>
      </c>
      <c r="L9" s="15">
        <v>4</v>
      </c>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A01-000000000000}">
      <formula1>"Line,Clustered Bar,Stacked Bar,Bar,Horizontal Stacked Bar"</formula1>
    </dataValidation>
    <dataValidation type="list" allowBlank="1" showInputMessage="1" showErrorMessage="1" sqref="B2" xr:uid="{00000000-0002-0000-3A01-000001000000}">
      <formula1>"Table,Figure,Both"</formula1>
    </dataValidation>
    <dataValidation type="list" allowBlank="1" showInputMessage="1" showErrorMessage="1" sqref="B6 B15:B16" xr:uid="{00000000-0002-0000-3A01-000002000000}">
      <formula1>"True,False"</formula1>
    </dataValidation>
  </dataValidations>
  <pageMargins left="0.75" right="0.75" top="1" bottom="1" header="0.5" footer="0.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sheetPr>
    <tabColor rgb="FFFF0000"/>
  </sheetPr>
  <dimension ref="A1:Q57"/>
  <sheetViews>
    <sheetView workbookViewId="0">
      <selection activeCell="P13" sqref="P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745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tbl-siena-alcohol</v>
      </c>
    </row>
    <row r="4" spans="1:17" x14ac:dyDescent="0.2">
      <c r="A4" s="16" t="s">
        <v>7</v>
      </c>
      <c r="B4" t="str">
        <f>IF($B$1="","",_xlfn.XLOOKUP($B$1,Master!$F$2:$F$321,Master!$H$2:$H$321,""))</f>
        <v>fig-siena-alcohol</v>
      </c>
      <c r="E4" s="8"/>
      <c r="F4" s="10" t="s">
        <v>1009</v>
      </c>
      <c r="G4" s="10" t="s">
        <v>979</v>
      </c>
      <c r="H4" s="10" t="s">
        <v>979</v>
      </c>
      <c r="I4" s="10" t="s">
        <v>979</v>
      </c>
      <c r="J4" s="10" t="s">
        <v>979</v>
      </c>
      <c r="K4" s="10" t="s">
        <v>979</v>
      </c>
      <c r="L4" s="10" t="s">
        <v>979</v>
      </c>
      <c r="M4" s="10"/>
      <c r="N4" s="10"/>
      <c r="O4" s="10"/>
      <c r="P4" s="10"/>
      <c r="Q4" s="10"/>
    </row>
    <row r="5" spans="1:17" x14ac:dyDescent="0.2">
      <c r="A5" s="83" t="s">
        <v>1081</v>
      </c>
      <c r="B5" s="80"/>
      <c r="E5" s="82" t="s">
        <v>1082</v>
      </c>
      <c r="F5" t="s">
        <v>1303</v>
      </c>
      <c r="G5" t="s">
        <v>2203</v>
      </c>
      <c r="H5" t="s">
        <v>2204</v>
      </c>
      <c r="I5" t="s">
        <v>2205</v>
      </c>
      <c r="J5" t="s">
        <v>2206</v>
      </c>
      <c r="K5" t="s">
        <v>2207</v>
      </c>
      <c r="L5" t="s">
        <v>2179</v>
      </c>
    </row>
    <row r="6" spans="1:17" ht="15" customHeight="1" x14ac:dyDescent="0.2">
      <c r="A6" t="s">
        <v>1088</v>
      </c>
      <c r="B6" t="b">
        <v>0</v>
      </c>
      <c r="E6" s="80"/>
      <c r="F6">
        <v>2024</v>
      </c>
      <c r="G6" s="15">
        <v>34</v>
      </c>
      <c r="H6" s="15">
        <v>23</v>
      </c>
      <c r="I6" s="15">
        <v>21</v>
      </c>
      <c r="J6" s="15">
        <v>17</v>
      </c>
      <c r="K6" s="15">
        <v>4</v>
      </c>
      <c r="L6" s="15"/>
      <c r="M6" s="15"/>
      <c r="N6" s="15"/>
      <c r="O6" s="15"/>
    </row>
    <row r="7" spans="1:17" ht="15.75" customHeight="1" x14ac:dyDescent="0.2">
      <c r="E7" s="80"/>
      <c r="F7">
        <v>2023</v>
      </c>
      <c r="G7" s="15">
        <v>29</v>
      </c>
      <c r="H7" s="15">
        <v>23</v>
      </c>
      <c r="I7" s="15">
        <v>21</v>
      </c>
      <c r="J7" s="15">
        <v>21</v>
      </c>
      <c r="K7" s="15">
        <v>5</v>
      </c>
      <c r="L7" s="15">
        <v>1</v>
      </c>
      <c r="M7" s="15"/>
      <c r="N7" s="15"/>
      <c r="O7" s="15"/>
    </row>
    <row r="8" spans="1:17" x14ac:dyDescent="0.2">
      <c r="E8" s="80"/>
      <c r="F8">
        <v>2022</v>
      </c>
      <c r="G8" s="15">
        <v>33</v>
      </c>
      <c r="H8" s="15">
        <v>22</v>
      </c>
      <c r="I8" s="15">
        <v>18</v>
      </c>
      <c r="J8" s="15">
        <v>19</v>
      </c>
      <c r="K8" s="15">
        <v>7</v>
      </c>
      <c r="L8" s="15">
        <v>1</v>
      </c>
      <c r="M8" s="15"/>
      <c r="N8" s="15"/>
      <c r="O8" s="15"/>
    </row>
    <row r="9" spans="1:17" x14ac:dyDescent="0.2">
      <c r="A9" s="83" t="s">
        <v>1098</v>
      </c>
      <c r="B9" s="80"/>
      <c r="E9" s="80"/>
      <c r="G9" s="15"/>
      <c r="H9" s="15"/>
      <c r="I9" s="15"/>
      <c r="J9" s="15"/>
      <c r="K9" s="15"/>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B01-000000000000}">
      <formula1>"Line,Clustered Bar,Stacked Bar,Bar,Horizontal Stacked Bar"</formula1>
    </dataValidation>
    <dataValidation type="list" allowBlank="1" showInputMessage="1" showErrorMessage="1" sqref="B2" xr:uid="{00000000-0002-0000-3B01-000001000000}">
      <formula1>"Table,Figure,Both"</formula1>
    </dataValidation>
    <dataValidation type="list" allowBlank="1" showInputMessage="1" showErrorMessage="1" sqref="B6 B15:B16" xr:uid="{00000000-0002-0000-3B01-000002000000}">
      <formula1>"True,False"</formula1>
    </dataValidation>
  </dataValidations>
  <pageMargins left="0.75" right="0.75" top="1" bottom="1" header="0.5" footer="0.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sheetPr>
    <tabColor rgb="FFFF0000"/>
  </sheetPr>
  <dimension ref="A1:Q57"/>
  <sheetViews>
    <sheetView workbookViewId="0">
      <selection activeCell="C10" sqref="C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739</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tbl-siena-quality-encounter</v>
      </c>
    </row>
    <row r="4" spans="1:17" x14ac:dyDescent="0.2">
      <c r="A4" s="16" t="s">
        <v>7</v>
      </c>
      <c r="B4" t="str">
        <f>IF($B$1="","",_xlfn.XLOOKUP($B$1,Master!$F$2:$F$321,Master!$H$2:$H$321,""))</f>
        <v>fig-siena-quality-encounter</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2199</v>
      </c>
      <c r="H5" t="s">
        <v>2200</v>
      </c>
      <c r="I5" t="s">
        <v>2201</v>
      </c>
      <c r="J5" t="s">
        <v>2202</v>
      </c>
      <c r="K5" t="s">
        <v>2179</v>
      </c>
    </row>
    <row r="6" spans="1:17" ht="15" customHeight="1" x14ac:dyDescent="0.2">
      <c r="A6" t="s">
        <v>1088</v>
      </c>
      <c r="B6" t="b">
        <v>0</v>
      </c>
      <c r="E6" s="80"/>
      <c r="F6">
        <v>2024</v>
      </c>
      <c r="G6" s="15">
        <v>8</v>
      </c>
      <c r="H6" s="15">
        <v>22</v>
      </c>
      <c r="I6" s="15">
        <v>31</v>
      </c>
      <c r="J6" s="15">
        <v>38</v>
      </c>
      <c r="K6" s="15">
        <v>1</v>
      </c>
      <c r="L6" s="15"/>
      <c r="M6" s="15"/>
      <c r="N6" s="15"/>
      <c r="O6" s="15"/>
    </row>
    <row r="7" spans="1:17" ht="15.75" customHeight="1" x14ac:dyDescent="0.2">
      <c r="E7" s="80"/>
      <c r="F7">
        <v>2023</v>
      </c>
      <c r="G7" s="15">
        <v>9</v>
      </c>
      <c r="H7" s="15">
        <v>18</v>
      </c>
      <c r="I7" s="15">
        <v>27</v>
      </c>
      <c r="J7" s="15">
        <v>44</v>
      </c>
      <c r="K7" s="15">
        <v>2</v>
      </c>
      <c r="L7" s="15"/>
      <c r="M7" s="15"/>
      <c r="N7" s="15"/>
      <c r="O7" s="15"/>
    </row>
    <row r="8" spans="1:17" x14ac:dyDescent="0.2">
      <c r="E8" s="80"/>
      <c r="F8">
        <v>2022</v>
      </c>
      <c r="G8" s="15">
        <v>12</v>
      </c>
      <c r="H8" s="15">
        <v>22</v>
      </c>
      <c r="I8" s="15">
        <v>26</v>
      </c>
      <c r="J8" s="15">
        <v>38</v>
      </c>
      <c r="K8" s="15">
        <v>2</v>
      </c>
      <c r="L8" s="15"/>
      <c r="M8" s="15"/>
      <c r="N8" s="15"/>
      <c r="O8" s="15"/>
    </row>
    <row r="9" spans="1:17" x14ac:dyDescent="0.2">
      <c r="A9" s="83" t="s">
        <v>1098</v>
      </c>
      <c r="B9" s="80"/>
      <c r="E9" s="80"/>
      <c r="F9">
        <v>2018</v>
      </c>
      <c r="G9" s="15">
        <v>8</v>
      </c>
      <c r="H9" s="15">
        <v>13</v>
      </c>
      <c r="I9" s="15">
        <v>25</v>
      </c>
      <c r="J9" s="15">
        <v>53</v>
      </c>
      <c r="K9" s="15">
        <v>1</v>
      </c>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C01-000000000000}">
      <formula1>"Line,Clustered Bar,Stacked Bar,Bar,Horizontal Stacked Bar"</formula1>
    </dataValidation>
    <dataValidation type="list" allowBlank="1" showInputMessage="1" showErrorMessage="1" sqref="B2" xr:uid="{00000000-0002-0000-3C01-000001000000}">
      <formula1>"Table,Figure,Both"</formula1>
    </dataValidation>
    <dataValidation type="list" allowBlank="1" showInputMessage="1" showErrorMessage="1" sqref="B6 B15:B16" xr:uid="{00000000-0002-0000-3C01-000002000000}">
      <formula1>"True,False"</formula1>
    </dataValidation>
  </dataValidations>
  <pageMargins left="0.75" right="0.75" top="1" bottom="1" header="0.5" footer="0.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sheetPr>
    <tabColor rgb="FFFF0000"/>
  </sheetPr>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2195</v>
      </c>
      <c r="H5" t="s">
        <v>2196</v>
      </c>
      <c r="I5" t="s">
        <v>2197</v>
      </c>
      <c r="J5" t="s">
        <v>2198</v>
      </c>
      <c r="K5" t="s">
        <v>2179</v>
      </c>
    </row>
    <row r="6" spans="1:17" ht="15" customHeight="1" x14ac:dyDescent="0.2">
      <c r="A6" t="s">
        <v>1088</v>
      </c>
      <c r="B6" t="b">
        <v>0</v>
      </c>
      <c r="E6" s="80"/>
      <c r="F6">
        <v>2024</v>
      </c>
      <c r="G6" s="15">
        <v>14</v>
      </c>
      <c r="H6" s="15">
        <v>23</v>
      </c>
      <c r="I6" s="15">
        <v>47</v>
      </c>
      <c r="J6" s="15">
        <v>16</v>
      </c>
      <c r="K6" s="15"/>
      <c r="L6" s="15"/>
      <c r="M6" s="15"/>
      <c r="N6" s="15"/>
      <c r="O6" s="15"/>
    </row>
    <row r="7" spans="1:17" ht="15.75" customHeight="1" x14ac:dyDescent="0.2">
      <c r="E7" s="80"/>
      <c r="F7">
        <v>2023</v>
      </c>
      <c r="G7" s="15">
        <v>14</v>
      </c>
      <c r="H7" s="15">
        <v>23</v>
      </c>
      <c r="I7" s="15">
        <v>45</v>
      </c>
      <c r="J7" s="15">
        <v>17</v>
      </c>
      <c r="K7" s="15">
        <v>1</v>
      </c>
      <c r="L7" s="15"/>
      <c r="M7" s="15"/>
      <c r="N7" s="15"/>
      <c r="O7" s="15"/>
    </row>
    <row r="8" spans="1:17" x14ac:dyDescent="0.2">
      <c r="E8" s="80"/>
      <c r="F8">
        <v>2022</v>
      </c>
      <c r="G8" s="15">
        <v>10</v>
      </c>
      <c r="H8" s="15">
        <v>25</v>
      </c>
      <c r="I8" s="15">
        <v>46</v>
      </c>
      <c r="J8" s="15">
        <v>17</v>
      </c>
      <c r="K8" s="15">
        <v>2</v>
      </c>
      <c r="L8" s="15"/>
      <c r="M8" s="15"/>
      <c r="N8" s="15"/>
      <c r="O8" s="15"/>
    </row>
    <row r="9" spans="1:17" x14ac:dyDescent="0.2">
      <c r="A9" s="83" t="s">
        <v>1098</v>
      </c>
      <c r="B9" s="80"/>
      <c r="E9" s="80"/>
      <c r="F9">
        <v>2018</v>
      </c>
      <c r="G9" s="15">
        <v>16</v>
      </c>
      <c r="H9" s="15">
        <v>24</v>
      </c>
      <c r="I9" s="15">
        <v>48</v>
      </c>
      <c r="J9" s="15">
        <v>12</v>
      </c>
      <c r="K9" s="15"/>
      <c r="L9" s="15"/>
      <c r="M9" s="15"/>
      <c r="N9" s="15"/>
      <c r="O9" s="15"/>
    </row>
    <row r="10" spans="1:17" x14ac:dyDescent="0.2">
      <c r="A10" t="s">
        <v>1100</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D01-000000000000}">
      <formula1>"Line,Clustered Bar,Stacked Bar,Bar,Horizontal Stacked Bar"</formula1>
    </dataValidation>
    <dataValidation type="list" allowBlank="1" showInputMessage="1" showErrorMessage="1" sqref="B2" xr:uid="{00000000-0002-0000-3D01-000001000000}">
      <formula1>"Table,Figure,Both"</formula1>
    </dataValidation>
    <dataValidation type="list" allowBlank="1" showInputMessage="1" showErrorMessage="1" sqref="B6 B15:B16" xr:uid="{00000000-0002-0000-3D01-000002000000}">
      <formula1>"True,False"</formula1>
    </dataValidation>
  </dataValidations>
  <pageMargins left="0.75" right="0.75" top="1" bottom="1" header="0.5" footer="0.5"/>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sheetPr>
    <tabColor rgb="FFFF0000"/>
  </sheetPr>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2191</v>
      </c>
      <c r="H5" t="s">
        <v>2192</v>
      </c>
      <c r="I5" t="s">
        <v>2193</v>
      </c>
      <c r="J5" t="s">
        <v>2194</v>
      </c>
      <c r="K5" t="s">
        <v>2179</v>
      </c>
    </row>
    <row r="6" spans="1:17" ht="15" customHeight="1" x14ac:dyDescent="0.2">
      <c r="A6" t="s">
        <v>1088</v>
      </c>
      <c r="B6" t="b">
        <v>0</v>
      </c>
      <c r="E6" s="80"/>
      <c r="F6">
        <v>2024</v>
      </c>
      <c r="G6" s="15">
        <v>14</v>
      </c>
      <c r="H6" s="15">
        <v>29</v>
      </c>
      <c r="I6" s="15">
        <v>34</v>
      </c>
      <c r="J6" s="15">
        <v>23</v>
      </c>
      <c r="K6" s="15"/>
      <c r="L6" s="15"/>
      <c r="M6" s="15"/>
      <c r="N6" s="15"/>
      <c r="O6" s="15"/>
    </row>
    <row r="7" spans="1:17" ht="15.75" customHeight="1" x14ac:dyDescent="0.2">
      <c r="E7" s="80"/>
      <c r="F7">
        <v>2023</v>
      </c>
      <c r="G7" s="15">
        <v>14</v>
      </c>
      <c r="H7" s="15">
        <v>28</v>
      </c>
      <c r="I7" s="15">
        <v>33</v>
      </c>
      <c r="J7" s="15">
        <v>24</v>
      </c>
      <c r="K7" s="15">
        <v>1</v>
      </c>
      <c r="L7" s="15"/>
      <c r="M7" s="15"/>
      <c r="N7" s="15"/>
      <c r="O7" s="15"/>
    </row>
    <row r="8" spans="1:17" x14ac:dyDescent="0.2">
      <c r="E8" s="80"/>
      <c r="F8">
        <v>2022</v>
      </c>
      <c r="G8" s="15">
        <v>15</v>
      </c>
      <c r="H8" s="15">
        <v>28</v>
      </c>
      <c r="I8" s="15">
        <v>32</v>
      </c>
      <c r="J8" s="15">
        <v>24</v>
      </c>
      <c r="K8" s="15">
        <v>1</v>
      </c>
      <c r="L8" s="15"/>
      <c r="M8" s="15"/>
      <c r="N8" s="15"/>
      <c r="O8" s="15"/>
    </row>
    <row r="9" spans="1:17" x14ac:dyDescent="0.2">
      <c r="A9" s="83" t="s">
        <v>1098</v>
      </c>
      <c r="B9" s="80"/>
      <c r="E9" s="80"/>
      <c r="F9">
        <v>2018</v>
      </c>
      <c r="G9" s="15">
        <v>12</v>
      </c>
      <c r="H9" s="15">
        <v>25</v>
      </c>
      <c r="I9" s="15">
        <v>36</v>
      </c>
      <c r="J9" s="15">
        <v>26</v>
      </c>
      <c r="K9" s="15">
        <v>1</v>
      </c>
      <c r="L9" s="15"/>
      <c r="M9" s="15"/>
      <c r="N9" s="15"/>
      <c r="O9" s="15"/>
    </row>
    <row r="10" spans="1:17" x14ac:dyDescent="0.2">
      <c r="A10" t="s">
        <v>1100</v>
      </c>
      <c r="E10" s="80"/>
      <c r="G10" s="15"/>
    </row>
    <row r="11" spans="1:17" x14ac:dyDescent="0.2">
      <c r="A11" t="s">
        <v>1102</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E01-000000000000}">
      <formula1>"Line,Clustered Bar,Stacked Bar,Bar,Horizontal Stacked Bar"</formula1>
    </dataValidation>
    <dataValidation type="list" allowBlank="1" showInputMessage="1" showErrorMessage="1" sqref="B2" xr:uid="{00000000-0002-0000-3E01-000001000000}">
      <formula1>"Table,Figure,Both"</formula1>
    </dataValidation>
    <dataValidation type="list" allowBlank="1" showInputMessage="1" showErrorMessage="1" sqref="B6 B15:B16" xr:uid="{00000000-0002-0000-3E01-000002000000}">
      <formula1>"True,False"</formula1>
    </dataValidation>
  </dataValidations>
  <pageMargins left="0.75" right="0.75" top="1" bottom="1" header="0.5" footer="0.5"/>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sheetPr>
    <tabColor rgb="FFFF0000"/>
  </sheetPr>
  <dimension ref="A1:Q57"/>
  <sheetViews>
    <sheetView workbookViewId="0">
      <selection activeCell="L25" sqref="L2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33203125" bestFit="1" customWidth="1"/>
    <col min="11" max="11" width="19.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2345</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2191</v>
      </c>
      <c r="H5" t="s">
        <v>2192</v>
      </c>
      <c r="I5" t="s">
        <v>2193</v>
      </c>
      <c r="J5" t="s">
        <v>2194</v>
      </c>
      <c r="K5" t="s">
        <v>2179</v>
      </c>
    </row>
    <row r="6" spans="1:17" ht="15" customHeight="1" x14ac:dyDescent="0.2">
      <c r="A6" t="s">
        <v>1088</v>
      </c>
      <c r="B6" t="b">
        <v>0</v>
      </c>
      <c r="E6" s="80"/>
      <c r="F6">
        <v>2024</v>
      </c>
      <c r="G6" s="15">
        <v>18</v>
      </c>
      <c r="H6" s="15">
        <v>40</v>
      </c>
      <c r="I6" s="15">
        <v>29</v>
      </c>
      <c r="J6" s="15">
        <v>13</v>
      </c>
      <c r="K6" s="15"/>
      <c r="L6" s="15"/>
      <c r="M6" s="15"/>
      <c r="N6" s="15"/>
      <c r="O6" s="15"/>
    </row>
    <row r="7" spans="1:17" ht="15.75" customHeight="1" x14ac:dyDescent="0.2">
      <c r="E7" s="80"/>
      <c r="F7">
        <v>2023</v>
      </c>
      <c r="G7" s="15">
        <v>17</v>
      </c>
      <c r="H7" s="15">
        <v>41</v>
      </c>
      <c r="I7" s="15">
        <v>28</v>
      </c>
      <c r="J7" s="15">
        <v>14</v>
      </c>
      <c r="K7" s="15"/>
      <c r="L7" s="15"/>
      <c r="M7" s="15"/>
      <c r="N7" s="15"/>
      <c r="O7" s="15"/>
    </row>
    <row r="8" spans="1:17" x14ac:dyDescent="0.2">
      <c r="E8" s="80"/>
      <c r="F8">
        <v>2022</v>
      </c>
      <c r="G8" s="15">
        <v>20</v>
      </c>
      <c r="H8" s="15">
        <v>38</v>
      </c>
      <c r="I8" s="15">
        <v>23</v>
      </c>
      <c r="J8" s="15">
        <v>17</v>
      </c>
      <c r="K8" s="15">
        <v>2</v>
      </c>
      <c r="L8" s="15"/>
      <c r="M8" s="15"/>
      <c r="N8" s="15"/>
      <c r="O8" s="15"/>
    </row>
    <row r="9" spans="1:17" x14ac:dyDescent="0.2">
      <c r="A9" s="83" t="s">
        <v>1098</v>
      </c>
      <c r="B9" s="80"/>
      <c r="E9" s="80"/>
      <c r="F9">
        <v>2018</v>
      </c>
      <c r="G9" s="15">
        <v>20</v>
      </c>
      <c r="H9" s="15">
        <v>38</v>
      </c>
      <c r="I9" s="15">
        <v>25</v>
      </c>
      <c r="J9" s="15">
        <v>15</v>
      </c>
      <c r="K9" s="15">
        <v>2</v>
      </c>
      <c r="L9" s="15"/>
      <c r="M9" s="15"/>
      <c r="N9" s="15"/>
      <c r="O9" s="15"/>
    </row>
    <row r="10" spans="1:17" x14ac:dyDescent="0.2">
      <c r="A10" t="s">
        <v>1100</v>
      </c>
      <c r="B10" t="s">
        <v>2072</v>
      </c>
      <c r="E10" s="80"/>
      <c r="G10" s="15"/>
    </row>
    <row r="11" spans="1:17" x14ac:dyDescent="0.2">
      <c r="A11" t="s">
        <v>1102</v>
      </c>
      <c r="E11" s="80"/>
      <c r="G11" s="15"/>
      <c r="H11" s="15"/>
      <c r="I11" s="15"/>
      <c r="J11" s="17"/>
      <c r="K11" s="17"/>
      <c r="L11" s="17"/>
      <c r="M11" s="17"/>
      <c r="N11" s="17"/>
    </row>
    <row r="12" spans="1:17" x14ac:dyDescent="0.2">
      <c r="A12" t="s">
        <v>1104</v>
      </c>
      <c r="B12" t="s">
        <v>1303</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3F01-000000000000}">
      <formula1>"Line,Clustered Bar,Stacked Bar,Bar,Horizontal Stacked Bar"</formula1>
    </dataValidation>
    <dataValidation type="list" allowBlank="1" showInputMessage="1" showErrorMessage="1" sqref="B2" xr:uid="{00000000-0002-0000-3F01-000001000000}">
      <formula1>"Table,Figure,Both"</formula1>
    </dataValidation>
    <dataValidation type="list" allowBlank="1" showInputMessage="1" showErrorMessage="1" sqref="B6 B15:B16" xr:uid="{00000000-0002-0000-3F01-000002000000}">
      <formula1>"True,False"</formula1>
    </dataValidation>
  </dataValidations>
  <pageMargins left="0.75" right="0.75" top="1" bottom="1" header="0.5" footer="0.5"/>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sheetPr>
    <tabColor rgb="FFFF0000"/>
  </sheetPr>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2191</v>
      </c>
      <c r="H5" t="s">
        <v>2192</v>
      </c>
      <c r="I5" t="s">
        <v>2193</v>
      </c>
      <c r="J5" t="s">
        <v>2194</v>
      </c>
      <c r="K5" t="s">
        <v>2179</v>
      </c>
    </row>
    <row r="6" spans="1:17" ht="15" customHeight="1" x14ac:dyDescent="0.2">
      <c r="A6" t="s">
        <v>1088</v>
      </c>
      <c r="B6" t="b">
        <v>0</v>
      </c>
      <c r="E6" s="80"/>
      <c r="F6">
        <v>2024</v>
      </c>
      <c r="G6" s="15">
        <v>4</v>
      </c>
      <c r="H6" s="15">
        <v>23</v>
      </c>
      <c r="I6" s="15">
        <v>43</v>
      </c>
      <c r="J6" s="15">
        <v>29</v>
      </c>
      <c r="K6" s="15">
        <v>1</v>
      </c>
      <c r="L6" s="15"/>
      <c r="M6" s="15"/>
      <c r="N6" s="15"/>
      <c r="O6" s="15"/>
    </row>
    <row r="7" spans="1:17" ht="15.75" customHeight="1" x14ac:dyDescent="0.2">
      <c r="E7" s="80"/>
      <c r="F7">
        <v>2023</v>
      </c>
      <c r="G7" s="15">
        <v>5</v>
      </c>
      <c r="H7" s="15">
        <v>23</v>
      </c>
      <c r="I7" s="15">
        <v>43</v>
      </c>
      <c r="J7" s="15">
        <v>27</v>
      </c>
      <c r="K7" s="15">
        <v>2</v>
      </c>
      <c r="L7" s="15"/>
      <c r="M7" s="15"/>
      <c r="N7" s="15"/>
      <c r="O7" s="15"/>
    </row>
    <row r="8" spans="1:17" x14ac:dyDescent="0.2">
      <c r="E8" s="80"/>
      <c r="F8">
        <v>2022</v>
      </c>
      <c r="G8" s="15">
        <v>5</v>
      </c>
      <c r="H8" s="15">
        <v>26</v>
      </c>
      <c r="I8" s="15">
        <v>37</v>
      </c>
      <c r="J8" s="15">
        <v>31</v>
      </c>
      <c r="K8" s="15">
        <v>1</v>
      </c>
      <c r="L8" s="15"/>
      <c r="M8" s="15"/>
      <c r="N8" s="15"/>
      <c r="O8" s="15"/>
    </row>
    <row r="9" spans="1:17" x14ac:dyDescent="0.2">
      <c r="A9" s="83" t="s">
        <v>1098</v>
      </c>
      <c r="B9" s="80"/>
      <c r="E9" s="80"/>
      <c r="F9">
        <v>2018</v>
      </c>
      <c r="G9" s="15">
        <v>5</v>
      </c>
      <c r="H9" s="15">
        <v>21</v>
      </c>
      <c r="I9" s="15">
        <v>40</v>
      </c>
      <c r="J9" s="15">
        <v>33</v>
      </c>
      <c r="K9" s="15">
        <v>1</v>
      </c>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001-000000000000}">
      <formula1>"Line,Clustered Bar,Stacked Bar,Bar,Horizontal Stacked Bar"</formula1>
    </dataValidation>
    <dataValidation type="list" allowBlank="1" showInputMessage="1" showErrorMessage="1" sqref="B2" xr:uid="{00000000-0002-0000-4001-000001000000}">
      <formula1>"Table,Figure,Both"</formula1>
    </dataValidation>
    <dataValidation type="list" allowBlank="1" showInputMessage="1" showErrorMessage="1" sqref="B6 B15:B16" xr:uid="{00000000-0002-0000-4001-000002000000}">
      <formula1>"True,False"</formula1>
    </dataValidation>
  </dataValidations>
  <pageMargins left="0.75" right="0.75" top="1" bottom="1" header="0.5" footer="0.5"/>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sheetPr>
    <tabColor rgb="FFFF0000"/>
  </sheetPr>
  <dimension ref="A1:Q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2213</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
      </c>
    </row>
    <row r="4" spans="1:17" x14ac:dyDescent="0.2">
      <c r="A4" s="16" t="s">
        <v>7</v>
      </c>
      <c r="B4" t="str">
        <f>IF($B$1="","",_xlfn.XLOOKUP($B$1,Master!$F$2:$F$321,Master!$H$2:$H$321,""))</f>
        <v/>
      </c>
      <c r="E4" s="8"/>
      <c r="F4" s="10" t="s">
        <v>1009</v>
      </c>
      <c r="G4" s="10" t="s">
        <v>979</v>
      </c>
      <c r="H4" s="10" t="s">
        <v>979</v>
      </c>
      <c r="I4" s="10" t="s">
        <v>979</v>
      </c>
      <c r="J4" s="10" t="s">
        <v>979</v>
      </c>
      <c r="K4" s="10" t="s">
        <v>979</v>
      </c>
      <c r="L4" s="10"/>
      <c r="M4" s="10"/>
      <c r="N4" s="10"/>
      <c r="O4" s="10"/>
      <c r="P4" s="10"/>
      <c r="Q4" s="10"/>
    </row>
    <row r="5" spans="1:17" x14ac:dyDescent="0.2">
      <c r="A5" s="83" t="s">
        <v>1081</v>
      </c>
      <c r="B5" s="80"/>
      <c r="E5" s="82" t="s">
        <v>1082</v>
      </c>
      <c r="F5" t="s">
        <v>1303</v>
      </c>
      <c r="G5" t="s">
        <v>2182</v>
      </c>
      <c r="H5" t="s">
        <v>2183</v>
      </c>
      <c r="I5" t="s">
        <v>2184</v>
      </c>
      <c r="J5" t="s">
        <v>2185</v>
      </c>
      <c r="K5" t="s">
        <v>2179</v>
      </c>
    </row>
    <row r="6" spans="1:17" ht="15" customHeight="1" x14ac:dyDescent="0.2">
      <c r="A6" t="s">
        <v>1088</v>
      </c>
      <c r="B6" t="b">
        <v>0</v>
      </c>
      <c r="E6" s="80"/>
      <c r="F6">
        <v>2024</v>
      </c>
      <c r="G6" s="15">
        <v>37</v>
      </c>
      <c r="H6" s="15">
        <v>42</v>
      </c>
      <c r="I6" s="15">
        <v>16</v>
      </c>
      <c r="J6" s="15">
        <v>5</v>
      </c>
      <c r="K6" s="15"/>
      <c r="L6" s="15"/>
      <c r="M6" s="15"/>
      <c r="N6" s="15"/>
      <c r="O6" s="15"/>
    </row>
    <row r="7" spans="1:17" ht="15.75" customHeight="1" x14ac:dyDescent="0.2">
      <c r="E7" s="80"/>
      <c r="F7">
        <v>2023</v>
      </c>
      <c r="G7" s="15">
        <v>35</v>
      </c>
      <c r="H7" s="15">
        <v>42</v>
      </c>
      <c r="I7" s="15">
        <v>16</v>
      </c>
      <c r="J7" s="15">
        <v>7</v>
      </c>
      <c r="K7" s="15"/>
      <c r="L7" s="15"/>
      <c r="M7" s="15"/>
      <c r="N7" s="15"/>
      <c r="O7" s="15"/>
    </row>
    <row r="8" spans="1:17" x14ac:dyDescent="0.2">
      <c r="E8" s="80"/>
      <c r="F8">
        <v>2022</v>
      </c>
      <c r="G8" s="15">
        <v>30</v>
      </c>
      <c r="H8" s="15">
        <v>45</v>
      </c>
      <c r="I8" s="15">
        <v>18</v>
      </c>
      <c r="J8" s="15">
        <v>6</v>
      </c>
      <c r="K8" s="15">
        <v>1</v>
      </c>
      <c r="L8" s="15"/>
      <c r="M8" s="15"/>
      <c r="N8" s="15"/>
      <c r="O8" s="15"/>
    </row>
    <row r="9" spans="1:17" x14ac:dyDescent="0.2">
      <c r="A9" s="83" t="s">
        <v>1098</v>
      </c>
      <c r="B9" s="80"/>
      <c r="E9" s="80"/>
      <c r="F9">
        <v>2018</v>
      </c>
      <c r="G9" s="15">
        <v>52</v>
      </c>
      <c r="H9" s="15">
        <v>32</v>
      </c>
      <c r="I9" s="15">
        <v>12</v>
      </c>
      <c r="J9" s="15">
        <v>3</v>
      </c>
      <c r="K9" s="15"/>
      <c r="L9" s="15"/>
      <c r="M9" s="15"/>
      <c r="N9" s="15"/>
      <c r="O9" s="15"/>
    </row>
    <row r="10" spans="1:17" x14ac:dyDescent="0.2">
      <c r="A10" t="s">
        <v>1100</v>
      </c>
      <c r="B10" t="s">
        <v>1304</v>
      </c>
      <c r="E10" s="80"/>
      <c r="G10" s="15"/>
    </row>
    <row r="11" spans="1:17" x14ac:dyDescent="0.2">
      <c r="A11" t="s">
        <v>1102</v>
      </c>
      <c r="B11" t="s">
        <v>1709</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101-000000000000}">
      <formula1>"Line,Clustered Bar,Stacked Bar,Bar,Horizontal Stacked Bar"</formula1>
    </dataValidation>
    <dataValidation type="list" allowBlank="1" showInputMessage="1" showErrorMessage="1" sqref="B2" xr:uid="{00000000-0002-0000-4101-000001000000}">
      <formula1>"Table,Figure,Both"</formula1>
    </dataValidation>
    <dataValidation type="list" allowBlank="1" showInputMessage="1" showErrorMessage="1" sqref="B6 B15:B16" xr:uid="{00000000-0002-0000-4101-000002000000}">
      <formula1>"True,False"</formula1>
    </dataValidation>
  </dataValidations>
  <pageMargins left="0.75" right="0.75" top="1" bottom="1" header="0.5" footer="0.5"/>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sheetPr>
    <tabColor rgb="FFFF0000"/>
  </sheetPr>
  <dimension ref="A1:Q57"/>
  <sheetViews>
    <sheetView workbookViewId="0">
      <selection activeCell="F5" sqref="F5:F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16" t="s">
        <v>1077</v>
      </c>
      <c r="B1" s="79" t="s">
        <v>700</v>
      </c>
      <c r="C1" s="80"/>
      <c r="D1" s="80"/>
      <c r="E1" s="80"/>
      <c r="F1" s="80"/>
      <c r="G1" s="80"/>
      <c r="H1" s="80"/>
      <c r="I1" s="80"/>
      <c r="J1" s="80"/>
      <c r="K1" s="80"/>
      <c r="L1" s="80"/>
      <c r="M1" s="80"/>
      <c r="N1" s="80"/>
      <c r="O1" s="80"/>
    </row>
    <row r="2" spans="1:17" x14ac:dyDescent="0.2">
      <c r="A2" s="16" t="s">
        <v>1078</v>
      </c>
      <c r="B2" t="s">
        <v>1079</v>
      </c>
    </row>
    <row r="3" spans="1:17" x14ac:dyDescent="0.2">
      <c r="A3" s="16" t="s">
        <v>1080</v>
      </c>
      <c r="B3" t="str">
        <f>IF($B$1="","",_xlfn.XLOOKUP($B$1,Master!$F$2:$F$321,Master!$G$2:$G$321,""))</f>
        <v>tbl-siena-rate-community-as-place-to-age-income</v>
      </c>
    </row>
    <row r="4" spans="1:17" x14ac:dyDescent="0.2">
      <c r="A4" s="16" t="s">
        <v>7</v>
      </c>
      <c r="B4" t="str">
        <f>IF($B$1="","",_xlfn.XLOOKUP($B$1,Master!$F$2:$F$321,Master!$H$2:$H$321,""))</f>
        <v>fig-siena-rate-community-as-place-to-age-income</v>
      </c>
      <c r="E4" s="8"/>
      <c r="F4" s="10" t="s">
        <v>1009</v>
      </c>
      <c r="G4" s="51" t="s">
        <v>979</v>
      </c>
      <c r="H4" s="51" t="s">
        <v>979</v>
      </c>
      <c r="I4" s="51" t="s">
        <v>979</v>
      </c>
      <c r="J4" s="51" t="s">
        <v>979</v>
      </c>
      <c r="K4" s="10"/>
      <c r="L4" s="10"/>
      <c r="M4" s="10"/>
      <c r="N4" s="10"/>
      <c r="O4" s="10"/>
      <c r="P4" s="10"/>
      <c r="Q4" s="10"/>
    </row>
    <row r="5" spans="1:17" x14ac:dyDescent="0.2">
      <c r="A5" s="83" t="s">
        <v>1081</v>
      </c>
      <c r="B5" s="80"/>
      <c r="E5" s="82" t="s">
        <v>1082</v>
      </c>
      <c r="F5" t="s">
        <v>2164</v>
      </c>
      <c r="G5" s="15" t="s">
        <v>2182</v>
      </c>
      <c r="H5" s="15" t="s">
        <v>2183</v>
      </c>
      <c r="I5" s="15" t="s">
        <v>2184</v>
      </c>
      <c r="J5" s="15" t="s">
        <v>2185</v>
      </c>
    </row>
    <row r="6" spans="1:17" ht="15" customHeight="1" x14ac:dyDescent="0.2">
      <c r="A6" t="s">
        <v>1088</v>
      </c>
      <c r="B6" t="b">
        <v>0</v>
      </c>
      <c r="E6" s="80"/>
      <c r="F6" t="s">
        <v>2180</v>
      </c>
      <c r="G6" s="15">
        <v>27</v>
      </c>
      <c r="H6" s="15">
        <v>27</v>
      </c>
      <c r="I6" s="15">
        <v>27</v>
      </c>
      <c r="J6" s="15">
        <v>19</v>
      </c>
      <c r="K6" s="15"/>
      <c r="L6" s="15"/>
      <c r="M6" s="15"/>
      <c r="N6" s="15"/>
      <c r="O6" s="15"/>
    </row>
    <row r="7" spans="1:17" ht="15.75" customHeight="1" x14ac:dyDescent="0.2">
      <c r="E7" s="80"/>
      <c r="F7" t="s">
        <v>2166</v>
      </c>
      <c r="G7" s="15">
        <v>31</v>
      </c>
      <c r="H7" s="15">
        <v>30</v>
      </c>
      <c r="I7" s="15">
        <v>28</v>
      </c>
      <c r="J7" s="15">
        <v>10</v>
      </c>
      <c r="K7" s="15"/>
      <c r="L7" s="15"/>
      <c r="M7" s="15"/>
      <c r="N7" s="15"/>
      <c r="O7" s="15"/>
    </row>
    <row r="8" spans="1:17" x14ac:dyDescent="0.2">
      <c r="E8" s="80"/>
      <c r="F8" t="s">
        <v>2167</v>
      </c>
      <c r="G8" s="15">
        <v>20</v>
      </c>
      <c r="H8" s="15">
        <v>39</v>
      </c>
      <c r="I8" s="15">
        <v>31</v>
      </c>
      <c r="J8" s="15">
        <v>10</v>
      </c>
      <c r="K8" s="15"/>
      <c r="L8" s="15"/>
      <c r="M8" s="15"/>
      <c r="N8" s="15"/>
      <c r="O8" s="15"/>
    </row>
    <row r="9" spans="1:17" x14ac:dyDescent="0.2">
      <c r="A9" s="83" t="s">
        <v>1098</v>
      </c>
      <c r="B9" s="80"/>
      <c r="E9" s="80"/>
      <c r="F9" t="s">
        <v>2168</v>
      </c>
      <c r="G9" s="15">
        <v>16</v>
      </c>
      <c r="H9" s="15">
        <v>40</v>
      </c>
      <c r="I9" s="15">
        <v>30</v>
      </c>
      <c r="J9" s="15">
        <v>13</v>
      </c>
      <c r="K9" s="15"/>
      <c r="L9" s="15"/>
      <c r="M9" s="15"/>
      <c r="N9" s="15"/>
      <c r="O9" s="15"/>
    </row>
    <row r="10" spans="1:17" x14ac:dyDescent="0.2">
      <c r="A10" t="s">
        <v>1100</v>
      </c>
      <c r="B10" t="s">
        <v>1300</v>
      </c>
      <c r="E10" s="80"/>
      <c r="F10" t="s">
        <v>2169</v>
      </c>
      <c r="G10" s="15">
        <v>26</v>
      </c>
      <c r="H10" s="15">
        <v>38</v>
      </c>
      <c r="I10" s="15">
        <v>23</v>
      </c>
      <c r="J10" s="15">
        <v>13</v>
      </c>
    </row>
    <row r="11" spans="1:17" x14ac:dyDescent="0.2">
      <c r="A11" t="s">
        <v>1102</v>
      </c>
      <c r="B11" t="s">
        <v>2181</v>
      </c>
      <c r="E11" s="80"/>
      <c r="G11" s="15"/>
      <c r="H11" s="15"/>
      <c r="I11" s="15"/>
      <c r="J11" s="17"/>
      <c r="K11" s="17"/>
      <c r="L11" s="17"/>
      <c r="M11" s="17"/>
      <c r="N11" s="17"/>
    </row>
    <row r="12" spans="1:17" x14ac:dyDescent="0.2">
      <c r="A12" t="s">
        <v>1104</v>
      </c>
      <c r="E12" s="80"/>
      <c r="F12" s="21"/>
      <c r="G12" s="17"/>
      <c r="H12" s="17"/>
      <c r="I12" s="15"/>
      <c r="J12" s="15"/>
      <c r="K12" s="15"/>
      <c r="L12" s="15"/>
    </row>
    <row r="13" spans="1:17" x14ac:dyDescent="0.2">
      <c r="A13" t="s">
        <v>1108</v>
      </c>
      <c r="E13" s="80"/>
    </row>
    <row r="14" spans="1:17" x14ac:dyDescent="0.2">
      <c r="A14" t="s">
        <v>1112</v>
      </c>
      <c r="E14" s="80"/>
    </row>
    <row r="15" spans="1:17" x14ac:dyDescent="0.2">
      <c r="A15" t="s">
        <v>1114</v>
      </c>
      <c r="B15" t="b">
        <v>1</v>
      </c>
      <c r="E15" s="80"/>
    </row>
    <row r="16" spans="1:17" x14ac:dyDescent="0.2">
      <c r="A16" t="s">
        <v>1116</v>
      </c>
      <c r="B16" t="b">
        <v>1</v>
      </c>
      <c r="E16" s="80"/>
    </row>
    <row r="17" spans="1:11" x14ac:dyDescent="0.2">
      <c r="E17" s="80"/>
    </row>
    <row r="18" spans="1:11" x14ac:dyDescent="0.2">
      <c r="A18" s="83" t="s">
        <v>1119</v>
      </c>
      <c r="B18" s="80"/>
      <c r="E18" s="80"/>
    </row>
    <row r="19" spans="1:11" x14ac:dyDescent="0.2">
      <c r="A19" t="s">
        <v>1121</v>
      </c>
      <c r="E19" s="80"/>
    </row>
    <row r="20" spans="1:11" x14ac:dyDescent="0.2">
      <c r="E20" s="80"/>
      <c r="F20" s="15"/>
      <c r="G20" s="15"/>
      <c r="H20" s="15"/>
    </row>
    <row r="21" spans="1:11" x14ac:dyDescent="0.2">
      <c r="A21" s="81" t="s">
        <v>1125</v>
      </c>
      <c r="B21" s="80"/>
      <c r="E21" s="80"/>
      <c r="F21" s="15"/>
      <c r="G21" s="15"/>
      <c r="H21" s="15"/>
    </row>
    <row r="22" spans="1:11" x14ac:dyDescent="0.2">
      <c r="A22" t="s">
        <v>1135</v>
      </c>
      <c r="E22" s="80"/>
      <c r="F22" s="15"/>
      <c r="G22" s="15"/>
      <c r="H22" s="15"/>
    </row>
    <row r="23" spans="1:11" x14ac:dyDescent="0.2">
      <c r="E23" s="80"/>
      <c r="F23" s="15"/>
      <c r="G23" s="15"/>
      <c r="H23" s="15"/>
    </row>
    <row r="24" spans="1:11" x14ac:dyDescent="0.2">
      <c r="E24" s="80"/>
    </row>
    <row r="25" spans="1:11" x14ac:dyDescent="0.2">
      <c r="E25" s="80"/>
      <c r="F25" s="15"/>
      <c r="G25" s="15"/>
      <c r="H25" s="15"/>
      <c r="K25" t="s">
        <v>1226</v>
      </c>
    </row>
    <row r="26" spans="1:11" x14ac:dyDescent="0.2">
      <c r="E26" s="80"/>
      <c r="F26" s="15"/>
      <c r="G26" s="15"/>
      <c r="H26" s="15"/>
    </row>
    <row r="27" spans="1:11" x14ac:dyDescent="0.2">
      <c r="A27" s="81"/>
      <c r="B27" s="80"/>
      <c r="E27" s="80"/>
      <c r="F27" s="15"/>
      <c r="G27" s="15"/>
      <c r="H27" s="15"/>
    </row>
    <row r="28" spans="1:11" x14ac:dyDescent="0.2">
      <c r="E28" s="80"/>
      <c r="F28" s="15"/>
      <c r="G28" s="15"/>
      <c r="H28" s="15"/>
    </row>
    <row r="29" spans="1:11" x14ac:dyDescent="0.2">
      <c r="E29" s="80"/>
      <c r="F29" s="15"/>
      <c r="G29" s="15"/>
      <c r="H29" s="15"/>
    </row>
    <row r="30" spans="1:11" x14ac:dyDescent="0.2">
      <c r="E30" s="80"/>
      <c r="F30" s="15"/>
      <c r="G30" s="15"/>
      <c r="H30" s="15"/>
    </row>
    <row r="31" spans="1:11" x14ac:dyDescent="0.2">
      <c r="E31" s="80"/>
      <c r="F31" s="15"/>
      <c r="G31" s="15"/>
      <c r="H31" s="15"/>
    </row>
    <row r="32" spans="1:11" x14ac:dyDescent="0.2">
      <c r="E32" s="80"/>
    </row>
    <row r="33" spans="5:9" x14ac:dyDescent="0.2">
      <c r="E33" s="80"/>
      <c r="F33" s="15"/>
      <c r="G33" s="15"/>
      <c r="H33" s="15"/>
    </row>
    <row r="34" spans="5:9" x14ac:dyDescent="0.2">
      <c r="E34" s="80"/>
      <c r="F34" s="15"/>
      <c r="G34" s="15"/>
      <c r="H34" s="15"/>
      <c r="I34" s="17"/>
    </row>
    <row r="35" spans="5:9" x14ac:dyDescent="0.2">
      <c r="E35" s="80"/>
      <c r="F35" s="15"/>
      <c r="G35" s="15"/>
      <c r="H35" s="15"/>
      <c r="I35" s="17"/>
    </row>
    <row r="36" spans="5:9" x14ac:dyDescent="0.2">
      <c r="E36" s="80"/>
      <c r="F36" s="15"/>
      <c r="G36" s="15"/>
      <c r="H36" s="15"/>
      <c r="I36" s="17"/>
    </row>
    <row r="37" spans="5:9" x14ac:dyDescent="0.2">
      <c r="E37" s="80"/>
      <c r="F37" s="15"/>
      <c r="G37" s="15"/>
      <c r="H37" s="15"/>
      <c r="I37" s="17"/>
    </row>
    <row r="38" spans="5:9" x14ac:dyDescent="0.2">
      <c r="E38" s="80"/>
    </row>
    <row r="39" spans="5:9" x14ac:dyDescent="0.2">
      <c r="E39" s="80"/>
    </row>
    <row r="40" spans="5:9" x14ac:dyDescent="0.2">
      <c r="E40" s="80"/>
    </row>
    <row r="41" spans="5:9" x14ac:dyDescent="0.2">
      <c r="E41" s="80"/>
    </row>
    <row r="42" spans="5:9" x14ac:dyDescent="0.2">
      <c r="E42" s="80"/>
    </row>
    <row r="43" spans="5:9" x14ac:dyDescent="0.2">
      <c r="E43" s="80"/>
    </row>
    <row r="44" spans="5:9" x14ac:dyDescent="0.2">
      <c r="E44" s="80"/>
    </row>
    <row r="45" spans="5:9" x14ac:dyDescent="0.2">
      <c r="E45" s="80"/>
    </row>
    <row r="46" spans="5:9" x14ac:dyDescent="0.2">
      <c r="E46" s="80"/>
    </row>
    <row r="47" spans="5:9" x14ac:dyDescent="0.2">
      <c r="E47" s="80"/>
    </row>
    <row r="48" spans="5:9" x14ac:dyDescent="0.2">
      <c r="E48" s="80"/>
    </row>
    <row r="49" spans="5:5" x14ac:dyDescent="0.2">
      <c r="E49" s="80"/>
    </row>
    <row r="50" spans="5:5" x14ac:dyDescent="0.2">
      <c r="E50" s="80"/>
    </row>
    <row r="51" spans="5:5" x14ac:dyDescent="0.2">
      <c r="E51" s="80"/>
    </row>
    <row r="52" spans="5:5" x14ac:dyDescent="0.2">
      <c r="E52" s="80"/>
    </row>
    <row r="53" spans="5:5" x14ac:dyDescent="0.2">
      <c r="E53" s="80"/>
    </row>
    <row r="54" spans="5:5" x14ac:dyDescent="0.2">
      <c r="E54" s="80"/>
    </row>
    <row r="55" spans="5:5" x14ac:dyDescent="0.2">
      <c r="E55" s="80"/>
    </row>
    <row r="56" spans="5:5" x14ac:dyDescent="0.2">
      <c r="E56" s="80"/>
    </row>
    <row r="57" spans="5:5" x14ac:dyDescent="0.2">
      <c r="E57" s="80"/>
    </row>
  </sheetData>
  <mergeCells count="7">
    <mergeCell ref="B1:O1"/>
    <mergeCell ref="A21:B21"/>
    <mergeCell ref="E5:E57"/>
    <mergeCell ref="A9:B9"/>
    <mergeCell ref="A5:B5"/>
    <mergeCell ref="A18:B18"/>
    <mergeCell ref="A27:B27"/>
  </mergeCells>
  <dataValidations count="3">
    <dataValidation type="list" allowBlank="1" showInputMessage="1" showErrorMessage="1" sqref="B10" xr:uid="{00000000-0002-0000-4201-000000000000}">
      <formula1>"Line,Clustered Bar,Stacked Bar,Bar,Horizontal Stacked Bar"</formula1>
    </dataValidation>
    <dataValidation type="list" allowBlank="1" showInputMessage="1" showErrorMessage="1" sqref="B2" xr:uid="{00000000-0002-0000-4201-000001000000}">
      <formula1>"Table,Figure,Both"</formula1>
    </dataValidation>
    <dataValidation type="list" allowBlank="1" showInputMessage="1" showErrorMessage="1" sqref="B6 B15:B16" xr:uid="{00000000-0002-0000-4201-000002000000}">
      <formula1>"True,False"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323</vt:i4>
      </vt:variant>
    </vt:vector>
  </HeadingPairs>
  <TitlesOfParts>
    <vt:vector size="323" baseType="lpstr">
      <vt:lpstr>Master</vt:lpstr>
      <vt:lpstr>Dropdowns</vt:lpstr>
      <vt:lpstr>Demographic Summary</vt:lpstr>
      <vt:lpstr>Population by Municipality</vt:lpstr>
      <vt:lpstr>Population Growth</vt:lpstr>
      <vt:lpstr>Population and Housing Unit Den</vt:lpstr>
      <vt:lpstr>Pop of Mun by Sex and Age</vt:lpstr>
      <vt:lpstr>POP Mun Race-Eth</vt:lpstr>
      <vt:lpstr>Employed Civilians by Industry</vt:lpstr>
      <vt:lpstr>Employed Civilian Occupations b</vt:lpstr>
      <vt:lpstr>All-Cause Mortality, Rate Zip</vt:lpstr>
      <vt:lpstr>All-Cause Mort AAR RE</vt:lpstr>
      <vt:lpstr>All-Cause Mort Rate Zip</vt:lpstr>
      <vt:lpstr>All-Cause Mort Rate Sex</vt:lpstr>
      <vt:lpstr>Top 5 Leading Death AAR</vt:lpstr>
      <vt:lpstr>Number fo Deaths by Sex</vt:lpstr>
      <vt:lpstr>Premature Deaths RE</vt:lpstr>
      <vt:lpstr>HMI Pov GINI</vt:lpstr>
      <vt:lpstr>POV Thresh Size Fam #</vt:lpstr>
      <vt:lpstr>Pop Living in POV Age RE</vt:lpstr>
      <vt:lpstr>Pop in Poverty</vt:lpstr>
      <vt:lpstr>Pov Status 12M RE</vt:lpstr>
      <vt:lpstr>Fam Pov Status 12M RE</vt:lpstr>
      <vt:lpstr>Children Below POV Thresh</vt:lpstr>
      <vt:lpstr>Employment Status Municipali</vt:lpstr>
      <vt:lpstr>Percentage of Labor Force Unemp</vt:lpstr>
      <vt:lpstr>Demo Prof Grad Rate</vt:lpstr>
      <vt:lpstr>Educ Person 25+</vt:lpstr>
      <vt:lpstr>High School Grad RE</vt:lpstr>
      <vt:lpstr>Lang Spoken Home</vt:lpstr>
      <vt:lpstr>Eng Learners Disav Disab</vt:lpstr>
      <vt:lpstr>Uninsured Civ Pop RE</vt:lpstr>
      <vt:lpstr>Cars Avail per Household</vt:lpstr>
      <vt:lpstr>Commuting to Work</vt:lpstr>
      <vt:lpstr>Housing Tenure and Vacancy</vt:lpstr>
      <vt:lpstr>Housing Unit Ages</vt:lpstr>
      <vt:lpstr>Selected Housing Characteristic</vt:lpstr>
      <vt:lpstr>Selected Housing Renters </vt:lpstr>
      <vt:lpstr>Owner vs Renter Per Room</vt:lpstr>
      <vt:lpstr>High Blood Level &lt;72Mon</vt:lpstr>
      <vt:lpstr>Type Internet Access</vt:lpstr>
      <vt:lpstr>Pop Served OCDOS</vt:lpstr>
      <vt:lpstr>Diseases of the Circulatory Sys</vt:lpstr>
      <vt:lpstr>Diseases Circ Mort AAR</vt:lpstr>
      <vt:lpstr>Diseases Circ Mort AAR RE</vt:lpstr>
      <vt:lpstr>Diseases Circ Mort AAR ZIP</vt:lpstr>
      <vt:lpstr>Diseases Circ Mort AAR SEX</vt:lpstr>
      <vt:lpstr>HD Mort Age RE ZIP</vt:lpstr>
      <vt:lpstr>Dis HM AAR</vt:lpstr>
      <vt:lpstr>Dis HM AAR RE</vt:lpstr>
      <vt:lpstr>Dis HM AAR Zip</vt:lpstr>
      <vt:lpstr>Dis HM AAR Sex</vt:lpstr>
      <vt:lpstr>CB Hosp AAR RE</vt:lpstr>
      <vt:lpstr>CB Mort Age Sex RE Zip</vt:lpstr>
      <vt:lpstr>CB Mort AAR</vt:lpstr>
      <vt:lpstr>CB AAR Sex</vt:lpstr>
      <vt:lpstr>Other D CSM Age RE Zip</vt:lpstr>
      <vt:lpstr>Other D CSM AAR</vt:lpstr>
      <vt:lpstr>Other D CSM AAR RE</vt:lpstr>
      <vt:lpstr>CSDM Zip</vt:lpstr>
      <vt:lpstr>CSDM Sex</vt:lpstr>
      <vt:lpstr>CLRDH RE</vt:lpstr>
      <vt:lpstr>CLRDH RE ZIP</vt:lpstr>
      <vt:lpstr>CLRD MORT</vt:lpstr>
      <vt:lpstr>CLRD Mort Sex</vt:lpstr>
      <vt:lpstr>Asthma HOSP RE</vt:lpstr>
      <vt:lpstr>Asthma 0-17 RE</vt:lpstr>
      <vt:lpstr>PPAA CR 2-17</vt:lpstr>
      <vt:lpstr>PPCAPA Adults</vt:lpstr>
      <vt:lpstr>PIMort Age RE</vt:lpstr>
      <vt:lpstr>PIM Rate</vt:lpstr>
      <vt:lpstr>PIM Sex</vt:lpstr>
      <vt:lpstr>Diabetes Hosp RE</vt:lpstr>
      <vt:lpstr>Diabetes Hosp Prim Diag</vt:lpstr>
      <vt:lpstr>Diabetes Mort Age RE Zip</vt:lpstr>
      <vt:lpstr>Diabetes Mort AAR</vt:lpstr>
      <vt:lpstr>Diabetes Mort Sex</vt:lpstr>
      <vt:lpstr>% Overweight-Obese</vt:lpstr>
      <vt:lpstr>% Obese</vt:lpstr>
      <vt:lpstr>Liver Cirr Mort Age RE ZIP</vt:lpstr>
      <vt:lpstr>Liver Cirr AAR</vt:lpstr>
      <vt:lpstr>Liver Cirr Sex</vt:lpstr>
      <vt:lpstr>Kidney ED AAR</vt:lpstr>
      <vt:lpstr>Chronic Kidney Hosp</vt:lpstr>
      <vt:lpstr>All Sites Cancer AAR</vt:lpstr>
      <vt:lpstr>All Sites Cancer RE</vt:lpstr>
      <vt:lpstr>Malignant Age RE ZIP</vt:lpstr>
      <vt:lpstr>Malignant Mort AAR</vt:lpstr>
      <vt:lpstr>Malignant Mort RE</vt:lpstr>
      <vt:lpstr>Malignant Mort Zip</vt:lpstr>
      <vt:lpstr>Malignant Mort Sex</vt:lpstr>
      <vt:lpstr>All Cancer Mort AAR</vt:lpstr>
      <vt:lpstr>All Cancer Mort AAR 2018-2022</vt:lpstr>
      <vt:lpstr>All Cancer AAR RE</vt:lpstr>
      <vt:lpstr>Lung Bronchus Cr AAR 17-20</vt:lpstr>
      <vt:lpstr>Lung Bronchus Cr AAR 18-22</vt:lpstr>
      <vt:lpstr>Lung Bronchus Cr AAR 18-22 RE</vt:lpstr>
      <vt:lpstr>Lung Bronchus Cr AAR Mort 17-20</vt:lpstr>
      <vt:lpstr>Lung Bronchus Cr AAR Mort 18-22</vt:lpstr>
      <vt:lpstr>Lung Bronchus Cr AAR M 18-22 RE</vt:lpstr>
      <vt:lpstr>Col Rec Cr 18-22</vt:lpstr>
      <vt:lpstr>Col Rec Cr 18-22 RE</vt:lpstr>
      <vt:lpstr>Col Rec Cr Mort 18-22</vt:lpstr>
      <vt:lpstr>Col Rec Cr Mort 18-22 RE</vt:lpstr>
      <vt:lpstr>F Breast Cr 16-21</vt:lpstr>
      <vt:lpstr>F Breast Cr 18-22</vt:lpstr>
      <vt:lpstr>F Breast Cr 18-22 RE</vt:lpstr>
      <vt:lpstr>F Breast Cr Mort 16-21</vt:lpstr>
      <vt:lpstr>F Breast Cr Mort 18-22</vt:lpstr>
      <vt:lpstr>F Breast Cr Mort 18-22 RE</vt:lpstr>
      <vt:lpstr>Cerv Cr 17-21</vt:lpstr>
      <vt:lpstr>Cerv Cr 18-22</vt:lpstr>
      <vt:lpstr>Cerv Cr Mort 17-21</vt:lpstr>
      <vt:lpstr>Cerv Cr Mort 18-22</vt:lpstr>
      <vt:lpstr>Prostate Cr 17-21</vt:lpstr>
      <vt:lpstr>Prostate Cr 18-22</vt:lpstr>
      <vt:lpstr>Prostate Cr 18-22 RE</vt:lpstr>
      <vt:lpstr>Prostate Cr Mort 17-21</vt:lpstr>
      <vt:lpstr>Prostate Cr Mort 18-22</vt:lpstr>
      <vt:lpstr>Prostate Cr Mort 18-22 RE</vt:lpstr>
      <vt:lpstr>Gen Comm Case Rate</vt:lpstr>
      <vt:lpstr>Hep A 20-23</vt:lpstr>
      <vt:lpstr>Hep B 20-23</vt:lpstr>
      <vt:lpstr>Hep C 20-23</vt:lpstr>
      <vt:lpstr>Chronic Hep C 20-23</vt:lpstr>
      <vt:lpstr>Chlamydia Sx RE Age Zip</vt:lpstr>
      <vt:lpstr>Chlamydia AAR</vt:lpstr>
      <vt:lpstr>Chlamydia RE</vt:lpstr>
      <vt:lpstr>Gonorrhea CC Sex RE Age Zip</vt:lpstr>
      <vt:lpstr>Gonorrhea AA CR</vt:lpstr>
      <vt:lpstr>Gonnorhea CR RE</vt:lpstr>
      <vt:lpstr>HIV Prevalnce RE Age Sex</vt:lpstr>
      <vt:lpstr>HIV AIDS AAR</vt:lpstr>
      <vt:lpstr>HIV Transmission</vt:lpstr>
      <vt:lpstr>% HIV Care RE</vt:lpstr>
      <vt:lpstr>PrEP Coverage</vt:lpstr>
      <vt:lpstr>Syphillis Sex RE Age Zip</vt:lpstr>
      <vt:lpstr>Early Syphilis</vt:lpstr>
      <vt:lpstr>Syphilis RE 21-24</vt:lpstr>
      <vt:lpstr>Fertility 15-44 Age RE Zip</vt:lpstr>
      <vt:lpstr>Fertility 15-44 20-23</vt:lpstr>
      <vt:lpstr>Fertility 15-44 RE 20-23</vt:lpstr>
      <vt:lpstr>Fertility Zip</vt:lpstr>
      <vt:lpstr>All Births 17- Age RE ZIP</vt:lpstr>
      <vt:lpstr>All Births SP Age RE ZIP</vt:lpstr>
      <vt:lpstr>Maternal Mort LB</vt:lpstr>
      <vt:lpstr>Child Adol Mort 10-19</vt:lpstr>
      <vt:lpstr>Infrant Mort RE 20-22</vt:lpstr>
      <vt:lpstr>All Births EPC RE Zip</vt:lpstr>
      <vt:lpstr>% All Births EPC</vt:lpstr>
      <vt:lpstr>% All Births EPC RE</vt:lpstr>
      <vt:lpstr>All Births EPC Zip</vt:lpstr>
      <vt:lpstr>All Births EPC Age RE ZIP</vt:lpstr>
      <vt:lpstr>% All Births Late No PC</vt:lpstr>
      <vt:lpstr>% All Births LPC RE</vt:lpstr>
      <vt:lpstr>% All Births LPC Zip</vt:lpstr>
      <vt:lpstr>% Births Adequate PC</vt:lpstr>
      <vt:lpstr>Premature Births LB Age RE ZIP</vt:lpstr>
      <vt:lpstr>% PB 100 LB</vt:lpstr>
      <vt:lpstr>% PB RE 20-22</vt:lpstr>
      <vt:lpstr>All infants LB Age RE Zip</vt:lpstr>
      <vt:lpstr>% Infants LB 20-22</vt:lpstr>
      <vt:lpstr>% Infants LB RE</vt:lpstr>
      <vt:lpstr>ED Visits AAR 19-22</vt:lpstr>
      <vt:lpstr>ED Visits HD OA </vt:lpstr>
      <vt:lpstr>Newborns Neontal WDS Mat Use</vt:lpstr>
      <vt:lpstr>Opioid A Presc 1000 21-24</vt:lpstr>
      <vt:lpstr>% Opioid Naive Pt 7Day</vt:lpstr>
      <vt:lpstr>Benzodiazepine Pres AAR 1000</vt:lpstr>
      <vt:lpstr>% Pts Overlapping Benzodiazepin</vt:lpstr>
      <vt:lpstr>Pts 1 Buprenorphine</vt:lpstr>
      <vt:lpstr>% Pts Buprenorphine Opioid Use </vt:lpstr>
      <vt:lpstr>% Perc Harm SU</vt:lpstr>
      <vt:lpstr>Lifetime Use of Substance</vt:lpstr>
      <vt:lpstr>Past 30 Day Use Grade</vt:lpstr>
      <vt:lpstr>% Marijuana Reported Use</vt:lpstr>
      <vt:lpstr>Opioid Overdose Fat Age Sex</vt:lpstr>
      <vt:lpstr>Opioid Overdose Fatalites Pop</vt:lpstr>
      <vt:lpstr>Opioid Overdose Fatalites Age</vt:lpstr>
      <vt:lpstr>Opioid Overdose Fatalites Sex</vt:lpstr>
      <vt:lpstr>Adults Binge Drinking </vt:lpstr>
      <vt:lpstr>Alcohol MVA Deaths 18-21</vt:lpstr>
      <vt:lpstr>Access to Alcohol</vt:lpstr>
      <vt:lpstr>% Adults Smokers 2016,2018,2021</vt:lpstr>
      <vt:lpstr>Uninten Injury Hosp RE</vt:lpstr>
      <vt:lpstr>Uninten Injury Mort Age RE Zip </vt:lpstr>
      <vt:lpstr>Uninten Injury Mort AAR</vt:lpstr>
      <vt:lpstr>Uninten Injury Mort Age</vt:lpstr>
      <vt:lpstr>Uninten Injury Mort Zip</vt:lpstr>
      <vt:lpstr>Uninten Injury Mort Sex</vt:lpstr>
      <vt:lpstr>Falls Hosp 65 RE</vt:lpstr>
      <vt:lpstr>Self Inflicted AAR 18-21</vt:lpstr>
      <vt:lpstr>Self Inflicted Hosp 15-19YO</vt:lpstr>
      <vt:lpstr>Suicide Mort 18-21</vt:lpstr>
      <vt:lpstr>% 50-64 No Col Can Scren</vt:lpstr>
      <vt:lpstr>% Woman 21-65 Cerv Can Scren</vt:lpstr>
      <vt:lpstr>% Woman 50-74 Breast Can Scren</vt:lpstr>
      <vt:lpstr>% Adults Asthma</vt:lpstr>
      <vt:lpstr>Prediabetes and Diabetes %</vt:lpstr>
      <vt:lpstr>% High Blood Sugar Diabetes</vt:lpstr>
      <vt:lpstr>Excerpt Data Update</vt:lpstr>
      <vt:lpstr>Themes Focus Groups</vt:lpstr>
      <vt:lpstr>Zip Code</vt:lpstr>
      <vt:lpstr>Greatest Strengths</vt:lpstr>
      <vt:lpstr>Community Focus</vt:lpstr>
      <vt:lpstr>Health Issues</vt:lpstr>
      <vt:lpstr>Health Issues Prevention Agenda</vt:lpstr>
      <vt:lpstr>CAS Strength Longitude</vt:lpstr>
      <vt:lpstr>CAS Focus Longitude</vt:lpstr>
      <vt:lpstr>CAS Health Issues Longitude</vt:lpstr>
      <vt:lpstr>Health Problems Fix</vt:lpstr>
      <vt:lpstr>Respondent Demographic Breakdow</vt:lpstr>
      <vt:lpstr>Lived in Orange County</vt:lpstr>
      <vt:lpstr>Perception Overall Quality Life</vt:lpstr>
      <vt:lpstr>Perception Overall Quality Inco</vt:lpstr>
      <vt:lpstr>Information Weather Emergencies</vt:lpstr>
      <vt:lpstr>Information Weather Eme Income</vt:lpstr>
      <vt:lpstr>Public Health Emergencies</vt:lpstr>
      <vt:lpstr>Public Health Emer Income</vt:lpstr>
      <vt:lpstr>Walk Bike Safe Traffic</vt:lpstr>
      <vt:lpstr>Walk Bike Safe Traffic Income</vt:lpstr>
      <vt:lpstr>Safety Walking Biking</vt:lpstr>
      <vt:lpstr>Safety Walking Biking Income</vt:lpstr>
      <vt:lpstr>Rating Com Age</vt:lpstr>
      <vt:lpstr>Perception Physical Health</vt:lpstr>
      <vt:lpstr>Perception Physical Health Inco</vt:lpstr>
      <vt:lpstr>Perception of MH Income</vt:lpstr>
      <vt:lpstr>Average Days Healthy Diet Incom</vt:lpstr>
      <vt:lpstr>Avg Days Excercise Income</vt:lpstr>
      <vt:lpstr>Avg Days 7-9H Income</vt:lpstr>
      <vt:lpstr>Lvl Stress Avg Day Income</vt:lpstr>
      <vt:lpstr>Feelings Qual Income</vt:lpstr>
      <vt:lpstr>Alcohol Consumption Past Yr Inc</vt:lpstr>
      <vt:lpstr>Freq Drug Use Non Med Income</vt:lpstr>
      <vt:lpstr>Consume Cannabis Income</vt:lpstr>
      <vt:lpstr>Unable to Get Food Income</vt:lpstr>
      <vt:lpstr>_dup_Unable Utilities Income</vt:lpstr>
      <vt:lpstr>Unable Dental Vision Income</vt:lpstr>
      <vt:lpstr>Unable to Get Phone Serv Inc</vt:lpstr>
      <vt:lpstr>Unable Transport Income</vt:lpstr>
      <vt:lpstr>Unable Housing Income</vt:lpstr>
      <vt:lpstr>Unable Children Income</vt:lpstr>
      <vt:lpstr>Unable Access Internet Income</vt:lpstr>
      <vt:lpstr>_dup_Visit PCP RP Income</vt:lpstr>
      <vt:lpstr>Reasons not Visit PCP</vt:lpstr>
      <vt:lpstr>Reasons not Visit PCP Income</vt:lpstr>
      <vt:lpstr>Dentist Visitation 12M Income</vt:lpstr>
      <vt:lpstr>_dup_Reasons Not PCP Income</vt:lpstr>
      <vt:lpstr>Reasons Not Dentist Income</vt:lpstr>
      <vt:lpstr>Emerg Room Visit Non Med Iss In</vt:lpstr>
      <vt:lpstr>Reasons Visit ED Non ED</vt:lpstr>
      <vt:lpstr>Reasons Visit ED Non ED Income</vt:lpstr>
      <vt:lpstr>MH Visit 12M Income</vt:lpstr>
      <vt:lpstr>Reasons Not Visit MH Provider</vt:lpstr>
      <vt:lpstr>Reasons Not Visit MH Provider I</vt:lpstr>
      <vt:lpstr>Had COVID Income</vt:lpstr>
      <vt:lpstr>Long COVID in Household Income</vt:lpstr>
      <vt:lpstr>Vaccinated COVID Income</vt:lpstr>
      <vt:lpstr>Updated COVID Vaccine Income</vt:lpstr>
      <vt:lpstr>Vaccinated Flu Income</vt:lpstr>
      <vt:lpstr>Feelings Nervous Income</vt:lpstr>
      <vt:lpstr>Feeling Hopeless Income</vt:lpstr>
      <vt:lpstr>Feeling Restless or Fidgety Inc</vt:lpstr>
      <vt:lpstr>Feeling Depressed Income</vt:lpstr>
      <vt:lpstr>Feeling Everything Effort Incom</vt:lpstr>
      <vt:lpstr>Feeling Worthless</vt:lpstr>
      <vt:lpstr>Feeling Worthless Income</vt:lpstr>
      <vt:lpstr>Kessler Score</vt:lpstr>
      <vt:lpstr>Kessler Score Income</vt:lpstr>
      <vt:lpstr>Had Child Last 10 Y</vt:lpstr>
      <vt:lpstr>Breastfed Any Child</vt:lpstr>
      <vt:lpstr>Breastfed Duration</vt:lpstr>
      <vt:lpstr>Contact Basic Needs</vt:lpstr>
      <vt:lpstr>Contat Childs Behavior</vt:lpstr>
      <vt:lpstr>Evidence Based Strats</vt:lpstr>
      <vt:lpstr>Short Term Progress</vt:lpstr>
      <vt:lpstr>Top Areas of Concern</vt:lpstr>
      <vt:lpstr>Percep MH</vt:lpstr>
      <vt:lpstr>Avg Day Healthy Diet</vt:lpstr>
      <vt:lpstr>Avg Day Exercise</vt:lpstr>
      <vt:lpstr>Avg 7-9H Sleep</vt:lpstr>
      <vt:lpstr>Lvl Stress Avg Day 18-24</vt:lpstr>
      <vt:lpstr>Unable to Get Utilities Income</vt:lpstr>
      <vt:lpstr>Unable to Get Internet</vt:lpstr>
      <vt:lpstr>Unable to Get Transportation</vt:lpstr>
      <vt:lpstr>Routine Physical Income</vt:lpstr>
      <vt:lpstr>Reasons for Not Visiting Dentis</vt:lpstr>
      <vt:lpstr>BLANK</vt:lpstr>
      <vt:lpstr>Template2</vt:lpstr>
      <vt:lpstr>Information or Help</vt:lpstr>
      <vt:lpstr>Feeling Everything Effort</vt:lpstr>
      <vt:lpstr>Feeling Depressed</vt:lpstr>
      <vt:lpstr>Feeling Restless or Fidgety</vt:lpstr>
      <vt:lpstr>Feeling Hopeless</vt:lpstr>
      <vt:lpstr>Feelings Nervous</vt:lpstr>
      <vt:lpstr>Vaccunated Flu 60+</vt:lpstr>
      <vt:lpstr>Vaccinated Flu</vt:lpstr>
      <vt:lpstr>Updated COVID Vaccine</vt:lpstr>
      <vt:lpstr>Vaccinated COVID</vt:lpstr>
      <vt:lpstr>Had Long COVID</vt:lpstr>
      <vt:lpstr>Had COVID</vt:lpstr>
      <vt:lpstr>MH Visit 12M</vt:lpstr>
      <vt:lpstr>Emerg Room Visit Non Med Issues</vt:lpstr>
      <vt:lpstr>Dentist Visitation 12m</vt:lpstr>
      <vt:lpstr>Visit PCP RP</vt:lpstr>
      <vt:lpstr>_dup_Unable Access Internet</vt:lpstr>
      <vt:lpstr>Unable Childcare</vt:lpstr>
      <vt:lpstr>Unable Housing</vt:lpstr>
      <vt:lpstr>_dup_Unable Transport</vt:lpstr>
      <vt:lpstr>Unable to Get Phone Services</vt:lpstr>
      <vt:lpstr>Unable Dental Vision</vt:lpstr>
      <vt:lpstr>Unable Utilities</vt:lpstr>
      <vt:lpstr>Unable to Get Food</vt:lpstr>
      <vt:lpstr>Consume Cannabis</vt:lpstr>
      <vt:lpstr>Freq Drug Use Non Med</vt:lpstr>
      <vt:lpstr>Alcohol Consumption Past Year</vt:lpstr>
      <vt:lpstr>Feelings Quality Encounters</vt:lpstr>
      <vt:lpstr>_dup_Lvl Stress Avg Day</vt:lpstr>
      <vt:lpstr>_dup_Avg Days 7-9H Sleep</vt:lpstr>
      <vt:lpstr>_dup_Avg Days Excercise</vt:lpstr>
      <vt:lpstr>_dup_Average Days Healthy Diet</vt:lpstr>
      <vt:lpstr>_dup_Perception of MH</vt:lpstr>
      <vt:lpstr>Rating Com Income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Dayquan Crandell</cp:lastModifiedBy>
  <dcterms:created xsi:type="dcterms:W3CDTF">2026-02-17T16:57:23Z</dcterms:created>
  <dcterms:modified xsi:type="dcterms:W3CDTF">2026-08-31T14:51:31Z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0x0101005E06BBCF48891B4AA000B842D02367CE</vt:lpwstr>
  </property>
  <property fmtid="{D5CDD505-2E9C-101B-9397-08002B2CF9AE}" pid="3" name="MediaServiceImageTags">
    <vt:lpwstr/>
  </property>
</Properties>
</file>