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https://ocny.sharepoint.com/sites/EPIDivision/Shared Documents/General/Personal Folders/DQ/"/>
    </mc:Choice>
  </mc:AlternateContent>
  <xr:revisionPtr revIDLastSave="285" documentId="13_ncr:1_{7F1C1500-0240-BC42-B08D-C9B6BF433244}" xr6:coauthVersionLast="47" xr6:coauthVersionMax="47" xr10:uidLastSave="{0B341F2B-8C93-D446-9533-BBC4C17296C4}"/>
  <bookViews>
    <workbookView xWindow="0" yWindow="660" windowWidth="34560" windowHeight="21680" xr2:uid="{7B5489DC-BB92-4237-A1A8-C16ED0406E77}"/>
  </bookViews>
  <sheets>
    <sheet name="Master" sheetId="1" r:id="rId1"/>
    <sheet name="Dropdowns" sheetId="2" r:id="rId2"/>
    <sheet name="Demographic Summary" sheetId="297" r:id="rId3"/>
    <sheet name="Population by Municipality" sheetId="298" r:id="rId4"/>
    <sheet name="Population Growth" sheetId="299" r:id="rId5"/>
    <sheet name="Population and Housing Unit Den" sheetId="300" r:id="rId6"/>
    <sheet name="Pop of Mun by Sex and Age" sheetId="301" r:id="rId7"/>
    <sheet name="POP Mun Race-Eth" sheetId="302" r:id="rId8"/>
    <sheet name="Employed Civilians by Industry" sheetId="303" r:id="rId9"/>
    <sheet name="Employed Civilian Occupations b" sheetId="307" r:id="rId10"/>
    <sheet name="All-Cause Mortality, Rate Zip" sheetId="309" r:id="rId11"/>
    <sheet name="All-Cause Mort AAR RE" sheetId="310" r:id="rId12"/>
    <sheet name="All-Cause Mort Rate Zip" sheetId="311" r:id="rId13"/>
    <sheet name="All-Cause Mort Rate Sex" sheetId="312" r:id="rId14"/>
    <sheet name="Top 5 Leading Death AAR" sheetId="313" r:id="rId15"/>
    <sheet name="Number fo Deaths by Sex" sheetId="314" r:id="rId16"/>
    <sheet name="Premature Deaths RE" sheetId="315" r:id="rId17"/>
    <sheet name="HMI Pov GINI" sheetId="316" r:id="rId18"/>
    <sheet name="POV Thresh Size Fam #" sheetId="317" r:id="rId19"/>
    <sheet name="Pop Living in POV Age RE" sheetId="318" r:id="rId20"/>
    <sheet name="Pop in Poverty" sheetId="319" r:id="rId21"/>
    <sheet name="Pov Status 12M RE" sheetId="320" r:id="rId22"/>
    <sheet name="Fam Pov Status 12M RE" sheetId="321" r:id="rId23"/>
    <sheet name="Children Below POV Thresh" sheetId="322" r:id="rId24"/>
    <sheet name="Employment Status Municipali" sheetId="323" r:id="rId25"/>
    <sheet name="Percentage of Labor Force Unemp" sheetId="324" r:id="rId26"/>
    <sheet name="Demo Prof Grad Rate" sheetId="325" r:id="rId27"/>
    <sheet name="Educ Person 25+" sheetId="326" r:id="rId28"/>
    <sheet name="High School Grad RE" sheetId="327" r:id="rId29"/>
    <sheet name="Lang Spoken Home" sheetId="328" r:id="rId30"/>
    <sheet name="Eng Learners Disav Disab" sheetId="329" r:id="rId31"/>
    <sheet name="Uninsured Civ Pop RE" sheetId="330" r:id="rId32"/>
    <sheet name="Cars Avail per Household" sheetId="331" r:id="rId33"/>
    <sheet name="Commuting to Work" sheetId="332" r:id="rId34"/>
    <sheet name="Housing Tenure and Vacancy" sheetId="333" r:id="rId35"/>
    <sheet name="Housing Unit Ages" sheetId="334" r:id="rId36"/>
    <sheet name="Selected Housing Characteristic" sheetId="335" r:id="rId37"/>
    <sheet name="Selected Housing Renters " sheetId="336" r:id="rId38"/>
    <sheet name="Owner vs Renter Per Room" sheetId="337" r:id="rId39"/>
    <sheet name="High Blood Level &lt;72Mon" sheetId="338" r:id="rId40"/>
    <sheet name="Type Internet Access" sheetId="339" r:id="rId41"/>
    <sheet name="Pop Served OCDOS" sheetId="340" r:id="rId42"/>
    <sheet name="Diseases of the Circulatory Sys" sheetId="342" r:id="rId43"/>
    <sheet name="Diseases Circ Mort AAR" sheetId="343" r:id="rId44"/>
    <sheet name="Diseases Circ Mort AAR RE" sheetId="344" r:id="rId45"/>
    <sheet name="Diseases Circ Mort AAR ZIP" sheetId="345" r:id="rId46"/>
    <sheet name="Diseases Circ Mort AAR SEX" sheetId="346" r:id="rId47"/>
    <sheet name="HD Mort Age RE ZIP" sheetId="347" r:id="rId48"/>
    <sheet name="Dis HM AAR" sheetId="348" r:id="rId49"/>
    <sheet name="Dis HM AAR RE" sheetId="349" r:id="rId50"/>
    <sheet name="Dis HM AAR Zip" sheetId="350" r:id="rId51"/>
    <sheet name="Dis HM AAR Sex" sheetId="351" r:id="rId52"/>
    <sheet name="CB Hosp AAR RE" sheetId="352" r:id="rId53"/>
    <sheet name="CB Mort Age Sex RE Zip" sheetId="353" r:id="rId54"/>
    <sheet name="CB Mort AAR" sheetId="354" r:id="rId55"/>
    <sheet name="CB AAR Sex" sheetId="355" r:id="rId56"/>
    <sheet name="Other D CSM Age RE Zip" sheetId="356" r:id="rId57"/>
    <sheet name="Other D CSM AAR" sheetId="357" r:id="rId58"/>
    <sheet name="Other D CSM AAR RE" sheetId="358" r:id="rId59"/>
    <sheet name="CSDM Zip" sheetId="359" r:id="rId60"/>
    <sheet name="Sheet6" sheetId="308" r:id="rId61"/>
    <sheet name="Template" sheetId="296" r:id="rId6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59" l="1"/>
  <c r="B3" i="358"/>
  <c r="B3" i="357"/>
  <c r="B3" i="356"/>
  <c r="B3" i="355"/>
  <c r="B3" i="354"/>
  <c r="B3" i="353"/>
  <c r="B3" i="352"/>
  <c r="B3" i="351"/>
  <c r="B3" i="350"/>
  <c r="B3" i="349"/>
  <c r="B3" i="348"/>
  <c r="B3" i="347"/>
  <c r="B3" i="346"/>
  <c r="B3" i="345"/>
  <c r="B3" i="344"/>
  <c r="B3" i="343"/>
  <c r="B3" i="342"/>
  <c r="B3" i="340"/>
  <c r="B3" i="339"/>
  <c r="B3" i="338"/>
  <c r="B3" i="337"/>
  <c r="B4" i="336"/>
  <c r="B3" i="336"/>
  <c r="B3" i="335"/>
  <c r="B3" i="334"/>
  <c r="B3" i="333"/>
  <c r="B3" i="332"/>
  <c r="B3" i="331"/>
  <c r="B4" i="330"/>
  <c r="B3" i="330"/>
  <c r="B3" i="329"/>
  <c r="B3" i="328"/>
  <c r="B3" i="327"/>
  <c r="B3" i="326"/>
  <c r="B3" i="325"/>
  <c r="B4" i="324"/>
  <c r="B3" i="324"/>
  <c r="B3" i="323"/>
  <c r="B3" i="322"/>
  <c r="B3" i="321"/>
  <c r="B3" i="320"/>
  <c r="B3" i="319"/>
  <c r="B3" i="318"/>
  <c r="B3" i="317"/>
  <c r="B3" i="316"/>
  <c r="B3" i="315"/>
  <c r="B3" i="314"/>
  <c r="B3" i="313"/>
  <c r="B3" i="312"/>
  <c r="B3" i="311"/>
  <c r="B3" i="310"/>
  <c r="B3" i="309"/>
  <c r="B3" i="307"/>
  <c r="B3" i="303"/>
  <c r="G84" i="1"/>
  <c r="G320" i="1"/>
  <c r="B3" i="302"/>
  <c r="B3" i="301"/>
  <c r="B3" i="300"/>
  <c r="B3" i="299"/>
  <c r="B3" i="298"/>
  <c r="B3" i="297"/>
  <c r="B3" i="296"/>
  <c r="G319" i="1"/>
  <c r="G318" i="1"/>
  <c r="G317" i="1"/>
  <c r="G316" i="1"/>
  <c r="G315" i="1"/>
  <c r="G314" i="1"/>
  <c r="G313" i="1"/>
  <c r="G312" i="1"/>
  <c r="G311" i="1"/>
  <c r="G310" i="1"/>
  <c r="G309" i="1"/>
  <c r="G14" i="1" l="1"/>
  <c r="B4" i="311" s="1"/>
  <c r="G15" i="1"/>
  <c r="B4" i="312" s="1"/>
  <c r="G16" i="1"/>
  <c r="B4" i="313" s="1"/>
  <c r="G17" i="1"/>
  <c r="B4" i="314" s="1"/>
  <c r="G18" i="1"/>
  <c r="G19" i="1"/>
  <c r="B4" i="315" s="1"/>
  <c r="G20" i="1"/>
  <c r="B4" i="316" s="1"/>
  <c r="G21" i="1"/>
  <c r="B4" i="317" s="1"/>
  <c r="G22" i="1"/>
  <c r="B4" i="318" s="1"/>
  <c r="G23" i="1"/>
  <c r="B4" i="319" s="1"/>
  <c r="G24" i="1"/>
  <c r="B4" i="320" s="1"/>
  <c r="G25" i="1"/>
  <c r="B4" i="321" s="1"/>
  <c r="G26" i="1"/>
  <c r="B4" i="322" s="1"/>
  <c r="G27" i="1"/>
  <c r="B4" i="323" s="1"/>
  <c r="G28" i="1"/>
  <c r="G29" i="1"/>
  <c r="B4" i="325" s="1"/>
  <c r="G30" i="1"/>
  <c r="B4" i="326" s="1"/>
  <c r="G31" i="1"/>
  <c r="B4" i="327" s="1"/>
  <c r="G32" i="1"/>
  <c r="B4" i="328" s="1"/>
  <c r="G33" i="1"/>
  <c r="B4" i="329" s="1"/>
  <c r="G34" i="1"/>
  <c r="G35" i="1"/>
  <c r="G36" i="1"/>
  <c r="B4" i="331" s="1"/>
  <c r="G37" i="1"/>
  <c r="B4" i="332" s="1"/>
  <c r="G38" i="1"/>
  <c r="B4" i="333" s="1"/>
  <c r="G39" i="1"/>
  <c r="B4" i="334" s="1"/>
  <c r="G40" i="1"/>
  <c r="B4" i="335" s="1"/>
  <c r="G41" i="1"/>
  <c r="G42" i="1"/>
  <c r="G43" i="1"/>
  <c r="G44" i="1"/>
  <c r="B4" i="337" s="1"/>
  <c r="G45" i="1"/>
  <c r="G46" i="1"/>
  <c r="B4" i="338" s="1"/>
  <c r="G47" i="1"/>
  <c r="B4" i="339" s="1"/>
  <c r="G48" i="1"/>
  <c r="B4" i="340" s="1"/>
  <c r="G49" i="1"/>
  <c r="B4" i="342" s="1"/>
  <c r="G50" i="1"/>
  <c r="B4" i="343" s="1"/>
  <c r="G51" i="1"/>
  <c r="B4" i="344" s="1"/>
  <c r="G52" i="1"/>
  <c r="B4" i="345" s="1"/>
  <c r="G53" i="1"/>
  <c r="B4" i="346" s="1"/>
  <c r="G54" i="1"/>
  <c r="B4" i="347" s="1"/>
  <c r="G55" i="1"/>
  <c r="B4" i="348" s="1"/>
  <c r="G56" i="1"/>
  <c r="B4" i="349" s="1"/>
  <c r="G57" i="1"/>
  <c r="B4" i="350" s="1"/>
  <c r="G58" i="1"/>
  <c r="B4" i="351" s="1"/>
  <c r="G59" i="1"/>
  <c r="B4" i="352" s="1"/>
  <c r="G60" i="1"/>
  <c r="B4" i="353" s="1"/>
  <c r="G61" i="1"/>
  <c r="B4" i="354" s="1"/>
  <c r="G62" i="1"/>
  <c r="B4" i="355" s="1"/>
  <c r="G63" i="1"/>
  <c r="B4" i="356" s="1"/>
  <c r="G64" i="1"/>
  <c r="B4" i="357" s="1"/>
  <c r="G65" i="1"/>
  <c r="B4" i="358" s="1"/>
  <c r="G66" i="1"/>
  <c r="B4" i="359" s="1"/>
  <c r="G67" i="1"/>
  <c r="G68" i="1"/>
  <c r="G69" i="1"/>
  <c r="G70" i="1"/>
  <c r="G71" i="1"/>
  <c r="G72" i="1"/>
  <c r="G73" i="1"/>
  <c r="G74" i="1"/>
  <c r="G75" i="1"/>
  <c r="G76" i="1"/>
  <c r="G77" i="1"/>
  <c r="G78" i="1"/>
  <c r="G79" i="1"/>
  <c r="G80" i="1"/>
  <c r="G81" i="1"/>
  <c r="G82" i="1"/>
  <c r="G83"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13" i="1"/>
  <c r="B4" i="310" s="1"/>
  <c r="G12" i="1"/>
  <c r="B4" i="309" s="1"/>
  <c r="G11" i="1"/>
  <c r="B4" i="307" s="1"/>
  <c r="G10" i="1"/>
  <c r="B4" i="303" s="1"/>
  <c r="G9" i="1"/>
  <c r="B4" i="302" s="1"/>
  <c r="G8" i="1"/>
  <c r="B4" i="296" s="1"/>
  <c r="G3" i="1"/>
  <c r="B4" i="298" s="1"/>
  <c r="G4" i="1"/>
  <c r="G5" i="1"/>
  <c r="B4" i="299" s="1"/>
  <c r="G6" i="1"/>
  <c r="B4" i="300" s="1"/>
  <c r="G7" i="1"/>
  <c r="B4" i="301" s="1"/>
  <c r="G2" i="1"/>
  <c r="B4" i="297" s="1"/>
</calcChain>
</file>

<file path=xl/sharedStrings.xml><?xml version="1.0" encoding="utf-8"?>
<sst xmlns="http://schemas.openxmlformats.org/spreadsheetml/2006/main" count="5770" uniqueCount="1769">
  <si>
    <t>Activate/Deactivate</t>
  </si>
  <si>
    <t>Count</t>
  </si>
  <si>
    <t>Object_Type</t>
  </si>
  <si>
    <t>Indicator Name</t>
  </si>
  <si>
    <t>Object ID</t>
  </si>
  <si>
    <t>Figure ID</t>
  </si>
  <si>
    <t>Activate</t>
  </si>
  <si>
    <t>Table</t>
  </si>
  <si>
    <t>T1</t>
  </si>
  <si>
    <t>T2</t>
  </si>
  <si>
    <t>T3</t>
  </si>
  <si>
    <t>T4</t>
  </si>
  <si>
    <t>T5</t>
  </si>
  <si>
    <t>T6</t>
  </si>
  <si>
    <t>T7</t>
  </si>
  <si>
    <t>T8</t>
  </si>
  <si>
    <t>T9</t>
  </si>
  <si>
    <t>T10</t>
  </si>
  <si>
    <t>T11</t>
  </si>
  <si>
    <t>T12</t>
  </si>
  <si>
    <t>Figure</t>
  </si>
  <si>
    <t>F1</t>
  </si>
  <si>
    <t>F2</t>
  </si>
  <si>
    <t>F3</t>
  </si>
  <si>
    <t>F4</t>
  </si>
  <si>
    <t>F5</t>
  </si>
  <si>
    <t>F6</t>
  </si>
  <si>
    <t>T13</t>
  </si>
  <si>
    <t xml:space="preserve"> </t>
  </si>
  <si>
    <t>T14</t>
  </si>
  <si>
    <t>tbl-poverty-threshold</t>
  </si>
  <si>
    <t>F7</t>
  </si>
  <si>
    <t>F8</t>
  </si>
  <si>
    <t>F9</t>
  </si>
  <si>
    <t>T15</t>
  </si>
  <si>
    <t>F10</t>
  </si>
  <si>
    <t>F11</t>
  </si>
  <si>
    <t>F12</t>
  </si>
  <si>
    <t>High School Graduation Rate, by Race and Ethnicity, 2023</t>
  </si>
  <si>
    <t>F15</t>
  </si>
  <si>
    <t>F16</t>
  </si>
  <si>
    <t>F17</t>
  </si>
  <si>
    <t>F18</t>
  </si>
  <si>
    <t>F19</t>
  </si>
  <si>
    <t>T16</t>
  </si>
  <si>
    <t>F20</t>
  </si>
  <si>
    <t>F21</t>
  </si>
  <si>
    <t>F22</t>
  </si>
  <si>
    <t>F23</t>
  </si>
  <si>
    <t>F24</t>
  </si>
  <si>
    <t>F25</t>
  </si>
  <si>
    <t>F26</t>
  </si>
  <si>
    <t>F27</t>
  </si>
  <si>
    <t>F28</t>
  </si>
  <si>
    <t>F29</t>
  </si>
  <si>
    <t>F30</t>
  </si>
  <si>
    <t>F31</t>
  </si>
  <si>
    <t>F32</t>
  </si>
  <si>
    <t>F33</t>
  </si>
  <si>
    <t>F34</t>
  </si>
  <si>
    <t>F35</t>
  </si>
  <si>
    <t>F36</t>
  </si>
  <si>
    <t>F37</t>
  </si>
  <si>
    <t>F38</t>
  </si>
  <si>
    <t>F39</t>
  </si>
  <si>
    <t>F40</t>
  </si>
  <si>
    <t>F41</t>
  </si>
  <si>
    <t>F42</t>
  </si>
  <si>
    <t>F43</t>
  </si>
  <si>
    <t>F44</t>
  </si>
  <si>
    <t>F45</t>
  </si>
  <si>
    <t>F46</t>
  </si>
  <si>
    <t>F47</t>
  </si>
  <si>
    <t>F48</t>
  </si>
  <si>
    <t>F49</t>
  </si>
  <si>
    <t>F50</t>
  </si>
  <si>
    <t>F51</t>
  </si>
  <si>
    <t>F52</t>
  </si>
  <si>
    <t>F53</t>
  </si>
  <si>
    <t>F54</t>
  </si>
  <si>
    <t>F55</t>
  </si>
  <si>
    <t>F56</t>
  </si>
  <si>
    <t>F57</t>
  </si>
  <si>
    <t>F58</t>
  </si>
  <si>
    <t>F59</t>
  </si>
  <si>
    <t>F60</t>
  </si>
  <si>
    <t>F61</t>
  </si>
  <si>
    <t>F62</t>
  </si>
  <si>
    <t>F63</t>
  </si>
  <si>
    <t>F64</t>
  </si>
  <si>
    <t>F65</t>
  </si>
  <si>
    <t>F66</t>
  </si>
  <si>
    <t>F67</t>
  </si>
  <si>
    <t>F68</t>
  </si>
  <si>
    <t>F69</t>
  </si>
  <si>
    <t>F70</t>
  </si>
  <si>
    <t>F71</t>
  </si>
  <si>
    <t>F72</t>
  </si>
  <si>
    <t>F73</t>
  </si>
  <si>
    <t>F74</t>
  </si>
  <si>
    <t>F75</t>
  </si>
  <si>
    <t>F76</t>
  </si>
  <si>
    <t>F77</t>
  </si>
  <si>
    <t>F78</t>
  </si>
  <si>
    <t>F79</t>
  </si>
  <si>
    <t>F80</t>
  </si>
  <si>
    <t>F81</t>
  </si>
  <si>
    <t>F82</t>
  </si>
  <si>
    <t>F83</t>
  </si>
  <si>
    <t>F84</t>
  </si>
  <si>
    <t>F85</t>
  </si>
  <si>
    <t>T17</t>
  </si>
  <si>
    <t>F86</t>
  </si>
  <si>
    <t>F87</t>
  </si>
  <si>
    <t>F88</t>
  </si>
  <si>
    <t>F89</t>
  </si>
  <si>
    <t>F90</t>
  </si>
  <si>
    <t>F91</t>
  </si>
  <si>
    <t>F92</t>
  </si>
  <si>
    <t>F93</t>
  </si>
  <si>
    <t>Percentage of Adults with Current Asthma, 2016, 2018, and 2021</t>
  </si>
  <si>
    <t>F94</t>
  </si>
  <si>
    <t>F95</t>
  </si>
  <si>
    <t>Asthma Hospitalization, Age-Adjusted Rate per 10,000 Population by Race and Ethnicity, 2020–2022</t>
  </si>
  <si>
    <t>F96</t>
  </si>
  <si>
    <t>F97</t>
  </si>
  <si>
    <t>F98</t>
  </si>
  <si>
    <t>F99</t>
  </si>
  <si>
    <t>F100</t>
  </si>
  <si>
    <t>F101</t>
  </si>
  <si>
    <t>F102</t>
  </si>
  <si>
    <t>F103</t>
  </si>
  <si>
    <t>F104</t>
  </si>
  <si>
    <t>F105</t>
  </si>
  <si>
    <t>F106</t>
  </si>
  <si>
    <t>F107</t>
  </si>
  <si>
    <t>F108</t>
  </si>
  <si>
    <t>Percentage of Adults with Physician Diagnosed Prediabetes and Diabetes, 2021</t>
  </si>
  <si>
    <t>Percentage of Adults Who Had a Test for High Blood Sugar or Diabetes Within the Past Three Years, 2013–2014, 2016, 2018, and 2021</t>
  </si>
  <si>
    <t>Percentage of Adults who are Obese, 2013–2014, 2016, 2018, and 2021</t>
  </si>
  <si>
    <t>Percentage of Women 21–65 Years Old Receiving Cervical Cancer Screening Based on Most Recent Guidelines, 2018</t>
  </si>
  <si>
    <t>Percentage of Adults Who Are Current Smokers, 2016, 2018, and 2021</t>
  </si>
  <si>
    <t>Percentage of Adults Binge Drinking During the Past Month, 2016, 2018, and 2021</t>
  </si>
  <si>
    <t>Suicide Mortality, Age-Adjusted Rate per 100,000 Population, 2018–2021</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</si>
  <si>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</si>
  <si>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</si>
  <si>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</si>
  <si>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</si>
  <si>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</si>
  <si>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</si>
  <si>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</si>
  <si>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</si>
  <si>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</si>
  <si>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</si>
  <si>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</si>
  <si>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</si>
  <si>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</si>
  <si>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</si>
  <si>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</si>
  <si>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</si>
  <si>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</si>
  <si>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</si>
  <si>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</si>
  <si>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</si>
  <si>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</si>
  <si>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</si>
  <si>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</si>
  <si>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</si>
  <si>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</si>
  <si>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</si>
  <si>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</si>
  <si>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</si>
  <si>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</si>
  <si>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</si>
  <si>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</si>
  <si>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</si>
  <si>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</si>
  <si>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</si>
  <si>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</si>
  <si>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</si>
  <si>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</si>
  <si>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</si>
  <si>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</si>
  <si>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</si>
  <si>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</si>
  <si>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</si>
  <si>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</si>
  <si>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</si>
  <si>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</si>
  <si>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</si>
  <si>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</si>
  <si>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</si>
  <si>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</si>
  <si>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</si>
  <si>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</si>
  <si>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</si>
  <si>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</si>
  <si>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</si>
  <si>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</si>
  <si>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</si>
  <si>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</si>
  <si>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</si>
  <si>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</si>
  <si>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</si>
  <si>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</si>
  <si>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</si>
  <si>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</si>
  <si>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</si>
  <si>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</si>
  <si>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</si>
  <si>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</si>
  <si>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</si>
  <si>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</si>
  <si>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</si>
  <si>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</si>
  <si>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</si>
  <si>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</si>
  <si>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</si>
  <si>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</si>
  <si>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</si>
  <si>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</si>
  <si>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</si>
  <si>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</si>
  <si>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</si>
  <si>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</si>
  <si>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</si>
  <si>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</si>
  <si>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</si>
  <si>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</si>
  <si>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</si>
  <si>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</si>
  <si>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</si>
  <si>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</si>
  <si>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</si>
  <si>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</si>
  <si>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</si>
  <si>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</si>
  <si>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</si>
  <si>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</si>
  <si>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</si>
  <si>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</si>
  <si>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</si>
  <si>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</si>
  <si>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</si>
  <si>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</si>
  <si>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</si>
  <si>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</si>
  <si>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</si>
  <si>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</si>
  <si>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</si>
  <si>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</si>
  <si>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</si>
  <si>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</si>
  <si>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</si>
  <si>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 xml:space="preserve">Object ID  </t>
  </si>
  <si>
    <t>Table Rules</t>
  </si>
  <si>
    <t xml:space="preserve">Enter Data </t>
  </si>
  <si>
    <t>County</t>
  </si>
  <si>
    <t>Total Population</t>
  </si>
  <si>
    <t>Multilevel Headers</t>
  </si>
  <si>
    <t>Figure Rules</t>
  </si>
  <si>
    <t>Figure Type</t>
  </si>
  <si>
    <t>X Column</t>
  </si>
  <si>
    <t>Y Column</t>
  </si>
  <si>
    <t>X Axis Title</t>
  </si>
  <si>
    <t>Y Axis Title</t>
  </si>
  <si>
    <t>N/A</t>
  </si>
  <si>
    <t>Start at Zero</t>
  </si>
  <si>
    <t>Source Specifications</t>
  </si>
  <si>
    <t>Note Specfications</t>
  </si>
  <si>
    <t>Male</t>
  </si>
  <si>
    <t>Female</t>
  </si>
  <si>
    <t>Line</t>
  </si>
  <si>
    <t>Both</t>
  </si>
  <si>
    <t>Pivot For Chart</t>
  </si>
  <si>
    <t>Total</t>
  </si>
  <si>
    <t>Sex</t>
  </si>
  <si>
    <t>Age</t>
  </si>
  <si>
    <t>79</t>
  </si>
  <si>
    <t>Percentage of Adolescents 13 Years Old with a Complete HPV Vaccine Series, 2019–2024</t>
  </si>
  <si>
    <t>`</t>
  </si>
  <si>
    <t>F or T #</t>
  </si>
  <si>
    <t>Demographic Summary by Municipality, 2023</t>
  </si>
  <si>
    <t>Population by Municipality, 1970–2020</t>
  </si>
  <si>
    <t>Total Population by Municipality, 2023</t>
  </si>
  <si>
    <t>Population Growth by Municipality, 2000–2020</t>
  </si>
  <si>
    <t>Population and Housing Unit Density by Municipality, 2023</t>
  </si>
  <si>
    <t>Population of Municipalities by Sex and Age, 2023</t>
  </si>
  <si>
    <t>Median Age by Municipality, 2023</t>
  </si>
  <si>
    <t>Population of Municipalities by Race and Ethnicity, 2020</t>
  </si>
  <si>
    <t>Employed Civilians by Industry and Municipality, 2023</t>
  </si>
  <si>
    <t>Employed Civilian Occupations by Municipality, 2023</t>
  </si>
  <si>
    <t>All-Cause Mortality, Rate per 100,000 Population by Age, ZIP Code, Race and Ethnicity, 2020–2023</t>
  </si>
  <si>
    <t>All-Cause Mortality, Age-Adjusted Rate per 100,000 Population by Race and Ethnicity, 2020–2022</t>
  </si>
  <si>
    <t>All-Cause Mortality, Rate per 100,000 Population by ZIP Code, 2020–2023</t>
  </si>
  <si>
    <t>All-Cause Mortality, Age-Adjusted Rate per 100,000 Population by Sex, 2020–2023</t>
  </si>
  <si>
    <t>Top Five Leading Causes of Death, by Count and Age-Adjusted Rate per 100,000 Population, 2022</t>
  </si>
  <si>
    <t>Number of Deaths from Leading Causes by Sex, 2020–2022</t>
  </si>
  <si>
    <t>Percentage of Premature Deaths Under 65 Years by Minor Civil Division, 2019–2022</t>
  </si>
  <si>
    <t>Percentage of Deaths that are Premature, by Race and Ethnicity, 2018–2020</t>
  </si>
  <si>
    <t>Household Median Income, Poverty Status, and GINI Index by Municipality, 2023</t>
  </si>
  <si>
    <t>Poverty Threshold by Size of Family and Number of Related Children Under 18 Years, 2024</t>
  </si>
  <si>
    <t>Population Living in Poverty by Age Group, Race and Ethnicity, 2023</t>
  </si>
  <si>
    <t>Population in Poverty, 2019–2022</t>
  </si>
  <si>
    <t>Individual Poverty Status in the Past 12 Months, by Race and Ethnicity, 2023</t>
  </si>
  <si>
    <t>Poverty Status of Families in the Past 12 Months, by Race and Ethnicity, 2023</t>
  </si>
  <si>
    <t>Children Living Below the Poverty Threshold, 2019–2022</t>
  </si>
  <si>
    <t>Employment Status by Municipality, 2023</t>
  </si>
  <si>
    <t>Percentage of Labor Force Unemployed, 2020–2023</t>
  </si>
  <si>
    <t>Demographic Profile and Graduation Rates by Public School District, 2023–2024</t>
  </si>
  <si>
    <t>Educational Attainment of Persons 25 years and Over, 2023</t>
  </si>
  <si>
    <t>F13</t>
  </si>
  <si>
    <t>Language Spoken at Home by Municipality, 2023</t>
  </si>
  <si>
    <t>T18</t>
  </si>
  <si>
    <t>English Language Learners, Economically Disadvantaged, and Students with Disabilities by Public School District, 2023–2024</t>
  </si>
  <si>
    <t>T19</t>
  </si>
  <si>
    <t>Potentially Preventable Hospitalizations, Age-Adjusted Rate per 10,000 Adults by ZIP Code, 2021–2024</t>
  </si>
  <si>
    <t>F14</t>
  </si>
  <si>
    <t>Uninsured Civilian Noninstitutionalized Population, by Race and Ethnicity, 2023</t>
  </si>
  <si>
    <t>Cars Available per Household by Municipality, 2023</t>
  </si>
  <si>
    <t>T20</t>
  </si>
  <si>
    <t>Commuting to Work by Municipality, 2023</t>
  </si>
  <si>
    <t>T21</t>
  </si>
  <si>
    <t>Housing Tenure and Vacancy Status by Municipality, 2023</t>
  </si>
  <si>
    <t>T22</t>
  </si>
  <si>
    <t>Housing Unit Ages by Municipality, 202</t>
  </si>
  <si>
    <t>T23</t>
  </si>
  <si>
    <t>Selected Housing Characteristics for Homeowners by Municipality, 2023</t>
  </si>
  <si>
    <t>T24</t>
  </si>
  <si>
    <t>Owner Occupied Housing Units as a Percentage of Occupied Housing Units, 2023</t>
  </si>
  <si>
    <t>T25</t>
  </si>
  <si>
    <t>Selected Housing Characteristics for Renters by Municipality, 2023</t>
  </si>
  <si>
    <t>Renter Occupied Housing Units as a Percentage of Occupied Housing Units, 2023</t>
  </si>
  <si>
    <t>Owner versus Renter Occupancy Per Room by Municipality, 2023</t>
  </si>
  <si>
    <t>T26</t>
  </si>
  <si>
    <t>Owner and Renter Occupied Units with &gt;1 Occupant per Room, Orange County and Selected Cities, 2023</t>
  </si>
  <si>
    <t>Incidence of Confirmed High Blood Lead Level, Rate per 1,000 Tested Children Aged &lt; 72 Months, 2018–2021</t>
  </si>
  <si>
    <t>Type of Internet Access per Household by Municipality, 2023</t>
  </si>
  <si>
    <t>T27</t>
  </si>
  <si>
    <t>Population Served by Orange County Department of Social Services, 2022–2024</t>
  </si>
  <si>
    <t>T28</t>
  </si>
  <si>
    <t>Diseases of the Circulatory System Mortality, Case Counts and Rates per 100,000 Population by Age, Race and Ethnicity, and ZIP Code, 2020–2023</t>
  </si>
  <si>
    <t>T29</t>
  </si>
  <si>
    <t>Diseases of the Circulatory System Mortality, Age-Adjusted Rate per 100,000, 2020–2023</t>
  </si>
  <si>
    <t>Diseases of the Circulatory System Mortality, Rate per 100,000 Population by Race and Ethnicity, 2020–2023</t>
  </si>
  <si>
    <t>Diseases of the Circulatory System Mortality, Rate per 100,000 Population by ZIP Code, 2020–2023</t>
  </si>
  <si>
    <t>Diseases of the Circulatory System Mortality, Age-Adjusted Rate per 100,000 by Sex, 2020–2023</t>
  </si>
  <si>
    <t>Heart Disease Mortality, Case Counts and Rates per 100,000 Population by Age, Race and Ethnicity, and ZIP Code, 2020–2023</t>
  </si>
  <si>
    <t>T30</t>
  </si>
  <si>
    <t>Diseases of the Heart Mortality, Age-Adjusted Rate per 100,000,2020–2023</t>
  </si>
  <si>
    <t>Diseases of the Heart Mortality, Age-Adjusted Rate per 100,000 Population by Race and Ethnicity, 2020–2022</t>
  </si>
  <si>
    <t>Diseases of the Heart Mortality, Rate per 100,000 Population by ZIP Code, 2020–2023</t>
  </si>
  <si>
    <t>Diseases of the Heart Mortality, Age-Adjusted Rate per 100,000 by Sex, 2020–2023</t>
  </si>
  <si>
    <t>Cerebrovascular Disease Hospitalizations, Age-Adjusted Rate per 10,000 Population by Race and Ethnicity, 2020–2022</t>
  </si>
  <si>
    <t>Cerebrovascular Disease Mortality, Case Counts and Rates per 100,000 Population by Age, Sex, Race and Ethnicity, and ZIP Code, 2020–2023</t>
  </si>
  <si>
    <t>T31</t>
  </si>
  <si>
    <t>Cerebrovascular Disease Mortality, Age-Adjusted Rate per 100,000, 2020–2023</t>
  </si>
  <si>
    <t>Cerebrovascular Disease Mortality, Age-Adjusted Rate per 100,000 by Sex, 2020–2023</t>
  </si>
  <si>
    <t>Other Diseases of the Circulatory System Mortality, Case Counts and Rates per 100,000 Population by Age, Race and Ethnicity, and ZIP Code, 2020–2023</t>
  </si>
  <si>
    <t>T32</t>
  </si>
  <si>
    <t>Other Diseases of the Circulatory System Mortality, Age-Adjusted Rate per 100,000, 2020–2023</t>
  </si>
  <si>
    <t>Other Diseases of the Circulatory System Mortality, Rate per 100,000 by Race and Ethnicity, 2020–2023</t>
  </si>
  <si>
    <t>Circulatory System Disease Mortality, Rate per 100,000 by ZIP Code, 2020–2023</t>
  </si>
  <si>
    <t>Circulatory System Disease Mortality, Age-Adjusted Rate per 100,000 by Sex, 2020–2023</t>
  </si>
  <si>
    <t>Chronic Lower Respiratory Disease Hospitalization, Age-Adjusted Rate per 10,000 Population by Race and Ethnicity, 2020–2022</t>
  </si>
  <si>
    <t>Chronic Lower Respiratory Disease Mortality, Case Counts and Rates per 100,000 Population by Age, Race and Ethnicity, and ZIP Code, 2020–2023</t>
  </si>
  <si>
    <t>T33</t>
  </si>
  <si>
    <t>Chronic Lower Respiratory Disease Mortality, Age-Adjusted Rate per 100,000, 2020–2023</t>
  </si>
  <si>
    <t>Chronic Lower Respiratory Disease Mortality, Rate per 100,000 Population by Sex, 2020–2023</t>
  </si>
  <si>
    <t>Asthma Hospitalization, Age-Adjusted Rate per 10,000, Aged 0–17 Years Population by Race and Ethnicity, 2020–2022</t>
  </si>
  <si>
    <t>Potentially Preventable Asthma Admissions, Crude Rate per 10,000 Children Aged 2–17 Years, 2021–2024</t>
  </si>
  <si>
    <t>Potentially Preventable Community Acquired Pneumonia Admissions, Age-Adjusted Rate per 10,000 Adults, 2021–2024</t>
  </si>
  <si>
    <t>Pneumonia and Influenza Mortality, Case Counts and Rates per 100,000 Population by Age, Race and Ethnicity, and ZIP Code, 2020–2023</t>
  </si>
  <si>
    <t>T34</t>
  </si>
  <si>
    <t>Pneumonia and Influenza Mortality, Rate per 100,000 Population, 2020–2023</t>
  </si>
  <si>
    <t>Pneumonia and Influenza Mortality, Age-Adjusted Rate per 100,000 by Sex, 2020–2023</t>
  </si>
  <si>
    <t>Diabetes Hospitalizations as Any Diagnosis, Age-Adjusted Rate per 10,000 Population by Race and Ethnicity, 2020–2022</t>
  </si>
  <si>
    <t>Diabetes Hospitalizations as Primary Diagnosis, Age-Adjusted Rate per 10,000 Population by Race and Ethnicity, 2020–2022</t>
  </si>
  <si>
    <t>Diabetes Mortality, Case Counts and Rates per 100,000 Population by Age, and Race and Ethnicity, and ZIP Code, 2020–2023</t>
  </si>
  <si>
    <t>T35</t>
  </si>
  <si>
    <t>Diabetes Mortality, Age-Adjusted Rate per 100,000, 2020–2023</t>
  </si>
  <si>
    <t>Diabetes Mortality, Age-Adjusted Rate per 100,000 by Sex, 2020–2023</t>
  </si>
  <si>
    <t>tbl-demographics-sum</t>
  </si>
  <si>
    <t xml:space="preserve">Percentage of Children and Adolescents with Obesity, by School District, </t>
  </si>
  <si>
    <t>Liver Disease and Cirrhosis Mortality, Case Counts and Rates per 100,000 Population by Age, and Race and Ethnicity, and ZIP Code, 2020–2023</t>
  </si>
  <si>
    <t>T36</t>
  </si>
  <si>
    <t>Liver Disease and Cirrhosis Mortality, Age-Adjusted Rate per 100,000, 2020–2023</t>
  </si>
  <si>
    <t>Liver Disease and Cirrhosis Mortality, Age-Adjusted Rate per 100,000 by Sex, 2020–2023</t>
  </si>
  <si>
    <t>Chronic Kidney Disease Emergency Department Visits, Age-Adjusted Rate per 10,000 Population, 2017–2022</t>
  </si>
  <si>
    <t>Chronic Kidney Disease Hospitalization, Rate per 10,000, 2017–2022</t>
  </si>
  <si>
    <t>All Sites Combined Cancer Incidence, Age-Adjusted Rate per 100,000 Population, 2018–2022</t>
  </si>
  <si>
    <t>All Sites Combined Cancer Incidence, Age-Adjusted Rate per 100,000 Population by Race and Ethnicity, 2018–2022</t>
  </si>
  <si>
    <t>Malignant Neoplasm Mortality, Case Counts and Rates per 100,000 Population by Age, and Race and Ethnicity, and ZIP Code, 2020–2023</t>
  </si>
  <si>
    <t>T37</t>
  </si>
  <si>
    <t>Geographic Area</t>
  </si>
  <si>
    <t>Median Age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</si>
  <si>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</si>
  <si>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</si>
  <si>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</si>
  <si>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</si>
  <si>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</si>
  <si>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</si>
  <si>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</si>
  <si>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</si>
  <si>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</si>
  <si>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</si>
  <si>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</si>
  <si>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</si>
  <si>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</si>
  <si>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</si>
  <si>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</si>
  <si>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</si>
  <si>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Greenville Town</t>
  </si>
  <si>
    <t>Hamptonburgh Town</t>
  </si>
  <si>
    <t>Highlands Town</t>
  </si>
  <si>
    <t>12,894</t>
  </si>
  <si>
    <t>3,027</t>
  </si>
  <si>
    <t>3,203</t>
  </si>
  <si>
    <t>5,600</t>
  </si>
  <si>
    <t>1,064</t>
  </si>
  <si>
    <t>7,397</t>
  </si>
  <si>
    <t>5,497</t>
  </si>
  <si>
    <t>27.2</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</si>
  <si>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</si>
  <si>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</si>
  <si>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</si>
  <si>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</si>
  <si>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</si>
  <si>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</si>
  <si>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</si>
  <si>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</si>
  <si>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</si>
  <si>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</si>
  <si>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</si>
  <si>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</si>
  <si>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</si>
  <si>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</si>
  <si>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</si>
  <si>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</si>
  <si>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</si>
  <si>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</si>
  <si>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</si>
  <si>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</si>
  <si>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</si>
  <si>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</si>
  <si>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</si>
  <si>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</si>
  <si>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</si>
  <si>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</si>
  <si>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</si>
  <si>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</si>
  <si>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</si>
  <si>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</si>
  <si>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</si>
  <si>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</si>
  <si>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</si>
  <si>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</si>
  <si>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</si>
  <si>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</si>
  <si>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</si>
  <si>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</si>
  <si>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</si>
  <si>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</si>
  <si>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</si>
  <si>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</si>
  <si>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</si>
  <si>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</si>
  <si>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</si>
  <si>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</si>
  <si>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</si>
  <si>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</si>
  <si>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</si>
  <si>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</si>
  <si>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</si>
  <si>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</si>
  <si>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</si>
  <si>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</si>
  <si>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</si>
  <si>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</si>
  <si>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</si>
  <si>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Malignant Neoplasms Mortality, Age-Adjusted Rate per 100,000, 2020–2023</t>
  </si>
  <si>
    <t>Malignant Neoplasm Mortality, Rate per 100,000 Population by Race and Ethnicity, 2020–2023</t>
  </si>
  <si>
    <t>Malignant Neoplasm Mortality, Rate per 100,000 Population by ZIP Code, 2022–2023</t>
  </si>
  <si>
    <t>Malignant Neoplasms Mortality, Age-Adjusted Rate per 100,000 by Sex, 2022–2023</t>
  </si>
  <si>
    <t xml:space="preserve"> 0-17 year</t>
  </si>
  <si>
    <t xml:space="preserve">Population </t>
  </si>
  <si>
    <t>All Cancer Mortality, Age-Adjusted Rate per 100,000 Population, 2017–2020</t>
  </si>
  <si>
    <t>All Cancer Mortality, Age-Adjusted Rate per 100,000 Population, 2018–2022</t>
  </si>
  <si>
    <t>18-24 years</t>
  </si>
  <si>
    <t>25-64 years</t>
  </si>
  <si>
    <t>65+ years</t>
  </si>
  <si>
    <t>All Cancer Incidence, Age-Adjusted Rate per 100,000 Population by Race and Ethnicity, 2018–2022</t>
  </si>
  <si>
    <t>Lung and Bronchus Cancer Incidence, Age-Adjusted Rate per 100,000 Population, 2017–2020</t>
  </si>
  <si>
    <t>Lung and Bronchus Cancer Incidence, Age-Adjusted Rate per 100,000 Population, 2018–2022</t>
  </si>
  <si>
    <t>Lung and Bronchus Cancer Incidence, Age-Adjusted Rate per 100,000 Population by Race and Ethnicity, 2018–2022</t>
  </si>
  <si>
    <t>Lung and Bronchus Cancer Mortality, Age-Adjusted Rate per 100,000 Population, 2017–2020</t>
  </si>
  <si>
    <t>Lung and Bronchus Cancer Mortality, Age-Adjusted Rate per 100,000 Population, 2018–2022</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</si>
  <si>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</si>
  <si>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</si>
  <si>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</si>
  <si>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</si>
  <si>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</si>
  <si>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</si>
  <si>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</si>
  <si>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</si>
  <si>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</si>
  <si>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</si>
  <si>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</si>
  <si>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</si>
  <si>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</si>
  <si>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</si>
  <si>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Lung and Bronchus Cancer Mortality, Age-Adjusted Rate per 100,000 Population by Race and Ethnicity, 2018–2022</t>
  </si>
  <si>
    <t>Colon and Rectum Cancer Incidence, Age-Adjusted Rate per 100,000 Population, 2018–2022</t>
  </si>
  <si>
    <t>Colon and Rectum Cance Incidence, Age-Adjusted Rate per 100,000 Population by Race and Ethnicity, 2018–2022</t>
  </si>
  <si>
    <t>Colon and Rectum Cancer Mortality, Age-Adjusted Rate per 100,000 Population, 2018–2022</t>
  </si>
  <si>
    <t>Colon and Rectum Cancer Mortality, Age-Adjusted Rate per 100,000 Population by Race and Ethnicity, 2018–2022</t>
  </si>
  <si>
    <t>Female Breast Cancer Incidence, Age-Adjusted Rate per 100,000 Population, 2018–2022</t>
  </si>
  <si>
    <t>Female Breast Cancer Incidence, Age-Adjusted Rate per 100,000 Population by Race and Ethnicity, 2018–2022</t>
  </si>
  <si>
    <t>Female Breast Cancer Mortality, Age-Adjusted Rate per 100,000 Population, 2018–2022</t>
  </si>
  <si>
    <t>Female Breast Cancer Mortality, Age-Adjusted Rate per 100,000 Population by Race and Ethnicity, 2018–2022</t>
  </si>
  <si>
    <t>Cervix Uteri Cancer Incidence, Age-Adjusted Rate per 100,000 Population, 2018–2022</t>
  </si>
  <si>
    <t>Population</t>
  </si>
  <si>
    <t>Cervix Uteri Cancer Mortality, Age-Adjusted Rate per 100,000 Population, 2018–2022</t>
  </si>
  <si>
    <t>Prostate Cancer Incidence, Age-Adjusted Rate per 100,000 Population, 2018–2022</t>
  </si>
  <si>
    <t>Prostate Cancer Incidence, Age-Adjusted Rate per 100,000 Population by Race and Ethnicity, 2018–2022</t>
  </si>
  <si>
    <t>Prostate Cancer Mortality, Age-Adjusted Rate per 100,000 Population, 2018–2022</t>
  </si>
  <si>
    <t>Prostate Cancer Mortality, Age-Adjusted Rate per 100,000 Population by Race and Ethnicity, 2018–2022</t>
  </si>
  <si>
    <t>General Communicable Diseases, Case Counts and Rates per 100,000 Residents, 2021–2023</t>
  </si>
  <si>
    <t>T38</t>
  </si>
  <si>
    <t>Hepatitis A, Rate per 100,000 Population, 2020–2023</t>
  </si>
  <si>
    <t>Chronic Hepatitis B, Rate per 100,000 Population, 2020–2023</t>
  </si>
  <si>
    <t>Acute Hepatitis C, Rate per 100,000 Population, 2020–2023</t>
  </si>
  <si>
    <t>Chronic Hepatitis C, Rate per 100,000 Population, 2020–2023</t>
  </si>
  <si>
    <t>Chlamydia, Case Counts and Infection Rates per 100,000 by Sex, Race and Ethnicity, Age, and ZIP Code, 2021–2024</t>
  </si>
  <si>
    <t>T40</t>
  </si>
  <si>
    <t>Chlamydia, Age-Adjusted Rate per 100,000 Population, 2020–2023</t>
  </si>
  <si>
    <t>Chlamydia, Rate per 100,000 Population by Race and Ethnicity, 2021–2024</t>
  </si>
  <si>
    <t>Gonorrhea, Case Counts and Infection Rates per 100,000 by Sex, Race and Ethnicity, Age, and ZIP Code, 2021–2024</t>
  </si>
  <si>
    <t>T41</t>
  </si>
  <si>
    <t>Gonorrhea, Age-Adjusted Case Rate per 100,000 Population, 2020–2023</t>
  </si>
  <si>
    <t>Gonorrhea, Case Rate per 100,000 Population by Race and Ethnicity, 2021–2024</t>
  </si>
  <si>
    <t>HIV Prevalence, Rate per 100,000 Population by Race and Ethnicity, Age, and Sex, 2020–2023</t>
  </si>
  <si>
    <t>T42</t>
  </si>
  <si>
    <t>HIV and AIDS Incidence, Age-Adjusted Rate per 100,000 Population, 2020–2023</t>
  </si>
  <si>
    <t>HIV Prevalence by Transmission Category, Count, 2020–2023</t>
  </si>
  <si>
    <t>Percentage of HIV Linkage to Care by Race and Ethnicity, 2020–2023</t>
  </si>
  <si>
    <t>Percentage of PrEP Coverage, 2020-2023</t>
  </si>
  <si>
    <t>Syphilis, Case Counts and Infection Rates per 100,000 by Sex, Race and Ethnicity, Age, and ZIP Code, 2021–2024</t>
  </si>
  <si>
    <t>T43</t>
  </si>
  <si>
    <t>Early Syphilis, Age-Adjusted Case Rate per 100,000 Population, 2020–2023</t>
  </si>
  <si>
    <t>Syphilis, Case Rate per 100,000 by Race and Ethnicity, 2021–2024</t>
  </si>
  <si>
    <t>Fertility, Rate per 1,000 Females Aged 15–44 Years, by Maternal Age, Race and Ethnicity, and ZIP Code, 2020–2023</t>
  </si>
  <si>
    <t>T44</t>
  </si>
  <si>
    <t>Fertility, Rate per 1,000 Females Aged 15–44 Years, 2020–2023</t>
  </si>
  <si>
    <t>Fertility, Rate per 1,000 Females Aged 15–44 Years by Race and Ethnicity, 2020–2023</t>
  </si>
  <si>
    <t>Fertility, Rate per 1,000 Females Aged 15–44 Years by ZIP Code, 2020–2023</t>
  </si>
  <si>
    <t>All Births to Mothers 17 Years and Younger, by Age, Race and Ethnicity, and ZIP Code, 2020–2023</t>
  </si>
  <si>
    <t>n/a</t>
  </si>
  <si>
    <t>T45</t>
  </si>
  <si>
    <t>All Births with Medicaid or Self-Pay, by Age, Race and Ethnicity, and ZIP Code, 2020–2023</t>
  </si>
  <si>
    <t>T46</t>
  </si>
  <si>
    <t>Percent Change</t>
  </si>
  <si>
    <t>2000-2010</t>
  </si>
  <si>
    <t>2010-2020</t>
  </si>
  <si>
    <t>2000-20</t>
  </si>
  <si>
    <t>Maternal Mortality, Rate per 100,000 Live Births, 2018–2021</t>
  </si>
  <si>
    <t>Child and Adolescent Mortality, Rate per 100,000 Population Aged 10–19 Years, 2018–2021</t>
  </si>
  <si>
    <t>Infant Mortality, Rate per 1,000 Births by Race and Ethnicity, 2020–2022</t>
  </si>
  <si>
    <t>F109</t>
  </si>
  <si>
    <t>All Births with Early Prenatal Care, by Age, Race and Ethnicity, and ZIP Code, 2020–2023</t>
  </si>
  <si>
    <t>T47</t>
  </si>
  <si>
    <t>Percentage of All Births with Early Prenatal Care, 2020–2023</t>
  </si>
  <si>
    <t>F110</t>
  </si>
  <si>
    <t>Percentage of All Births with Early Prenatal Care, by Race and Ethnicity, 2020–2023</t>
  </si>
  <si>
    <t>F111</t>
  </si>
  <si>
    <t>Percent of All Births with Early Prenatal Care, by ZIP Code, 2020–2023</t>
  </si>
  <si>
    <t>F112</t>
  </si>
  <si>
    <t>All Births with Late or No Prenatal Care, by Age, Race and Ethnicity, and ZIP Code, 2020–202</t>
  </si>
  <si>
    <t>T48</t>
  </si>
  <si>
    <t>Percentage of All Births with with Late or No Prenatal Care, 2020–2023</t>
  </si>
  <si>
    <t>F113</t>
  </si>
  <si>
    <t>F114</t>
  </si>
  <si>
    <t>Percentage of All Births with with Late or No Prenatal Care, by Race and Ethnicity, 2020–2023</t>
  </si>
  <si>
    <t>Percentage of All Births with with Late or No Prenatal Care, by ZIP Code, 2020–2023</t>
  </si>
  <si>
    <t>F115</t>
  </si>
  <si>
    <t>Percentage of Births with Adequate Prenatal Care, 2017–2022</t>
  </si>
  <si>
    <t>F116</t>
  </si>
  <si>
    <t>Premature Births, per 100 Live Births by Age, Race and Ethnicity, and ZIP Code, 2020–2023</t>
  </si>
  <si>
    <t>T49</t>
  </si>
  <si>
    <t>Percentage of Premature Births, per 100 Live Births , 2020–2023</t>
  </si>
  <si>
    <t>F117</t>
  </si>
  <si>
    <t>Percentage of Premature Births, by Race and Ethnicity, 2020–2022</t>
  </si>
  <si>
    <t>F118</t>
  </si>
  <si>
    <t>All Infants Born with Low Birthweight, by Age, Race and Ethnicity, and ZIP Code, 2020–2023</t>
  </si>
  <si>
    <t>T50</t>
  </si>
  <si>
    <t>Percentage of Infants Born Low Birthweight, 2020–2022</t>
  </si>
  <si>
    <t>F119</t>
  </si>
  <si>
    <t>Percentage of Infants Born Low Birthweight, by Race and Ethnicity, 2020–2022</t>
  </si>
  <si>
    <t>F120</t>
  </si>
  <si>
    <t>Emergency Department Visits Involving Any Drug Overdose, Age-Adjusted Rate per 100,000 Population, 2019–2022</t>
  </si>
  <si>
    <t>F121</t>
  </si>
  <si>
    <t>Outpatient ED Visits and Hospital Discharges Involving Opioid Abuse, Dependence and Unspecified Use, Crude Rate per 100,000, 2019–2022</t>
  </si>
  <si>
    <t>F122</t>
  </si>
  <si>
    <t>Newborns with Neonatal Withdrawal Symptoms and/or Affected by Maternal Use of Drugs of Addiction, Crude Rate per 1,000 Newborn Discharges, 2019–2022</t>
  </si>
  <si>
    <t>F123</t>
  </si>
  <si>
    <t>Opioid Analgesics Prescriptions, Age-Adjusted Rate per 1,000 Person-Years, 2021–2024</t>
  </si>
  <si>
    <t>F124</t>
  </si>
  <si>
    <t>Percentage of Opioid Naïve Patients Receiving More than a 7-Day Supply, 2021–2024</t>
  </si>
  <si>
    <t>F125</t>
  </si>
  <si>
    <t>Benzodiazepine Prescriptions, Age-Adjusted Rate per 1,000 Person-Years, 2021–2024</t>
  </si>
  <si>
    <t>F126</t>
  </si>
  <si>
    <t>Land Area per Square Mile</t>
  </si>
  <si>
    <t>People per Square Mile</t>
  </si>
  <si>
    <t>Housing Units per Square Mile</t>
  </si>
  <si>
    <t>Percentage of Patients With Overlapping Opioid Analgesic and Benzodiazepine Prescriptions, 2021–2024</t>
  </si>
  <si>
    <t>F127</t>
  </si>
  <si>
    <t>Patients Who Received at Least One Buprenorphine Prescription for Opioid Use Disorder, Age-Adjusted Rate per 100,000 Population, 2021–2024</t>
  </si>
  <si>
    <t>F128</t>
  </si>
  <si>
    <t>Percentage of Patients Receiving Continuous Buprenorphine for Treatment of Opioid Use Disorder, 2021–2024</t>
  </si>
  <si>
    <t>F129</t>
  </si>
  <si>
    <t>F130</t>
  </si>
  <si>
    <t>Lifetime Use of Substance by Grade</t>
  </si>
  <si>
    <t>T51</t>
  </si>
  <si>
    <t>Past 30 Day Use of Substance by Grade</t>
  </si>
  <si>
    <t>T52</t>
  </si>
  <si>
    <t>Percentage of Sources of Marijuana for Those Who Reported Us</t>
  </si>
  <si>
    <t>T53</t>
  </si>
  <si>
    <t>Opioid-Related Overdose Fatalities, Rate per 100,000 Population by Age and Sex, 2021–2024</t>
  </si>
  <si>
    <t>T54</t>
  </si>
  <si>
    <t>Opioid-Related Overdose Fatalities, Rate per 100,000 Population by Sex, 2021–2024</t>
  </si>
  <si>
    <t>F131</t>
  </si>
  <si>
    <t>Opioid-Related Overdose Fatalities, Rate per 100,000 Population by Age, 2021–2024</t>
  </si>
  <si>
    <t>F132</t>
  </si>
  <si>
    <t>F133</t>
  </si>
  <si>
    <t>F134</t>
  </si>
  <si>
    <t>Alcohol Related Motor Vehicle Injuries and Deaths, Rate per 100,000 Population, 2018–2021</t>
  </si>
  <si>
    <t>F135</t>
  </si>
  <si>
    <t>Sources of Access to Alcohol by Grade</t>
  </si>
  <si>
    <t>T55</t>
  </si>
  <si>
    <t>F136</t>
  </si>
  <si>
    <t>Unintentional Injury Hospitalization, Age-Adjusted Rate per 10,000 Population by Race and Ethnicity, 2020–2022</t>
  </si>
  <si>
    <t>Population &gt;18 years</t>
  </si>
  <si>
    <t>Population Age 15-44 year</t>
  </si>
  <si>
    <t>Population 65+ years</t>
  </si>
  <si>
    <t>F137</t>
  </si>
  <si>
    <t>Unintentional Injury Mortality, Rate per 100,000 Population by Age, Race and Ethnicity, and ZIP Code, 2020–2023</t>
  </si>
  <si>
    <t>T56</t>
  </si>
  <si>
    <t>Unintentional Injury Mortality, Age-Adjusted Rate per 100,000, 2020–2023</t>
  </si>
  <si>
    <t>F138</t>
  </si>
  <si>
    <t>Unintentional Injury Mortality, Rate per 100,000 Population by Age, 2020–2023</t>
  </si>
  <si>
    <t>F139</t>
  </si>
  <si>
    <t>Unintentional Injury Mortality, Rate per 100,000 Population by ZIP Code, 2020–2023</t>
  </si>
  <si>
    <t>F140</t>
  </si>
  <si>
    <t>Unintentional Injury Mortality, Age-Adjusted Rate per 100,000 by Sex, 2020–2023</t>
  </si>
  <si>
    <t>F141</t>
  </si>
  <si>
    <t>Falls Hospitalization, Rate per 10,000 Population Aged 65 Years and Older, by Race and Ethnicity, 2020–2022</t>
  </si>
  <si>
    <t>F142</t>
  </si>
  <si>
    <t>Self Inflicted Injury Hospitalization, Age-Adjusted Rate per 10,000, 2018–2021</t>
  </si>
  <si>
    <t>F143</t>
  </si>
  <si>
    <t>Self-Inflicted Injury Hospitalization, Rate per 10,000 Aged 15-19 Years, 2018–2021</t>
  </si>
  <si>
    <t>F144</t>
  </si>
  <si>
    <t>F145</t>
  </si>
  <si>
    <t>Percentage of Adults 50–64 Years Old Who Received a Colorectal Cancer Screening Based on the Most Recent Guidelines, 2016 and 2018</t>
  </si>
  <si>
    <t>F146</t>
  </si>
  <si>
    <t>F147</t>
  </si>
  <si>
    <t>Percentage of Women 50-74 Old Years Receiving Breast Cancer Screening Based on the Most Recent Guidelines, 2013-2014, 2016, 2018, and 2021</t>
  </si>
  <si>
    <t>F148</t>
  </si>
  <si>
    <t>F149</t>
  </si>
  <si>
    <t>F150</t>
  </si>
  <si>
    <t>F151</t>
  </si>
  <si>
    <t>Excerpt from Data Update</t>
  </si>
  <si>
    <t>T57</t>
  </si>
  <si>
    <t>T58</t>
  </si>
  <si>
    <t>T59</t>
  </si>
  <si>
    <t>F152</t>
  </si>
  <si>
    <t>Number of Responses to the Question: "What are the greatest strengths of our community?"</t>
  </si>
  <si>
    <t>Number of Responses to the Question: "Where should the community focus its resources and attention to improve the quality of life in our community?"</t>
  </si>
  <si>
    <t>F153</t>
  </si>
  <si>
    <t>Number of Responses to the Question: "What are the most important health issues that our community should focus on?"</t>
  </si>
  <si>
    <t>F154</t>
  </si>
  <si>
    <t>F155</t>
  </si>
  <si>
    <t>F156</t>
  </si>
  <si>
    <t>Community Strength Perception in 2022 and 2025</t>
  </si>
  <si>
    <t>F157</t>
  </si>
  <si>
    <t>Community Priorities to Improve Quality of Life in 2022 and 2025</t>
  </si>
  <si>
    <t>F158</t>
  </si>
  <si>
    <t>Community Perceptions on the Most Important Health Issues in 2022 and 2025</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</si>
  <si>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</si>
  <si>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</si>
  <si>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</si>
  <si>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</si>
  <si>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</si>
  <si>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</si>
  <si>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</si>
  <si>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</si>
  <si>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</si>
  <si>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</si>
  <si>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Harriman Village (total)*</t>
  </si>
  <si>
    <t>Which of the following health problems in Orange County would you fix first?</t>
  </si>
  <si>
    <t>F159</t>
  </si>
  <si>
    <t>Respondent Demographic Breakdown</t>
  </si>
  <si>
    <t>T60</t>
  </si>
  <si>
    <t>Lived in Orange County</t>
  </si>
  <si>
    <t>F160</t>
  </si>
  <si>
    <t>Perception of Overall Quality of Life, 2024</t>
  </si>
  <si>
    <t>F161</t>
  </si>
  <si>
    <t>Perception of Overall Quality of Life by Income, 2024</t>
  </si>
  <si>
    <t>F162</t>
  </si>
  <si>
    <t>Information During Weather Emergencies, 2024</t>
  </si>
  <si>
    <t>F163</t>
  </si>
  <si>
    <t>F164</t>
  </si>
  <si>
    <t>Information During Public Health Emergencies, 2024</t>
  </si>
  <si>
    <t>F165</t>
  </si>
  <si>
    <t>Information During Public Health Emergencies by Income, 2024</t>
  </si>
  <si>
    <t>F166</t>
  </si>
  <si>
    <t>Places to Walk or Bicycle in the Neighborhood Safe from Traffic, 2024</t>
  </si>
  <si>
    <t>F167</t>
  </si>
  <si>
    <t>Places to Walk or Bicycle in the Neighborhood Safe from Traffic by Income, 2024</t>
  </si>
  <si>
    <t>F168</t>
  </si>
  <si>
    <t>Safety of Walking or Biking, 2024</t>
  </si>
  <si>
    <t>F169</t>
  </si>
  <si>
    <t>Safety of Walking or Biking by Income, 2024</t>
  </si>
  <si>
    <t>F170</t>
  </si>
  <si>
    <t>How would you rate the community you live in as a place for people to live as they age?</t>
  </si>
  <si>
    <t>F171</t>
  </si>
  <si>
    <t>Rating the Community by Income, 2024</t>
  </si>
  <si>
    <t>F172</t>
  </si>
  <si>
    <t>Perception of Physical Health, 2018-2024</t>
  </si>
  <si>
    <t>F173</t>
  </si>
  <si>
    <t>Perception of Physical Health by Income, 2024</t>
  </si>
  <si>
    <t>F174</t>
  </si>
  <si>
    <t>Perception of Mental Health, 2018-2024</t>
  </si>
  <si>
    <t>F175</t>
  </si>
  <si>
    <t>Perception of Mental Health by Income, 2024</t>
  </si>
  <si>
    <t>F176</t>
  </si>
  <si>
    <t>Average Days a Week: Healthy Diet, 2018-2024</t>
  </si>
  <si>
    <t>F177</t>
  </si>
  <si>
    <t>Average Days a Week: Healthy Diet, by Income, 2024</t>
  </si>
  <si>
    <t>F178</t>
  </si>
  <si>
    <t>Average Days a Week: Exercise, 2018-2024</t>
  </si>
  <si>
    <t>F179</t>
  </si>
  <si>
    <t>Average Days a Week: Exercise, by Income, 2024</t>
  </si>
  <si>
    <t>F180</t>
  </si>
  <si>
    <t>Average Days a Week: 7-9 Hours of Sleep a Night, 2018-2024</t>
  </si>
  <si>
    <t>F181</t>
  </si>
  <si>
    <t>Average Days a Week: 7-9 Hours of Sleep a Night, by Income, 2024</t>
  </si>
  <si>
    <t>F182</t>
  </si>
  <si>
    <t>Level of Stress on an Average Day, 2018-2024</t>
  </si>
  <si>
    <t>F183</t>
  </si>
  <si>
    <t>Level of Stress on an Average Day by Income, 2024</t>
  </si>
  <si>
    <t>F184</t>
  </si>
  <si>
    <t>Feelings of Quality Encounters, 2018-2024</t>
  </si>
  <si>
    <t>F185</t>
  </si>
  <si>
    <t>Feelings of Quality Encounters by Income, 2024</t>
  </si>
  <si>
    <t>F186</t>
  </si>
  <si>
    <t>Alcohol Consumption in the Past Year, 2022-2024</t>
  </si>
  <si>
    <t>F187</t>
  </si>
  <si>
    <t>Alcohol Consumption in the Past Year by Income, 2024</t>
  </si>
  <si>
    <t>F188</t>
  </si>
  <si>
    <t>Frequency of Drug Use for Non-Medical Reasons, 2018-2024</t>
  </si>
  <si>
    <t>F189</t>
  </si>
  <si>
    <t>Frequency of Drug Use for Non-Medical Reasons by Income, 2024</t>
  </si>
  <si>
    <t>F190</t>
  </si>
  <si>
    <t>Consume Cannabis, 2024</t>
  </si>
  <si>
    <t>F191</t>
  </si>
  <si>
    <t>Consume Cannabis by Income, 2024</t>
  </si>
  <si>
    <t>F192</t>
  </si>
  <si>
    <t>Unable to Get Food, 2018-2024</t>
  </si>
  <si>
    <t>F193</t>
  </si>
  <si>
    <t>Unable to Get Food by Income, 2024</t>
  </si>
  <si>
    <t>F194</t>
  </si>
  <si>
    <t>Unable to Get Utilities, Including Heat and Electricity, 2018-2024</t>
  </si>
  <si>
    <t>F195</t>
  </si>
  <si>
    <t>Unable to Get Utilities, Including Heat and Electricity by Income, 2024</t>
  </si>
  <si>
    <t>F196</t>
  </si>
  <si>
    <t>Unable to Get Healthcare, Including Dental or Vision, 2018-2024</t>
  </si>
  <si>
    <t>F197</t>
  </si>
  <si>
    <t>Unable to Get Healthcare, Including Dental or Vision by Income, 2024</t>
  </si>
  <si>
    <t>F198</t>
  </si>
  <si>
    <t>Unable to Get Phone Services, 2018-2024</t>
  </si>
  <si>
    <t>F199</t>
  </si>
  <si>
    <t>Unable to Get Phone Services by Income, 2024</t>
  </si>
  <si>
    <t>F200</t>
  </si>
  <si>
    <t>Unable to Get Transportation, 2018-2024</t>
  </si>
  <si>
    <t>F201</t>
  </si>
  <si>
    <t>Unable to Get Transportation by Income, 2024</t>
  </si>
  <si>
    <t>F202</t>
  </si>
  <si>
    <t>Unable to Get Housing, 2018-2024</t>
  </si>
  <si>
    <t>F203</t>
  </si>
  <si>
    <t>Unable to Get Housing by Income, 2024</t>
  </si>
  <si>
    <t>F204</t>
  </si>
  <si>
    <t>Unable to Get Childcare, 2018-2024</t>
  </si>
  <si>
    <t>F205</t>
  </si>
  <si>
    <t>F206</t>
  </si>
  <si>
    <t>Unable to Get Childcare by Income, 2024</t>
  </si>
  <si>
    <t>F207</t>
  </si>
  <si>
    <t>Unable to Get Access to the Internet, 2022-2024</t>
  </si>
  <si>
    <t>F208</t>
  </si>
  <si>
    <t>Unable to Get Access to the Internet by Income, 2024</t>
  </si>
  <si>
    <t>Visit to Primary Care Physician for Routine Physical, 2018-2024</t>
  </si>
  <si>
    <t>F209</t>
  </si>
  <si>
    <t>F210</t>
  </si>
  <si>
    <t>Visit to Primary Care Physician for Routine Physical by Income, 2024</t>
  </si>
  <si>
    <t>F211</t>
  </si>
  <si>
    <t>Reasons for Not Visiting a Primary Care Provider, 2022-2024</t>
  </si>
  <si>
    <t>Dentist Visitation Within the Last 12 Months, 2018-2024</t>
  </si>
  <si>
    <t>F212</t>
  </si>
  <si>
    <t>F213</t>
  </si>
  <si>
    <t>Dentist Visitation Within the Last 12 Months by Income, 2024</t>
  </si>
  <si>
    <t>F214</t>
  </si>
  <si>
    <t>Reasons for Not Visiting a Dentist, 2022-2024</t>
  </si>
  <si>
    <t>F215</t>
  </si>
  <si>
    <t>T61</t>
  </si>
  <si>
    <t>Reasons for Not Visiting a Primary Care Provider by Income, 2024</t>
  </si>
  <si>
    <t>Reasons for Not Visiting a Dentist by Income, 2024</t>
  </si>
  <si>
    <t>T62</t>
  </si>
  <si>
    <t>Emergency Room Visitation for Non-Emergency Medical Issues, 2018-2024</t>
  </si>
  <si>
    <t>F216</t>
  </si>
  <si>
    <t>Emergency Room Visitation for Non-Emergency Medical Issues by Income, 2024</t>
  </si>
  <si>
    <t>Reasons for Visiting an Emergency Room for Non-Emergencies, 2024</t>
  </si>
  <si>
    <t>F217</t>
  </si>
  <si>
    <t>T63</t>
  </si>
  <si>
    <t>Reasons for Visiting an Emergency Room for Non-Emergencies by Income, 2024</t>
  </si>
  <si>
    <t>Mental Health Visitation Within the Last 12 Months, 2022-2024</t>
  </si>
  <si>
    <t>F219</t>
  </si>
  <si>
    <t>Mental Health Visitation Within the Last 12 Months by Income, 2024</t>
  </si>
  <si>
    <t>F220</t>
  </si>
  <si>
    <t>Reasons for Not Visiting a Mental Health Provider, 2022-2024</t>
  </si>
  <si>
    <t>F221</t>
  </si>
  <si>
    <t>F218</t>
  </si>
  <si>
    <t>Reasons for Not Visiting a Mental Health Provider by Income, 2024</t>
  </si>
  <si>
    <t>T64</t>
  </si>
  <si>
    <t>Had COVID, 2022-2024</t>
  </si>
  <si>
    <t>Had COVID by Income, 2024</t>
  </si>
  <si>
    <t>F222</t>
  </si>
  <si>
    <t>Had Long-COVID, 2022-2024</t>
  </si>
  <si>
    <t>F223</t>
  </si>
  <si>
    <t>F224</t>
  </si>
  <si>
    <t>Long-COVID in Household by Income, 2024</t>
  </si>
  <si>
    <t>Vaccinated for COVID, 2024</t>
  </si>
  <si>
    <t>F225</t>
  </si>
  <si>
    <t>Vaccinated for COVID by Income, 2024</t>
  </si>
  <si>
    <t>F226</t>
  </si>
  <si>
    <t>Getting an Updated COVID Vaccine, 2024</t>
  </si>
  <si>
    <t>F227</t>
  </si>
  <si>
    <t>Getting an Updated COVID Vaccine by Income, 2024</t>
  </si>
  <si>
    <t>F228</t>
  </si>
  <si>
    <t>Vaccinated for Flu, 2024</t>
  </si>
  <si>
    <t>F229</t>
  </si>
  <si>
    <t>Vaccinated for Flu by Income, 2024</t>
  </si>
  <si>
    <t>F230</t>
  </si>
  <si>
    <t>F231</t>
  </si>
  <si>
    <t>Feeling Nervous, 2023-2024</t>
  </si>
  <si>
    <t>F232</t>
  </si>
  <si>
    <t>Feeling Nervous by Income, 2024</t>
  </si>
  <si>
    <t>F233</t>
  </si>
  <si>
    <t>Feeling Hopeless, 2023-2024</t>
  </si>
  <si>
    <t>Feeling Hopeless by Income, 2024</t>
  </si>
  <si>
    <t>F234</t>
  </si>
  <si>
    <t>F235</t>
  </si>
  <si>
    <t>Feeling Restless or Fidgety, 2023-2024</t>
  </si>
  <si>
    <t>Feeling Restless or Fidgety by Income, 2024</t>
  </si>
  <si>
    <t>F236</t>
  </si>
  <si>
    <t>F237</t>
  </si>
  <si>
    <t>Feeling Depressed, 2023-2024</t>
  </si>
  <si>
    <t>Feeling Depressed by Income, 2024</t>
  </si>
  <si>
    <t>F238</t>
  </si>
  <si>
    <t>F239</t>
  </si>
  <si>
    <t>Feeling that Everything was an Effort, 2023-2024</t>
  </si>
  <si>
    <t>F240</t>
  </si>
  <si>
    <t>Feeling that Everything was an Effort by Income, 2024</t>
  </si>
  <si>
    <t>F241</t>
  </si>
  <si>
    <t>F242</t>
  </si>
  <si>
    <t>F243</t>
  </si>
  <si>
    <t>Feeling Worthless, 2023-2024</t>
  </si>
  <si>
    <t>Feeling Worthless by Income, 2024</t>
  </si>
  <si>
    <t>Kessler Score, 2023-2024</t>
  </si>
  <si>
    <t>Kessler Score by Income, 2024</t>
  </si>
  <si>
    <t>F244</t>
  </si>
  <si>
    <t>F245</t>
  </si>
  <si>
    <t>Had a Child in the Last 10 Years, 2023-2024</t>
  </si>
  <si>
    <t>F246</t>
  </si>
  <si>
    <t>Breastfed Any Children, 2024</t>
  </si>
  <si>
    <t>F247</t>
  </si>
  <si>
    <t>Breastfed Duration, 2024</t>
  </si>
  <si>
    <t>F248</t>
  </si>
  <si>
    <t>T65</t>
  </si>
  <si>
    <t>T66</t>
  </si>
  <si>
    <t>Who would you contact if you needed help with basic needs</t>
  </si>
  <si>
    <t>Who would you contact if you had concerns about a child's behavior or development</t>
  </si>
  <si>
    <t>Information or Help</t>
  </si>
  <si>
    <t>F249</t>
  </si>
  <si>
    <t>F250</t>
  </si>
  <si>
    <t>Annual Data Review Guide</t>
  </si>
  <si>
    <t>Top Areas of Concern Across All Assessments</t>
  </si>
  <si>
    <t>T67</t>
  </si>
  <si>
    <t>F251</t>
  </si>
  <si>
    <t>Data Review and Priority Selection Process</t>
  </si>
  <si>
    <t>T68</t>
  </si>
  <si>
    <t>Evidence-Based Strategies and Long-Term Objectives</t>
  </si>
  <si>
    <t>T69</t>
  </si>
  <si>
    <t>Short Term Process Indicators and Progress at of 2024</t>
  </si>
  <si>
    <t xml:space="preserve">Themes Identified Across Focus Groups </t>
  </si>
  <si>
    <t>ZIP Code Representation</t>
  </si>
  <si>
    <t>tbl-median-age</t>
  </si>
  <si>
    <t>tbl-pop</t>
  </si>
  <si>
    <t>tbl-total-pop</t>
  </si>
  <si>
    <t>tbl-pop-growth</t>
  </si>
  <si>
    <t>tbl-pop-housing-density</t>
  </si>
  <si>
    <t>tbl-pop-sex-age</t>
  </si>
  <si>
    <t>tbl-pop-race-ethnicity</t>
  </si>
  <si>
    <t>tbl-employed-civilians-industry</t>
  </si>
  <si>
    <t>tbl-employed-civilian-occupations</t>
  </si>
  <si>
    <t>tbl-top-five-leading-death-count-aar</t>
  </si>
  <si>
    <t>tbl-number-deaths-leading-sex</t>
  </si>
  <si>
    <t>tbl-premature-deaths-65</t>
  </si>
  <si>
    <t>tbl-income-poverty-gini</t>
  </si>
  <si>
    <t>tbl-poverty-age-rande</t>
  </si>
  <si>
    <t>tbl-poverty-pop</t>
  </si>
  <si>
    <t>tbl-poverty-individual-rande</t>
  </si>
  <si>
    <t>tbl-poverty-family-rande</t>
  </si>
  <si>
    <t>tbl-children-poverty-threshold</t>
  </si>
  <si>
    <t>tbl-employment</t>
  </si>
  <si>
    <t>tbl-labor-force-unemployed</t>
  </si>
  <si>
    <t>tbl-graudation-rate-demographic</t>
  </si>
  <si>
    <t>tbl-educational-attain</t>
  </si>
  <si>
    <t>tbl-hs-graduation-rande</t>
  </si>
  <si>
    <t>tbl-language-spoken-home</t>
  </si>
  <si>
    <t>tbl-english-language-eco-disad-disability</t>
  </si>
  <si>
    <t>tbl-pphospital-aar-zip</t>
  </si>
  <si>
    <t>tbl-uninsured-rande</t>
  </si>
  <si>
    <t>tbl-cars-household</t>
  </si>
  <si>
    <t>tbl-commute-work</t>
  </si>
  <si>
    <t>tbl-house-tenure-vacancy</t>
  </si>
  <si>
    <t>tbl-house-unit-age</t>
  </si>
  <si>
    <t>tbl-house-characteristics-homeowner</t>
  </si>
  <si>
    <t>tbl-owner-occupy-of-occupy-housing</t>
  </si>
  <si>
    <t>tbl-house-characteristics-renters</t>
  </si>
  <si>
    <t>tbl-renter-occupy-of-occupy-housing</t>
  </si>
  <si>
    <t>tbl-own-vs-rent-per-room</t>
  </si>
  <si>
    <t>tbl-own-vs-rent-more1-room</t>
  </si>
  <si>
    <t>tbl-high-bll</t>
  </si>
  <si>
    <t>tbl-internet-access</t>
  </si>
  <si>
    <t>tbl-pop-served-ocdss</t>
  </si>
  <si>
    <t>tbl-all-cause-mortal-rate-ZIP</t>
  </si>
  <si>
    <t>tbl-all-cause-mortal-aar-sex</t>
  </si>
  <si>
    <t>tbl-heartdz-count-rate-age-rande-zip</t>
  </si>
  <si>
    <t>tbl-heartdz-mortal-aar</t>
  </si>
  <si>
    <t>tbl-heartdz-mortal-rande</t>
  </si>
  <si>
    <t>tbl-heartdz-mortal-zip</t>
  </si>
  <si>
    <t>tbl-heartdz-mortal-sex-aar</t>
  </si>
  <si>
    <t>tbl-cerebrovascdz-count-rate-age-rande-zip</t>
  </si>
  <si>
    <t>tbl-cerebrovascdz-mortal-aar</t>
  </si>
  <si>
    <t>tbl-cerebrovascdz-hosp-rande-aar</t>
  </si>
  <si>
    <t>tbl-cerebrovascdz-mortal-sex-aar</t>
  </si>
  <si>
    <t>tbl-dzcircsystem-mortal-aar</t>
  </si>
  <si>
    <t>tbl-dzcircsystem--mortal-rande</t>
  </si>
  <si>
    <t>tbl-dzcircsystem--mortal-zip</t>
  </si>
  <si>
    <t>tbl-dzcircsystem-mortal-sex-aar</t>
  </si>
  <si>
    <t>tbl-other-dzcircsystem-count-rate-age-rande-zip</t>
  </si>
  <si>
    <t>tbl-other-dzcircsystem-mortal-aar</t>
  </si>
  <si>
    <t>tbl-other-dzcircsystem-mortal-rande</t>
  </si>
  <si>
    <t>tbl-circsystemdz-mortal-zip</t>
  </si>
  <si>
    <t>tbl-circsystemdz-sex-aar</t>
  </si>
  <si>
    <t>tbl-dzcircsystem-count-rate-age-rande-zip</t>
  </si>
  <si>
    <t>tbl-asthma-hosp-rande-aar</t>
  </si>
  <si>
    <t>tbl-asthma-hosp-0to17-rande-aar</t>
  </si>
  <si>
    <t>tbl-ppasthma-2to17-crude</t>
  </si>
  <si>
    <t>tbl-pppneumonia-adult-aar</t>
  </si>
  <si>
    <t>tbl-pneumoniaflu-count-rate-age-rande-zip</t>
  </si>
  <si>
    <t>tbl-pneumoniaflu-mortal-aar</t>
  </si>
  <si>
    <t>tbl-pneumoniaflu-mortal-sex-aar</t>
  </si>
  <si>
    <t>tbl-dm-anydx-hosp-rande-aar</t>
  </si>
  <si>
    <t>tbl-dm-primarydx-hosp-rande-aar</t>
  </si>
  <si>
    <t>tbl-dm-count-rate-age-rande-zip</t>
  </si>
  <si>
    <t>Percentage of Adults Overweight or Obese, 2013–2014, 2016, 2018, 2021</t>
  </si>
  <si>
    <t>tbl-overweight-obese-adult</t>
  </si>
  <si>
    <t>tbl-obese-adult</t>
  </si>
  <si>
    <t>tbl-liverdz-count-rate-age-rande-zip</t>
  </si>
  <si>
    <t>tbl-liverdz-mortal-aar</t>
  </si>
  <si>
    <t>tbl-liverdz-mortal-sex-aar</t>
  </si>
  <si>
    <t>tbl-ckd-edvisit-aar</t>
  </si>
  <si>
    <t>tbl-ckd-hosp-rate</t>
  </si>
  <si>
    <t>tbl-neoplasm-count-rate-age-rande-zip</t>
  </si>
  <si>
    <t>tbl-neoplasm-mortal-aar</t>
  </si>
  <si>
    <t>tbl-neoplasm-mortal-rande</t>
  </si>
  <si>
    <t>tbl-neoplasm-mortal-zip</t>
  </si>
  <si>
    <t>tbl-neoplasm-mortal-sex-aar</t>
  </si>
  <si>
    <t>tbl-dm-mortal-aar</t>
  </si>
  <si>
    <t>tbl-dm-mortal-sex-aar</t>
  </si>
  <si>
    <t>tbl-obese-child</t>
  </si>
  <si>
    <t>tbl-allsitesca-incidence-aar</t>
  </si>
  <si>
    <t>tbl-allsitesca-incidence-rande-aar</t>
  </si>
  <si>
    <t>tbl-premature-deaths-rande</t>
  </si>
  <si>
    <t>tbl-all-cause-mortal-rate-age-zip-code-rande</t>
  </si>
  <si>
    <t>tbl-all-cause-mortal-aar-rande</t>
  </si>
  <si>
    <t>tbl-lungbronchus-incidence-aar-five</t>
  </si>
  <si>
    <t>tbl-cancerall-mortal-aar-three</t>
  </si>
  <si>
    <t>tbl-cancerall-mortal-aar-five</t>
  </si>
  <si>
    <t>tbl-lungbronchus-mortal-aar-five</t>
  </si>
  <si>
    <t>tbl-colonrectum-incidence-aar-five</t>
  </si>
  <si>
    <t>tbl-cancerall-incidence-rande-aar-five</t>
  </si>
  <si>
    <t>tbl-lungbronchus-incidence-rande-aar-five</t>
  </si>
  <si>
    <t>tbl-colonrectum-incidence-rande-aar-five</t>
  </si>
  <si>
    <t>tbl-colonrectum-mortal-aar-five</t>
  </si>
  <si>
    <t>tbl-colonrectum-mortal-rande-aar-five</t>
  </si>
  <si>
    <t>tbl-lungbronchus-incidence-aar-single</t>
  </si>
  <si>
    <t>tbl-lungbronchus-mortal-aar-single</t>
  </si>
  <si>
    <t>Female Breast Cancer Incidence, Age-Adjusted Rate per 100,000 Population, 2017–2021</t>
  </si>
  <si>
    <t>Female Breast Cancer Mortality, Age-Adjusted Rate per 100,000 Population, 2017–2021</t>
  </si>
  <si>
    <t>tbl-lungbronchus-mortal-rande-aar-five</t>
  </si>
  <si>
    <t>tbl-femalebreast-incidence-aar-single</t>
  </si>
  <si>
    <t>tbl-femalebreast-incidence-aar-five</t>
  </si>
  <si>
    <t>tbl-femalebreast-mortal-aar-single</t>
  </si>
  <si>
    <t>tbl-femalebreast-mortal-aar-five</t>
  </si>
  <si>
    <t>tbl-femalebreast-mortal-rande-aar-five</t>
  </si>
  <si>
    <t>tbl-cervixuteri-incidence-aar-single</t>
  </si>
  <si>
    <t>tbl-cervixuteri-incidence-aar-five</t>
  </si>
  <si>
    <t>Cervix Uteri Cancer Incidence, Age-Adjusted Rate per 100,000 Population, 2017–2021</t>
  </si>
  <si>
    <t>Cervix Uteri Cancer Mortality, Age-Adjusted Rate per 100,000 Population, 2017–2021</t>
  </si>
  <si>
    <t>tbl-cervixuteri-mortal-aar-single</t>
  </si>
  <si>
    <t>tbl-cervixuteri-mortal-aar-five</t>
  </si>
  <si>
    <t>Prostate Cancer Incidence, Age-Adjusted Rate per 100,000 Population, 2017–2021</t>
  </si>
  <si>
    <t>Prostate Cancer Mortality, Age-Adjusted Rate per 100,000 Population, 2017–2021</t>
  </si>
  <si>
    <t>tbl-femalebreast-incidence-rande-aar-five</t>
  </si>
  <si>
    <t>tbl-prostate-incidence-aar-five</t>
  </si>
  <si>
    <t>tbl-prostate-incidence-aar-single</t>
  </si>
  <si>
    <t>tbl-prostate-incidence-rande-aar-five</t>
  </si>
  <si>
    <t>tbl-prostate-mortal-aar-single</t>
  </si>
  <si>
    <t>tbl-prostate-mortal-aar-five</t>
  </si>
  <si>
    <t>tbl-prostate-mortal-rande-aar-five</t>
  </si>
  <si>
    <t>tbl-hepatitisc-chronic-rate</t>
  </si>
  <si>
    <t>tbl-hepatitisa-rate</t>
  </si>
  <si>
    <t>tbl-hepatitisc-acute-rate</t>
  </si>
  <si>
    <t>tbl-hepatitisb-chronic-rate</t>
  </si>
  <si>
    <t>tbl-chlamydia-count-rate-sex-rande-age-zip</t>
  </si>
  <si>
    <t>tbl-chlamydia-aar</t>
  </si>
  <si>
    <t>tbl-chlamydia-rande</t>
  </si>
  <si>
    <t>tbl-gonorrhea-count-rate-sex-rande-age-zip</t>
  </si>
  <si>
    <t>tbl-gonorrhea-aar</t>
  </si>
  <si>
    <t>tbl-gonorrhea-rande</t>
  </si>
  <si>
    <t>tbl-hiv-prevalence-rate-rande-age-sex</t>
  </si>
  <si>
    <t>tbl-hiv-aids-incidence-aar</t>
  </si>
  <si>
    <t>tbl-hiv-prevalence-transmission-category</t>
  </si>
  <si>
    <t>tbl-hiv-linkage-care-rande</t>
  </si>
  <si>
    <t>tbl-prep-coverage</t>
  </si>
  <si>
    <t>tbl-syphilis-count-rate-sex-rande-age-zip</t>
  </si>
  <si>
    <t>tbl-syphilis-early-aar</t>
  </si>
  <si>
    <t>tbl-syphilis-rande</t>
  </si>
  <si>
    <t>tbl-fertility-rate-age-rande-zip</t>
  </si>
  <si>
    <t>tbl-fertility-rande</t>
  </si>
  <si>
    <t>tbl-fertility</t>
  </si>
  <si>
    <t>tbl-fertility-sex</t>
  </si>
  <si>
    <t>tbl-allbirths-under17-age-rande-zip</t>
  </si>
  <si>
    <t>tbl-allbirths-medicaid-selfpay-age-rande-zip</t>
  </si>
  <si>
    <t>tbl-maternal-mortal</t>
  </si>
  <si>
    <t>tbl-child-adolescent-mortal</t>
  </si>
  <si>
    <t>tbl-infant-mortal</t>
  </si>
  <si>
    <t>tbl-early-pnc</t>
  </si>
  <si>
    <t>tbl-early-pnc-rande</t>
  </si>
  <si>
    <t>tbl-early-pnc-age-rande-zip</t>
  </si>
  <si>
    <t>tbl-early-pnc-zip</t>
  </si>
  <si>
    <t>tbl-late-no-pnc</t>
  </si>
  <si>
    <t>tbl-late-no-pnc-age-rande-zip</t>
  </si>
  <si>
    <t>tbl-late-no-pnc-rande</t>
  </si>
  <si>
    <t>tbl-late-no-pnc-zip</t>
  </si>
  <si>
    <t>tbl-adequate-pnc</t>
  </si>
  <si>
    <t>tbl-premature-birth-age-rande-zip</t>
  </si>
  <si>
    <t>tbl-premature-birth-rande</t>
  </si>
  <si>
    <t>tbl-premature-birth</t>
  </si>
  <si>
    <t>tbl-lbw-age-rande-zip</t>
  </si>
  <si>
    <t>tbl-lbw-birth</t>
  </si>
  <si>
    <t>tbl-lbw-birth-rande</t>
  </si>
  <si>
    <t>tbl-ed-any-drug-od-aar</t>
  </si>
  <si>
    <t>tbl-cd-count-rate</t>
  </si>
  <si>
    <t>tbl-clrd-hosp-rande-aar</t>
  </si>
  <si>
    <t>tbl-clrd-count-rate-age-rande-zip</t>
  </si>
  <si>
    <t>tbl-clrd-mortal-aar</t>
  </si>
  <si>
    <t>tbl-clrd-mortal-sex-aar</t>
  </si>
  <si>
    <t>tbl-outpatiented-hopsitaldc-opioid-abuse-depend-crude</t>
  </si>
  <si>
    <t>tbl-neonatal-withdraw-maternal-drug-crude</t>
  </si>
  <si>
    <t>tbl-opioid-naïve-7day-rx</t>
  </si>
  <si>
    <t>tbl-opioid-rx-aar</t>
  </si>
  <si>
    <t>tbl-benzo-rx-aar</t>
  </si>
  <si>
    <t>tbl-overlap-opioid-benzo-rx</t>
  </si>
  <si>
    <t>tbl-opioidud-atleast1rx-bup-aar</t>
  </si>
  <si>
    <t>tbl-opioidud-continuous-bup-rx</t>
  </si>
  <si>
    <t>Percentage Perception of Harm of Substance use, Moderate Risk or Great Risk, 2025</t>
  </si>
  <si>
    <t>tbl-perception-harm-su</t>
  </si>
  <si>
    <t>tbl-lifetime-su</t>
  </si>
  <si>
    <t>tlb-past-30day-su</t>
  </si>
  <si>
    <t>tbl-source-marijuana-ifused</t>
  </si>
  <si>
    <t>tbl-opioid-od-fatal-age-sex</t>
  </si>
  <si>
    <t>tbl-opioid-od-fatal-sex</t>
  </si>
  <si>
    <t>tbl-opioid-od-fatal-age</t>
  </si>
  <si>
    <t>Opioid-Related Overdose Fatalities, Rate per 100,000 Population, 2021–2024</t>
  </si>
  <si>
    <t>tbl-opioid-od-fatal</t>
  </si>
  <si>
    <t>tbl-binge-drinking-last-month</t>
  </si>
  <si>
    <t>tbl-alcohol-mva-injury-death</t>
  </si>
  <si>
    <t>tlb-source-alcohol-ifused</t>
  </si>
  <si>
    <t>tbl-current-smoker</t>
  </si>
  <si>
    <t>tbl-unintent-injury-hospital-rande-aar</t>
  </si>
  <si>
    <t>tbl-unintent-injury-mortal-age-rande-zip</t>
  </si>
  <si>
    <t>tbl-unintent-injury-mortal-aar</t>
  </si>
  <si>
    <t>tbl-unintent-injury-mortal-age</t>
  </si>
  <si>
    <t>tbl-unintent-injury-mortal-zip</t>
  </si>
  <si>
    <t>tbl-unintent-injury-mortal-sex-aar</t>
  </si>
  <si>
    <t>tbl-falls-65-rande</t>
  </si>
  <si>
    <t>tbl-self-inflict-injury-hospital-aar</t>
  </si>
  <si>
    <t>tbl-self-inflict-injury-hospital-15-19</t>
  </si>
  <si>
    <t>tbl-suicide-mortal-aar</t>
  </si>
  <si>
    <t>tbl-50to64-colorectal-screen</t>
  </si>
  <si>
    <t>tbl-21to64-women-cervical-ca-screen</t>
  </si>
  <si>
    <t>tbl-50to74-women-breast-ca-screen</t>
  </si>
  <si>
    <t>tbl-adults-asthma</t>
  </si>
  <si>
    <t>tbl-md-dx-dm-predm</t>
  </si>
  <si>
    <t>tbl-test-high-bs-dm</t>
  </si>
  <si>
    <t>tbl-excerpt</t>
  </si>
  <si>
    <t>tbl-themes-focus-group</t>
  </si>
  <si>
    <t>tbl-zip-code</t>
  </si>
  <si>
    <t>Responses to: "What are the most important health issues that our community should focus on?" by Prevention Agenda Area</t>
  </si>
  <si>
    <t>tbl-important-health-issues</t>
  </si>
  <si>
    <t>tbl-important-health-issues-PA-area</t>
  </si>
  <si>
    <t>tbl-great-strengths-community</t>
  </si>
  <si>
    <t>tbl-focus-resources-improve-life</t>
  </si>
  <si>
    <t>tbl-cas-great-strength-community-longitude</t>
  </si>
  <si>
    <t>tbl-cas-focus-resources-improve-life-longitude</t>
  </si>
  <si>
    <t>tbl-cas-important-health-issues-longitude</t>
  </si>
  <si>
    <t>tbl-health-problem-fix-first</t>
  </si>
  <si>
    <t>tbl-siena-demographic-break-down</t>
  </si>
  <si>
    <t>tbl-siena-live-oc</t>
  </si>
  <si>
    <t>tbl-siena-quality-life</t>
  </si>
  <si>
    <t>tbl-siena-quality-life-income</t>
  </si>
  <si>
    <t>tbl-siena-info-bad-weather</t>
  </si>
  <si>
    <t>Information During Weather Emergencies by Income, 2024</t>
  </si>
  <si>
    <t>tbl-siena-info-bad-weather-income</t>
  </si>
  <si>
    <t>tbl-siena-ph-emergency</t>
  </si>
  <si>
    <t>tbl-siena-ph-emergency-income</t>
  </si>
  <si>
    <t>tbl-siena-walk-bike-safe</t>
  </si>
  <si>
    <t>tbl-siena-walk-bike-safe-income</t>
  </si>
  <si>
    <t>tbl-siena-safe-place-walk-bike</t>
  </si>
  <si>
    <t>tbl-siena-safe-place-walk-bike-income</t>
  </si>
  <si>
    <t>tbl-siena-rate-community-as-place-to-age</t>
  </si>
  <si>
    <t>tbl-siena-rate-community-as-place-to-age-income</t>
  </si>
  <si>
    <t>tbl-siena-physical-health</t>
  </si>
  <si>
    <t>tbl-siena-physical-health-income</t>
  </si>
  <si>
    <t>tbl-siena-mental-health</t>
  </si>
  <si>
    <t>tbl-siena-mental-health-income</t>
  </si>
  <si>
    <t>tbl-siena-healthy-diet</t>
  </si>
  <si>
    <t>tbl-siena-healthy-diet-income</t>
  </si>
  <si>
    <t>tbl-siena-exercise</t>
  </si>
  <si>
    <t>tbl-siena-exercise-income</t>
  </si>
  <si>
    <t>tbl-siena-sleep</t>
  </si>
  <si>
    <t>tbl-siena-sleep-income</t>
  </si>
  <si>
    <t>tbl-siena-stress</t>
  </si>
  <si>
    <t>tbl-siena-stress-income</t>
  </si>
  <si>
    <t>tbl-siena-quality-encounter</t>
  </si>
  <si>
    <t>tbl-siena-quality-encounter-income</t>
  </si>
  <si>
    <t>tbl-siena-alcohol</t>
  </si>
  <si>
    <t>tbl-siena-alcohol-income</t>
  </si>
  <si>
    <t>tbl-siena-non-medical-drug-use</t>
  </si>
  <si>
    <t>tbl-siena-non-medical-drug-use-income</t>
  </si>
  <si>
    <t>tbl-siena-cannabis</t>
  </si>
  <si>
    <t>tbl-siena-cannabis-income</t>
  </si>
  <si>
    <t>tbl-siena-unable-food</t>
  </si>
  <si>
    <t>tbl-siena-unable-food-income</t>
  </si>
  <si>
    <t>tbl-siena-unable-utilities</t>
  </si>
  <si>
    <t>tbl-siena-unable-utilities-income</t>
  </si>
  <si>
    <t>tbl-siena-unable-dental-vision</t>
  </si>
  <si>
    <t>tbl-siena-unable-dental-vision-income</t>
  </si>
  <si>
    <t>tbl-siena-unable-phone</t>
  </si>
  <si>
    <t>tbl-siena-unable-phone-income</t>
  </si>
  <si>
    <t>tbl-siena-unable-transportation</t>
  </si>
  <si>
    <t>tbl-siena-unable-transportation-income</t>
  </si>
  <si>
    <t>tbl-siena-unable-housing</t>
  </si>
  <si>
    <t>tbl-siena-unable-housing-income</t>
  </si>
  <si>
    <t>tbl-siena-unable-childcare</t>
  </si>
  <si>
    <t>tbl-siena-unable-childcare-income</t>
  </si>
  <si>
    <t>tbl-siena-unable-internet</t>
  </si>
  <si>
    <t>tbl-siena-unable-internet-income</t>
  </si>
  <si>
    <t>tbl-siena-routine-phsyical</t>
  </si>
  <si>
    <t>tbl-siena-routine-phsyical-income</t>
  </si>
  <si>
    <t>tbl-siena-not-routine-physical</t>
  </si>
  <si>
    <t>tbl-siena-not-routine-physical-income</t>
  </si>
  <si>
    <t>tbl-siena-routine-dentist</t>
  </si>
  <si>
    <t>tbl-siena-routine-dentist-income</t>
  </si>
  <si>
    <t>tbl-siena-not-routine-dentist</t>
  </si>
  <si>
    <t>tbl-siena-not-routine-dentist-income</t>
  </si>
  <si>
    <t>tbl-siena-ed-not-for-emergency</t>
  </si>
  <si>
    <t>tbl-siena-ed-not-for-emergency-income</t>
  </si>
  <si>
    <t>tbl-siena-reason-ed-not-emergency</t>
  </si>
  <si>
    <t>tbl-siena-reason-ed-not-emergency-income</t>
  </si>
  <si>
    <t>tbl-siena-routine-mh-visit</t>
  </si>
  <si>
    <t>tbl-siena-routine-mh-visit-income</t>
  </si>
  <si>
    <t>tbl-siena-reason-not-mh-visist</t>
  </si>
  <si>
    <t>tbl-siena-reason-not-mh-visist-income</t>
  </si>
  <si>
    <t>tbl-siena-had-covid</t>
  </si>
  <si>
    <t>tbl-siena-had-covid-income</t>
  </si>
  <si>
    <t>tbl-siena-had-long-covid</t>
  </si>
  <si>
    <t>tbl-siena-had-long-covid-income</t>
  </si>
  <si>
    <t>tbl-siena-covid-vaccine</t>
  </si>
  <si>
    <t>tbl-siena-covid-vaccine-income</t>
  </si>
  <si>
    <t>tbl-siena-updated-covid-vaccine</t>
  </si>
  <si>
    <t>tbl-siena-updated-covid-vaccine-income</t>
  </si>
  <si>
    <t>tbl-siena-flu-vaccine</t>
  </si>
  <si>
    <t>tbl-siena-flu-vaccine-income</t>
  </si>
  <si>
    <t>Vaccinated for Flu 60+, 2024</t>
  </si>
  <si>
    <t>tbl-siena-flu-vaccine-60yo</t>
  </si>
  <si>
    <t>tbl-siena-feeling-nervous</t>
  </si>
  <si>
    <t>tbl-siena-feeling-nervous-income</t>
  </si>
  <si>
    <t>tbl-siena-feeling-hopeless</t>
  </si>
  <si>
    <t>tbl-siena-feeling-hopeless-income</t>
  </si>
  <si>
    <t>tbl-siena-restless-fidgety</t>
  </si>
  <si>
    <t>tbl-siena-restless-fidgety-income</t>
  </si>
  <si>
    <t>tbl-siena-depressed</t>
  </si>
  <si>
    <t>tbl-siena-depressed-income</t>
  </si>
  <si>
    <t>tbl-siena-everything-effort</t>
  </si>
  <si>
    <t>tbl-siena-everything-effort-income</t>
  </si>
  <si>
    <t>tbl-siena-worthless</t>
  </si>
  <si>
    <t>tbl-siena-worthless-income</t>
  </si>
  <si>
    <t>tbl-siena-kessler</t>
  </si>
  <si>
    <t>tbl-siena-kessler-income</t>
  </si>
  <si>
    <t>tbl-siena-had-a-child</t>
  </si>
  <si>
    <t>tbl-siena-bf-any-child</t>
  </si>
  <si>
    <t>tbl-siena-bf-duration</t>
  </si>
  <si>
    <t>tbl-siena-help-basic-needs</t>
  </si>
  <si>
    <t>tbl-siena-help-child-behavior-develop</t>
  </si>
  <si>
    <t>tbl-siena-difficulty-help-for-child</t>
  </si>
  <si>
    <t>tbl-data-review-guide</t>
  </si>
  <si>
    <t>tbl-top-areas-concern</t>
  </si>
  <si>
    <t>tbl-data-review-process</t>
  </si>
  <si>
    <t>tbl-ebi-long-term-objective</t>
  </si>
  <si>
    <t>tbl-short-term-process</t>
  </si>
  <si>
    <t>Civilian Employed Population Age 16+</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</si>
  <si>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</si>
  <si>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</si>
  <si>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</si>
  <si>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</si>
  <si>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</si>
  <si>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</si>
  <si>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</si>
  <si>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</si>
  <si>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</si>
  <si>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</si>
  <si>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</si>
  <si>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Other Services</t>
  </si>
  <si>
    <t>Public Administration</t>
  </si>
  <si>
    <t>Industry</t>
  </si>
  <si>
    <t>Harriman Village (partial)</t>
  </si>
  <si>
    <t xml:space="preserve">Note </t>
  </si>
  <si>
    <t>Source</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</si>
  <si>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</si>
  <si>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</si>
  <si>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Management, Business, Science and Arts</t>
  </si>
  <si>
    <t>Service</t>
  </si>
  <si>
    <t>Sales and Office</t>
  </si>
  <si>
    <t>Natural Resources, Construction, Maintenance</t>
  </si>
  <si>
    <t>Production, Transportation, Material Moving</t>
  </si>
  <si>
    <t>Occupations</t>
  </si>
  <si>
    <t>Note: Town totals include Village totals. Occupation titles and their 4-digit codes are based on the 2018 Standard Occupational Classification.</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</si>
  <si>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</si>
  <si>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The Village of Harriman is split between the Towns of Monroe and Woodbury.</t>
  </si>
  <si>
    <t>Source: US Census Bureau, American Community Survey, 2019–2023 5-Year Population Estimates, Table DP05-Demographic and Housing Estimates, November 2025 https://data.census.gov/table/ACSDP5Y2023.DP05?q=DP05+Orange+County,+NY&amp;g=050XX00US36071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</si>
  <si>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</si>
  <si>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P1-Total Population,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</si>
  <si>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</si>
  <si>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 November 2025 https://data.census.gov/table/DECENNIALPL2020.P1?q=PL+94-171&amp;g=050XX00US36071</t>
  </si>
  <si>
    <t>Note: Town totals include Village totals. Land area calculated as of 2020 Census. Population density and housing unit density calculated using 2019-2023 estimates divided by land area.</t>
  </si>
  <si>
    <t>Source: US Census Bureau, Quick Facts, November 2025 https://www.census.gov/quickfacts/orangecountynewyork</t>
  </si>
  <si>
    <t>Note: Town totals include Village totals.</t>
  </si>
  <si>
    <t>Source: US Census Bureau, American Community Survey 2019–2023 5-Year Population Estimates, Table S0101-Age and Sex, November 2025 https://data.census.gov/table?q=S0101+Orange+County,+NY&amp;g=050XX00US36071</t>
  </si>
  <si>
    <t>Note: Town totals include Village totals</t>
  </si>
  <si>
    <t>Total # 2020-2023</t>
  </si>
  <si>
    <t>#</t>
  </si>
  <si>
    <t>Rate</t>
  </si>
  <si>
    <t>Total #</t>
  </si>
  <si>
    <t>Average Rate</t>
  </si>
  <si>
    <t>Age Intervals</t>
  </si>
  <si>
    <t>&lt;1</t>
  </si>
  <si>
    <t>20-24</t>
  </si>
  <si>
    <t>25-34</t>
  </si>
  <si>
    <t>35-44</t>
  </si>
  <si>
    <t>45-54</t>
  </si>
  <si>
    <t>55-64</t>
  </si>
  <si>
    <t>65-74</t>
  </si>
  <si>
    <t>75-84</t>
  </si>
  <si>
    <t>85+</t>
  </si>
  <si>
    <t>Race/Ethnicity</t>
  </si>
  <si>
    <t>Non-Hispanic White</t>
  </si>
  <si>
    <t>Non-Hispanic Black</t>
  </si>
  <si>
    <t>Hispanic</t>
  </si>
  <si>
    <t>Zip Code</t>
  </si>
  <si>
    <t>1-9</t>
  </si>
  <si>
    <t>10-19</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</si>
  <si>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</si>
  <si>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Source: Special request from NYSDOH Bureau of Vital Records, July 2025</t>
  </si>
  <si>
    <t>Clustered Bar</t>
  </si>
  <si>
    <t>Non-Hispanic Asian/Pacific Islander</t>
  </si>
  <si>
    <t>Orange</t>
  </si>
  <si>
    <t>NYS excl NYC</t>
  </si>
  <si>
    <t>NYS</t>
  </si>
  <si>
    <t>Region/County</t>
  </si>
  <si>
    <t>Note: The 2018 population estimates are also used to calculate rates for 2019, 2020, and 2021.</t>
  </si>
  <si>
    <t>Source: NYS County Health Indicators by Race and Ethnicity, August 2025 sourced from Vital Statistics of NYS https://www.health.ny.gov/community/health_equity/reports/county/</t>
  </si>
  <si>
    <t>Year</t>
  </si>
  <si>
    <t>Males</t>
  </si>
  <si>
    <t>Females</t>
  </si>
  <si>
    <t>Source: Vital Statistics of NYS, July 2025</t>
  </si>
  <si>
    <t>All Deaths</t>
  </si>
  <si>
    <t>Heart Disease</t>
  </si>
  <si>
    <t>Cancer</t>
  </si>
  <si>
    <t>Unintentional Injury</t>
  </si>
  <si>
    <t>COVID-19</t>
  </si>
  <si>
    <t>CLRD</t>
  </si>
  <si>
    <t>NYS Excl NYC</t>
  </si>
  <si>
    <t>Cerebrovascular Disease</t>
  </si>
  <si>
    <t>#1 Cause of Death</t>
  </si>
  <si>
    <t>#2 Cause of Death</t>
  </si>
  <si>
    <t>#3 Cause of Death</t>
  </si>
  <si>
    <t>#4 Cause of Death</t>
  </si>
  <si>
    <t>#5 Cause of Death</t>
  </si>
  <si>
    <t>Cerebrovascular
Disease</t>
  </si>
  <si>
    <t>Note: Premature death includes deaths occurring before the age of 75.</t>
  </si>
  <si>
    <t>Source: Vital Statistics of NYS, November 2025 https://apps.health.ny.gov/public/tabvis/PHIG_Public/lcd</t>
  </si>
  <si>
    <t>Cause of Death</t>
  </si>
  <si>
    <t>Number of Deaths</t>
  </si>
  <si>
    <t>All Causes</t>
  </si>
  <si>
    <t>Disease of the Heart</t>
  </si>
  <si>
    <t>Malignant Neoplasms</t>
  </si>
  <si>
    <t>COPD/CLRD</t>
  </si>
  <si>
    <t>Alzheimer's Disease</t>
  </si>
  <si>
    <t>Diabetes</t>
  </si>
  <si>
    <t>Pneumonia</t>
  </si>
  <si>
    <t>Septicemia</t>
  </si>
  <si>
    <t>Suicide</t>
  </si>
  <si>
    <t>Cirrhosis of Liver</t>
  </si>
  <si>
    <t>Note: Premature death includes deaths occurring before the age of 75. The 2018 population estimates are also used to calculate rates for 2019 and 2020. Later years are from the most recent Vintage estimates.</t>
  </si>
  <si>
    <t>Source: NYS County Health Indicators by Race and Ethnicity, November 2025 sourced from Vital Statistics of NYS https://www.health.ny.gov/community/health_equity/reports/county/orange.htm</t>
  </si>
  <si>
    <t>Total Households</t>
  </si>
  <si>
    <t>Median Household Income</t>
  </si>
  <si>
    <t>Households Below Federal Poverty Level</t>
  </si>
  <si>
    <t>Households Below Local Poverty Level</t>
  </si>
  <si>
    <t>Households with Income Over $150,000</t>
  </si>
  <si>
    <t>GINI Index</t>
  </si>
  <si>
    <t>%</t>
  </si>
  <si>
    <t>$250,000+</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</si>
  <si>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</si>
  <si>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</si>
  <si>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</si>
  <si>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</si>
  <si>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</si>
  <si>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</si>
  <si>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</si>
  <si>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</si>
  <si>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</si>
  <si>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</si>
  <si>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</si>
  <si>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</si>
  <si>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</si>
  <si>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</si>
  <si>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</si>
  <si>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</si>
  <si>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</si>
  <si>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</si>
  <si>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</si>
  <si>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</si>
  <si>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</si>
  <si>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</si>
  <si>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</si>
  <si>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</si>
  <si>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</si>
  <si>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</si>
  <si>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</si>
  <si>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Source: US Census Bureau, Poverty Thresholds by Size of Family and Number of Children, 2024, November 2025 https://www.census.gov/data/tables/time-series/demo/income-poverty/historical-poverty-thresholds.html</t>
  </si>
  <si>
    <t>Population with Known Poverty Status</t>
  </si>
  <si>
    <t>Population Living in Poverty</t>
  </si>
  <si>
    <t>Poverty by Age Group</t>
  </si>
  <si>
    <t>Under Age 18 years</t>
  </si>
  <si>
    <t>Age 18-64 years</t>
  </si>
  <si>
    <t>Age 65+ years</t>
  </si>
  <si>
    <t>White</t>
  </si>
  <si>
    <t>Black</t>
  </si>
  <si>
    <t>Asian</t>
  </si>
  <si>
    <t>Multiracial</t>
  </si>
  <si>
    <t>Hispanic/Latino</t>
  </si>
  <si>
    <t>Poverty by Race and Ethnicity</t>
  </si>
  <si>
    <t>Source: US Census Bureau, American Community Survey 2019–2023 5-Year Population Estimates, Table S1701-Poverty Status in the Last 12 Months, November 2025 https://data.census.gov/table/ACSST5Y2023.S1701?q=S1701+Orange+County,+NY&amp;g=050XX00US36071</t>
  </si>
  <si>
    <t>Note: This includes the population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</si>
  <si>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https://webbi1.health.ny.gov/SASStoredProcess/guest?_program=%2FEBI%2FPHIG%2Fapps%2Fchir_dashboard%2Fchir_dashboard&amp; p=ch&amp;cos=33</t>
  </si>
  <si>
    <t>Note: The American Community Survey asks respondents their income in the past 12 months. This is for income that is received on a regular basis before payments for taxes, social security, etc. and only includes those above 15 years old.</t>
  </si>
  <si>
    <t>Source: US Census Bureau; American Community Survey, 2019–2023 5-Year Population Estimates, Table S1701-Poverty Status in the Past 12 Months, August 2025 https://data.census.gov/table/ACSST5Y2023.S1701?q=s1701&amp;g=050XX00US36071_010XX00US_040XX00US36</t>
  </si>
  <si>
    <t>Black or African American Alone</t>
  </si>
  <si>
    <t>American Indian and Alaska Native Alone</t>
  </si>
  <si>
    <t>Native Hawaiian and Other Pacific Islander Alone</t>
  </si>
  <si>
    <t>Hispanic or Latino Origin (Any Race)</t>
  </si>
  <si>
    <t>White Alone, Not Hispanic or Latino</t>
  </si>
  <si>
    <t>US</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</si>
  <si>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</si>
  <si>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</si>
  <si>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This includes children less than 18 years old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</si>
  <si>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 &amp;p=ch&amp;cos=33</t>
  </si>
  <si>
    <t>Total Population Age 16+</t>
  </si>
  <si>
    <t>Population Age 16+ in Labor Force</t>
  </si>
  <si>
    <t>Civilian Labor Force</t>
  </si>
  <si>
    <t>Armed Forces</t>
  </si>
  <si>
    <t>Population Age 16+ Not In Labor Force</t>
  </si>
  <si>
    <t>Employed</t>
  </si>
  <si>
    <t>Unemployed</t>
  </si>
  <si>
    <t>Note: Town totals include Village totals. Armed Forces includes active-duty members of the US Air Force, Army, Coast Guard, Marines, or Navy. They are counted as part of the total labor force but are categorized separately from civilians.</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</si>
  <si>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</si>
  <si>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</si>
  <si>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Source: NYS Community Health Indicator Reports Dashboard, September 2024 sourced from US Department of Labor https://webbi1.health.ny.gov/SASStoredProcess/guest?_program=%2FEBI%2FPHIG%2Fapps%2Fchir_dashboard%2Fchir_dashboard &amp;p=ch&amp;cos=33</t>
  </si>
  <si>
    <t>School District</t>
  </si>
  <si>
    <t>American Indian or Alaska Native # (%)</t>
  </si>
  <si>
    <t>Asian or Native Hawaiian/Other Pacific Islander # (%)</t>
  </si>
  <si>
    <t>Black or African American # (%)</t>
  </si>
  <si>
    <t>Hispanic or Latino # (%)</t>
  </si>
  <si>
    <t>White # (%)</t>
  </si>
  <si>
    <t>Multiracial # (%)</t>
  </si>
  <si>
    <t>Drop-Out Rate # (%)</t>
  </si>
  <si>
    <t>Racial and Ethnic Origins of Students Enrolled</t>
  </si>
  <si>
    <t>Drop-Out and Four-Year Graduation Rate</t>
  </si>
  <si>
    <t>Four-Year Graduation Rate (%)</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</si>
  <si>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</si>
  <si>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Source: NYS Education Department, November 2025 https://data.nysed.gov/enrollment.php?county=44&amp;year=2024&amp;ethnicity5B5D=I&amp;ethnicity5B5D=B&amp;ethnicity5B5D=H&amp;ethnicity5B5D=AP&amp;ethnicity5B5D=W&amp;ethnicity5B5D=M</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</si>
  <si>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</si>
  <si>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</si>
  <si>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</si>
  <si>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</si>
  <si>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</si>
  <si>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</si>
  <si>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</si>
  <si>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</si>
  <si>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</si>
  <si>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</si>
  <si>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</si>
  <si>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</si>
  <si>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</si>
  <si>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</si>
  <si>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</si>
  <si>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</si>
  <si>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</si>
  <si>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</si>
  <si>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</si>
  <si>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</si>
  <si>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</si>
  <si>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</si>
  <si>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</si>
  <si>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</si>
  <si>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</si>
  <si>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</si>
  <si>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</si>
  <si>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</si>
  <si>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</si>
  <si>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</si>
  <si>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</si>
  <si>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</si>
  <si>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</si>
  <si>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</si>
  <si>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</si>
  <si>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</si>
  <si>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</si>
  <si>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</si>
  <si>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</si>
  <si>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</si>
  <si>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</si>
  <si>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</si>
  <si>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</si>
  <si>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</si>
  <si>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</si>
  <si>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</si>
  <si>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</si>
  <si>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</si>
  <si>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</si>
  <si>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</si>
  <si>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</si>
  <si>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</si>
  <si>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</si>
  <si>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</si>
  <si>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</si>
  <si>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</si>
  <si>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</si>
  <si>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</si>
  <si>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</si>
  <si>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</si>
  <si>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</si>
  <si>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</si>
  <si>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</si>
  <si>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</si>
  <si>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</si>
  <si>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</si>
  <si>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</si>
  <si>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</si>
  <si>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</si>
  <si>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</si>
  <si>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</si>
  <si>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</si>
  <si>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</si>
  <si>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</si>
  <si>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</si>
  <si>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</si>
  <si>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</si>
  <si>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</si>
  <si>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</si>
  <si>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</si>
  <si>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</si>
  <si>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</si>
  <si>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</si>
  <si>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</si>
  <si>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</si>
  <si>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</si>
  <si>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</si>
  <si>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</si>
  <si>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</si>
  <si>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</si>
  <si>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</si>
  <si>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</si>
  <si>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</si>
  <si>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</si>
  <si>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</si>
  <si>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</si>
  <si>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</si>
  <si>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</si>
  <si>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</si>
  <si>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</si>
  <si>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</si>
  <si>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</si>
  <si>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</si>
  <si>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</si>
  <si>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</si>
  <si>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</si>
  <si>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</si>
  <si>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</si>
  <si>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</si>
  <si>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</si>
  <si>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</si>
  <si>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</si>
  <si>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</si>
  <si>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</si>
  <si>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</si>
  <si>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</si>
  <si>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</si>
  <si>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</si>
  <si>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</si>
  <si>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</si>
  <si>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</si>
  <si>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</si>
  <si>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</si>
  <si>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</si>
  <si>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</si>
  <si>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</si>
  <si>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</si>
  <si>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</si>
  <si>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</si>
  <si>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</si>
  <si>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</si>
  <si>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</si>
  <si>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</si>
  <si>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</si>
  <si>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Chester Union Free</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</si>
  <si>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</si>
  <si>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</si>
  <si>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</si>
  <si>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</si>
  <si>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</si>
  <si>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</si>
  <si>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</si>
  <si>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</si>
  <si>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</si>
  <si>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Note: Town totals include Village totals. The category "High School Diploma" includes those who have received a GED or other equivalent document.</t>
  </si>
  <si>
    <t>Source: US Census Bureau, American Community Survey, 2019–2023 5-Year Population Estimates, Table S1501-Educational Attainment, November 2025 https://data.census.gov/table/ACSST5Y2023.S1501?q=S1501+Orange+County,+NY&amp;g=050XX00US36071</t>
  </si>
  <si>
    <t>American Indian or Alaska Native</t>
  </si>
  <si>
    <t>Asian or Native Hawaiian/Other Pacific Islander</t>
  </si>
  <si>
    <t>Black or African American</t>
  </si>
  <si>
    <t>Note: Graduation rate is the percentage of students within a cohort earning a Regents, Regents with Advanced Designation, or a Local Diploma. Students earning a Non Diploma Credential are not counted as graduates.</t>
  </si>
  <si>
    <t>Source: NYS Education Department, August 2025 https://data.nysed.gov/gradrate.php?year=2022&amp;county=44</t>
  </si>
  <si>
    <t>Total Population Age 5+</t>
  </si>
  <si>
    <t>English Only</t>
  </si>
  <si>
    <t>Spanish</t>
  </si>
  <si>
    <t>Other Indo-European</t>
  </si>
  <si>
    <t>Asian/Pacific Island</t>
  </si>
  <si>
    <t>Language Spoken At Home</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</si>
  <si>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</si>
  <si>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</si>
  <si>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NYS Education Department, November 2025 https://data.nysed.gov/enrollment.php?county=44&amp;year=2024&amp;ethnicity%5B%5D=I&amp;ethnicity%5B%5D=B&amp;ethnicity%5B%5D=H&amp;et hnicity%5B%5D=AP&amp;ethnicity%5B%5D=W&amp;ethnicity%5B%5D=M</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</si>
  <si>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</si>
  <si>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</si>
  <si>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</si>
  <si>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</si>
  <si>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</si>
  <si>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</si>
  <si>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</si>
  <si>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</si>
  <si>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</si>
  <si>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</si>
  <si>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</si>
  <si>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</si>
  <si>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</si>
  <si>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</si>
  <si>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</si>
  <si>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</si>
  <si>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</si>
  <si>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</si>
  <si>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</si>
  <si>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</si>
  <si>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</si>
  <si>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</si>
  <si>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</si>
  <si>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</si>
  <si>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</si>
  <si>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</si>
  <si>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</si>
  <si>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</si>
  <si>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</si>
  <si>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</si>
  <si>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</si>
  <si>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</si>
  <si>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</si>
  <si>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</si>
  <si>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</si>
  <si>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</si>
  <si>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</si>
  <si>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</si>
  <si>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</si>
  <si>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</si>
  <si>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</si>
  <si>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</si>
  <si>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</si>
  <si>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15 (8)</t>
  </si>
  <si>
    <t>80 (42)</t>
  </si>
  <si>
    <t>34 (18)</t>
  </si>
  <si>
    <t>70 (2)</t>
  </si>
  <si>
    <t>1,797 (44)</t>
  </si>
  <si>
    <t>799 (19)</t>
  </si>
  <si>
    <t>43 (1)</t>
  </si>
  <si>
    <t>798 (22)</t>
  </si>
  <si>
    <t>574 (16)</t>
  </si>
  <si>
    <t>174 (5)</t>
  </si>
  <si>
    <t>1,567 (41)</t>
  </si>
  <si>
    <t>581 (15)</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</si>
  <si>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</si>
  <si>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</si>
  <si>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Vehicles Available by Household</t>
  </si>
  <si>
    <t>4+</t>
  </si>
  <si>
    <t>Harriman Village (partial)*</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</si>
  <si>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</si>
  <si>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</si>
  <si>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</si>
  <si>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Drove Alone (Car, Truck, Van)</t>
  </si>
  <si>
    <t>Carpooled (Car, Truck, Van)</t>
  </si>
  <si>
    <t>Public Transit (Not Taxicab)</t>
  </si>
  <si>
    <t>Walked</t>
  </si>
  <si>
    <t>Other Means</t>
  </si>
  <si>
    <t>Worked From Home</t>
  </si>
  <si>
    <t>Mean Travel Time in Minutes</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</si>
  <si>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</si>
  <si>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</si>
  <si>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</si>
  <si>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</si>
  <si>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</si>
  <si>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</si>
  <si>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</si>
  <si>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</si>
  <si>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</si>
  <si>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</si>
  <si>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</si>
  <si>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</si>
  <si>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</si>
  <si>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</si>
  <si>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</si>
  <si>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2020 or later</t>
  </si>
  <si>
    <t>2010-2019</t>
  </si>
  <si>
    <t>2000-2009</t>
  </si>
  <si>
    <t>1990-1999</t>
  </si>
  <si>
    <t>1980-1989</t>
  </si>
  <si>
    <t>1970-1979</t>
  </si>
  <si>
    <t>1950-1969</t>
  </si>
  <si>
    <t>1949 or earlier</t>
  </si>
  <si>
    <t>Year Structure Built</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</si>
  <si>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</si>
  <si>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</si>
  <si>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</si>
  <si>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</si>
  <si>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</si>
  <si>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</si>
  <si>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</si>
  <si>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</si>
  <si>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</si>
  <si>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</si>
  <si>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 of Renter-Occupied Housing Units</t>
  </si>
  <si>
    <t>% Rental Vacancy Rate</t>
  </si>
  <si>
    <t>Median Gross Rent $</t>
  </si>
  <si>
    <t># of Cost-Stressed Renter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</si>
  <si>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</si>
  <si>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</si>
  <si>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</si>
  <si>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</si>
  <si>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</si>
  <si>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</si>
  <si>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</si>
  <si>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High blood lead level is considered &gt;10 Micrograms per Deciliter. Three-year averages for Orange County and single-year estimates for the Mid-Hudson Region, NYS excl NYC, and NYS.</t>
  </si>
  <si>
    <t>Source: NYS Community Health Indicator Reports Dashboard, August 2025 sourced from NYS Childhood Lead Poisoning Prevention Program https://webbi1.health.ny.gov/SASStoredProcess/guest?_program=%2FEBI%2FPHIG%2Fapps%2Fchir_dashboard%2Fchir_dashboard&amp; p=ch&amp;cos=33</t>
  </si>
  <si>
    <t>Mid-Hudson</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</si>
  <si>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</si>
  <si>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</si>
  <si>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</si>
  <si>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</si>
  <si>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</si>
  <si>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</si>
  <si>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All end of year figures equal the amounts on December 31st of the indicated year. All counts have been rounded to the nearest whole number. Dollar amounts have been rounded to the nearest tenth.</t>
  </si>
  <si>
    <t>Source: Data request from Orange County Department of Social Services, November 2025</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</si>
  <si>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</si>
  <si>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</si>
  <si>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</si>
  <si>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</si>
  <si>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</si>
  <si>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</si>
  <si>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</si>
  <si>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</si>
  <si>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</si>
  <si>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</si>
  <si>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</si>
  <si>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</si>
  <si>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</si>
  <si>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</si>
  <si>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Medicaid only (MA) cases (end of year)</t>
  </si>
  <si>
    <t>Family Health Plus (FHP) cases (end of year) (including in MA only cases)</t>
  </si>
  <si>
    <t>SNAP applications filed total at end of year</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</si>
  <si>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</si>
  <si>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</si>
  <si>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</si>
  <si>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</si>
  <si>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</si>
  <si>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</si>
  <si>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</si>
  <si>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</si>
  <si>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</si>
  <si>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</si>
  <si>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</si>
  <si>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</si>
  <si>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</si>
  <si>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</si>
  <si>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</si>
  <si>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</si>
  <si>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</si>
  <si>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</si>
  <si>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</si>
  <si>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</si>
  <si>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</si>
  <si>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</si>
  <si>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</si>
  <si>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</si>
  <si>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</si>
  <si>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Race and Ethnicity</t>
  </si>
  <si>
    <t>ZIP Code</t>
  </si>
  <si>
    <t>Region</t>
  </si>
  <si>
    <t>Total 2020-2023</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</si>
  <si>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</si>
  <si>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</si>
  <si>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</si>
  <si>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</si>
  <si>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</si>
  <si>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Source: NYS County Health Indicators by Race and Ethnicity, November 2025</t>
  </si>
  <si>
    <t>Note: Cerebrovascular Disease is also known as stroke. The ICD-10-CM codes used for Cerebrovascular Disease are: I60-I69. Standard population used for age-adjustment using the 2000 projected US. population.</t>
  </si>
  <si>
    <t>Source: NYS County Health Indicators by Race and Ethnicity, August 2025 https://www.health.ny.gov/community/health_equity/reports/county/orange.htm</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</si>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</sst>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2">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0" fontId="0" fillId="0" borderId="0" xfId="0" applyAlignment="1">
      <alignment horizontal="right"/>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0" fillId="0" borderId="0" xfId="0" applyNumberFormat="1" applyAlignment="1">
      <alignment horizontal="righ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1" fillId="3" borderId="0" xfId="0" applyFont="1" applyFill="1" applyAlignment="1">
      <alignment horizontal="left" wrapText="1"/>
    </xf>
    <xf numFmtId="0" fontId="1" fillId="0" borderId="0" xfId="0" applyFont="1"/>
    <xf numFmtId="0" fontId="1" fillId="2" borderId="0" xfId="0" applyFont="1" applyFill="1" applyAlignment="1">
      <alignment horizontal="center"/>
    </xf>
    <xf numFmtId="0" fontId="0" fillId="0" borderId="0" xfId="0"/>
    <xf numFmtId="0" fontId="5" fillId="4" borderId="0" xfId="0" applyFont="1" applyFill="1" applyAlignment="1">
      <alignment horizontal="center" vertical="center" textRotation="90"/>
    </xf>
    <xf numFmtId="0" fontId="0" fillId="0" borderId="0" xfId="0" applyAlignment="1">
      <alignment horizontal="center"/>
    </xf>
    <xf numFmtId="0" fontId="0" fillId="0" borderId="0" xfId="0" applyAlignment="1">
      <alignment horizontal="center" vertical="center"/>
    </xf>
    <xf numFmtId="0" fontId="1" fillId="2" borderId="0" xfId="0" applyFont="1" applyFill="1"/>
    <xf numFmtId="0" fontId="1" fillId="0" borderId="0" xfId="0" applyFont="1" applyAlignment="1">
      <alignment horizontal="center"/>
    </xf>
    <xf numFmtId="0" fontId="0" fillId="0" borderId="0" xfId="0" applyAlignment="1">
      <alignment horizontal="center" vertical="center" wrapText="1"/>
    </xf>
    <xf numFmtId="0" fontId="0" fillId="0" borderId="0" xfId="0" applyAlignment="1">
      <alignment horizontal="center" wrapText="1"/>
    </xf>
    <xf numFmtId="3" fontId="0" fillId="0" borderId="0" xfId="0" applyNumberFormat="1" applyAlignment="1">
      <alignment horizontal="center"/>
    </xf>
    <xf numFmtId="0" fontId="0" fillId="0" borderId="0" xfId="0" applyAlignment="1">
      <alignment horizontal="left"/>
    </xf>
    <xf numFmtId="0" fontId="0" fillId="7" borderId="0" xfId="0" applyFill="1"/>
  </cellXfs>
  <cellStyles count="4">
    <cellStyle name="Hyperlink" xfId="1" builtinId="8"/>
    <cellStyle name="Normal" xfId="0" builtinId="0"/>
    <cellStyle name="Normal 2" xfId="3" xr:uid="{E70A6FF2-F6CA-45EB-BCEF-0236FCAB5AAF}"/>
    <cellStyle name="Normal 3" xfId="2" xr:uid="{30DD5AF7-CD6F-48A9-A328-3FCDFCE24994}"/>
  </cellStyles>
  <dxfs count="11">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color auto="1"/>
      </font>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theme" Target="theme/theme1.xml"/><Relationship Id="rId68"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microsoft.com/office/2017/10/relationships/person" Target="persons/perso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69" Type="http://schemas.openxmlformats.org/officeDocument/2006/relationships/customXml" Target="../customXml/item2.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G320" totalsRowShown="0" headerRowDxfId="10" dataDxfId="9">
  <autoFilter ref="A1:G320" xr:uid="{00000000-0009-0000-0100-000001000000}"/>
  <tableColumns count="7">
    <tableColumn id="1" xr3:uid="{00000000-0010-0000-0000-000001000000}" name="Activate/Deactivate" dataDxfId="8"/>
    <tableColumn id="9" xr3:uid="{00000000-0010-0000-0000-000009000000}" name="Count" dataDxfId="7"/>
    <tableColumn id="2" xr3:uid="{00000000-0010-0000-0000-000002000000}" name="Object_Type" dataDxfId="6"/>
    <tableColumn id="3" xr3:uid="{00000000-0010-0000-0000-000003000000}" name="F or T #" dataDxfId="5"/>
    <tableColumn id="4" xr3:uid="{00000000-0010-0000-0000-000004000000}" name="Indicator Name" dataDxfId="4"/>
    <tableColumn id="10" xr3:uid="{8B017159-49BC-D540-81F1-06135461E9C6}" name="Object ID" dataDxfId="3"/>
    <tableColumn id="11" xr3:uid="{893B6C8F-F54C-3943-991E-6888D6A38628}"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20"/>
  <sheetViews>
    <sheetView tabSelected="1" topLeftCell="D35" zoomScale="183" zoomScaleNormal="115" workbookViewId="0">
      <selection activeCell="E48" sqref="E48"/>
    </sheetView>
  </sheetViews>
  <sheetFormatPr baseColWidth="10" defaultColWidth="8.6640625" defaultRowHeight="15" x14ac:dyDescent="0.2"/>
  <cols>
    <col min="1" max="2" width="19" customWidth="1"/>
    <col min="3" max="3" width="14.33203125" customWidth="1"/>
    <col min="4" max="4" width="16.33203125" customWidth="1"/>
    <col min="5" max="5" width="126.33203125" bestFit="1" customWidth="1"/>
    <col min="6" max="6" width="136.83203125" bestFit="1" customWidth="1"/>
    <col min="7" max="7" width="38.6640625" bestFit="1" customWidth="1"/>
    <col min="8" max="8" width="96.5" bestFit="1" customWidth="1"/>
  </cols>
  <sheetData>
    <row r="1" spans="1:7" x14ac:dyDescent="0.2">
      <c r="A1" t="s">
        <v>0</v>
      </c>
      <c r="B1" t="s">
        <v>1</v>
      </c>
      <c r="C1" t="s">
        <v>2</v>
      </c>
      <c r="D1" t="s">
        <v>281</v>
      </c>
      <c r="E1" t="s">
        <v>3</v>
      </c>
      <c r="F1" t="s">
        <v>4</v>
      </c>
      <c r="G1" t="s">
        <v>5</v>
      </c>
    </row>
    <row r="2" spans="1:7" s="19" customFormat="1" x14ac:dyDescent="0.2">
      <c r="A2" t="s">
        <v>6</v>
      </c>
      <c r="B2">
        <v>1</v>
      </c>
      <c r="C2" t="s">
        <v>7</v>
      </c>
      <c r="D2" t="s">
        <v>8</v>
      </c>
      <c r="E2" s="61" t="s">
        <v>282</v>
      </c>
      <c r="F2" s="7" t="s">
        <v>382</v>
      </c>
      <c r="G2" s="7" t="str">
        <f>IF(LEFT(Table3[[#This Row],[Object ID]],4)="tbl-","fig-" &amp; MID(Table3[[#This Row],[Object ID]],5,LEN(Table3[[#This Row],[Object ID]])-4),"")</f>
        <v>fig-demographics-sum</v>
      </c>
    </row>
    <row r="3" spans="1:7" s="19" customFormat="1" x14ac:dyDescent="0.2">
      <c r="A3" t="s">
        <v>6</v>
      </c>
      <c r="B3">
        <v>2</v>
      </c>
      <c r="C3" t="s">
        <v>7</v>
      </c>
      <c r="D3" t="s">
        <v>9</v>
      </c>
      <c r="E3" s="61" t="s">
        <v>283</v>
      </c>
      <c r="F3" s="7" t="s">
        <v>905</v>
      </c>
      <c r="G3" s="7" t="str">
        <f>IF(LEFT(Table3[[#This Row],[Object ID]],4)="tbl-","fig-" &amp; MID(Table3[[#This Row],[Object ID]],5,LEN(Table3[[#This Row],[Object ID]])-4),"")</f>
        <v>fig-pop</v>
      </c>
    </row>
    <row r="4" spans="1:7" s="19" customFormat="1" x14ac:dyDescent="0.2">
      <c r="A4" t="s">
        <v>6</v>
      </c>
      <c r="B4">
        <v>3</v>
      </c>
      <c r="C4" t="s">
        <v>20</v>
      </c>
      <c r="D4" t="s">
        <v>21</v>
      </c>
      <c r="E4" s="61" t="s">
        <v>284</v>
      </c>
      <c r="F4" t="s">
        <v>906</v>
      </c>
      <c r="G4" s="7" t="str">
        <f>IF(LEFT(Table3[[#This Row],[Object ID]],4)="tbl-","fig-" &amp; MID(Table3[[#This Row],[Object ID]],5,LEN(Table3[[#This Row],[Object ID]])-4),"")</f>
        <v>fig-total-pop</v>
      </c>
    </row>
    <row r="5" spans="1:7" s="19" customFormat="1" x14ac:dyDescent="0.2">
      <c r="A5" t="s">
        <v>6</v>
      </c>
      <c r="B5">
        <v>4</v>
      </c>
      <c r="C5" t="s">
        <v>7</v>
      </c>
      <c r="D5" t="s">
        <v>10</v>
      </c>
      <c r="E5" s="61" t="s">
        <v>285</v>
      </c>
      <c r="F5" t="s">
        <v>907</v>
      </c>
      <c r="G5" s="7" t="str">
        <f>IF(LEFT(Table3[[#This Row],[Object ID]],4)="tbl-","fig-" &amp; MID(Table3[[#This Row],[Object ID]],5,LEN(Table3[[#This Row],[Object ID]])-4),"")</f>
        <v>fig-pop-growth</v>
      </c>
    </row>
    <row r="6" spans="1:7" s="19" customFormat="1" x14ac:dyDescent="0.2">
      <c r="A6" t="s">
        <v>6</v>
      </c>
      <c r="B6">
        <v>5</v>
      </c>
      <c r="C6" t="s">
        <v>7</v>
      </c>
      <c r="D6" t="s">
        <v>11</v>
      </c>
      <c r="E6" s="61" t="s">
        <v>286</v>
      </c>
      <c r="F6" t="s">
        <v>908</v>
      </c>
      <c r="G6" s="7" t="str">
        <f>IF(LEFT(Table3[[#This Row],[Object ID]],4)="tbl-","fig-" &amp; MID(Table3[[#This Row],[Object ID]],5,LEN(Table3[[#This Row],[Object ID]])-4),"")</f>
        <v>fig-pop-housing-density</v>
      </c>
    </row>
    <row r="7" spans="1:7" s="19" customFormat="1" x14ac:dyDescent="0.2">
      <c r="A7" t="s">
        <v>6</v>
      </c>
      <c r="B7">
        <v>6</v>
      </c>
      <c r="C7" t="s">
        <v>7</v>
      </c>
      <c r="D7" t="s">
        <v>12</v>
      </c>
      <c r="E7" s="61" t="s">
        <v>287</v>
      </c>
      <c r="F7" t="s">
        <v>909</v>
      </c>
      <c r="G7" s="7" t="str">
        <f>IF(LEFT(Table3[[#This Row],[Object ID]],4)="tbl-","fig-" &amp; MID(Table3[[#This Row],[Object ID]],5,LEN(Table3[[#This Row],[Object ID]])-4),"")</f>
        <v>fig-pop-sex-age</v>
      </c>
    </row>
    <row r="8" spans="1:7" s="19" customFormat="1" x14ac:dyDescent="0.2">
      <c r="A8" t="s">
        <v>6</v>
      </c>
      <c r="B8">
        <v>7</v>
      </c>
      <c r="C8" t="s">
        <v>20</v>
      </c>
      <c r="D8" t="s">
        <v>22</v>
      </c>
      <c r="E8" s="61" t="s">
        <v>288</v>
      </c>
      <c r="F8" t="s">
        <v>904</v>
      </c>
      <c r="G8" s="7" t="str">
        <f>IF(LEFT(Table3[[#This Row],[Object ID]],4)="tbl-","fig-" &amp; MID(Table3[[#This Row],[Object ID]],5,LEN(Table3[[#This Row],[Object ID]])-4),"")</f>
        <v>fig-median-age</v>
      </c>
    </row>
    <row r="9" spans="1:7" s="19" customFormat="1" x14ac:dyDescent="0.2">
      <c r="A9" t="s">
        <v>6</v>
      </c>
      <c r="B9">
        <v>8</v>
      </c>
      <c r="C9" t="s">
        <v>7</v>
      </c>
      <c r="D9" t="s">
        <v>13</v>
      </c>
      <c r="E9" s="61" t="s">
        <v>289</v>
      </c>
      <c r="F9" t="s">
        <v>910</v>
      </c>
      <c r="G9" s="7" t="str">
        <f>IF(LEFT(Table3[[#This Row],[Object ID]],4)="tbl-","fig-" &amp; MID(Table3[[#This Row],[Object ID]],5,LEN(Table3[[#This Row],[Object ID]])-4),"")</f>
        <v>fig-pop-race-ethnicity</v>
      </c>
    </row>
    <row r="10" spans="1:7" s="19" customFormat="1" x14ac:dyDescent="0.2">
      <c r="A10" t="s">
        <v>6</v>
      </c>
      <c r="B10">
        <v>9</v>
      </c>
      <c r="C10" t="s">
        <v>7</v>
      </c>
      <c r="D10" t="s">
        <v>14</v>
      </c>
      <c r="E10" s="61" t="s">
        <v>290</v>
      </c>
      <c r="F10" t="s">
        <v>911</v>
      </c>
      <c r="G10" s="7" t="str">
        <f>IF(LEFT(Table3[[#This Row],[Object ID]],4)="tbl-","fig-" &amp; MID(Table3[[#This Row],[Object ID]],5,LEN(Table3[[#This Row],[Object ID]])-4),"")</f>
        <v>fig-employed-civilians-industry</v>
      </c>
    </row>
    <row r="11" spans="1:7" s="19" customFormat="1" x14ac:dyDescent="0.2">
      <c r="A11" t="s">
        <v>6</v>
      </c>
      <c r="B11">
        <v>10</v>
      </c>
      <c r="C11" t="s">
        <v>7</v>
      </c>
      <c r="D11" t="s">
        <v>15</v>
      </c>
      <c r="E11" s="61" t="s">
        <v>291</v>
      </c>
      <c r="F11" t="s">
        <v>912</v>
      </c>
      <c r="G11" s="7" t="str">
        <f>IF(LEFT(Table3[[#This Row],[Object ID]],4)="tbl-","fig-" &amp; MID(Table3[[#This Row],[Object ID]],5,LEN(Table3[[#This Row],[Object ID]])-4),"")</f>
        <v>fig-employed-civilian-occupations</v>
      </c>
    </row>
    <row r="12" spans="1:7" s="19" customFormat="1" x14ac:dyDescent="0.2">
      <c r="A12" t="s">
        <v>6</v>
      </c>
      <c r="B12">
        <v>11</v>
      </c>
      <c r="C12" t="s">
        <v>7</v>
      </c>
      <c r="D12" t="s">
        <v>16</v>
      </c>
      <c r="E12" s="61" t="s">
        <v>292</v>
      </c>
      <c r="F12" t="s">
        <v>994</v>
      </c>
      <c r="G12" s="7" t="str">
        <f>IF(LEFT(Table3[[#This Row],[Object ID]],4)="tbl-","fig-" &amp; MID(Table3[[#This Row],[Object ID]],5,LEN(Table3[[#This Row],[Object ID]])-4),"")</f>
        <v>fig-all-cause-mortal-rate-age-zip-code-rande</v>
      </c>
    </row>
    <row r="13" spans="1:7" s="19" customFormat="1" x14ac:dyDescent="0.2">
      <c r="A13" t="s">
        <v>6</v>
      </c>
      <c r="B13">
        <v>12</v>
      </c>
      <c r="C13" t="s">
        <v>20</v>
      </c>
      <c r="D13" t="s">
        <v>23</v>
      </c>
      <c r="E13" s="61" t="s">
        <v>293</v>
      </c>
      <c r="F13" t="s">
        <v>995</v>
      </c>
      <c r="G13" s="7" t="str">
        <f>IF(LEFT(Table3[[#This Row],[Object ID]],4)="tbl-","fig-" &amp; MID(Table3[[#This Row],[Object ID]],5,LEN(Table3[[#This Row],[Object ID]])-4),"")</f>
        <v>fig-all-cause-mortal-aar-rande</v>
      </c>
    </row>
    <row r="14" spans="1:7" s="19" customFormat="1" x14ac:dyDescent="0.2">
      <c r="A14" t="s">
        <v>6</v>
      </c>
      <c r="B14">
        <v>13</v>
      </c>
      <c r="C14" t="s">
        <v>20</v>
      </c>
      <c r="D14" t="s">
        <v>24</v>
      </c>
      <c r="E14" s="61" t="s">
        <v>294</v>
      </c>
      <c r="F14" t="s">
        <v>944</v>
      </c>
      <c r="G14" s="7" t="str">
        <f>IF(LEFT(Table3[[#This Row],[Object ID]],4)="tbl-","fig-" &amp; MID(Table3[[#This Row],[Object ID]],5,LEN(Table3[[#This Row],[Object ID]])-4),"")</f>
        <v>fig-all-cause-mortal-rate-ZIP</v>
      </c>
    </row>
    <row r="15" spans="1:7" s="19" customFormat="1" x14ac:dyDescent="0.2">
      <c r="A15" t="s">
        <v>6</v>
      </c>
      <c r="B15">
        <v>14</v>
      </c>
      <c r="C15" t="s">
        <v>20</v>
      </c>
      <c r="D15" t="s">
        <v>25</v>
      </c>
      <c r="E15" s="61" t="s">
        <v>295</v>
      </c>
      <c r="F15" t="s">
        <v>945</v>
      </c>
      <c r="G15" s="7" t="str">
        <f>IF(LEFT(Table3[[#This Row],[Object ID]],4)="tbl-","fig-" &amp; MID(Table3[[#This Row],[Object ID]],5,LEN(Table3[[#This Row],[Object ID]])-4),"")</f>
        <v>fig-all-cause-mortal-aar-sex</v>
      </c>
    </row>
    <row r="16" spans="1:7" s="19" customFormat="1" x14ac:dyDescent="0.2">
      <c r="A16" t="s">
        <v>6</v>
      </c>
      <c r="B16">
        <v>15</v>
      </c>
      <c r="C16" t="s">
        <v>7</v>
      </c>
      <c r="D16" t="s">
        <v>17</v>
      </c>
      <c r="E16" s="61" t="s">
        <v>296</v>
      </c>
      <c r="F16" s="7" t="s">
        <v>913</v>
      </c>
      <c r="G16" s="7" t="str">
        <f>IF(LEFT(Table3[[#This Row],[Object ID]],4)="tbl-","fig-" &amp; MID(Table3[[#This Row],[Object ID]],5,LEN(Table3[[#This Row],[Object ID]])-4),"")</f>
        <v>fig-top-five-leading-death-count-aar</v>
      </c>
    </row>
    <row r="17" spans="1:7" s="19" customFormat="1" x14ac:dyDescent="0.2">
      <c r="A17" t="s">
        <v>6</v>
      </c>
      <c r="B17">
        <v>16</v>
      </c>
      <c r="C17" t="s">
        <v>7</v>
      </c>
      <c r="D17" t="s">
        <v>18</v>
      </c>
      <c r="E17" s="61" t="s">
        <v>297</v>
      </c>
      <c r="F17" t="s">
        <v>914</v>
      </c>
      <c r="G17" s="7" t="str">
        <f>IF(LEFT(Table3[[#This Row],[Object ID]],4)="tbl-","fig-" &amp; MID(Table3[[#This Row],[Object ID]],5,LEN(Table3[[#This Row],[Object ID]])-4),"")</f>
        <v>fig-number-deaths-leading-sex</v>
      </c>
    </row>
    <row r="18" spans="1:7" s="19" customFormat="1" x14ac:dyDescent="0.2">
      <c r="A18" t="s">
        <v>6</v>
      </c>
      <c r="B18">
        <v>17</v>
      </c>
      <c r="C18" t="s">
        <v>20</v>
      </c>
      <c r="D18" t="s">
        <v>26</v>
      </c>
      <c r="E18" s="61" t="s">
        <v>298</v>
      </c>
      <c r="F18" t="s">
        <v>915</v>
      </c>
      <c r="G18" s="7" t="str">
        <f>IF(LEFT(Table3[[#This Row],[Object ID]],4)="tbl-","fig-" &amp; MID(Table3[[#This Row],[Object ID]],5,LEN(Table3[[#This Row],[Object ID]])-4),"")</f>
        <v>fig-premature-deaths-65</v>
      </c>
    </row>
    <row r="19" spans="1:7" s="19" customFormat="1" x14ac:dyDescent="0.2">
      <c r="A19" t="s">
        <v>6</v>
      </c>
      <c r="B19">
        <v>18</v>
      </c>
      <c r="C19" t="s">
        <v>20</v>
      </c>
      <c r="D19" t="s">
        <v>31</v>
      </c>
      <c r="E19" s="61" t="s">
        <v>299</v>
      </c>
      <c r="F19" s="7" t="s">
        <v>993</v>
      </c>
      <c r="G19" s="7" t="str">
        <f>IF(LEFT(Table3[[#This Row],[Object ID]],4)="tbl-","fig-" &amp; MID(Table3[[#This Row],[Object ID]],5,LEN(Table3[[#This Row],[Object ID]])-4),"")</f>
        <v>fig-premature-deaths-rande</v>
      </c>
    </row>
    <row r="20" spans="1:7" s="19" customFormat="1" x14ac:dyDescent="0.2">
      <c r="A20" t="s">
        <v>6</v>
      </c>
      <c r="B20">
        <v>19</v>
      </c>
      <c r="C20" t="s">
        <v>7</v>
      </c>
      <c r="D20" t="s">
        <v>19</v>
      </c>
      <c r="E20" s="61" t="s">
        <v>300</v>
      </c>
      <c r="F20" s="7" t="s">
        <v>916</v>
      </c>
      <c r="G20" s="7" t="str">
        <f>IF(LEFT(Table3[[#This Row],[Object ID]],4)="tbl-","fig-" &amp; MID(Table3[[#This Row],[Object ID]],5,LEN(Table3[[#This Row],[Object ID]])-4),"")</f>
        <v>fig-income-poverty-gini</v>
      </c>
    </row>
    <row r="21" spans="1:7" s="19" customFormat="1" x14ac:dyDescent="0.2">
      <c r="A21" t="s">
        <v>6</v>
      </c>
      <c r="B21">
        <v>20</v>
      </c>
      <c r="C21" t="s">
        <v>7</v>
      </c>
      <c r="D21" t="s">
        <v>27</v>
      </c>
      <c r="E21" s="61" t="s">
        <v>301</v>
      </c>
      <c r="F21" s="7" t="s">
        <v>30</v>
      </c>
      <c r="G21" s="7" t="str">
        <f>IF(LEFT(Table3[[#This Row],[Object ID]],4)="tbl-","fig-" &amp; MID(Table3[[#This Row],[Object ID]],5,LEN(Table3[[#This Row],[Object ID]])-4),"")</f>
        <v>fig-poverty-threshold</v>
      </c>
    </row>
    <row r="22" spans="1:7" s="19" customFormat="1" x14ac:dyDescent="0.2">
      <c r="A22" t="s">
        <v>6</v>
      </c>
      <c r="B22">
        <v>21</v>
      </c>
      <c r="C22" t="s">
        <v>7</v>
      </c>
      <c r="D22" t="s">
        <v>29</v>
      </c>
      <c r="E22" s="61" t="s">
        <v>302</v>
      </c>
      <c r="F22" s="7" t="s">
        <v>917</v>
      </c>
      <c r="G22" s="7" t="str">
        <f>IF(LEFT(Table3[[#This Row],[Object ID]],4)="tbl-","fig-" &amp; MID(Table3[[#This Row],[Object ID]],5,LEN(Table3[[#This Row],[Object ID]])-4),"")</f>
        <v>fig-poverty-age-rande</v>
      </c>
    </row>
    <row r="23" spans="1:7" s="19" customFormat="1" x14ac:dyDescent="0.2">
      <c r="A23" t="s">
        <v>6</v>
      </c>
      <c r="B23">
        <v>22</v>
      </c>
      <c r="C23" t="s">
        <v>20</v>
      </c>
      <c r="D23" t="s">
        <v>32</v>
      </c>
      <c r="E23" s="61" t="s">
        <v>303</v>
      </c>
      <c r="F23" s="7" t="s">
        <v>918</v>
      </c>
      <c r="G23" s="7" t="str">
        <f>IF(LEFT(Table3[[#This Row],[Object ID]],4)="tbl-","fig-" &amp; MID(Table3[[#This Row],[Object ID]],5,LEN(Table3[[#This Row],[Object ID]])-4),"")</f>
        <v>fig-poverty-pop</v>
      </c>
    </row>
    <row r="24" spans="1:7" s="19" customFormat="1" x14ac:dyDescent="0.2">
      <c r="A24" t="s">
        <v>6</v>
      </c>
      <c r="B24">
        <v>23</v>
      </c>
      <c r="C24" t="s">
        <v>20</v>
      </c>
      <c r="D24" t="s">
        <v>33</v>
      </c>
      <c r="E24" s="61" t="s">
        <v>304</v>
      </c>
      <c r="F24" s="7" t="s">
        <v>919</v>
      </c>
      <c r="G24" s="7" t="str">
        <f>IF(LEFT(Table3[[#This Row],[Object ID]],4)="tbl-","fig-" &amp; MID(Table3[[#This Row],[Object ID]],5,LEN(Table3[[#This Row],[Object ID]])-4),"")</f>
        <v>fig-poverty-individual-rande</v>
      </c>
    </row>
    <row r="25" spans="1:7" s="19" customFormat="1" x14ac:dyDescent="0.2">
      <c r="A25" t="s">
        <v>6</v>
      </c>
      <c r="B25">
        <v>24</v>
      </c>
      <c r="C25" t="s">
        <v>20</v>
      </c>
      <c r="D25" t="s">
        <v>35</v>
      </c>
      <c r="E25" s="61" t="s">
        <v>305</v>
      </c>
      <c r="F25" s="7" t="s">
        <v>920</v>
      </c>
      <c r="G25" s="7" t="str">
        <f>IF(LEFT(Table3[[#This Row],[Object ID]],4)="tbl-","fig-" &amp; MID(Table3[[#This Row],[Object ID]],5,LEN(Table3[[#This Row],[Object ID]])-4),"")</f>
        <v>fig-poverty-family-rande</v>
      </c>
    </row>
    <row r="26" spans="1:7" s="19" customFormat="1" x14ac:dyDescent="0.2">
      <c r="A26" t="s">
        <v>6</v>
      </c>
      <c r="B26">
        <v>25</v>
      </c>
      <c r="C26" t="s">
        <v>20</v>
      </c>
      <c r="D26" t="s">
        <v>36</v>
      </c>
      <c r="E26" s="61" t="s">
        <v>306</v>
      </c>
      <c r="F26" s="7" t="s">
        <v>921</v>
      </c>
      <c r="G26" s="7" t="str">
        <f>IF(LEFT(Table3[[#This Row],[Object ID]],4)="tbl-","fig-" &amp; MID(Table3[[#This Row],[Object ID]],5,LEN(Table3[[#This Row],[Object ID]])-4),"")</f>
        <v>fig-children-poverty-threshold</v>
      </c>
    </row>
    <row r="27" spans="1:7" s="19" customFormat="1" x14ac:dyDescent="0.2">
      <c r="A27" t="s">
        <v>6</v>
      </c>
      <c r="B27">
        <v>26</v>
      </c>
      <c r="C27" t="s">
        <v>7</v>
      </c>
      <c r="D27" t="s">
        <v>34</v>
      </c>
      <c r="E27" s="61" t="s">
        <v>307</v>
      </c>
      <c r="F27" s="7" t="s">
        <v>922</v>
      </c>
      <c r="G27" s="7" t="str">
        <f>IF(LEFT(Table3[[#This Row],[Object ID]],4)="tbl-","fig-" &amp; MID(Table3[[#This Row],[Object ID]],5,LEN(Table3[[#This Row],[Object ID]])-4),"")</f>
        <v>fig-employment</v>
      </c>
    </row>
    <row r="28" spans="1:7" s="19" customFormat="1" x14ac:dyDescent="0.2">
      <c r="A28" t="s">
        <v>6</v>
      </c>
      <c r="B28">
        <v>27</v>
      </c>
      <c r="C28" t="s">
        <v>20</v>
      </c>
      <c r="D28" t="s">
        <v>37</v>
      </c>
      <c r="E28" s="61" t="s">
        <v>308</v>
      </c>
      <c r="F28" s="7" t="s">
        <v>923</v>
      </c>
      <c r="G28" s="7" t="str">
        <f>IF(LEFT(Table3[[#This Row],[Object ID]],4)="tbl-","fig-" &amp; MID(Table3[[#This Row],[Object ID]],5,LEN(Table3[[#This Row],[Object ID]])-4),"")</f>
        <v>fig-labor-force-unemployed</v>
      </c>
    </row>
    <row r="29" spans="1:7" s="19" customFormat="1" x14ac:dyDescent="0.2">
      <c r="A29" t="s">
        <v>6</v>
      </c>
      <c r="B29">
        <v>28</v>
      </c>
      <c r="C29" t="s">
        <v>7</v>
      </c>
      <c r="D29" t="s">
        <v>44</v>
      </c>
      <c r="E29" s="61" t="s">
        <v>309</v>
      </c>
      <c r="F29" s="7" t="s">
        <v>924</v>
      </c>
      <c r="G29" s="7" t="str">
        <f>IF(LEFT(Table3[[#This Row],[Object ID]],4)="tbl-","fig-" &amp; MID(Table3[[#This Row],[Object ID]],5,LEN(Table3[[#This Row],[Object ID]])-4),"")</f>
        <v>fig-graudation-rate-demographic</v>
      </c>
    </row>
    <row r="30" spans="1:7" s="19" customFormat="1" x14ac:dyDescent="0.2">
      <c r="A30" t="s">
        <v>6</v>
      </c>
      <c r="B30">
        <v>29</v>
      </c>
      <c r="C30" t="s">
        <v>7</v>
      </c>
      <c r="D30" t="s">
        <v>111</v>
      </c>
      <c r="E30" s="61" t="s">
        <v>310</v>
      </c>
      <c r="F30" s="7" t="s">
        <v>925</v>
      </c>
      <c r="G30" s="7" t="str">
        <f>IF(LEFT(Table3[[#This Row],[Object ID]],4)="tbl-","fig-" &amp; MID(Table3[[#This Row],[Object ID]],5,LEN(Table3[[#This Row],[Object ID]])-4),"")</f>
        <v>fig-educational-attain</v>
      </c>
    </row>
    <row r="31" spans="1:7" s="19" customFormat="1" x14ac:dyDescent="0.2">
      <c r="A31" t="s">
        <v>6</v>
      </c>
      <c r="B31">
        <v>30</v>
      </c>
      <c r="C31" t="s">
        <v>20</v>
      </c>
      <c r="D31" t="s">
        <v>311</v>
      </c>
      <c r="E31" s="61" t="s">
        <v>38</v>
      </c>
      <c r="F31" s="7" t="s">
        <v>926</v>
      </c>
      <c r="G31" s="7" t="str">
        <f>IF(LEFT(Table3[[#This Row],[Object ID]],4)="tbl-","fig-" &amp; MID(Table3[[#This Row],[Object ID]],5,LEN(Table3[[#This Row],[Object ID]])-4),"")</f>
        <v>fig-hs-graduation-rande</v>
      </c>
    </row>
    <row r="32" spans="1:7" s="19" customFormat="1" x14ac:dyDescent="0.2">
      <c r="A32" t="s">
        <v>6</v>
      </c>
      <c r="B32">
        <v>31</v>
      </c>
      <c r="C32" t="s">
        <v>7</v>
      </c>
      <c r="D32" t="s">
        <v>313</v>
      </c>
      <c r="E32" s="61" t="s">
        <v>312</v>
      </c>
      <c r="F32" s="7" t="s">
        <v>927</v>
      </c>
      <c r="G32" s="7" t="str">
        <f>IF(LEFT(Table3[[#This Row],[Object ID]],4)="tbl-","fig-" &amp; MID(Table3[[#This Row],[Object ID]],5,LEN(Table3[[#This Row],[Object ID]])-4),"")</f>
        <v>fig-language-spoken-home</v>
      </c>
    </row>
    <row r="33" spans="1:7" s="19" customFormat="1" x14ac:dyDescent="0.2">
      <c r="A33" t="s">
        <v>6</v>
      </c>
      <c r="B33">
        <v>32</v>
      </c>
      <c r="C33" t="s">
        <v>7</v>
      </c>
      <c r="D33" t="s">
        <v>315</v>
      </c>
      <c r="E33" s="61" t="s">
        <v>314</v>
      </c>
      <c r="F33" s="36" t="s">
        <v>928</v>
      </c>
      <c r="G33" s="7" t="str">
        <f>IF(LEFT(Table3[[#This Row],[Object ID]],4)="tbl-","fig-" &amp; MID(Table3[[#This Row],[Object ID]],5,LEN(Table3[[#This Row],[Object ID]])-4),"")</f>
        <v>fig-english-language-eco-disad-disability</v>
      </c>
    </row>
    <row r="34" spans="1:7" s="19" customFormat="1" x14ac:dyDescent="0.2">
      <c r="A34" t="s">
        <v>6</v>
      </c>
      <c r="B34">
        <v>33</v>
      </c>
      <c r="C34" t="s">
        <v>20</v>
      </c>
      <c r="D34" t="s">
        <v>317</v>
      </c>
      <c r="E34" s="61" t="s">
        <v>316</v>
      </c>
      <c r="F34" s="36" t="s">
        <v>929</v>
      </c>
      <c r="G34" s="7" t="str">
        <f>IF(LEFT(Table3[[#This Row],[Object ID]],4)="tbl-","fig-" &amp; MID(Table3[[#This Row],[Object ID]],5,LEN(Table3[[#This Row],[Object ID]])-4),"")</f>
        <v>fig-pphospital-aar-zip</v>
      </c>
    </row>
    <row r="35" spans="1:7" s="19" customFormat="1" x14ac:dyDescent="0.2">
      <c r="A35" t="s">
        <v>6</v>
      </c>
      <c r="B35">
        <v>34</v>
      </c>
      <c r="C35" t="s">
        <v>20</v>
      </c>
      <c r="D35" t="s">
        <v>39</v>
      </c>
      <c r="E35" s="61" t="s">
        <v>318</v>
      </c>
      <c r="F35" s="7" t="s">
        <v>930</v>
      </c>
      <c r="G35" s="7" t="str">
        <f>IF(LEFT(Table3[[#This Row],[Object ID]],4)="tbl-","fig-" &amp; MID(Table3[[#This Row],[Object ID]],5,LEN(Table3[[#This Row],[Object ID]])-4),"")</f>
        <v>fig-uninsured-rande</v>
      </c>
    </row>
    <row r="36" spans="1:7" s="19" customFormat="1" x14ac:dyDescent="0.2">
      <c r="A36" t="s">
        <v>6</v>
      </c>
      <c r="B36">
        <v>35</v>
      </c>
      <c r="C36" t="s">
        <v>7</v>
      </c>
      <c r="D36" t="s">
        <v>320</v>
      </c>
      <c r="E36" s="61" t="s">
        <v>319</v>
      </c>
      <c r="F36" s="7" t="s">
        <v>931</v>
      </c>
      <c r="G36" s="7" t="str">
        <f>IF(LEFT(Table3[[#This Row],[Object ID]],4)="tbl-","fig-" &amp; MID(Table3[[#This Row],[Object ID]],5,LEN(Table3[[#This Row],[Object ID]])-4),"")</f>
        <v>fig-cars-household</v>
      </c>
    </row>
    <row r="37" spans="1:7" s="19" customFormat="1" x14ac:dyDescent="0.2">
      <c r="A37" t="s">
        <v>6</v>
      </c>
      <c r="B37">
        <v>36</v>
      </c>
      <c r="C37" t="s">
        <v>7</v>
      </c>
      <c r="D37" t="s">
        <v>322</v>
      </c>
      <c r="E37" s="61" t="s">
        <v>321</v>
      </c>
      <c r="F37" s="7" t="s">
        <v>932</v>
      </c>
      <c r="G37" s="7" t="str">
        <f>IF(LEFT(Table3[[#This Row],[Object ID]],4)="tbl-","fig-" &amp; MID(Table3[[#This Row],[Object ID]],5,LEN(Table3[[#This Row],[Object ID]])-4),"")</f>
        <v>fig-commute-work</v>
      </c>
    </row>
    <row r="38" spans="1:7" s="19" customFormat="1" x14ac:dyDescent="0.2">
      <c r="A38" t="s">
        <v>6</v>
      </c>
      <c r="B38">
        <v>37</v>
      </c>
      <c r="C38" t="s">
        <v>7</v>
      </c>
      <c r="D38" t="s">
        <v>324</v>
      </c>
      <c r="E38" s="61" t="s">
        <v>323</v>
      </c>
      <c r="F38" s="7" t="s">
        <v>933</v>
      </c>
      <c r="G38" s="7" t="str">
        <f>IF(LEFT(Table3[[#This Row],[Object ID]],4)="tbl-","fig-" &amp; MID(Table3[[#This Row],[Object ID]],5,LEN(Table3[[#This Row],[Object ID]])-4),"")</f>
        <v>fig-house-tenure-vacancy</v>
      </c>
    </row>
    <row r="39" spans="1:7" s="19" customFormat="1" x14ac:dyDescent="0.2">
      <c r="A39" t="s">
        <v>6</v>
      </c>
      <c r="B39">
        <v>38</v>
      </c>
      <c r="C39" t="s">
        <v>7</v>
      </c>
      <c r="D39" t="s">
        <v>326</v>
      </c>
      <c r="E39" s="61" t="s">
        <v>325</v>
      </c>
      <c r="F39" s="7" t="s">
        <v>934</v>
      </c>
      <c r="G39" s="7" t="str">
        <f>IF(LEFT(Table3[[#This Row],[Object ID]],4)="tbl-","fig-" &amp; MID(Table3[[#This Row],[Object ID]],5,LEN(Table3[[#This Row],[Object ID]])-4),"")</f>
        <v>fig-house-unit-age</v>
      </c>
    </row>
    <row r="40" spans="1:7" s="19" customFormat="1" ht="19.5" customHeight="1" x14ac:dyDescent="0.2">
      <c r="A40" t="s">
        <v>6</v>
      </c>
      <c r="B40">
        <v>39</v>
      </c>
      <c r="C40" t="s">
        <v>7</v>
      </c>
      <c r="D40" t="s">
        <v>328</v>
      </c>
      <c r="E40" s="61" t="s">
        <v>327</v>
      </c>
      <c r="F40" s="7" t="s">
        <v>935</v>
      </c>
      <c r="G40" s="7" t="str">
        <f>IF(LEFT(Table3[[#This Row],[Object ID]],4)="tbl-","fig-" &amp; MID(Table3[[#This Row],[Object ID]],5,LEN(Table3[[#This Row],[Object ID]])-4),"")</f>
        <v>fig-house-characteristics-homeowner</v>
      </c>
    </row>
    <row r="41" spans="1:7" s="19" customFormat="1" x14ac:dyDescent="0.2">
      <c r="A41" t="s">
        <v>6</v>
      </c>
      <c r="B41">
        <v>40</v>
      </c>
      <c r="C41" t="s">
        <v>20</v>
      </c>
      <c r="D41" t="s">
        <v>40</v>
      </c>
      <c r="E41" s="61" t="s">
        <v>329</v>
      </c>
      <c r="F41" s="7" t="s">
        <v>936</v>
      </c>
      <c r="G41" s="7" t="str">
        <f>IF(LEFT(Table3[[#This Row],[Object ID]],4)="tbl-","fig-" &amp; MID(Table3[[#This Row],[Object ID]],5,LEN(Table3[[#This Row],[Object ID]])-4),"")</f>
        <v>fig-owner-occupy-of-occupy-housing</v>
      </c>
    </row>
    <row r="42" spans="1:7" s="19" customFormat="1" x14ac:dyDescent="0.2">
      <c r="A42" t="s">
        <v>6</v>
      </c>
      <c r="B42">
        <v>41</v>
      </c>
      <c r="C42" t="s">
        <v>7</v>
      </c>
      <c r="D42" t="s">
        <v>330</v>
      </c>
      <c r="E42" s="61" t="s">
        <v>331</v>
      </c>
      <c r="F42" s="7" t="s">
        <v>937</v>
      </c>
      <c r="G42" s="7" t="str">
        <f>IF(LEFT(Table3[[#This Row],[Object ID]],4)="tbl-","fig-" &amp; MID(Table3[[#This Row],[Object ID]],5,LEN(Table3[[#This Row],[Object ID]])-4),"")</f>
        <v>fig-house-characteristics-renters</v>
      </c>
    </row>
    <row r="43" spans="1:7" s="19" customFormat="1" x14ac:dyDescent="0.2">
      <c r="A43" t="s">
        <v>6</v>
      </c>
      <c r="B43">
        <v>42</v>
      </c>
      <c r="C43" t="s">
        <v>20</v>
      </c>
      <c r="D43" t="s">
        <v>41</v>
      </c>
      <c r="E43" s="61" t="s">
        <v>332</v>
      </c>
      <c r="F43" s="7" t="s">
        <v>938</v>
      </c>
      <c r="G43" s="7" t="str">
        <f>IF(LEFT(Table3[[#This Row],[Object ID]],4)="tbl-","fig-" &amp; MID(Table3[[#This Row],[Object ID]],5,LEN(Table3[[#This Row],[Object ID]])-4),"")</f>
        <v>fig-renter-occupy-of-occupy-housing</v>
      </c>
    </row>
    <row r="44" spans="1:7" s="19" customFormat="1" x14ac:dyDescent="0.2">
      <c r="A44" t="s">
        <v>6</v>
      </c>
      <c r="B44">
        <v>43</v>
      </c>
      <c r="C44" t="s">
        <v>7</v>
      </c>
      <c r="D44" t="s">
        <v>334</v>
      </c>
      <c r="E44" s="61" t="s">
        <v>333</v>
      </c>
      <c r="F44" s="36" t="s">
        <v>939</v>
      </c>
      <c r="G44" s="7" t="str">
        <f>IF(LEFT(Table3[[#This Row],[Object ID]],4)="tbl-","fig-" &amp; MID(Table3[[#This Row],[Object ID]],5,LEN(Table3[[#This Row],[Object ID]])-4),"")</f>
        <v>fig-own-vs-rent-per-room</v>
      </c>
    </row>
    <row r="45" spans="1:7" s="19" customFormat="1" x14ac:dyDescent="0.2">
      <c r="A45" t="s">
        <v>6</v>
      </c>
      <c r="B45">
        <v>44</v>
      </c>
      <c r="C45" t="s">
        <v>20</v>
      </c>
      <c r="D45" t="s">
        <v>42</v>
      </c>
      <c r="E45" s="61" t="s">
        <v>335</v>
      </c>
      <c r="F45" s="7" t="s">
        <v>940</v>
      </c>
      <c r="G45" s="7" t="str">
        <f>IF(LEFT(Table3[[#This Row],[Object ID]],4)="tbl-","fig-" &amp; MID(Table3[[#This Row],[Object ID]],5,LEN(Table3[[#This Row],[Object ID]])-4),"")</f>
        <v>fig-own-vs-rent-more1-room</v>
      </c>
    </row>
    <row r="46" spans="1:7" s="19" customFormat="1" x14ac:dyDescent="0.2">
      <c r="A46" t="s">
        <v>6</v>
      </c>
      <c r="B46">
        <v>45</v>
      </c>
      <c r="C46" t="s">
        <v>20</v>
      </c>
      <c r="D46" t="s">
        <v>43</v>
      </c>
      <c r="E46" s="61" t="s">
        <v>336</v>
      </c>
      <c r="F46" s="7" t="s">
        <v>941</v>
      </c>
      <c r="G46" s="7" t="str">
        <f>IF(LEFT(Table3[[#This Row],[Object ID]],4)="tbl-","fig-" &amp; MID(Table3[[#This Row],[Object ID]],5,LEN(Table3[[#This Row],[Object ID]])-4),"")</f>
        <v>fig-high-bll</v>
      </c>
    </row>
    <row r="47" spans="1:7" s="19" customFormat="1" x14ac:dyDescent="0.2">
      <c r="A47" t="s">
        <v>6</v>
      </c>
      <c r="B47">
        <v>46</v>
      </c>
      <c r="C47" t="s">
        <v>7</v>
      </c>
      <c r="D47" t="s">
        <v>338</v>
      </c>
      <c r="E47" s="61" t="s">
        <v>337</v>
      </c>
      <c r="F47" s="7" t="s">
        <v>942</v>
      </c>
      <c r="G47" s="7" t="str">
        <f>IF(LEFT(Table3[[#This Row],[Object ID]],4)="tbl-","fig-" &amp; MID(Table3[[#This Row],[Object ID]],5,LEN(Table3[[#This Row],[Object ID]])-4),"")</f>
        <v>fig-internet-access</v>
      </c>
    </row>
    <row r="48" spans="1:7" s="19" customFormat="1" x14ac:dyDescent="0.2">
      <c r="A48" t="s">
        <v>6</v>
      </c>
      <c r="B48">
        <v>47</v>
      </c>
      <c r="C48" t="s">
        <v>7</v>
      </c>
      <c r="D48" t="s">
        <v>340</v>
      </c>
      <c r="E48" t="s">
        <v>339</v>
      </c>
      <c r="F48" s="7" t="s">
        <v>943</v>
      </c>
      <c r="G48" s="7" t="str">
        <f>IF(LEFT(Table3[[#This Row],[Object ID]],4)="tbl-","fig-" &amp; MID(Table3[[#This Row],[Object ID]],5,LEN(Table3[[#This Row],[Object ID]])-4),"")</f>
        <v>fig-pop-served-ocdss</v>
      </c>
    </row>
    <row r="49" spans="1:7" s="19" customFormat="1" x14ac:dyDescent="0.2">
      <c r="A49" t="s">
        <v>6</v>
      </c>
      <c r="B49">
        <v>48</v>
      </c>
      <c r="C49" t="s">
        <v>7</v>
      </c>
      <c r="D49" t="s">
        <v>342</v>
      </c>
      <c r="E49" t="s">
        <v>341</v>
      </c>
      <c r="F49" s="7" t="s">
        <v>964</v>
      </c>
      <c r="G49" s="7" t="str">
        <f>IF(LEFT(Table3[[#This Row],[Object ID]],4)="tbl-","fig-" &amp; MID(Table3[[#This Row],[Object ID]],5,LEN(Table3[[#This Row],[Object ID]])-4),"")</f>
        <v>fig-dzcircsystem-count-rate-age-rande-zip</v>
      </c>
    </row>
    <row r="50" spans="1:7" s="19" customFormat="1" ht="15.75" customHeight="1" x14ac:dyDescent="0.2">
      <c r="A50" t="s">
        <v>6</v>
      </c>
      <c r="B50">
        <v>49</v>
      </c>
      <c r="C50" t="s">
        <v>20</v>
      </c>
      <c r="D50" t="s">
        <v>45</v>
      </c>
      <c r="E50" t="s">
        <v>343</v>
      </c>
      <c r="F50" s="7" t="s">
        <v>955</v>
      </c>
      <c r="G50" s="7" t="str">
        <f>IF(LEFT(Table3[[#This Row],[Object ID]],4)="tbl-","fig-" &amp; MID(Table3[[#This Row],[Object ID]],5,LEN(Table3[[#This Row],[Object ID]])-4),"")</f>
        <v>fig-dzcircsystem-mortal-aar</v>
      </c>
    </row>
    <row r="51" spans="1:7" s="19" customFormat="1" x14ac:dyDescent="0.2">
      <c r="A51" t="s">
        <v>6</v>
      </c>
      <c r="B51">
        <v>50</v>
      </c>
      <c r="C51" t="s">
        <v>20</v>
      </c>
      <c r="D51" t="s">
        <v>46</v>
      </c>
      <c r="E51" t="s">
        <v>344</v>
      </c>
      <c r="F51" s="7" t="s">
        <v>956</v>
      </c>
      <c r="G51" s="7" t="str">
        <f>IF(LEFT(Table3[[#This Row],[Object ID]],4)="tbl-","fig-" &amp; MID(Table3[[#This Row],[Object ID]],5,LEN(Table3[[#This Row],[Object ID]])-4),"")</f>
        <v>fig-dzcircsystem--mortal-rande</v>
      </c>
    </row>
    <row r="52" spans="1:7" s="19" customFormat="1" x14ac:dyDescent="0.2">
      <c r="A52" t="s">
        <v>6</v>
      </c>
      <c r="B52">
        <v>51</v>
      </c>
      <c r="C52" t="s">
        <v>20</v>
      </c>
      <c r="D52" t="s">
        <v>47</v>
      </c>
      <c r="E52" t="s">
        <v>345</v>
      </c>
      <c r="F52" s="7" t="s">
        <v>957</v>
      </c>
      <c r="G52" s="7" t="str">
        <f>IF(LEFT(Table3[[#This Row],[Object ID]],4)="tbl-","fig-" &amp; MID(Table3[[#This Row],[Object ID]],5,LEN(Table3[[#This Row],[Object ID]])-4),"")</f>
        <v>fig-dzcircsystem--mortal-zip</v>
      </c>
    </row>
    <row r="53" spans="1:7" s="19" customFormat="1" x14ac:dyDescent="0.2">
      <c r="A53" t="s">
        <v>6</v>
      </c>
      <c r="B53">
        <v>52</v>
      </c>
      <c r="C53" t="s">
        <v>20</v>
      </c>
      <c r="D53" t="s">
        <v>48</v>
      </c>
      <c r="E53" t="s">
        <v>346</v>
      </c>
      <c r="F53" s="7" t="s">
        <v>958</v>
      </c>
      <c r="G53" s="7" t="str">
        <f>IF(LEFT(Table3[[#This Row],[Object ID]],4)="tbl-","fig-" &amp; MID(Table3[[#This Row],[Object ID]],5,LEN(Table3[[#This Row],[Object ID]])-4),"")</f>
        <v>fig-dzcircsystem-mortal-sex-aar</v>
      </c>
    </row>
    <row r="54" spans="1:7" s="19" customFormat="1" x14ac:dyDescent="0.2">
      <c r="A54" t="s">
        <v>6</v>
      </c>
      <c r="B54">
        <v>53</v>
      </c>
      <c r="C54" t="s">
        <v>7</v>
      </c>
      <c r="D54" t="s">
        <v>348</v>
      </c>
      <c r="E54" t="s">
        <v>347</v>
      </c>
      <c r="F54" s="7" t="s">
        <v>946</v>
      </c>
      <c r="G54" s="7" t="str">
        <f>IF(LEFT(Table3[[#This Row],[Object ID]],4)="tbl-","fig-" &amp; MID(Table3[[#This Row],[Object ID]],5,LEN(Table3[[#This Row],[Object ID]])-4),"")</f>
        <v>fig-heartdz-count-rate-age-rande-zip</v>
      </c>
    </row>
    <row r="55" spans="1:7" s="19" customFormat="1" x14ac:dyDescent="0.2">
      <c r="A55" t="s">
        <v>6</v>
      </c>
      <c r="B55">
        <v>54</v>
      </c>
      <c r="C55" t="s">
        <v>20</v>
      </c>
      <c r="D55" t="s">
        <v>49</v>
      </c>
      <c r="E55" t="s">
        <v>349</v>
      </c>
      <c r="F55" s="7" t="s">
        <v>947</v>
      </c>
      <c r="G55" s="7" t="str">
        <f>IF(LEFT(Table3[[#This Row],[Object ID]],4)="tbl-","fig-" &amp; MID(Table3[[#This Row],[Object ID]],5,LEN(Table3[[#This Row],[Object ID]])-4),"")</f>
        <v>fig-heartdz-mortal-aar</v>
      </c>
    </row>
    <row r="56" spans="1:7" s="19" customFormat="1" x14ac:dyDescent="0.2">
      <c r="A56" t="s">
        <v>6</v>
      </c>
      <c r="B56">
        <v>55</v>
      </c>
      <c r="C56" t="s">
        <v>20</v>
      </c>
      <c r="D56" t="s">
        <v>50</v>
      </c>
      <c r="E56" t="s">
        <v>350</v>
      </c>
      <c r="F56" s="7" t="s">
        <v>948</v>
      </c>
      <c r="G56" s="7" t="str">
        <f>IF(LEFT(Table3[[#This Row],[Object ID]],4)="tbl-","fig-" &amp; MID(Table3[[#This Row],[Object ID]],5,LEN(Table3[[#This Row],[Object ID]])-4),"")</f>
        <v>fig-heartdz-mortal-rande</v>
      </c>
    </row>
    <row r="57" spans="1:7" s="19" customFormat="1" x14ac:dyDescent="0.2">
      <c r="A57" t="s">
        <v>6</v>
      </c>
      <c r="B57">
        <v>56</v>
      </c>
      <c r="C57" t="s">
        <v>20</v>
      </c>
      <c r="D57" t="s">
        <v>51</v>
      </c>
      <c r="E57" t="s">
        <v>351</v>
      </c>
      <c r="F57" s="7" t="s">
        <v>949</v>
      </c>
      <c r="G57" s="7" t="str">
        <f>IF(LEFT(Table3[[#This Row],[Object ID]],4)="tbl-","fig-" &amp; MID(Table3[[#This Row],[Object ID]],5,LEN(Table3[[#This Row],[Object ID]])-4),"")</f>
        <v>fig-heartdz-mortal-zip</v>
      </c>
    </row>
    <row r="58" spans="1:7" s="19" customFormat="1" x14ac:dyDescent="0.2">
      <c r="A58" t="s">
        <v>6</v>
      </c>
      <c r="B58">
        <v>57</v>
      </c>
      <c r="C58" t="s">
        <v>20</v>
      </c>
      <c r="D58" t="s">
        <v>52</v>
      </c>
      <c r="E58" t="s">
        <v>352</v>
      </c>
      <c r="F58" s="7" t="s">
        <v>950</v>
      </c>
      <c r="G58" s="7" t="str">
        <f>IF(LEFT(Table3[[#This Row],[Object ID]],4)="tbl-","fig-" &amp; MID(Table3[[#This Row],[Object ID]],5,LEN(Table3[[#This Row],[Object ID]])-4),"")</f>
        <v>fig-heartdz-mortal-sex-aar</v>
      </c>
    </row>
    <row r="59" spans="1:7" x14ac:dyDescent="0.2">
      <c r="A59" t="s">
        <v>6</v>
      </c>
      <c r="B59">
        <v>58</v>
      </c>
      <c r="C59" t="s">
        <v>20</v>
      </c>
      <c r="D59" t="s">
        <v>53</v>
      </c>
      <c r="E59" t="s">
        <v>353</v>
      </c>
      <c r="F59" s="7" t="s">
        <v>953</v>
      </c>
      <c r="G59" s="7" t="str">
        <f>IF(LEFT(Table3[[#This Row],[Object ID]],4)="tbl-","fig-" &amp; MID(Table3[[#This Row],[Object ID]],5,LEN(Table3[[#This Row],[Object ID]])-4),"")</f>
        <v>fig-cerebrovascdz-hosp-rande-aar</v>
      </c>
    </row>
    <row r="60" spans="1:7" x14ac:dyDescent="0.2">
      <c r="A60" t="s">
        <v>6</v>
      </c>
      <c r="B60">
        <v>59</v>
      </c>
      <c r="C60" t="s">
        <v>7</v>
      </c>
      <c r="D60" t="s">
        <v>355</v>
      </c>
      <c r="E60" t="s">
        <v>354</v>
      </c>
      <c r="F60" s="7" t="s">
        <v>951</v>
      </c>
      <c r="G60" s="7" t="str">
        <f>IF(LEFT(Table3[[#This Row],[Object ID]],4)="tbl-","fig-" &amp; MID(Table3[[#This Row],[Object ID]],5,LEN(Table3[[#This Row],[Object ID]])-4),"")</f>
        <v>fig-cerebrovascdz-count-rate-age-rande-zip</v>
      </c>
    </row>
    <row r="61" spans="1:7" x14ac:dyDescent="0.2">
      <c r="A61" t="s">
        <v>6</v>
      </c>
      <c r="B61">
        <v>60</v>
      </c>
      <c r="C61" t="s">
        <v>20</v>
      </c>
      <c r="D61" t="s">
        <v>54</v>
      </c>
      <c r="E61" t="s">
        <v>356</v>
      </c>
      <c r="F61" s="7" t="s">
        <v>952</v>
      </c>
      <c r="G61" s="7" t="str">
        <f>IF(LEFT(Table3[[#This Row],[Object ID]],4)="tbl-","fig-" &amp; MID(Table3[[#This Row],[Object ID]],5,LEN(Table3[[#This Row],[Object ID]])-4),"")</f>
        <v>fig-cerebrovascdz-mortal-aar</v>
      </c>
    </row>
    <row r="62" spans="1:7" x14ac:dyDescent="0.2">
      <c r="A62" t="s">
        <v>6</v>
      </c>
      <c r="B62">
        <v>61</v>
      </c>
      <c r="C62" t="s">
        <v>20</v>
      </c>
      <c r="D62" t="s">
        <v>55</v>
      </c>
      <c r="E62" t="s">
        <v>357</v>
      </c>
      <c r="F62" s="7" t="s">
        <v>954</v>
      </c>
      <c r="G62" s="7" t="str">
        <f>IF(LEFT(Table3[[#This Row],[Object ID]],4)="tbl-","fig-" &amp; MID(Table3[[#This Row],[Object ID]],5,LEN(Table3[[#This Row],[Object ID]])-4),"")</f>
        <v>fig-cerebrovascdz-mortal-sex-aar</v>
      </c>
    </row>
    <row r="63" spans="1:7" x14ac:dyDescent="0.2">
      <c r="A63" t="s">
        <v>6</v>
      </c>
      <c r="B63">
        <v>62</v>
      </c>
      <c r="C63" t="s">
        <v>7</v>
      </c>
      <c r="D63" t="s">
        <v>359</v>
      </c>
      <c r="E63" t="s">
        <v>358</v>
      </c>
      <c r="F63" s="7" t="s">
        <v>959</v>
      </c>
      <c r="G63" s="7" t="str">
        <f>IF(LEFT(Table3[[#This Row],[Object ID]],4)="tbl-","fig-" &amp; MID(Table3[[#This Row],[Object ID]],5,LEN(Table3[[#This Row],[Object ID]])-4),"")</f>
        <v>fig-other-dzcircsystem-count-rate-age-rande-zip</v>
      </c>
    </row>
    <row r="64" spans="1:7" x14ac:dyDescent="0.2">
      <c r="A64" t="s">
        <v>6</v>
      </c>
      <c r="B64">
        <v>63</v>
      </c>
      <c r="C64" t="s">
        <v>20</v>
      </c>
      <c r="D64" t="s">
        <v>56</v>
      </c>
      <c r="E64" t="s">
        <v>360</v>
      </c>
      <c r="F64" s="7" t="s">
        <v>960</v>
      </c>
      <c r="G64" s="7" t="str">
        <f>IF(LEFT(Table3[[#This Row],[Object ID]],4)="tbl-","fig-" &amp; MID(Table3[[#This Row],[Object ID]],5,LEN(Table3[[#This Row],[Object ID]])-4),"")</f>
        <v>fig-other-dzcircsystem-mortal-aar</v>
      </c>
    </row>
    <row r="65" spans="1:7" x14ac:dyDescent="0.2">
      <c r="A65" t="s">
        <v>6</v>
      </c>
      <c r="B65">
        <v>64</v>
      </c>
      <c r="C65" t="s">
        <v>20</v>
      </c>
      <c r="D65" t="s">
        <v>57</v>
      </c>
      <c r="E65" t="s">
        <v>361</v>
      </c>
      <c r="F65" s="7" t="s">
        <v>961</v>
      </c>
      <c r="G65" s="7" t="str">
        <f>IF(LEFT(Table3[[#This Row],[Object ID]],4)="tbl-","fig-" &amp; MID(Table3[[#This Row],[Object ID]],5,LEN(Table3[[#This Row],[Object ID]])-4),"")</f>
        <v>fig-other-dzcircsystem-mortal-rande</v>
      </c>
    </row>
    <row r="66" spans="1:7" x14ac:dyDescent="0.2">
      <c r="A66" t="s">
        <v>6</v>
      </c>
      <c r="B66">
        <v>65</v>
      </c>
      <c r="C66" t="s">
        <v>20</v>
      </c>
      <c r="D66" t="s">
        <v>58</v>
      </c>
      <c r="E66" t="s">
        <v>362</v>
      </c>
      <c r="F66" s="7" t="s">
        <v>962</v>
      </c>
      <c r="G66" s="7" t="str">
        <f>IF(LEFT(Table3[[#This Row],[Object ID]],4)="tbl-","fig-" &amp; MID(Table3[[#This Row],[Object ID]],5,LEN(Table3[[#This Row],[Object ID]])-4),"")</f>
        <v>fig-circsystemdz-mortal-zip</v>
      </c>
    </row>
    <row r="67" spans="1:7" x14ac:dyDescent="0.2">
      <c r="A67" t="s">
        <v>6</v>
      </c>
      <c r="B67">
        <v>66</v>
      </c>
      <c r="C67" t="s">
        <v>20</v>
      </c>
      <c r="D67" t="s">
        <v>59</v>
      </c>
      <c r="E67" t="s">
        <v>363</v>
      </c>
      <c r="F67" s="7" t="s">
        <v>963</v>
      </c>
      <c r="G67" s="7" t="str">
        <f>IF(LEFT(Table3[[#This Row],[Object ID]],4)="tbl-","fig-" &amp; MID(Table3[[#This Row],[Object ID]],5,LEN(Table3[[#This Row],[Object ID]])-4),"")</f>
        <v>fig-circsystemdz-sex-aar</v>
      </c>
    </row>
    <row r="68" spans="1:7" x14ac:dyDescent="0.2">
      <c r="A68" t="s">
        <v>6</v>
      </c>
      <c r="B68">
        <v>67</v>
      </c>
      <c r="C68" t="s">
        <v>20</v>
      </c>
      <c r="D68" t="s">
        <v>60</v>
      </c>
      <c r="E68" t="s">
        <v>364</v>
      </c>
      <c r="F68" s="7" t="s">
        <v>1075</v>
      </c>
      <c r="G68" s="7" t="str">
        <f>IF(LEFT(Table3[[#This Row],[Object ID]],4)="tbl-","fig-" &amp; MID(Table3[[#This Row],[Object ID]],5,LEN(Table3[[#This Row],[Object ID]])-4),"")</f>
        <v>fig-clrd-hosp-rande-aar</v>
      </c>
    </row>
    <row r="69" spans="1:7" x14ac:dyDescent="0.2">
      <c r="A69" t="s">
        <v>6</v>
      </c>
      <c r="B69">
        <v>68</v>
      </c>
      <c r="C69" t="s">
        <v>7</v>
      </c>
      <c r="D69" t="s">
        <v>366</v>
      </c>
      <c r="E69" t="s">
        <v>365</v>
      </c>
      <c r="F69" s="7" t="s">
        <v>1076</v>
      </c>
      <c r="G69" s="7" t="str">
        <f>IF(LEFT(Table3[[#This Row],[Object ID]],4)="tbl-","fig-" &amp; MID(Table3[[#This Row],[Object ID]],5,LEN(Table3[[#This Row],[Object ID]])-4),"")</f>
        <v>fig-clrd-count-rate-age-rande-zip</v>
      </c>
    </row>
    <row r="70" spans="1:7" x14ac:dyDescent="0.2">
      <c r="A70" t="s">
        <v>6</v>
      </c>
      <c r="B70">
        <v>69</v>
      </c>
      <c r="C70" t="s">
        <v>20</v>
      </c>
      <c r="D70" t="s">
        <v>61</v>
      </c>
      <c r="E70" t="s">
        <v>367</v>
      </c>
      <c r="F70" s="7" t="s">
        <v>1077</v>
      </c>
      <c r="G70" s="7" t="str">
        <f>IF(LEFT(Table3[[#This Row],[Object ID]],4)="tbl-","fig-" &amp; MID(Table3[[#This Row],[Object ID]],5,LEN(Table3[[#This Row],[Object ID]])-4),"")</f>
        <v>fig-clrd-mortal-aar</v>
      </c>
    </row>
    <row r="71" spans="1:7" x14ac:dyDescent="0.2">
      <c r="A71" t="s">
        <v>6</v>
      </c>
      <c r="B71">
        <v>70</v>
      </c>
      <c r="C71" t="s">
        <v>20</v>
      </c>
      <c r="D71" t="s">
        <v>62</v>
      </c>
      <c r="E71" t="s">
        <v>368</v>
      </c>
      <c r="F71" s="7" t="s">
        <v>1078</v>
      </c>
      <c r="G71" s="7" t="str">
        <f>IF(LEFT(Table3[[#This Row],[Object ID]],4)="tbl-","fig-" &amp; MID(Table3[[#This Row],[Object ID]],5,LEN(Table3[[#This Row],[Object ID]])-4),"")</f>
        <v>fig-clrd-mortal-sex-aar</v>
      </c>
    </row>
    <row r="72" spans="1:7" x14ac:dyDescent="0.2">
      <c r="A72" t="s">
        <v>6</v>
      </c>
      <c r="B72">
        <v>71</v>
      </c>
      <c r="C72" t="s">
        <v>20</v>
      </c>
      <c r="D72" t="s">
        <v>63</v>
      </c>
      <c r="E72" t="s">
        <v>123</v>
      </c>
      <c r="F72" s="7" t="s">
        <v>965</v>
      </c>
      <c r="G72" s="7" t="str">
        <f>IF(LEFT(Table3[[#This Row],[Object ID]],4)="tbl-","fig-" &amp; MID(Table3[[#This Row],[Object ID]],5,LEN(Table3[[#This Row],[Object ID]])-4),"")</f>
        <v>fig-asthma-hosp-rande-aar</v>
      </c>
    </row>
    <row r="73" spans="1:7" x14ac:dyDescent="0.2">
      <c r="A73" t="s">
        <v>6</v>
      </c>
      <c r="B73">
        <v>72</v>
      </c>
      <c r="C73" t="s">
        <v>20</v>
      </c>
      <c r="D73" t="s">
        <v>64</v>
      </c>
      <c r="E73" t="s">
        <v>369</v>
      </c>
      <c r="F73" s="7" t="s">
        <v>966</v>
      </c>
      <c r="G73" s="7" t="str">
        <f>IF(LEFT(Table3[[#This Row],[Object ID]],4)="tbl-","fig-" &amp; MID(Table3[[#This Row],[Object ID]],5,LEN(Table3[[#This Row],[Object ID]])-4),"")</f>
        <v>fig-asthma-hosp-0to17-rande-aar</v>
      </c>
    </row>
    <row r="74" spans="1:7" x14ac:dyDescent="0.2">
      <c r="A74" t="s">
        <v>6</v>
      </c>
      <c r="B74">
        <v>73</v>
      </c>
      <c r="C74" t="s">
        <v>20</v>
      </c>
      <c r="D74" t="s">
        <v>65</v>
      </c>
      <c r="E74" t="s">
        <v>370</v>
      </c>
      <c r="F74" s="7" t="s">
        <v>967</v>
      </c>
      <c r="G74" s="7" t="str">
        <f>IF(LEFT(Table3[[#This Row],[Object ID]],4)="tbl-","fig-" &amp; MID(Table3[[#This Row],[Object ID]],5,LEN(Table3[[#This Row],[Object ID]])-4),"")</f>
        <v>fig-ppasthma-2to17-crude</v>
      </c>
    </row>
    <row r="75" spans="1:7" x14ac:dyDescent="0.2">
      <c r="A75" t="s">
        <v>6</v>
      </c>
      <c r="B75">
        <v>74</v>
      </c>
      <c r="C75" t="s">
        <v>20</v>
      </c>
      <c r="D75" t="s">
        <v>66</v>
      </c>
      <c r="E75" t="s">
        <v>371</v>
      </c>
      <c r="F75" s="7" t="s">
        <v>968</v>
      </c>
      <c r="G75" s="7" t="str">
        <f>IF(LEFT(Table3[[#This Row],[Object ID]],4)="tbl-","fig-" &amp; MID(Table3[[#This Row],[Object ID]],5,LEN(Table3[[#This Row],[Object ID]])-4),"")</f>
        <v>fig-pppneumonia-adult-aar</v>
      </c>
    </row>
    <row r="76" spans="1:7" x14ac:dyDescent="0.2">
      <c r="A76" t="s">
        <v>6</v>
      </c>
      <c r="B76">
        <v>75</v>
      </c>
      <c r="C76" t="s">
        <v>7</v>
      </c>
      <c r="D76" t="s">
        <v>373</v>
      </c>
      <c r="E76" t="s">
        <v>372</v>
      </c>
      <c r="F76" s="7" t="s">
        <v>969</v>
      </c>
      <c r="G76" s="7" t="str">
        <f>IF(LEFT(Table3[[#This Row],[Object ID]],4)="tbl-","fig-" &amp; MID(Table3[[#This Row],[Object ID]],5,LEN(Table3[[#This Row],[Object ID]])-4),"")</f>
        <v>fig-pneumoniaflu-count-rate-age-rande-zip</v>
      </c>
    </row>
    <row r="77" spans="1:7" x14ac:dyDescent="0.2">
      <c r="A77" t="s">
        <v>6</v>
      </c>
      <c r="B77">
        <v>76</v>
      </c>
      <c r="C77" t="s">
        <v>20</v>
      </c>
      <c r="D77" t="s">
        <v>67</v>
      </c>
      <c r="E77" t="s">
        <v>374</v>
      </c>
      <c r="F77" s="7" t="s">
        <v>970</v>
      </c>
      <c r="G77" s="7" t="str">
        <f>IF(LEFT(Table3[[#This Row],[Object ID]],4)="tbl-","fig-" &amp; MID(Table3[[#This Row],[Object ID]],5,LEN(Table3[[#This Row],[Object ID]])-4),"")</f>
        <v>fig-pneumoniaflu-mortal-aar</v>
      </c>
    </row>
    <row r="78" spans="1:7" x14ac:dyDescent="0.2">
      <c r="A78" t="s">
        <v>6</v>
      </c>
      <c r="B78">
        <v>77</v>
      </c>
      <c r="C78" t="s">
        <v>20</v>
      </c>
      <c r="D78" t="s">
        <v>68</v>
      </c>
      <c r="E78" t="s">
        <v>375</v>
      </c>
      <c r="F78" s="7" t="s">
        <v>971</v>
      </c>
      <c r="G78" s="7" t="str">
        <f>IF(LEFT(Table3[[#This Row],[Object ID]],4)="tbl-","fig-" &amp; MID(Table3[[#This Row],[Object ID]],5,LEN(Table3[[#This Row],[Object ID]])-4),"")</f>
        <v>fig-pneumoniaflu-mortal-sex-aar</v>
      </c>
    </row>
    <row r="79" spans="1:7" x14ac:dyDescent="0.2">
      <c r="A79" t="s">
        <v>6</v>
      </c>
      <c r="B79">
        <v>78</v>
      </c>
      <c r="C79" t="s">
        <v>20</v>
      </c>
      <c r="D79" t="s">
        <v>69</v>
      </c>
      <c r="E79" t="s">
        <v>376</v>
      </c>
      <c r="F79" s="7" t="s">
        <v>972</v>
      </c>
      <c r="G79" s="7" t="str">
        <f>IF(LEFT(Table3[[#This Row],[Object ID]],4)="tbl-","fig-" &amp; MID(Table3[[#This Row],[Object ID]],5,LEN(Table3[[#This Row],[Object ID]])-4),"")</f>
        <v>fig-dm-anydx-hosp-rande-aar</v>
      </c>
    </row>
    <row r="80" spans="1:7" x14ac:dyDescent="0.2">
      <c r="A80" t="s">
        <v>6</v>
      </c>
      <c r="B80">
        <v>79</v>
      </c>
      <c r="C80" t="s">
        <v>20</v>
      </c>
      <c r="D80" t="s">
        <v>70</v>
      </c>
      <c r="E80" t="s">
        <v>377</v>
      </c>
      <c r="F80" s="7" t="s">
        <v>973</v>
      </c>
      <c r="G80" s="7" t="str">
        <f>IF(LEFT(Table3[[#This Row],[Object ID]],4)="tbl-","fig-" &amp; MID(Table3[[#This Row],[Object ID]],5,LEN(Table3[[#This Row],[Object ID]])-4),"")</f>
        <v>fig-dm-primarydx-hosp-rande-aar</v>
      </c>
    </row>
    <row r="81" spans="1:7" x14ac:dyDescent="0.2">
      <c r="A81" t="s">
        <v>6</v>
      </c>
      <c r="B81">
        <v>80</v>
      </c>
      <c r="C81" t="s">
        <v>7</v>
      </c>
      <c r="D81" t="s">
        <v>379</v>
      </c>
      <c r="E81" t="s">
        <v>378</v>
      </c>
      <c r="F81" s="7" t="s">
        <v>974</v>
      </c>
      <c r="G81" s="7" t="str">
        <f>IF(LEFT(Table3[[#This Row],[Object ID]],4)="tbl-","fig-" &amp; MID(Table3[[#This Row],[Object ID]],5,LEN(Table3[[#This Row],[Object ID]])-4),"")</f>
        <v>fig-dm-count-rate-age-rande-zip</v>
      </c>
    </row>
    <row r="82" spans="1:7" x14ac:dyDescent="0.2">
      <c r="A82" t="s">
        <v>6</v>
      </c>
      <c r="B82">
        <v>81</v>
      </c>
      <c r="C82" t="s">
        <v>20</v>
      </c>
      <c r="D82" t="s">
        <v>71</v>
      </c>
      <c r="E82" t="s">
        <v>380</v>
      </c>
      <c r="F82" s="7" t="s">
        <v>988</v>
      </c>
      <c r="G82" s="7" t="str">
        <f>IF(LEFT(Table3[[#This Row],[Object ID]],4)="tbl-","fig-" &amp; MID(Table3[[#This Row],[Object ID]],5,LEN(Table3[[#This Row],[Object ID]])-4),"")</f>
        <v>fig-dm-mortal-aar</v>
      </c>
    </row>
    <row r="83" spans="1:7" x14ac:dyDescent="0.2">
      <c r="A83" t="s">
        <v>6</v>
      </c>
      <c r="B83">
        <v>82</v>
      </c>
      <c r="C83" t="s">
        <v>20</v>
      </c>
      <c r="D83" t="s">
        <v>72</v>
      </c>
      <c r="E83" t="s">
        <v>381</v>
      </c>
      <c r="F83" s="7" t="s">
        <v>989</v>
      </c>
      <c r="G83" s="7" t="str">
        <f>IF(LEFT(Table3[[#This Row],[Object ID]],4)="tbl-","fig-" &amp; MID(Table3[[#This Row],[Object ID]],5,LEN(Table3[[#This Row],[Object ID]])-4),"")</f>
        <v>fig-dm-mortal-sex-aar</v>
      </c>
    </row>
    <row r="84" spans="1:7" x14ac:dyDescent="0.2">
      <c r="A84" t="s">
        <v>6</v>
      </c>
      <c r="B84">
        <v>83</v>
      </c>
      <c r="C84" t="s">
        <v>20</v>
      </c>
      <c r="D84" t="s">
        <v>73</v>
      </c>
      <c r="E84" t="s">
        <v>975</v>
      </c>
      <c r="F84" s="7" t="s">
        <v>976</v>
      </c>
      <c r="G84" s="7" t="str">
        <f>IF(LEFT(Table3[[#This Row],[Object ID]],4)="tbl-","fig-" &amp; MID(Table3[[#This Row],[Object ID]],5,LEN(Table3[[#This Row],[Object ID]])-4),"")</f>
        <v>fig-overweight-obese-adult</v>
      </c>
    </row>
    <row r="85" spans="1:7" x14ac:dyDescent="0.2">
      <c r="A85" t="s">
        <v>6</v>
      </c>
      <c r="B85">
        <v>84</v>
      </c>
      <c r="C85" t="s">
        <v>20</v>
      </c>
      <c r="D85" t="s">
        <v>74</v>
      </c>
      <c r="E85" t="s">
        <v>139</v>
      </c>
      <c r="F85" s="7" t="s">
        <v>977</v>
      </c>
      <c r="G85" s="7" t="str">
        <f>IF(LEFT(Table3[[#This Row],[Object ID]],4)="tbl-","fig-" &amp; MID(Table3[[#This Row],[Object ID]],5,LEN(Table3[[#This Row],[Object ID]])-4),"")</f>
        <v>fig-obese-adult</v>
      </c>
    </row>
    <row r="86" spans="1:7" x14ac:dyDescent="0.2">
      <c r="A86" t="s">
        <v>6</v>
      </c>
      <c r="B86">
        <v>85</v>
      </c>
      <c r="C86" t="s">
        <v>20</v>
      </c>
      <c r="D86" t="s">
        <v>75</v>
      </c>
      <c r="E86" t="s">
        <v>383</v>
      </c>
      <c r="F86" s="7" t="s">
        <v>990</v>
      </c>
      <c r="G86" s="7" t="str">
        <f>IF(LEFT(Table3[[#This Row],[Object ID]],4)="tbl-","fig-" &amp; MID(Table3[[#This Row],[Object ID]],5,LEN(Table3[[#This Row],[Object ID]])-4),"")</f>
        <v>fig-obese-child</v>
      </c>
    </row>
    <row r="87" spans="1:7" x14ac:dyDescent="0.2">
      <c r="A87" t="s">
        <v>6</v>
      </c>
      <c r="B87">
        <v>86</v>
      </c>
      <c r="C87" t="s">
        <v>7</v>
      </c>
      <c r="D87" t="s">
        <v>385</v>
      </c>
      <c r="E87" t="s">
        <v>384</v>
      </c>
      <c r="F87" s="7" t="s">
        <v>978</v>
      </c>
      <c r="G87" s="7" t="str">
        <f>IF(LEFT(Table3[[#This Row],[Object ID]],4)="tbl-","fig-" &amp; MID(Table3[[#This Row],[Object ID]],5,LEN(Table3[[#This Row],[Object ID]])-4),"")</f>
        <v>fig-liverdz-count-rate-age-rande-zip</v>
      </c>
    </row>
    <row r="88" spans="1:7" x14ac:dyDescent="0.2">
      <c r="A88" t="s">
        <v>6</v>
      </c>
      <c r="B88">
        <v>87</v>
      </c>
      <c r="C88" t="s">
        <v>20</v>
      </c>
      <c r="D88" t="s">
        <v>76</v>
      </c>
      <c r="E88" t="s">
        <v>386</v>
      </c>
      <c r="F88" s="7" t="s">
        <v>979</v>
      </c>
      <c r="G88" s="7" t="str">
        <f>IF(LEFT(Table3[[#This Row],[Object ID]],4)="tbl-","fig-" &amp; MID(Table3[[#This Row],[Object ID]],5,LEN(Table3[[#This Row],[Object ID]])-4),"")</f>
        <v>fig-liverdz-mortal-aar</v>
      </c>
    </row>
    <row r="89" spans="1:7" x14ac:dyDescent="0.2">
      <c r="A89" t="s">
        <v>6</v>
      </c>
      <c r="B89">
        <v>88</v>
      </c>
      <c r="C89" t="s">
        <v>20</v>
      </c>
      <c r="D89" t="s">
        <v>77</v>
      </c>
      <c r="E89" t="s">
        <v>387</v>
      </c>
      <c r="F89" s="7" t="s">
        <v>980</v>
      </c>
      <c r="G89" s="7" t="str">
        <f>IF(LEFT(Table3[[#This Row],[Object ID]],4)="tbl-","fig-" &amp; MID(Table3[[#This Row],[Object ID]],5,LEN(Table3[[#This Row],[Object ID]])-4),"")</f>
        <v>fig-liverdz-mortal-sex-aar</v>
      </c>
    </row>
    <row r="90" spans="1:7" x14ac:dyDescent="0.2">
      <c r="A90" t="s">
        <v>6</v>
      </c>
      <c r="B90">
        <v>89</v>
      </c>
      <c r="C90" t="s">
        <v>20</v>
      </c>
      <c r="D90" t="s">
        <v>78</v>
      </c>
      <c r="E90" t="s">
        <v>388</v>
      </c>
      <c r="F90" s="7" t="s">
        <v>981</v>
      </c>
      <c r="G90" s="7" t="str">
        <f>IF(LEFT(Table3[[#This Row],[Object ID]],4)="tbl-","fig-" &amp; MID(Table3[[#This Row],[Object ID]],5,LEN(Table3[[#This Row],[Object ID]])-4),"")</f>
        <v>fig-ckd-edvisit-aar</v>
      </c>
    </row>
    <row r="91" spans="1:7" x14ac:dyDescent="0.2">
      <c r="A91" t="s">
        <v>6</v>
      </c>
      <c r="B91">
        <v>90</v>
      </c>
      <c r="C91" t="s">
        <v>20</v>
      </c>
      <c r="D91" t="s">
        <v>79</v>
      </c>
      <c r="E91" t="s">
        <v>389</v>
      </c>
      <c r="F91" s="7" t="s">
        <v>982</v>
      </c>
      <c r="G91" s="7" t="str">
        <f>IF(LEFT(Table3[[#This Row],[Object ID]],4)="tbl-","fig-" &amp; MID(Table3[[#This Row],[Object ID]],5,LEN(Table3[[#This Row],[Object ID]])-4),"")</f>
        <v>fig-ckd-hosp-rate</v>
      </c>
    </row>
    <row r="92" spans="1:7" x14ac:dyDescent="0.2">
      <c r="A92" t="s">
        <v>6</v>
      </c>
      <c r="B92">
        <v>91</v>
      </c>
      <c r="C92" t="s">
        <v>20</v>
      </c>
      <c r="D92" t="s">
        <v>80</v>
      </c>
      <c r="E92" t="s">
        <v>390</v>
      </c>
      <c r="F92" s="7" t="s">
        <v>991</v>
      </c>
      <c r="G92" s="7" t="str">
        <f>IF(LEFT(Table3[[#This Row],[Object ID]],4)="tbl-","fig-" &amp; MID(Table3[[#This Row],[Object ID]],5,LEN(Table3[[#This Row],[Object ID]])-4),"")</f>
        <v>fig-allsitesca-incidence-aar</v>
      </c>
    </row>
    <row r="93" spans="1:7" x14ac:dyDescent="0.2">
      <c r="A93" t="s">
        <v>6</v>
      </c>
      <c r="B93">
        <v>92</v>
      </c>
      <c r="C93" t="s">
        <v>20</v>
      </c>
      <c r="D93" t="s">
        <v>81</v>
      </c>
      <c r="E93" t="s">
        <v>391</v>
      </c>
      <c r="F93" s="7" t="s">
        <v>992</v>
      </c>
      <c r="G93" s="7" t="str">
        <f>IF(LEFT(Table3[[#This Row],[Object ID]],4)="tbl-","fig-" &amp; MID(Table3[[#This Row],[Object ID]],5,LEN(Table3[[#This Row],[Object ID]])-4),"")</f>
        <v>fig-allsitesca-incidence-rande-aar</v>
      </c>
    </row>
    <row r="94" spans="1:7" x14ac:dyDescent="0.2">
      <c r="A94" t="s">
        <v>6</v>
      </c>
      <c r="B94">
        <v>93</v>
      </c>
      <c r="C94" t="s">
        <v>7</v>
      </c>
      <c r="D94" t="s">
        <v>393</v>
      </c>
      <c r="E94" t="s">
        <v>392</v>
      </c>
      <c r="F94" s="7" t="s">
        <v>983</v>
      </c>
      <c r="G94" s="7" t="str">
        <f>IF(LEFT(Table3[[#This Row],[Object ID]],4)="tbl-","fig-" &amp; MID(Table3[[#This Row],[Object ID]],5,LEN(Table3[[#This Row],[Object ID]])-4),"")</f>
        <v>fig-neoplasm-count-rate-age-rande-zip</v>
      </c>
    </row>
    <row r="95" spans="1:7" x14ac:dyDescent="0.2">
      <c r="A95" t="s">
        <v>6</v>
      </c>
      <c r="B95">
        <v>94</v>
      </c>
      <c r="C95" t="s">
        <v>20</v>
      </c>
      <c r="D95" t="s">
        <v>82</v>
      </c>
      <c r="E95" t="s">
        <v>480</v>
      </c>
      <c r="F95" s="7" t="s">
        <v>984</v>
      </c>
      <c r="G95" s="7" t="str">
        <f>IF(LEFT(Table3[[#This Row],[Object ID]],4)="tbl-","fig-" &amp; MID(Table3[[#This Row],[Object ID]],5,LEN(Table3[[#This Row],[Object ID]])-4),"")</f>
        <v>fig-neoplasm-mortal-aar</v>
      </c>
    </row>
    <row r="96" spans="1:7" x14ac:dyDescent="0.2">
      <c r="A96" t="s">
        <v>6</v>
      </c>
      <c r="B96">
        <v>95</v>
      </c>
      <c r="C96" t="s">
        <v>20</v>
      </c>
      <c r="D96" t="s">
        <v>83</v>
      </c>
      <c r="E96" t="s">
        <v>481</v>
      </c>
      <c r="F96" s="7" t="s">
        <v>985</v>
      </c>
      <c r="G96" s="7" t="str">
        <f>IF(LEFT(Table3[[#This Row],[Object ID]],4)="tbl-","fig-" &amp; MID(Table3[[#This Row],[Object ID]],5,LEN(Table3[[#This Row],[Object ID]])-4),"")</f>
        <v>fig-neoplasm-mortal-rande</v>
      </c>
    </row>
    <row r="97" spans="1:7" x14ac:dyDescent="0.2">
      <c r="A97" t="s">
        <v>6</v>
      </c>
      <c r="B97">
        <v>96</v>
      </c>
      <c r="C97" t="s">
        <v>20</v>
      </c>
      <c r="D97" t="s">
        <v>84</v>
      </c>
      <c r="E97" t="s">
        <v>482</v>
      </c>
      <c r="F97" s="7" t="s">
        <v>986</v>
      </c>
      <c r="G97" s="7" t="str">
        <f>IF(LEFT(Table3[[#This Row],[Object ID]],4)="tbl-","fig-" &amp; MID(Table3[[#This Row],[Object ID]],5,LEN(Table3[[#This Row],[Object ID]])-4),"")</f>
        <v>fig-neoplasm-mortal-zip</v>
      </c>
    </row>
    <row r="98" spans="1:7" x14ac:dyDescent="0.2">
      <c r="A98" t="s">
        <v>6</v>
      </c>
      <c r="B98">
        <v>97</v>
      </c>
      <c r="C98" t="s">
        <v>20</v>
      </c>
      <c r="D98" t="s">
        <v>85</v>
      </c>
      <c r="E98" t="s">
        <v>483</v>
      </c>
      <c r="F98" s="7" t="s">
        <v>987</v>
      </c>
      <c r="G98" s="7" t="str">
        <f>IF(LEFT(Table3[[#This Row],[Object ID]],4)="tbl-","fig-" &amp; MID(Table3[[#This Row],[Object ID]],5,LEN(Table3[[#This Row],[Object ID]])-4),"")</f>
        <v>fig-neoplasm-mortal-sex-aar</v>
      </c>
    </row>
    <row r="99" spans="1:7" x14ac:dyDescent="0.2">
      <c r="A99" t="s">
        <v>6</v>
      </c>
      <c r="B99">
        <v>98</v>
      </c>
      <c r="C99" t="s">
        <v>20</v>
      </c>
      <c r="D99" t="s">
        <v>86</v>
      </c>
      <c r="E99" t="s">
        <v>486</v>
      </c>
      <c r="F99" s="7" t="s">
        <v>997</v>
      </c>
      <c r="G99" s="7" t="str">
        <f>IF(LEFT(Table3[[#This Row],[Object ID]],4)="tbl-","fig-" &amp; MID(Table3[[#This Row],[Object ID]],5,LEN(Table3[[#This Row],[Object ID]])-4),"")</f>
        <v>fig-cancerall-mortal-aar-three</v>
      </c>
    </row>
    <row r="100" spans="1:7" x14ac:dyDescent="0.2">
      <c r="A100" t="s">
        <v>6</v>
      </c>
      <c r="B100">
        <v>99</v>
      </c>
      <c r="C100" t="s">
        <v>20</v>
      </c>
      <c r="D100" t="s">
        <v>87</v>
      </c>
      <c r="E100" t="s">
        <v>487</v>
      </c>
      <c r="F100" s="7" t="s">
        <v>998</v>
      </c>
      <c r="G100" s="7" t="str">
        <f>IF(LEFT(Table3[[#This Row],[Object ID]],4)="tbl-","fig-" &amp; MID(Table3[[#This Row],[Object ID]],5,LEN(Table3[[#This Row],[Object ID]])-4),"")</f>
        <v>fig-cancerall-mortal-aar-five</v>
      </c>
    </row>
    <row r="101" spans="1:7" x14ac:dyDescent="0.2">
      <c r="A101" t="s">
        <v>6</v>
      </c>
      <c r="B101">
        <v>100</v>
      </c>
      <c r="C101" t="s">
        <v>20</v>
      </c>
      <c r="D101" t="s">
        <v>88</v>
      </c>
      <c r="E101" t="s">
        <v>491</v>
      </c>
      <c r="F101" s="7" t="s">
        <v>1001</v>
      </c>
      <c r="G101" s="7" t="str">
        <f>IF(LEFT(Table3[[#This Row],[Object ID]],4)="tbl-","fig-" &amp; MID(Table3[[#This Row],[Object ID]],5,LEN(Table3[[#This Row],[Object ID]])-4),"")</f>
        <v>fig-cancerall-incidence-rande-aar-five</v>
      </c>
    </row>
    <row r="102" spans="1:7" x14ac:dyDescent="0.2">
      <c r="A102" t="s">
        <v>6</v>
      </c>
      <c r="B102">
        <v>101</v>
      </c>
      <c r="C102" t="s">
        <v>20</v>
      </c>
      <c r="D102" s="20" t="s">
        <v>89</v>
      </c>
      <c r="E102" t="s">
        <v>492</v>
      </c>
      <c r="F102" s="7" t="s">
        <v>1006</v>
      </c>
      <c r="G102" s="7" t="str">
        <f>IF(LEFT(Table3[[#This Row],[Object ID]],4)="tbl-","fig-" &amp; MID(Table3[[#This Row],[Object ID]],5,LEN(Table3[[#This Row],[Object ID]])-4),"")</f>
        <v>fig-lungbronchus-incidence-aar-single</v>
      </c>
    </row>
    <row r="103" spans="1:7" x14ac:dyDescent="0.2">
      <c r="A103" t="s">
        <v>6</v>
      </c>
      <c r="B103">
        <v>102</v>
      </c>
      <c r="C103" t="s">
        <v>20</v>
      </c>
      <c r="D103" t="s">
        <v>90</v>
      </c>
      <c r="E103" t="s">
        <v>493</v>
      </c>
      <c r="F103" s="7" t="s">
        <v>996</v>
      </c>
      <c r="G103" s="7" t="str">
        <f>IF(LEFT(Table3[[#This Row],[Object ID]],4)="tbl-","fig-" &amp; MID(Table3[[#This Row],[Object ID]],5,LEN(Table3[[#This Row],[Object ID]])-4),"")</f>
        <v>fig-lungbronchus-incidence-aar-five</v>
      </c>
    </row>
    <row r="104" spans="1:7" x14ac:dyDescent="0.2">
      <c r="A104" t="s">
        <v>6</v>
      </c>
      <c r="B104">
        <v>103</v>
      </c>
      <c r="C104" t="s">
        <v>20</v>
      </c>
      <c r="D104" t="s">
        <v>91</v>
      </c>
      <c r="E104" t="s">
        <v>494</v>
      </c>
      <c r="F104" s="7" t="s">
        <v>1002</v>
      </c>
      <c r="G104" s="7" t="str">
        <f>IF(LEFT(Table3[[#This Row],[Object ID]],4)="tbl-","fig-" &amp; MID(Table3[[#This Row],[Object ID]],5,LEN(Table3[[#This Row],[Object ID]])-4),"")</f>
        <v>fig-lungbronchus-incidence-rande-aar-five</v>
      </c>
    </row>
    <row r="105" spans="1:7" x14ac:dyDescent="0.2">
      <c r="A105" t="s">
        <v>6</v>
      </c>
      <c r="B105">
        <v>104</v>
      </c>
      <c r="C105" t="s">
        <v>20</v>
      </c>
      <c r="D105" s="20" t="s">
        <v>92</v>
      </c>
      <c r="E105" t="s">
        <v>495</v>
      </c>
      <c r="F105" s="7" t="s">
        <v>1007</v>
      </c>
      <c r="G105" s="7" t="str">
        <f>IF(LEFT(Table3[[#This Row],[Object ID]],4)="tbl-","fig-" &amp; MID(Table3[[#This Row],[Object ID]],5,LEN(Table3[[#This Row],[Object ID]])-4),"")</f>
        <v>fig-lungbronchus-mortal-aar-single</v>
      </c>
    </row>
    <row r="106" spans="1:7" x14ac:dyDescent="0.2">
      <c r="A106" t="s">
        <v>6</v>
      </c>
      <c r="B106">
        <v>105</v>
      </c>
      <c r="C106" t="s">
        <v>20</v>
      </c>
      <c r="D106" t="s">
        <v>93</v>
      </c>
      <c r="E106" t="s">
        <v>496</v>
      </c>
      <c r="F106" s="7" t="s">
        <v>999</v>
      </c>
      <c r="G106" s="7" t="str">
        <f>IF(LEFT(Table3[[#This Row],[Object ID]],4)="tbl-","fig-" &amp; MID(Table3[[#This Row],[Object ID]],5,LEN(Table3[[#This Row],[Object ID]])-4),"")</f>
        <v>fig-lungbronchus-mortal-aar-five</v>
      </c>
    </row>
    <row r="107" spans="1:7" x14ac:dyDescent="0.2">
      <c r="A107" t="s">
        <v>6</v>
      </c>
      <c r="B107">
        <v>106</v>
      </c>
      <c r="C107" t="s">
        <v>20</v>
      </c>
      <c r="D107" t="s">
        <v>94</v>
      </c>
      <c r="E107" t="s">
        <v>511</v>
      </c>
      <c r="F107" s="7" t="s">
        <v>1010</v>
      </c>
      <c r="G107" s="7" t="str">
        <f>IF(LEFT(Table3[[#This Row],[Object ID]],4)="tbl-","fig-" &amp; MID(Table3[[#This Row],[Object ID]],5,LEN(Table3[[#This Row],[Object ID]])-4),"")</f>
        <v>fig-lungbronchus-mortal-rande-aar-five</v>
      </c>
    </row>
    <row r="108" spans="1:7" x14ac:dyDescent="0.2">
      <c r="A108" t="s">
        <v>6</v>
      </c>
      <c r="B108">
        <v>107</v>
      </c>
      <c r="C108" t="s">
        <v>20</v>
      </c>
      <c r="D108" t="s">
        <v>95</v>
      </c>
      <c r="E108" t="s">
        <v>512</v>
      </c>
      <c r="F108" s="7" t="s">
        <v>1000</v>
      </c>
      <c r="G108" s="7" t="str">
        <f>IF(LEFT(Table3[[#This Row],[Object ID]],4)="tbl-","fig-" &amp; MID(Table3[[#This Row],[Object ID]],5,LEN(Table3[[#This Row],[Object ID]])-4),"")</f>
        <v>fig-colonrectum-incidence-aar-five</v>
      </c>
    </row>
    <row r="109" spans="1:7" x14ac:dyDescent="0.2">
      <c r="A109" t="s">
        <v>6</v>
      </c>
      <c r="B109">
        <v>108</v>
      </c>
      <c r="C109" t="s">
        <v>20</v>
      </c>
      <c r="D109" t="s">
        <v>96</v>
      </c>
      <c r="E109" t="s">
        <v>513</v>
      </c>
      <c r="F109" s="7" t="s">
        <v>1003</v>
      </c>
      <c r="G109" s="7" t="str">
        <f>IF(LEFT(Table3[[#This Row],[Object ID]],4)="tbl-","fig-" &amp; MID(Table3[[#This Row],[Object ID]],5,LEN(Table3[[#This Row],[Object ID]])-4),"")</f>
        <v>fig-colonrectum-incidence-rande-aar-five</v>
      </c>
    </row>
    <row r="110" spans="1:7" x14ac:dyDescent="0.2">
      <c r="A110" t="s">
        <v>6</v>
      </c>
      <c r="B110">
        <v>109</v>
      </c>
      <c r="C110" t="s">
        <v>20</v>
      </c>
      <c r="D110" t="s">
        <v>97</v>
      </c>
      <c r="E110" t="s">
        <v>514</v>
      </c>
      <c r="F110" s="7" t="s">
        <v>1004</v>
      </c>
      <c r="G110" s="7" t="str">
        <f>IF(LEFT(Table3[[#This Row],[Object ID]],4)="tbl-","fig-" &amp; MID(Table3[[#This Row],[Object ID]],5,LEN(Table3[[#This Row],[Object ID]])-4),"")</f>
        <v>fig-colonrectum-mortal-aar-five</v>
      </c>
    </row>
    <row r="111" spans="1:7" x14ac:dyDescent="0.2">
      <c r="A111" t="s">
        <v>6</v>
      </c>
      <c r="B111">
        <v>110</v>
      </c>
      <c r="C111" t="s">
        <v>20</v>
      </c>
      <c r="D111" t="s">
        <v>98</v>
      </c>
      <c r="E111" t="s">
        <v>515</v>
      </c>
      <c r="F111" s="7" t="s">
        <v>1005</v>
      </c>
      <c r="G111" s="7" t="str">
        <f>IF(LEFT(Table3[[#This Row],[Object ID]],4)="tbl-","fig-" &amp; MID(Table3[[#This Row],[Object ID]],5,LEN(Table3[[#This Row],[Object ID]])-4),"")</f>
        <v>fig-colonrectum-mortal-rande-aar-five</v>
      </c>
    </row>
    <row r="112" spans="1:7" x14ac:dyDescent="0.2">
      <c r="A112" t="s">
        <v>6</v>
      </c>
      <c r="B112">
        <v>111</v>
      </c>
      <c r="C112" t="s">
        <v>20</v>
      </c>
      <c r="D112" s="20" t="s">
        <v>99</v>
      </c>
      <c r="E112" t="s">
        <v>1008</v>
      </c>
      <c r="F112" s="7" t="s">
        <v>1011</v>
      </c>
      <c r="G112" s="7" t="str">
        <f>IF(LEFT(Table3[[#This Row],[Object ID]],4)="tbl-","fig-" &amp; MID(Table3[[#This Row],[Object ID]],5,LEN(Table3[[#This Row],[Object ID]])-4),"")</f>
        <v>fig-femalebreast-incidence-aar-single</v>
      </c>
    </row>
    <row r="113" spans="1:7" x14ac:dyDescent="0.2">
      <c r="A113" t="s">
        <v>6</v>
      </c>
      <c r="B113">
        <v>112</v>
      </c>
      <c r="C113" t="s">
        <v>20</v>
      </c>
      <c r="D113" t="s">
        <v>100</v>
      </c>
      <c r="E113" t="s">
        <v>516</v>
      </c>
      <c r="F113" s="7" t="s">
        <v>1012</v>
      </c>
      <c r="G113" s="7" t="str">
        <f>IF(LEFT(Table3[[#This Row],[Object ID]],4)="tbl-","fig-" &amp; MID(Table3[[#This Row],[Object ID]],5,LEN(Table3[[#This Row],[Object ID]])-4),"")</f>
        <v>fig-femalebreast-incidence-aar-five</v>
      </c>
    </row>
    <row r="114" spans="1:7" x14ac:dyDescent="0.2">
      <c r="A114" t="s">
        <v>6</v>
      </c>
      <c r="B114">
        <v>113</v>
      </c>
      <c r="C114" t="s">
        <v>20</v>
      </c>
      <c r="D114" t="s">
        <v>101</v>
      </c>
      <c r="E114" t="s">
        <v>517</v>
      </c>
      <c r="F114" s="7" t="s">
        <v>1024</v>
      </c>
      <c r="G114" s="7" t="str">
        <f>IF(LEFT(Table3[[#This Row],[Object ID]],4)="tbl-","fig-" &amp; MID(Table3[[#This Row],[Object ID]],5,LEN(Table3[[#This Row],[Object ID]])-4),"")</f>
        <v>fig-femalebreast-incidence-rande-aar-five</v>
      </c>
    </row>
    <row r="115" spans="1:7" x14ac:dyDescent="0.2">
      <c r="A115" t="s">
        <v>6</v>
      </c>
      <c r="B115">
        <v>114</v>
      </c>
      <c r="C115" t="s">
        <v>20</v>
      </c>
      <c r="D115" s="20" t="s">
        <v>102</v>
      </c>
      <c r="E115" t="s">
        <v>1009</v>
      </c>
      <c r="F115" s="7" t="s">
        <v>1013</v>
      </c>
      <c r="G115" s="7" t="str">
        <f>IF(LEFT(Table3[[#This Row],[Object ID]],4)="tbl-","fig-" &amp; MID(Table3[[#This Row],[Object ID]],5,LEN(Table3[[#This Row],[Object ID]])-4),"")</f>
        <v>fig-femalebreast-mortal-aar-single</v>
      </c>
    </row>
    <row r="116" spans="1:7" x14ac:dyDescent="0.2">
      <c r="A116" t="s">
        <v>6</v>
      </c>
      <c r="B116">
        <v>115</v>
      </c>
      <c r="C116" t="s">
        <v>20</v>
      </c>
      <c r="D116" t="s">
        <v>103</v>
      </c>
      <c r="E116" t="s">
        <v>518</v>
      </c>
      <c r="F116" s="7" t="s">
        <v>1014</v>
      </c>
      <c r="G116" s="7" t="str">
        <f>IF(LEFT(Table3[[#This Row],[Object ID]],4)="tbl-","fig-" &amp; MID(Table3[[#This Row],[Object ID]],5,LEN(Table3[[#This Row],[Object ID]])-4),"")</f>
        <v>fig-femalebreast-mortal-aar-five</v>
      </c>
    </row>
    <row r="117" spans="1:7" x14ac:dyDescent="0.2">
      <c r="A117" t="s">
        <v>6</v>
      </c>
      <c r="B117">
        <v>116</v>
      </c>
      <c r="C117" t="s">
        <v>20</v>
      </c>
      <c r="D117" t="s">
        <v>104</v>
      </c>
      <c r="E117" t="s">
        <v>519</v>
      </c>
      <c r="F117" s="7" t="s">
        <v>1015</v>
      </c>
      <c r="G117" s="7" t="str">
        <f>IF(LEFT(Table3[[#This Row],[Object ID]],4)="tbl-","fig-" &amp; MID(Table3[[#This Row],[Object ID]],5,LEN(Table3[[#This Row],[Object ID]])-4),"")</f>
        <v>fig-femalebreast-mortal-rande-aar-five</v>
      </c>
    </row>
    <row r="118" spans="1:7" x14ac:dyDescent="0.2">
      <c r="A118" t="s">
        <v>6</v>
      </c>
      <c r="B118">
        <v>117</v>
      </c>
      <c r="C118" t="s">
        <v>20</v>
      </c>
      <c r="D118" s="20" t="s">
        <v>105</v>
      </c>
      <c r="E118" t="s">
        <v>1018</v>
      </c>
      <c r="F118" s="7" t="s">
        <v>1016</v>
      </c>
      <c r="G118" s="7" t="str">
        <f>IF(LEFT(Table3[[#This Row],[Object ID]],4)="tbl-","fig-" &amp; MID(Table3[[#This Row],[Object ID]],5,LEN(Table3[[#This Row],[Object ID]])-4),"")</f>
        <v>fig-cervixuteri-incidence-aar-single</v>
      </c>
    </row>
    <row r="119" spans="1:7" x14ac:dyDescent="0.2">
      <c r="A119" t="s">
        <v>6</v>
      </c>
      <c r="B119">
        <v>118</v>
      </c>
      <c r="C119" t="s">
        <v>20</v>
      </c>
      <c r="D119" t="s">
        <v>106</v>
      </c>
      <c r="E119" t="s">
        <v>520</v>
      </c>
      <c r="F119" s="7" t="s">
        <v>1017</v>
      </c>
      <c r="G119" s="7" t="str">
        <f>IF(LEFT(Table3[[#This Row],[Object ID]],4)="tbl-","fig-" &amp; MID(Table3[[#This Row],[Object ID]],5,LEN(Table3[[#This Row],[Object ID]])-4),"")</f>
        <v>fig-cervixuteri-incidence-aar-five</v>
      </c>
    </row>
    <row r="120" spans="1:7" x14ac:dyDescent="0.2">
      <c r="A120" t="s">
        <v>6</v>
      </c>
      <c r="B120">
        <v>119</v>
      </c>
      <c r="C120" t="s">
        <v>20</v>
      </c>
      <c r="D120" s="20" t="s">
        <v>107</v>
      </c>
      <c r="E120" t="s">
        <v>1019</v>
      </c>
      <c r="F120" s="7" t="s">
        <v>1020</v>
      </c>
      <c r="G120" s="7" t="str">
        <f>IF(LEFT(Table3[[#This Row],[Object ID]],4)="tbl-","fig-" &amp; MID(Table3[[#This Row],[Object ID]],5,LEN(Table3[[#This Row],[Object ID]])-4),"")</f>
        <v>fig-cervixuteri-mortal-aar-single</v>
      </c>
    </row>
    <row r="121" spans="1:7" x14ac:dyDescent="0.2">
      <c r="A121" t="s">
        <v>6</v>
      </c>
      <c r="B121">
        <v>120</v>
      </c>
      <c r="C121" t="s">
        <v>20</v>
      </c>
      <c r="D121" t="s">
        <v>108</v>
      </c>
      <c r="E121" t="s">
        <v>522</v>
      </c>
      <c r="F121" s="7" t="s">
        <v>1021</v>
      </c>
      <c r="G121" s="7" t="str">
        <f>IF(LEFT(Table3[[#This Row],[Object ID]],4)="tbl-","fig-" &amp; MID(Table3[[#This Row],[Object ID]],5,LEN(Table3[[#This Row],[Object ID]])-4),"")</f>
        <v>fig-cervixuteri-mortal-aar-five</v>
      </c>
    </row>
    <row r="122" spans="1:7" x14ac:dyDescent="0.2">
      <c r="A122" t="s">
        <v>6</v>
      </c>
      <c r="B122">
        <v>121</v>
      </c>
      <c r="C122" t="s">
        <v>20</v>
      </c>
      <c r="D122" s="20" t="s">
        <v>109</v>
      </c>
      <c r="E122" t="s">
        <v>1022</v>
      </c>
      <c r="F122" s="7" t="s">
        <v>1026</v>
      </c>
      <c r="G122" s="7" t="str">
        <f>IF(LEFT(Table3[[#This Row],[Object ID]],4)="tbl-","fig-" &amp; MID(Table3[[#This Row],[Object ID]],5,LEN(Table3[[#This Row],[Object ID]])-4),"")</f>
        <v>fig-prostate-incidence-aar-single</v>
      </c>
    </row>
    <row r="123" spans="1:7" x14ac:dyDescent="0.2">
      <c r="A123" t="s">
        <v>6</v>
      </c>
      <c r="B123">
        <v>122</v>
      </c>
      <c r="C123" t="s">
        <v>20</v>
      </c>
      <c r="D123" t="s">
        <v>110</v>
      </c>
      <c r="E123" t="s">
        <v>523</v>
      </c>
      <c r="F123" s="7" t="s">
        <v>1025</v>
      </c>
      <c r="G123" s="7" t="str">
        <f>IF(LEFT(Table3[[#This Row],[Object ID]],4)="tbl-","fig-" &amp; MID(Table3[[#This Row],[Object ID]],5,LEN(Table3[[#This Row],[Object ID]])-4),"")</f>
        <v>fig-prostate-incidence-aar-five</v>
      </c>
    </row>
    <row r="124" spans="1:7" x14ac:dyDescent="0.2">
      <c r="A124" t="s">
        <v>6</v>
      </c>
      <c r="B124">
        <v>123</v>
      </c>
      <c r="C124" t="s">
        <v>20</v>
      </c>
      <c r="D124" t="s">
        <v>112</v>
      </c>
      <c r="E124" t="s">
        <v>524</v>
      </c>
      <c r="F124" s="7" t="s">
        <v>1027</v>
      </c>
      <c r="G124" s="7" t="str">
        <f>IF(LEFT(Table3[[#This Row],[Object ID]],4)="tbl-","fig-" &amp; MID(Table3[[#This Row],[Object ID]],5,LEN(Table3[[#This Row],[Object ID]])-4),"")</f>
        <v>fig-prostate-incidence-rande-aar-five</v>
      </c>
    </row>
    <row r="125" spans="1:7" x14ac:dyDescent="0.2">
      <c r="A125" t="s">
        <v>6</v>
      </c>
      <c r="B125">
        <v>124</v>
      </c>
      <c r="C125" t="s">
        <v>20</v>
      </c>
      <c r="D125" t="s">
        <v>113</v>
      </c>
      <c r="E125" t="s">
        <v>1023</v>
      </c>
      <c r="F125" s="7" t="s">
        <v>1028</v>
      </c>
      <c r="G125" s="7" t="str">
        <f>IF(LEFT(Table3[[#This Row],[Object ID]],4)="tbl-","fig-" &amp; MID(Table3[[#This Row],[Object ID]],5,LEN(Table3[[#This Row],[Object ID]])-4),"")</f>
        <v>fig-prostate-mortal-aar-single</v>
      </c>
    </row>
    <row r="126" spans="1:7" x14ac:dyDescent="0.2">
      <c r="A126" t="s">
        <v>6</v>
      </c>
      <c r="B126">
        <v>125</v>
      </c>
      <c r="C126" t="s">
        <v>20</v>
      </c>
      <c r="D126" t="s">
        <v>114</v>
      </c>
      <c r="E126" t="s">
        <v>525</v>
      </c>
      <c r="F126" s="7" t="s">
        <v>1029</v>
      </c>
      <c r="G126" s="7" t="str">
        <f>IF(LEFT(Table3[[#This Row],[Object ID]],4)="tbl-","fig-" &amp; MID(Table3[[#This Row],[Object ID]],5,LEN(Table3[[#This Row],[Object ID]])-4),"")</f>
        <v>fig-prostate-mortal-aar-five</v>
      </c>
    </row>
    <row r="127" spans="1:7" x14ac:dyDescent="0.2">
      <c r="A127" t="s">
        <v>6</v>
      </c>
      <c r="B127">
        <v>126</v>
      </c>
      <c r="C127" t="s">
        <v>20</v>
      </c>
      <c r="D127" t="s">
        <v>115</v>
      </c>
      <c r="E127" t="s">
        <v>526</v>
      </c>
      <c r="F127" s="7" t="s">
        <v>1030</v>
      </c>
      <c r="G127" s="7" t="str">
        <f>IF(LEFT(Table3[[#This Row],[Object ID]],4)="tbl-","fig-" &amp; MID(Table3[[#This Row],[Object ID]],5,LEN(Table3[[#This Row],[Object ID]])-4),"")</f>
        <v>fig-prostate-mortal-rande-aar-five</v>
      </c>
    </row>
    <row r="128" spans="1:7" x14ac:dyDescent="0.2">
      <c r="C128" t="s">
        <v>7</v>
      </c>
      <c r="D128" t="s">
        <v>528</v>
      </c>
      <c r="E128" t="s">
        <v>527</v>
      </c>
      <c r="F128" s="7" t="s">
        <v>1074</v>
      </c>
      <c r="G128" s="7" t="str">
        <f>IF(LEFT(Table3[[#This Row],[Object ID]],4)="tbl-","fig-" &amp; MID(Table3[[#This Row],[Object ID]],5,LEN(Table3[[#This Row],[Object ID]])-4),"")</f>
        <v>fig-cd-count-rate</v>
      </c>
    </row>
    <row r="129" spans="1:7" x14ac:dyDescent="0.2">
      <c r="C129" t="s">
        <v>20</v>
      </c>
      <c r="D129" t="s">
        <v>116</v>
      </c>
      <c r="E129" t="s">
        <v>529</v>
      </c>
      <c r="F129" s="23" t="s">
        <v>1032</v>
      </c>
      <c r="G129" s="7" t="str">
        <f>IF(LEFT(Table3[[#This Row],[Object ID]],4)="tbl-","fig-" &amp; MID(Table3[[#This Row],[Object ID]],5,LEN(Table3[[#This Row],[Object ID]])-4),"")</f>
        <v>fig-hepatitisa-rate</v>
      </c>
    </row>
    <row r="130" spans="1:7" x14ac:dyDescent="0.2">
      <c r="A130" t="s">
        <v>6</v>
      </c>
      <c r="B130">
        <v>127</v>
      </c>
      <c r="C130" t="s">
        <v>20</v>
      </c>
      <c r="D130" t="s">
        <v>117</v>
      </c>
      <c r="E130" t="s">
        <v>530</v>
      </c>
      <c r="F130" s="22" t="s">
        <v>1034</v>
      </c>
      <c r="G130" s="7" t="str">
        <f>IF(LEFT(Table3[[#This Row],[Object ID]],4)="tbl-","fig-" &amp; MID(Table3[[#This Row],[Object ID]],5,LEN(Table3[[#This Row],[Object ID]])-4),"")</f>
        <v>fig-hepatitisb-chronic-rate</v>
      </c>
    </row>
    <row r="131" spans="1:7" x14ac:dyDescent="0.2">
      <c r="A131" t="s">
        <v>6</v>
      </c>
      <c r="B131">
        <v>128</v>
      </c>
      <c r="C131" t="s">
        <v>20</v>
      </c>
      <c r="D131" t="s">
        <v>118</v>
      </c>
      <c r="E131" t="s">
        <v>531</v>
      </c>
      <c r="F131" s="7" t="s">
        <v>1033</v>
      </c>
      <c r="G131" s="7" t="str">
        <f>IF(LEFT(Table3[[#This Row],[Object ID]],4)="tbl-","fig-" &amp; MID(Table3[[#This Row],[Object ID]],5,LEN(Table3[[#This Row],[Object ID]])-4),"")</f>
        <v>fig-hepatitisc-acute-rate</v>
      </c>
    </row>
    <row r="132" spans="1:7" x14ac:dyDescent="0.2">
      <c r="A132" t="s">
        <v>6</v>
      </c>
      <c r="B132">
        <v>129</v>
      </c>
      <c r="C132" t="s">
        <v>20</v>
      </c>
      <c r="D132" t="s">
        <v>119</v>
      </c>
      <c r="E132" t="s">
        <v>532</v>
      </c>
      <c r="F132" s="22" t="s">
        <v>1031</v>
      </c>
      <c r="G132" s="7" t="str">
        <f>IF(LEFT(Table3[[#This Row],[Object ID]],4)="tbl-","fig-" &amp; MID(Table3[[#This Row],[Object ID]],5,LEN(Table3[[#This Row],[Object ID]])-4),"")</f>
        <v>fig-hepatitisc-chronic-rate</v>
      </c>
    </row>
    <row r="133" spans="1:7" x14ac:dyDescent="0.2">
      <c r="A133" t="s">
        <v>6</v>
      </c>
      <c r="B133">
        <v>130</v>
      </c>
      <c r="C133" t="s">
        <v>7</v>
      </c>
      <c r="D133" t="s">
        <v>534</v>
      </c>
      <c r="E133" t="s">
        <v>533</v>
      </c>
      <c r="F133" s="23" t="s">
        <v>1035</v>
      </c>
      <c r="G133" s="7" t="str">
        <f>IF(LEFT(Table3[[#This Row],[Object ID]],4)="tbl-","fig-" &amp; MID(Table3[[#This Row],[Object ID]],5,LEN(Table3[[#This Row],[Object ID]])-4),"")</f>
        <v>fig-chlamydia-count-rate-sex-rande-age-zip</v>
      </c>
    </row>
    <row r="134" spans="1:7" x14ac:dyDescent="0.2">
      <c r="A134" t="s">
        <v>6</v>
      </c>
      <c r="B134">
        <v>131</v>
      </c>
      <c r="C134" t="s">
        <v>20</v>
      </c>
      <c r="D134" t="s">
        <v>121</v>
      </c>
      <c r="E134" t="s">
        <v>535</v>
      </c>
      <c r="F134" s="22" t="s">
        <v>1036</v>
      </c>
      <c r="G134" s="7" t="str">
        <f>IF(LEFT(Table3[[#This Row],[Object ID]],4)="tbl-","fig-" &amp; MID(Table3[[#This Row],[Object ID]],5,LEN(Table3[[#This Row],[Object ID]])-4),"")</f>
        <v>fig-chlamydia-aar</v>
      </c>
    </row>
    <row r="135" spans="1:7" x14ac:dyDescent="0.2">
      <c r="A135" t="s">
        <v>6</v>
      </c>
      <c r="B135">
        <v>132</v>
      </c>
      <c r="C135" t="s">
        <v>20</v>
      </c>
      <c r="D135" t="s">
        <v>122</v>
      </c>
      <c r="E135" t="s">
        <v>536</v>
      </c>
      <c r="F135" s="7" t="s">
        <v>1037</v>
      </c>
      <c r="G135" s="7" t="str">
        <f>IF(LEFT(Table3[[#This Row],[Object ID]],4)="tbl-","fig-" &amp; MID(Table3[[#This Row],[Object ID]],5,LEN(Table3[[#This Row],[Object ID]])-4),"")</f>
        <v>fig-chlamydia-rande</v>
      </c>
    </row>
    <row r="136" spans="1:7" x14ac:dyDescent="0.2">
      <c r="A136" t="s">
        <v>6</v>
      </c>
      <c r="B136">
        <v>133</v>
      </c>
      <c r="C136" t="s">
        <v>7</v>
      </c>
      <c r="D136" t="s">
        <v>538</v>
      </c>
      <c r="E136" t="s">
        <v>537</v>
      </c>
      <c r="F136" s="23" t="s">
        <v>1038</v>
      </c>
      <c r="G136" s="7" t="str">
        <f>IF(LEFT(Table3[[#This Row],[Object ID]],4)="tbl-","fig-" &amp; MID(Table3[[#This Row],[Object ID]],5,LEN(Table3[[#This Row],[Object ID]])-4),"")</f>
        <v>fig-gonorrhea-count-rate-sex-rande-age-zip</v>
      </c>
    </row>
    <row r="137" spans="1:7" x14ac:dyDescent="0.2">
      <c r="A137" t="s">
        <v>6</v>
      </c>
      <c r="B137">
        <v>134</v>
      </c>
      <c r="C137" t="s">
        <v>20</v>
      </c>
      <c r="D137" t="s">
        <v>124</v>
      </c>
      <c r="E137" t="s">
        <v>539</v>
      </c>
      <c r="F137" s="22" t="s">
        <v>1039</v>
      </c>
      <c r="G137" s="7" t="str">
        <f>IF(LEFT(Table3[[#This Row],[Object ID]],4)="tbl-","fig-" &amp; MID(Table3[[#This Row],[Object ID]],5,LEN(Table3[[#This Row],[Object ID]])-4),"")</f>
        <v>fig-gonorrhea-aar</v>
      </c>
    </row>
    <row r="138" spans="1:7" x14ac:dyDescent="0.2">
      <c r="A138" t="s">
        <v>6</v>
      </c>
      <c r="B138">
        <v>135</v>
      </c>
      <c r="C138" t="s">
        <v>20</v>
      </c>
      <c r="D138" t="s">
        <v>125</v>
      </c>
      <c r="E138" t="s">
        <v>540</v>
      </c>
      <c r="F138" s="7" t="s">
        <v>1040</v>
      </c>
      <c r="G138" s="7" t="str">
        <f>IF(LEFT(Table3[[#This Row],[Object ID]],4)="tbl-","fig-" &amp; MID(Table3[[#This Row],[Object ID]],5,LEN(Table3[[#This Row],[Object ID]])-4),"")</f>
        <v>fig-gonorrhea-rande</v>
      </c>
    </row>
    <row r="139" spans="1:7" x14ac:dyDescent="0.2">
      <c r="A139" t="s">
        <v>6</v>
      </c>
      <c r="B139">
        <v>136</v>
      </c>
      <c r="C139" t="s">
        <v>7</v>
      </c>
      <c r="D139" t="s">
        <v>542</v>
      </c>
      <c r="E139" t="s">
        <v>541</v>
      </c>
      <c r="F139" s="22" t="s">
        <v>1041</v>
      </c>
      <c r="G139" s="7" t="str">
        <f>IF(LEFT(Table3[[#This Row],[Object ID]],4)="tbl-","fig-" &amp; MID(Table3[[#This Row],[Object ID]],5,LEN(Table3[[#This Row],[Object ID]])-4),"")</f>
        <v>fig-hiv-prevalence-rate-rande-age-sex</v>
      </c>
    </row>
    <row r="140" spans="1:7" x14ac:dyDescent="0.2">
      <c r="A140" t="s">
        <v>6</v>
      </c>
      <c r="B140">
        <v>137</v>
      </c>
      <c r="C140" t="s">
        <v>20</v>
      </c>
      <c r="D140" t="s">
        <v>126</v>
      </c>
      <c r="E140" t="s">
        <v>543</v>
      </c>
      <c r="F140" s="7" t="s">
        <v>1042</v>
      </c>
      <c r="G140" s="7" t="str">
        <f>IF(LEFT(Table3[[#This Row],[Object ID]],4)="tbl-","fig-" &amp; MID(Table3[[#This Row],[Object ID]],5,LEN(Table3[[#This Row],[Object ID]])-4),"")</f>
        <v>fig-hiv-aids-incidence-aar</v>
      </c>
    </row>
    <row r="141" spans="1:7" x14ac:dyDescent="0.2">
      <c r="A141" t="s">
        <v>6</v>
      </c>
      <c r="B141">
        <v>138</v>
      </c>
      <c r="C141" t="s">
        <v>20</v>
      </c>
      <c r="D141" t="s">
        <v>127</v>
      </c>
      <c r="E141" t="s">
        <v>544</v>
      </c>
      <c r="F141" s="7" t="s">
        <v>1043</v>
      </c>
      <c r="G141" s="7" t="str">
        <f>IF(LEFT(Table3[[#This Row],[Object ID]],4)="tbl-","fig-" &amp; MID(Table3[[#This Row],[Object ID]],5,LEN(Table3[[#This Row],[Object ID]])-4),"")</f>
        <v>fig-hiv-prevalence-transmission-category</v>
      </c>
    </row>
    <row r="142" spans="1:7" x14ac:dyDescent="0.2">
      <c r="A142" t="s">
        <v>6</v>
      </c>
      <c r="B142">
        <v>139</v>
      </c>
      <c r="C142" t="s">
        <v>20</v>
      </c>
      <c r="D142" t="s">
        <v>128</v>
      </c>
      <c r="E142" t="s">
        <v>545</v>
      </c>
      <c r="F142" s="7" t="s">
        <v>1044</v>
      </c>
      <c r="G142" s="7" t="str">
        <f>IF(LEFT(Table3[[#This Row],[Object ID]],4)="tbl-","fig-" &amp; MID(Table3[[#This Row],[Object ID]],5,LEN(Table3[[#This Row],[Object ID]])-4),"")</f>
        <v>fig-hiv-linkage-care-rande</v>
      </c>
    </row>
    <row r="143" spans="1:7" x14ac:dyDescent="0.2">
      <c r="A143" t="s">
        <v>6</v>
      </c>
      <c r="B143">
        <v>140</v>
      </c>
      <c r="C143" t="s">
        <v>20</v>
      </c>
      <c r="D143" t="s">
        <v>129</v>
      </c>
      <c r="E143" t="s">
        <v>546</v>
      </c>
      <c r="F143" s="7" t="s">
        <v>1045</v>
      </c>
      <c r="G143" s="7" t="str">
        <f>IF(LEFT(Table3[[#This Row],[Object ID]],4)="tbl-","fig-" &amp; MID(Table3[[#This Row],[Object ID]],5,LEN(Table3[[#This Row],[Object ID]])-4),"")</f>
        <v>fig-prep-coverage</v>
      </c>
    </row>
    <row r="144" spans="1:7" x14ac:dyDescent="0.2">
      <c r="A144" t="s">
        <v>6</v>
      </c>
      <c r="B144">
        <v>141</v>
      </c>
      <c r="C144" t="s">
        <v>7</v>
      </c>
      <c r="D144" t="s">
        <v>548</v>
      </c>
      <c r="E144" t="s">
        <v>547</v>
      </c>
      <c r="F144" s="23" t="s">
        <v>1046</v>
      </c>
      <c r="G144" s="7" t="str">
        <f>IF(LEFT(Table3[[#This Row],[Object ID]],4)="tbl-","fig-" &amp; MID(Table3[[#This Row],[Object ID]],5,LEN(Table3[[#This Row],[Object ID]])-4),"")</f>
        <v>fig-syphilis-count-rate-sex-rande-age-zip</v>
      </c>
    </row>
    <row r="145" spans="1:7" x14ac:dyDescent="0.2">
      <c r="A145" t="s">
        <v>6</v>
      </c>
      <c r="B145">
        <v>142</v>
      </c>
      <c r="C145" t="s">
        <v>20</v>
      </c>
      <c r="D145" t="s">
        <v>130</v>
      </c>
      <c r="E145" t="s">
        <v>549</v>
      </c>
      <c r="F145" s="22" t="s">
        <v>1047</v>
      </c>
      <c r="G145" s="7" t="str">
        <f>IF(LEFT(Table3[[#This Row],[Object ID]],4)="tbl-","fig-" &amp; MID(Table3[[#This Row],[Object ID]],5,LEN(Table3[[#This Row],[Object ID]])-4),"")</f>
        <v>fig-syphilis-early-aar</v>
      </c>
    </row>
    <row r="146" spans="1:7" x14ac:dyDescent="0.2">
      <c r="A146" t="s">
        <v>6</v>
      </c>
      <c r="B146">
        <v>143</v>
      </c>
      <c r="C146" t="s">
        <v>20</v>
      </c>
      <c r="D146" t="s">
        <v>131</v>
      </c>
      <c r="E146" t="s">
        <v>550</v>
      </c>
      <c r="F146" s="7" t="s">
        <v>1048</v>
      </c>
      <c r="G146" s="7" t="str">
        <f>IF(LEFT(Table3[[#This Row],[Object ID]],4)="tbl-","fig-" &amp; MID(Table3[[#This Row],[Object ID]],5,LEN(Table3[[#This Row],[Object ID]])-4),"")</f>
        <v>fig-syphilis-rande</v>
      </c>
    </row>
    <row r="147" spans="1:7" x14ac:dyDescent="0.2">
      <c r="A147" t="s">
        <v>6</v>
      </c>
      <c r="B147">
        <v>144</v>
      </c>
      <c r="C147" t="s">
        <v>7</v>
      </c>
      <c r="D147" t="s">
        <v>552</v>
      </c>
      <c r="E147" t="s">
        <v>551</v>
      </c>
      <c r="F147" s="22" t="s">
        <v>1049</v>
      </c>
      <c r="G147" s="7" t="str">
        <f>IF(LEFT(Table3[[#This Row],[Object ID]],4)="tbl-","fig-" &amp; MID(Table3[[#This Row],[Object ID]],5,LEN(Table3[[#This Row],[Object ID]])-4),"")</f>
        <v>fig-fertility-rate-age-rande-zip</v>
      </c>
    </row>
    <row r="148" spans="1:7" x14ac:dyDescent="0.2">
      <c r="A148" t="s">
        <v>6</v>
      </c>
      <c r="B148">
        <v>145</v>
      </c>
      <c r="C148" t="s">
        <v>20</v>
      </c>
      <c r="D148" t="s">
        <v>132</v>
      </c>
      <c r="E148" t="s">
        <v>553</v>
      </c>
      <c r="F148" s="22" t="s">
        <v>1051</v>
      </c>
      <c r="G148" s="7" t="str">
        <f>IF(LEFT(Table3[[#This Row],[Object ID]],4)="tbl-","fig-" &amp; MID(Table3[[#This Row],[Object ID]],5,LEN(Table3[[#This Row],[Object ID]])-4),"")</f>
        <v>fig-fertility</v>
      </c>
    </row>
    <row r="149" spans="1:7" x14ac:dyDescent="0.2">
      <c r="A149" t="s">
        <v>6</v>
      </c>
      <c r="B149">
        <v>146</v>
      </c>
      <c r="C149" t="s">
        <v>20</v>
      </c>
      <c r="D149" t="s">
        <v>133</v>
      </c>
      <c r="E149" t="s">
        <v>554</v>
      </c>
      <c r="F149" s="7" t="s">
        <v>1050</v>
      </c>
      <c r="G149" s="7" t="str">
        <f>IF(LEFT(Table3[[#This Row],[Object ID]],4)="tbl-","fig-" &amp; MID(Table3[[#This Row],[Object ID]],5,LEN(Table3[[#This Row],[Object ID]])-4),"")</f>
        <v>fig-fertility-rande</v>
      </c>
    </row>
    <row r="150" spans="1:7" x14ac:dyDescent="0.2">
      <c r="A150" t="s">
        <v>6</v>
      </c>
      <c r="B150">
        <v>147</v>
      </c>
      <c r="C150" t="s">
        <v>20</v>
      </c>
      <c r="D150" t="s">
        <v>134</v>
      </c>
      <c r="E150" t="s">
        <v>555</v>
      </c>
      <c r="F150" s="22" t="s">
        <v>1052</v>
      </c>
      <c r="G150" s="7" t="str">
        <f>IF(LEFT(Table3[[#This Row],[Object ID]],4)="tbl-","fig-" &amp; MID(Table3[[#This Row],[Object ID]],5,LEN(Table3[[#This Row],[Object ID]])-4),"")</f>
        <v>fig-fertility-sex</v>
      </c>
    </row>
    <row r="151" spans="1:7" x14ac:dyDescent="0.2">
      <c r="A151" t="s">
        <v>6</v>
      </c>
      <c r="B151">
        <v>148</v>
      </c>
      <c r="C151" t="s">
        <v>7</v>
      </c>
      <c r="D151" t="s">
        <v>558</v>
      </c>
      <c r="E151" t="s">
        <v>556</v>
      </c>
      <c r="F151" s="7" t="s">
        <v>1053</v>
      </c>
      <c r="G151" s="7" t="str">
        <f>IF(LEFT(Table3[[#This Row],[Object ID]],4)="tbl-","fig-" &amp; MID(Table3[[#This Row],[Object ID]],5,LEN(Table3[[#This Row],[Object ID]])-4),"")</f>
        <v>fig-allbirths-under17-age-rande-zip</v>
      </c>
    </row>
    <row r="152" spans="1:7" x14ac:dyDescent="0.2">
      <c r="A152" t="s">
        <v>6</v>
      </c>
      <c r="B152">
        <v>149</v>
      </c>
      <c r="C152" t="s">
        <v>7</v>
      </c>
      <c r="D152" t="s">
        <v>560</v>
      </c>
      <c r="E152" t="s">
        <v>559</v>
      </c>
      <c r="F152" s="7" t="s">
        <v>1054</v>
      </c>
      <c r="G152" s="7" t="str">
        <f>IF(LEFT(Table3[[#This Row],[Object ID]],4)="tbl-","fig-" &amp; MID(Table3[[#This Row],[Object ID]],5,LEN(Table3[[#This Row],[Object ID]])-4),"")</f>
        <v>fig-allbirths-medicaid-selfpay-age-rande-zip</v>
      </c>
    </row>
    <row r="153" spans="1:7" x14ac:dyDescent="0.2">
      <c r="A153" t="s">
        <v>6</v>
      </c>
      <c r="B153">
        <v>150</v>
      </c>
      <c r="C153" t="s">
        <v>20</v>
      </c>
      <c r="D153" t="s">
        <v>135</v>
      </c>
      <c r="E153" t="s">
        <v>565</v>
      </c>
      <c r="F153" s="22" t="s">
        <v>1055</v>
      </c>
      <c r="G153" s="7" t="str">
        <f>IF(LEFT(Table3[[#This Row],[Object ID]],4)="tbl-","fig-" &amp; MID(Table3[[#This Row],[Object ID]],5,LEN(Table3[[#This Row],[Object ID]])-4),"")</f>
        <v>fig-maternal-mortal</v>
      </c>
    </row>
    <row r="154" spans="1:7" x14ac:dyDescent="0.2">
      <c r="A154" t="s">
        <v>6</v>
      </c>
      <c r="B154">
        <v>151</v>
      </c>
      <c r="C154" t="s">
        <v>20</v>
      </c>
      <c r="D154" t="s">
        <v>136</v>
      </c>
      <c r="E154" t="s">
        <v>566</v>
      </c>
      <c r="F154" s="22" t="s">
        <v>1056</v>
      </c>
      <c r="G154" s="7" t="str">
        <f>IF(LEFT(Table3[[#This Row],[Object ID]],4)="tbl-","fig-" &amp; MID(Table3[[#This Row],[Object ID]],5,LEN(Table3[[#This Row],[Object ID]])-4),"")</f>
        <v>fig-child-adolescent-mortal</v>
      </c>
    </row>
    <row r="155" spans="1:7" x14ac:dyDescent="0.2">
      <c r="A155" t="s">
        <v>6</v>
      </c>
      <c r="B155">
        <v>152</v>
      </c>
      <c r="C155" t="s">
        <v>20</v>
      </c>
      <c r="D155" t="s">
        <v>568</v>
      </c>
      <c r="E155" t="s">
        <v>567</v>
      </c>
      <c r="F155" s="22" t="s">
        <v>1057</v>
      </c>
      <c r="G155" s="7" t="str">
        <f>IF(LEFT(Table3[[#This Row],[Object ID]],4)="tbl-","fig-" &amp; MID(Table3[[#This Row],[Object ID]],5,LEN(Table3[[#This Row],[Object ID]])-4),"")</f>
        <v>fig-infant-mortal</v>
      </c>
    </row>
    <row r="156" spans="1:7" x14ac:dyDescent="0.2">
      <c r="A156" t="s">
        <v>6</v>
      </c>
      <c r="B156">
        <v>153</v>
      </c>
      <c r="C156" t="s">
        <v>7</v>
      </c>
      <c r="D156" t="s">
        <v>570</v>
      </c>
      <c r="E156" t="s">
        <v>569</v>
      </c>
      <c r="F156" s="7" t="s">
        <v>1060</v>
      </c>
      <c r="G156" s="7" t="str">
        <f>IF(LEFT(Table3[[#This Row],[Object ID]],4)="tbl-","fig-" &amp; MID(Table3[[#This Row],[Object ID]],5,LEN(Table3[[#This Row],[Object ID]])-4),"")</f>
        <v>fig-early-pnc-age-rande-zip</v>
      </c>
    </row>
    <row r="157" spans="1:7" x14ac:dyDescent="0.2">
      <c r="A157" t="s">
        <v>6</v>
      </c>
      <c r="B157">
        <v>154</v>
      </c>
      <c r="C157" t="s">
        <v>20</v>
      </c>
      <c r="D157" t="s">
        <v>572</v>
      </c>
      <c r="E157" t="s">
        <v>571</v>
      </c>
      <c r="F157" s="23" t="s">
        <v>1058</v>
      </c>
      <c r="G157" s="7" t="str">
        <f>IF(LEFT(Table3[[#This Row],[Object ID]],4)="tbl-","fig-" &amp; MID(Table3[[#This Row],[Object ID]],5,LEN(Table3[[#This Row],[Object ID]])-4),"")</f>
        <v>fig-early-pnc</v>
      </c>
    </row>
    <row r="158" spans="1:7" x14ac:dyDescent="0.2">
      <c r="A158" t="s">
        <v>6</v>
      </c>
      <c r="B158">
        <v>155</v>
      </c>
      <c r="C158" t="s">
        <v>20</v>
      </c>
      <c r="D158" t="s">
        <v>574</v>
      </c>
      <c r="E158" t="s">
        <v>573</v>
      </c>
      <c r="F158" s="22" t="s">
        <v>1059</v>
      </c>
      <c r="G158" s="7" t="str">
        <f>IF(LEFT(Table3[[#This Row],[Object ID]],4)="tbl-","fig-" &amp; MID(Table3[[#This Row],[Object ID]],5,LEN(Table3[[#This Row],[Object ID]])-4),"")</f>
        <v>fig-early-pnc-rande</v>
      </c>
    </row>
    <row r="159" spans="1:7" x14ac:dyDescent="0.2">
      <c r="A159" t="s">
        <v>6</v>
      </c>
      <c r="B159">
        <v>156</v>
      </c>
      <c r="C159" t="s">
        <v>20</v>
      </c>
      <c r="D159" t="s">
        <v>576</v>
      </c>
      <c r="E159" t="s">
        <v>575</v>
      </c>
      <c r="F159" s="23" t="s">
        <v>1061</v>
      </c>
      <c r="G159" s="7" t="str">
        <f>IF(LEFT(Table3[[#This Row],[Object ID]],4)="tbl-","fig-" &amp; MID(Table3[[#This Row],[Object ID]],5,LEN(Table3[[#This Row],[Object ID]])-4),"")</f>
        <v>fig-early-pnc-zip</v>
      </c>
    </row>
    <row r="160" spans="1:7" x14ac:dyDescent="0.2">
      <c r="A160" t="s">
        <v>6</v>
      </c>
      <c r="B160">
        <v>157</v>
      </c>
      <c r="C160" t="s">
        <v>7</v>
      </c>
      <c r="D160" t="s">
        <v>578</v>
      </c>
      <c r="E160" t="s">
        <v>577</v>
      </c>
      <c r="F160" s="23" t="s">
        <v>1063</v>
      </c>
      <c r="G160" s="7" t="str">
        <f>IF(LEFT(Table3[[#This Row],[Object ID]],4)="tbl-","fig-" &amp; MID(Table3[[#This Row],[Object ID]],5,LEN(Table3[[#This Row],[Object ID]])-4),"")</f>
        <v>fig-late-no-pnc-age-rande-zip</v>
      </c>
    </row>
    <row r="161" spans="1:7" x14ac:dyDescent="0.2">
      <c r="A161" t="s">
        <v>6</v>
      </c>
      <c r="B161">
        <v>158</v>
      </c>
      <c r="C161" t="s">
        <v>20</v>
      </c>
      <c r="D161" t="s">
        <v>580</v>
      </c>
      <c r="E161" t="s">
        <v>579</v>
      </c>
      <c r="F161" s="23" t="s">
        <v>1062</v>
      </c>
      <c r="G161" s="7" t="str">
        <f>IF(LEFT(Table3[[#This Row],[Object ID]],4)="tbl-","fig-" &amp; MID(Table3[[#This Row],[Object ID]],5,LEN(Table3[[#This Row],[Object ID]])-4),"")</f>
        <v>fig-late-no-pnc</v>
      </c>
    </row>
    <row r="162" spans="1:7" x14ac:dyDescent="0.2">
      <c r="A162" t="s">
        <v>6</v>
      </c>
      <c r="B162">
        <v>159</v>
      </c>
      <c r="C162" t="s">
        <v>20</v>
      </c>
      <c r="D162" t="s">
        <v>581</v>
      </c>
      <c r="E162" t="s">
        <v>582</v>
      </c>
      <c r="F162" s="22" t="s">
        <v>1064</v>
      </c>
      <c r="G162" s="7" t="str">
        <f>IF(LEFT(Table3[[#This Row],[Object ID]],4)="tbl-","fig-" &amp; MID(Table3[[#This Row],[Object ID]],5,LEN(Table3[[#This Row],[Object ID]])-4),"")</f>
        <v>fig-late-no-pnc-rande</v>
      </c>
    </row>
    <row r="163" spans="1:7" x14ac:dyDescent="0.2">
      <c r="A163" t="s">
        <v>6</v>
      </c>
      <c r="B163">
        <v>160</v>
      </c>
      <c r="C163" t="s">
        <v>20</v>
      </c>
      <c r="D163" t="s">
        <v>584</v>
      </c>
      <c r="E163" t="s">
        <v>583</v>
      </c>
      <c r="F163" s="23" t="s">
        <v>1065</v>
      </c>
      <c r="G163" s="7" t="str">
        <f>IF(LEFT(Table3[[#This Row],[Object ID]],4)="tbl-","fig-" &amp; MID(Table3[[#This Row],[Object ID]],5,LEN(Table3[[#This Row],[Object ID]])-4),"")</f>
        <v>fig-late-no-pnc-zip</v>
      </c>
    </row>
    <row r="164" spans="1:7" x14ac:dyDescent="0.2">
      <c r="A164" t="s">
        <v>6</v>
      </c>
      <c r="B164">
        <v>161</v>
      </c>
      <c r="C164" t="s">
        <v>20</v>
      </c>
      <c r="D164" t="s">
        <v>586</v>
      </c>
      <c r="E164" t="s">
        <v>585</v>
      </c>
      <c r="F164" s="23" t="s">
        <v>1066</v>
      </c>
      <c r="G164" s="7" t="str">
        <f>IF(LEFT(Table3[[#This Row],[Object ID]],4)="tbl-","fig-" &amp; MID(Table3[[#This Row],[Object ID]],5,LEN(Table3[[#This Row],[Object ID]])-4),"")</f>
        <v>fig-adequate-pnc</v>
      </c>
    </row>
    <row r="165" spans="1:7" x14ac:dyDescent="0.2">
      <c r="A165" t="s">
        <v>6</v>
      </c>
      <c r="B165">
        <v>162</v>
      </c>
      <c r="C165" t="s">
        <v>7</v>
      </c>
      <c r="D165" t="s">
        <v>588</v>
      </c>
      <c r="E165" t="s">
        <v>587</v>
      </c>
      <c r="F165" s="23" t="s">
        <v>1067</v>
      </c>
      <c r="G165" s="7" t="str">
        <f>IF(LEFT(Table3[[#This Row],[Object ID]],4)="tbl-","fig-" &amp; MID(Table3[[#This Row],[Object ID]],5,LEN(Table3[[#This Row],[Object ID]])-4),"")</f>
        <v>fig-premature-birth-age-rande-zip</v>
      </c>
    </row>
    <row r="166" spans="1:7" x14ac:dyDescent="0.2">
      <c r="A166" t="s">
        <v>6</v>
      </c>
      <c r="B166">
        <v>163</v>
      </c>
      <c r="C166" t="s">
        <v>20</v>
      </c>
      <c r="D166" t="s">
        <v>590</v>
      </c>
      <c r="E166" t="s">
        <v>589</v>
      </c>
      <c r="F166" s="23" t="s">
        <v>1069</v>
      </c>
      <c r="G166" s="7" t="str">
        <f>IF(LEFT(Table3[[#This Row],[Object ID]],4)="tbl-","fig-" &amp; MID(Table3[[#This Row],[Object ID]],5,LEN(Table3[[#This Row],[Object ID]])-4),"")</f>
        <v>fig-premature-birth</v>
      </c>
    </row>
    <row r="167" spans="1:7" x14ac:dyDescent="0.2">
      <c r="A167" t="s">
        <v>6</v>
      </c>
      <c r="B167">
        <v>164</v>
      </c>
      <c r="C167" t="s">
        <v>20</v>
      </c>
      <c r="D167" t="s">
        <v>592</v>
      </c>
      <c r="E167" t="s">
        <v>591</v>
      </c>
      <c r="F167" s="22" t="s">
        <v>1068</v>
      </c>
      <c r="G167" s="7" t="str">
        <f>IF(LEFT(Table3[[#This Row],[Object ID]],4)="tbl-","fig-" &amp; MID(Table3[[#This Row],[Object ID]],5,LEN(Table3[[#This Row],[Object ID]])-4),"")</f>
        <v>fig-premature-birth-rande</v>
      </c>
    </row>
    <row r="168" spans="1:7" x14ac:dyDescent="0.2">
      <c r="A168" t="s">
        <v>6</v>
      </c>
      <c r="B168">
        <v>165</v>
      </c>
      <c r="C168" t="s">
        <v>7</v>
      </c>
      <c r="D168" t="s">
        <v>594</v>
      </c>
      <c r="E168" t="s">
        <v>593</v>
      </c>
      <c r="F168" s="23" t="s">
        <v>1070</v>
      </c>
      <c r="G168" s="7" t="str">
        <f>IF(LEFT(Table3[[#This Row],[Object ID]],4)="tbl-","fig-" &amp; MID(Table3[[#This Row],[Object ID]],5,LEN(Table3[[#This Row],[Object ID]])-4),"")</f>
        <v>fig-lbw-age-rande-zip</v>
      </c>
    </row>
    <row r="169" spans="1:7" x14ac:dyDescent="0.2">
      <c r="A169" t="s">
        <v>6</v>
      </c>
      <c r="B169">
        <v>166</v>
      </c>
      <c r="C169" t="s">
        <v>20</v>
      </c>
      <c r="D169" t="s">
        <v>596</v>
      </c>
      <c r="E169" t="s">
        <v>595</v>
      </c>
      <c r="F169" s="23" t="s">
        <v>1071</v>
      </c>
      <c r="G169" s="7" t="str">
        <f>IF(LEFT(Table3[[#This Row],[Object ID]],4)="tbl-","fig-" &amp; MID(Table3[[#This Row],[Object ID]],5,LEN(Table3[[#This Row],[Object ID]])-4),"")</f>
        <v>fig-lbw-birth</v>
      </c>
    </row>
    <row r="170" spans="1:7" x14ac:dyDescent="0.2">
      <c r="A170" t="s">
        <v>6</v>
      </c>
      <c r="B170">
        <v>167</v>
      </c>
      <c r="C170" t="s">
        <v>20</v>
      </c>
      <c r="D170" t="s">
        <v>598</v>
      </c>
      <c r="E170" t="s">
        <v>597</v>
      </c>
      <c r="F170" s="22" t="s">
        <v>1072</v>
      </c>
      <c r="G170" s="7" t="str">
        <f>IF(LEFT(Table3[[#This Row],[Object ID]],4)="tbl-","fig-" &amp; MID(Table3[[#This Row],[Object ID]],5,LEN(Table3[[#This Row],[Object ID]])-4),"")</f>
        <v>fig-lbw-birth-rande</v>
      </c>
    </row>
    <row r="171" spans="1:7" x14ac:dyDescent="0.2">
      <c r="A171" t="s">
        <v>6</v>
      </c>
      <c r="B171">
        <v>168</v>
      </c>
      <c r="C171" t="s">
        <v>20</v>
      </c>
      <c r="D171" t="s">
        <v>600</v>
      </c>
      <c r="E171" t="s">
        <v>599</v>
      </c>
      <c r="F171" s="23" t="s">
        <v>1073</v>
      </c>
      <c r="G171" s="7" t="str">
        <f>IF(LEFT(Table3[[#This Row],[Object ID]],4)="tbl-","fig-" &amp; MID(Table3[[#This Row],[Object ID]],5,LEN(Table3[[#This Row],[Object ID]])-4),"")</f>
        <v>fig-ed-any-drug-od-aar</v>
      </c>
    </row>
    <row r="172" spans="1:7" x14ac:dyDescent="0.2">
      <c r="A172" t="s">
        <v>6</v>
      </c>
      <c r="B172">
        <v>169</v>
      </c>
      <c r="C172" t="s">
        <v>20</v>
      </c>
      <c r="D172" t="s">
        <v>602</v>
      </c>
      <c r="E172" t="s">
        <v>601</v>
      </c>
      <c r="F172" s="7" t="s">
        <v>1079</v>
      </c>
      <c r="G172" s="7" t="str">
        <f>IF(LEFT(Table3[[#This Row],[Object ID]],4)="tbl-","fig-" &amp; MID(Table3[[#This Row],[Object ID]],5,LEN(Table3[[#This Row],[Object ID]])-4),"")</f>
        <v>fig-outpatiented-hopsitaldc-opioid-abuse-depend-crude</v>
      </c>
    </row>
    <row r="173" spans="1:7" x14ac:dyDescent="0.2">
      <c r="A173" t="s">
        <v>6</v>
      </c>
      <c r="B173">
        <v>170</v>
      </c>
      <c r="C173" t="s">
        <v>20</v>
      </c>
      <c r="D173" t="s">
        <v>604</v>
      </c>
      <c r="E173" t="s">
        <v>603</v>
      </c>
      <c r="F173" s="7" t="s">
        <v>1080</v>
      </c>
      <c r="G173" s="7" t="str">
        <f>IF(LEFT(Table3[[#This Row],[Object ID]],4)="tbl-","fig-" &amp; MID(Table3[[#This Row],[Object ID]],5,LEN(Table3[[#This Row],[Object ID]])-4),"")</f>
        <v>fig-neonatal-withdraw-maternal-drug-crude</v>
      </c>
    </row>
    <row r="174" spans="1:7" x14ac:dyDescent="0.2">
      <c r="A174" t="s">
        <v>6</v>
      </c>
      <c r="B174">
        <v>171</v>
      </c>
      <c r="C174" t="s">
        <v>20</v>
      </c>
      <c r="D174" t="s">
        <v>606</v>
      </c>
      <c r="E174" t="s">
        <v>605</v>
      </c>
      <c r="F174" s="7" t="s">
        <v>1082</v>
      </c>
      <c r="G174" s="7" t="str">
        <f>IF(LEFT(Table3[[#This Row],[Object ID]],4)="tbl-","fig-" &amp; MID(Table3[[#This Row],[Object ID]],5,LEN(Table3[[#This Row],[Object ID]])-4),"")</f>
        <v>fig-opioid-rx-aar</v>
      </c>
    </row>
    <row r="175" spans="1:7" x14ac:dyDescent="0.2">
      <c r="A175" t="s">
        <v>6</v>
      </c>
      <c r="B175">
        <v>172</v>
      </c>
      <c r="C175" t="s">
        <v>20</v>
      </c>
      <c r="D175" t="s">
        <v>608</v>
      </c>
      <c r="E175" t="s">
        <v>607</v>
      </c>
      <c r="F175" s="7" t="s">
        <v>1081</v>
      </c>
      <c r="G175" s="7" t="str">
        <f>IF(LEFT(Table3[[#This Row],[Object ID]],4)="tbl-","fig-" &amp; MID(Table3[[#This Row],[Object ID]],5,LEN(Table3[[#This Row],[Object ID]])-4),"")</f>
        <v>fig-opioid-naïve-7day-rx</v>
      </c>
    </row>
    <row r="176" spans="1:7" x14ac:dyDescent="0.2">
      <c r="C176" t="s">
        <v>20</v>
      </c>
      <c r="D176" t="s">
        <v>610</v>
      </c>
      <c r="E176" t="s">
        <v>609</v>
      </c>
      <c r="F176" s="7" t="s">
        <v>1083</v>
      </c>
      <c r="G176" s="7" t="str">
        <f>IF(LEFT(Table3[[#This Row],[Object ID]],4)="tbl-","fig-" &amp; MID(Table3[[#This Row],[Object ID]],5,LEN(Table3[[#This Row],[Object ID]])-4),"")</f>
        <v>fig-benzo-rx-aar</v>
      </c>
    </row>
    <row r="177" spans="1:7" x14ac:dyDescent="0.2">
      <c r="A177" t="s">
        <v>6</v>
      </c>
      <c r="B177">
        <v>173</v>
      </c>
      <c r="C177" t="s">
        <v>20</v>
      </c>
      <c r="D177" t="s">
        <v>615</v>
      </c>
      <c r="E177" t="s">
        <v>614</v>
      </c>
      <c r="F177" s="22" t="s">
        <v>1084</v>
      </c>
      <c r="G177" s="7" t="str">
        <f>IF(LEFT(Table3[[#This Row],[Object ID]],4)="tbl-","fig-" &amp; MID(Table3[[#This Row],[Object ID]],5,LEN(Table3[[#This Row],[Object ID]])-4),"")</f>
        <v>fig-overlap-opioid-benzo-rx</v>
      </c>
    </row>
    <row r="178" spans="1:7" x14ac:dyDescent="0.2">
      <c r="A178" t="s">
        <v>6</v>
      </c>
      <c r="B178">
        <v>174</v>
      </c>
      <c r="C178" t="s">
        <v>20</v>
      </c>
      <c r="D178" t="s">
        <v>617</v>
      </c>
      <c r="E178" t="s">
        <v>616</v>
      </c>
      <c r="F178" s="22" t="s">
        <v>1085</v>
      </c>
      <c r="G178" s="7" t="str">
        <f>IF(LEFT(Table3[[#This Row],[Object ID]],4)="tbl-","fig-" &amp; MID(Table3[[#This Row],[Object ID]],5,LEN(Table3[[#This Row],[Object ID]])-4),"")</f>
        <v>fig-opioidud-atleast1rx-bup-aar</v>
      </c>
    </row>
    <row r="179" spans="1:7" x14ac:dyDescent="0.2">
      <c r="A179" t="s">
        <v>6</v>
      </c>
      <c r="B179">
        <v>175</v>
      </c>
      <c r="C179" t="s">
        <v>20</v>
      </c>
      <c r="D179" t="s">
        <v>619</v>
      </c>
      <c r="E179" t="s">
        <v>618</v>
      </c>
      <c r="F179" s="7" t="s">
        <v>1086</v>
      </c>
      <c r="G179" s="7" t="str">
        <f>IF(LEFT(Table3[[#This Row],[Object ID]],4)="tbl-","fig-" &amp; MID(Table3[[#This Row],[Object ID]],5,LEN(Table3[[#This Row],[Object ID]])-4),"")</f>
        <v>fig-opioidud-continuous-bup-rx</v>
      </c>
    </row>
    <row r="180" spans="1:7" x14ac:dyDescent="0.2">
      <c r="A180" t="s">
        <v>6</v>
      </c>
      <c r="B180">
        <v>176</v>
      </c>
      <c r="C180" t="s">
        <v>20</v>
      </c>
      <c r="D180" t="s">
        <v>620</v>
      </c>
      <c r="E180" t="s">
        <v>1087</v>
      </c>
      <c r="F180" s="7" t="s">
        <v>1088</v>
      </c>
      <c r="G180" s="7" t="str">
        <f>IF(LEFT(Table3[[#This Row],[Object ID]],4)="tbl-","fig-" &amp; MID(Table3[[#This Row],[Object ID]],5,LEN(Table3[[#This Row],[Object ID]])-4),"")</f>
        <v>fig-perception-harm-su</v>
      </c>
    </row>
    <row r="181" spans="1:7" x14ac:dyDescent="0.2">
      <c r="A181" t="s">
        <v>6</v>
      </c>
      <c r="B181">
        <v>177</v>
      </c>
      <c r="C181" t="s">
        <v>7</v>
      </c>
      <c r="D181" t="s">
        <v>622</v>
      </c>
      <c r="E181" t="s">
        <v>621</v>
      </c>
      <c r="F181" s="7" t="s">
        <v>1089</v>
      </c>
      <c r="G181" s="7" t="str">
        <f>IF(LEFT(Table3[[#This Row],[Object ID]],4)="tbl-","fig-" &amp; MID(Table3[[#This Row],[Object ID]],5,LEN(Table3[[#This Row],[Object ID]])-4),"")</f>
        <v>fig-lifetime-su</v>
      </c>
    </row>
    <row r="182" spans="1:7" x14ac:dyDescent="0.2">
      <c r="A182" t="s">
        <v>6</v>
      </c>
      <c r="B182">
        <v>178</v>
      </c>
      <c r="C182" t="s">
        <v>7</v>
      </c>
      <c r="D182" t="s">
        <v>624</v>
      </c>
      <c r="E182" t="s">
        <v>623</v>
      </c>
      <c r="F182" s="22" t="s">
        <v>1090</v>
      </c>
      <c r="G182" s="7" t="str">
        <f>IF(LEFT(Table3[[#This Row],[Object ID]],4)="tbl-","fig-" &amp; MID(Table3[[#This Row],[Object ID]],5,LEN(Table3[[#This Row],[Object ID]])-4),"")</f>
        <v/>
      </c>
    </row>
    <row r="183" spans="1:7" x14ac:dyDescent="0.2">
      <c r="A183" t="s">
        <v>6</v>
      </c>
      <c r="B183">
        <v>179</v>
      </c>
      <c r="C183" t="s">
        <v>7</v>
      </c>
      <c r="D183" t="s">
        <v>626</v>
      </c>
      <c r="E183" t="s">
        <v>625</v>
      </c>
      <c r="F183" s="7" t="s">
        <v>1091</v>
      </c>
      <c r="G183" s="7" t="str">
        <f>IF(LEFT(Table3[[#This Row],[Object ID]],4)="tbl-","fig-" &amp; MID(Table3[[#This Row],[Object ID]],5,LEN(Table3[[#This Row],[Object ID]])-4),"")</f>
        <v>fig-source-marijuana-ifused</v>
      </c>
    </row>
    <row r="184" spans="1:7" x14ac:dyDescent="0.2">
      <c r="A184" t="s">
        <v>6</v>
      </c>
      <c r="B184">
        <v>180</v>
      </c>
      <c r="C184" t="s">
        <v>7</v>
      </c>
      <c r="D184" t="s">
        <v>628</v>
      </c>
      <c r="E184" t="s">
        <v>627</v>
      </c>
      <c r="F184" s="7" t="s">
        <v>1092</v>
      </c>
      <c r="G184" s="7" t="str">
        <f>IF(LEFT(Table3[[#This Row],[Object ID]],4)="tbl-","fig-" &amp; MID(Table3[[#This Row],[Object ID]],5,LEN(Table3[[#This Row],[Object ID]])-4),"")</f>
        <v>fig-opioid-od-fatal-age-sex</v>
      </c>
    </row>
    <row r="185" spans="1:7" x14ac:dyDescent="0.2">
      <c r="A185" t="s">
        <v>6</v>
      </c>
      <c r="B185">
        <v>181</v>
      </c>
      <c r="C185" t="s">
        <v>20</v>
      </c>
      <c r="D185" t="s">
        <v>630</v>
      </c>
      <c r="E185" t="s">
        <v>1095</v>
      </c>
      <c r="F185" s="7" t="s">
        <v>1096</v>
      </c>
      <c r="G185" s="7" t="str">
        <f>IF(LEFT(Table3[[#This Row],[Object ID]],4)="tbl-","fig-" &amp; MID(Table3[[#This Row],[Object ID]],5,LEN(Table3[[#This Row],[Object ID]])-4),"")</f>
        <v>fig-opioid-od-fatal</v>
      </c>
    </row>
    <row r="186" spans="1:7" x14ac:dyDescent="0.2">
      <c r="A186" t="s">
        <v>6</v>
      </c>
      <c r="B186">
        <v>182</v>
      </c>
      <c r="C186" t="s">
        <v>20</v>
      </c>
      <c r="D186" t="s">
        <v>632</v>
      </c>
      <c r="E186" t="s">
        <v>631</v>
      </c>
      <c r="F186" s="7" t="s">
        <v>1094</v>
      </c>
      <c r="G186" s="7" t="str">
        <f>IF(LEFT(Table3[[#This Row],[Object ID]],4)="tbl-","fig-" &amp; MID(Table3[[#This Row],[Object ID]],5,LEN(Table3[[#This Row],[Object ID]])-4),"")</f>
        <v>fig-opioid-od-fatal-age</v>
      </c>
    </row>
    <row r="187" spans="1:7" x14ac:dyDescent="0.2">
      <c r="A187" t="s">
        <v>6</v>
      </c>
      <c r="B187">
        <v>183</v>
      </c>
      <c r="C187" t="s">
        <v>20</v>
      </c>
      <c r="D187" t="s">
        <v>633</v>
      </c>
      <c r="E187" t="s">
        <v>629</v>
      </c>
      <c r="F187" s="7" t="s">
        <v>1093</v>
      </c>
      <c r="G187" s="7" t="str">
        <f>IF(LEFT(Table3[[#This Row],[Object ID]],4)="tbl-","fig-" &amp; MID(Table3[[#This Row],[Object ID]],5,LEN(Table3[[#This Row],[Object ID]])-4),"")</f>
        <v>fig-opioid-od-fatal-sex</v>
      </c>
    </row>
    <row r="188" spans="1:7" x14ac:dyDescent="0.2">
      <c r="A188" t="s">
        <v>6</v>
      </c>
      <c r="B188">
        <v>184</v>
      </c>
      <c r="C188" t="s">
        <v>20</v>
      </c>
      <c r="D188" t="s">
        <v>634</v>
      </c>
      <c r="E188" t="s">
        <v>142</v>
      </c>
      <c r="F188" s="22" t="s">
        <v>1097</v>
      </c>
      <c r="G188" s="7" t="str">
        <f>IF(LEFT(Table3[[#This Row],[Object ID]],4)="tbl-","fig-" &amp; MID(Table3[[#This Row],[Object ID]],5,LEN(Table3[[#This Row],[Object ID]])-4),"")</f>
        <v>fig-binge-drinking-last-month</v>
      </c>
    </row>
    <row r="189" spans="1:7" x14ac:dyDescent="0.2">
      <c r="A189" t="s">
        <v>6</v>
      </c>
      <c r="B189">
        <v>185</v>
      </c>
      <c r="C189" t="s">
        <v>20</v>
      </c>
      <c r="D189" t="s">
        <v>636</v>
      </c>
      <c r="E189" t="s">
        <v>635</v>
      </c>
      <c r="F189" s="7" t="s">
        <v>1098</v>
      </c>
      <c r="G189" s="7" t="str">
        <f>IF(LEFT(Table3[[#This Row],[Object ID]],4)="tbl-","fig-" &amp; MID(Table3[[#This Row],[Object ID]],5,LEN(Table3[[#This Row],[Object ID]])-4),"")</f>
        <v>fig-alcohol-mva-injury-death</v>
      </c>
    </row>
    <row r="190" spans="1:7" x14ac:dyDescent="0.2">
      <c r="A190" t="s">
        <v>6</v>
      </c>
      <c r="B190">
        <v>186</v>
      </c>
      <c r="C190" t="s">
        <v>7</v>
      </c>
      <c r="D190" t="s">
        <v>638</v>
      </c>
      <c r="E190" t="s">
        <v>637</v>
      </c>
      <c r="F190" s="7" t="s">
        <v>1099</v>
      </c>
      <c r="G190" s="7" t="str">
        <f>IF(LEFT(Table3[[#This Row],[Object ID]],4)="tbl-","fig-" &amp; MID(Table3[[#This Row],[Object ID]],5,LEN(Table3[[#This Row],[Object ID]])-4),"")</f>
        <v/>
      </c>
    </row>
    <row r="191" spans="1:7" x14ac:dyDescent="0.2">
      <c r="A191" t="s">
        <v>6</v>
      </c>
      <c r="B191">
        <v>187</v>
      </c>
      <c r="C191" t="s">
        <v>20</v>
      </c>
      <c r="D191" t="s">
        <v>639</v>
      </c>
      <c r="E191" t="s">
        <v>141</v>
      </c>
      <c r="F191" s="7" t="s">
        <v>1100</v>
      </c>
      <c r="G191" s="7" t="str">
        <f>IF(LEFT(Table3[[#This Row],[Object ID]],4)="tbl-","fig-" &amp; MID(Table3[[#This Row],[Object ID]],5,LEN(Table3[[#This Row],[Object ID]])-4),"")</f>
        <v>fig-current-smoker</v>
      </c>
    </row>
    <row r="192" spans="1:7" x14ac:dyDescent="0.2">
      <c r="A192" t="s">
        <v>6</v>
      </c>
      <c r="B192">
        <v>188</v>
      </c>
      <c r="C192" t="s">
        <v>20</v>
      </c>
      <c r="D192" t="s">
        <v>644</v>
      </c>
      <c r="E192" t="s">
        <v>640</v>
      </c>
      <c r="F192" s="7" t="s">
        <v>1101</v>
      </c>
      <c r="G192" s="7" t="str">
        <f>IF(LEFT(Table3[[#This Row],[Object ID]],4)="tbl-","fig-" &amp; MID(Table3[[#This Row],[Object ID]],5,LEN(Table3[[#This Row],[Object ID]])-4),"")</f>
        <v>fig-unintent-injury-hospital-rande-aar</v>
      </c>
    </row>
    <row r="193" spans="1:7" x14ac:dyDescent="0.2">
      <c r="A193" t="s">
        <v>6</v>
      </c>
      <c r="B193">
        <v>189</v>
      </c>
      <c r="C193" t="s">
        <v>7</v>
      </c>
      <c r="D193" t="s">
        <v>646</v>
      </c>
      <c r="E193" t="s">
        <v>645</v>
      </c>
      <c r="F193" s="7" t="s">
        <v>1102</v>
      </c>
      <c r="G193" s="7" t="str">
        <f>IF(LEFT(Table3[[#This Row],[Object ID]],4)="tbl-","fig-" &amp; MID(Table3[[#This Row],[Object ID]],5,LEN(Table3[[#This Row],[Object ID]])-4),"")</f>
        <v>fig-unintent-injury-mortal-age-rande-zip</v>
      </c>
    </row>
    <row r="194" spans="1:7" x14ac:dyDescent="0.2">
      <c r="A194" t="s">
        <v>6</v>
      </c>
      <c r="B194">
        <v>190</v>
      </c>
      <c r="C194" t="s">
        <v>20</v>
      </c>
      <c r="D194" t="s">
        <v>648</v>
      </c>
      <c r="E194" t="s">
        <v>647</v>
      </c>
      <c r="F194" s="7" t="s">
        <v>1103</v>
      </c>
      <c r="G194" s="7" t="str">
        <f>IF(LEFT(Table3[[#This Row],[Object ID]],4)="tbl-","fig-" &amp; MID(Table3[[#This Row],[Object ID]],5,LEN(Table3[[#This Row],[Object ID]])-4),"")</f>
        <v>fig-unintent-injury-mortal-aar</v>
      </c>
    </row>
    <row r="195" spans="1:7" x14ac:dyDescent="0.2">
      <c r="A195" t="s">
        <v>6</v>
      </c>
      <c r="B195">
        <v>191</v>
      </c>
      <c r="C195" t="s">
        <v>20</v>
      </c>
      <c r="D195" t="s">
        <v>650</v>
      </c>
      <c r="E195" t="s">
        <v>649</v>
      </c>
      <c r="F195" s="7" t="s">
        <v>1104</v>
      </c>
      <c r="G195" s="7" t="str">
        <f>IF(LEFT(Table3[[#This Row],[Object ID]],4)="tbl-","fig-" &amp; MID(Table3[[#This Row],[Object ID]],5,LEN(Table3[[#This Row],[Object ID]])-4),"")</f>
        <v>fig-unintent-injury-mortal-age</v>
      </c>
    </row>
    <row r="196" spans="1:7" x14ac:dyDescent="0.2">
      <c r="A196" t="s">
        <v>6</v>
      </c>
      <c r="B196">
        <v>192</v>
      </c>
      <c r="C196" t="s">
        <v>20</v>
      </c>
      <c r="D196" t="s">
        <v>652</v>
      </c>
      <c r="E196" t="s">
        <v>651</v>
      </c>
      <c r="F196" s="7" t="s">
        <v>1105</v>
      </c>
      <c r="G196" s="7" t="str">
        <f>IF(LEFT(Table3[[#This Row],[Object ID]],4)="tbl-","fig-" &amp; MID(Table3[[#This Row],[Object ID]],5,LEN(Table3[[#This Row],[Object ID]])-4),"")</f>
        <v>fig-unintent-injury-mortal-zip</v>
      </c>
    </row>
    <row r="197" spans="1:7" x14ac:dyDescent="0.2">
      <c r="A197" t="s">
        <v>6</v>
      </c>
      <c r="B197">
        <v>193</v>
      </c>
      <c r="C197" t="s">
        <v>20</v>
      </c>
      <c r="D197" t="s">
        <v>654</v>
      </c>
      <c r="E197" t="s">
        <v>653</v>
      </c>
      <c r="F197" s="7" t="s">
        <v>1106</v>
      </c>
      <c r="G197" s="7" t="str">
        <f>IF(LEFT(Table3[[#This Row],[Object ID]],4)="tbl-","fig-" &amp; MID(Table3[[#This Row],[Object ID]],5,LEN(Table3[[#This Row],[Object ID]])-4),"")</f>
        <v>fig-unintent-injury-mortal-sex-aar</v>
      </c>
    </row>
    <row r="198" spans="1:7" x14ac:dyDescent="0.2">
      <c r="A198" t="s">
        <v>6</v>
      </c>
      <c r="B198">
        <v>194</v>
      </c>
      <c r="C198" t="s">
        <v>20</v>
      </c>
      <c r="D198" t="s">
        <v>656</v>
      </c>
      <c r="E198" t="s">
        <v>655</v>
      </c>
      <c r="F198" s="7" t="s">
        <v>1107</v>
      </c>
      <c r="G198" s="7" t="str">
        <f>IF(LEFT(Table3[[#This Row],[Object ID]],4)="tbl-","fig-" &amp; MID(Table3[[#This Row],[Object ID]],5,LEN(Table3[[#This Row],[Object ID]])-4),"")</f>
        <v>fig-falls-65-rande</v>
      </c>
    </row>
    <row r="199" spans="1:7" x14ac:dyDescent="0.2">
      <c r="A199" t="s">
        <v>6</v>
      </c>
      <c r="B199">
        <v>195</v>
      </c>
      <c r="C199" t="s">
        <v>20</v>
      </c>
      <c r="D199" t="s">
        <v>658</v>
      </c>
      <c r="E199" t="s">
        <v>657</v>
      </c>
      <c r="F199" s="7" t="s">
        <v>1108</v>
      </c>
      <c r="G199" s="7" t="str">
        <f>IF(LEFT(Table3[[#This Row],[Object ID]],4)="tbl-","fig-" &amp; MID(Table3[[#This Row],[Object ID]],5,LEN(Table3[[#This Row],[Object ID]])-4),"")</f>
        <v>fig-self-inflict-injury-hospital-aar</v>
      </c>
    </row>
    <row r="200" spans="1:7" x14ac:dyDescent="0.2">
      <c r="A200" t="s">
        <v>6</v>
      </c>
      <c r="B200">
        <v>196</v>
      </c>
      <c r="C200" t="s">
        <v>20</v>
      </c>
      <c r="D200" t="s">
        <v>660</v>
      </c>
      <c r="E200" t="s">
        <v>659</v>
      </c>
      <c r="F200" s="7" t="s">
        <v>1109</v>
      </c>
      <c r="G200" s="7" t="str">
        <f>IF(LEFT(Table3[[#This Row],[Object ID]],4)="tbl-","fig-" &amp; MID(Table3[[#This Row],[Object ID]],5,LEN(Table3[[#This Row],[Object ID]])-4),"")</f>
        <v>fig-self-inflict-injury-hospital-15-19</v>
      </c>
    </row>
    <row r="201" spans="1:7" x14ac:dyDescent="0.2">
      <c r="A201" t="s">
        <v>6</v>
      </c>
      <c r="B201">
        <v>197</v>
      </c>
      <c r="C201" t="s">
        <v>20</v>
      </c>
      <c r="D201" t="s">
        <v>661</v>
      </c>
      <c r="E201" t="s">
        <v>143</v>
      </c>
      <c r="F201" s="7" t="s">
        <v>1110</v>
      </c>
      <c r="G201" s="7" t="str">
        <f>IF(LEFT(Table3[[#This Row],[Object ID]],4)="tbl-","fig-" &amp; MID(Table3[[#This Row],[Object ID]],5,LEN(Table3[[#This Row],[Object ID]])-4),"")</f>
        <v>fig-suicide-mortal-aar</v>
      </c>
    </row>
    <row r="202" spans="1:7" x14ac:dyDescent="0.2">
      <c r="A202" t="s">
        <v>6</v>
      </c>
      <c r="B202">
        <v>198</v>
      </c>
      <c r="C202" t="s">
        <v>20</v>
      </c>
      <c r="D202" t="s">
        <v>663</v>
      </c>
      <c r="E202" t="s">
        <v>662</v>
      </c>
      <c r="F202" s="7" t="s">
        <v>1111</v>
      </c>
      <c r="G202" s="7" t="str">
        <f>IF(LEFT(Table3[[#This Row],[Object ID]],4)="tbl-","fig-" &amp; MID(Table3[[#This Row],[Object ID]],5,LEN(Table3[[#This Row],[Object ID]])-4),"")</f>
        <v>fig-50to64-colorectal-screen</v>
      </c>
    </row>
    <row r="203" spans="1:7" x14ac:dyDescent="0.2">
      <c r="A203" t="s">
        <v>6</v>
      </c>
      <c r="B203">
        <v>199</v>
      </c>
      <c r="C203" t="s">
        <v>20</v>
      </c>
      <c r="D203" t="s">
        <v>664</v>
      </c>
      <c r="E203" t="s">
        <v>140</v>
      </c>
      <c r="F203" s="7" t="s">
        <v>1112</v>
      </c>
      <c r="G203" s="7" t="str">
        <f>IF(LEFT(Table3[[#This Row],[Object ID]],4)="tbl-","fig-" &amp; MID(Table3[[#This Row],[Object ID]],5,LEN(Table3[[#This Row],[Object ID]])-4),"")</f>
        <v>fig-21to64-women-cervical-ca-screen</v>
      </c>
    </row>
    <row r="204" spans="1:7" x14ac:dyDescent="0.2">
      <c r="A204" t="s">
        <v>6</v>
      </c>
      <c r="B204">
        <v>200</v>
      </c>
      <c r="C204" t="s">
        <v>20</v>
      </c>
      <c r="D204" t="s">
        <v>666</v>
      </c>
      <c r="E204" t="s">
        <v>665</v>
      </c>
      <c r="F204" s="7" t="s">
        <v>1113</v>
      </c>
      <c r="G204" s="7" t="str">
        <f>IF(LEFT(Table3[[#This Row],[Object ID]],4)="tbl-","fig-" &amp; MID(Table3[[#This Row],[Object ID]],5,LEN(Table3[[#This Row],[Object ID]])-4),"")</f>
        <v>fig-50to74-women-breast-ca-screen</v>
      </c>
    </row>
    <row r="205" spans="1:7" x14ac:dyDescent="0.2">
      <c r="A205" t="s">
        <v>6</v>
      </c>
      <c r="B205">
        <v>201</v>
      </c>
      <c r="C205" t="s">
        <v>20</v>
      </c>
      <c r="D205" t="s">
        <v>667</v>
      </c>
      <c r="E205" t="s">
        <v>120</v>
      </c>
      <c r="F205" s="7" t="s">
        <v>1114</v>
      </c>
      <c r="G205" s="7" t="str">
        <f>IF(LEFT(Table3[[#This Row],[Object ID]],4)="tbl-","fig-" &amp; MID(Table3[[#This Row],[Object ID]],5,LEN(Table3[[#This Row],[Object ID]])-4),"")</f>
        <v>fig-adults-asthma</v>
      </c>
    </row>
    <row r="206" spans="1:7" x14ac:dyDescent="0.2">
      <c r="A206" t="s">
        <v>6</v>
      </c>
      <c r="B206">
        <v>202</v>
      </c>
      <c r="C206" t="s">
        <v>20</v>
      </c>
      <c r="D206" t="s">
        <v>668</v>
      </c>
      <c r="E206" t="s">
        <v>137</v>
      </c>
      <c r="F206" s="7" t="s">
        <v>1115</v>
      </c>
      <c r="G206" s="7" t="str">
        <f>IF(LEFT(Table3[[#This Row],[Object ID]],4)="tbl-","fig-" &amp; MID(Table3[[#This Row],[Object ID]],5,LEN(Table3[[#This Row],[Object ID]])-4),"")</f>
        <v>fig-md-dx-dm-predm</v>
      </c>
    </row>
    <row r="207" spans="1:7" x14ac:dyDescent="0.2">
      <c r="A207" t="s">
        <v>6</v>
      </c>
      <c r="B207">
        <v>203</v>
      </c>
      <c r="C207" t="s">
        <v>20</v>
      </c>
      <c r="D207" t="s">
        <v>669</v>
      </c>
      <c r="E207" t="s">
        <v>138</v>
      </c>
      <c r="F207" s="7" t="s">
        <v>1116</v>
      </c>
      <c r="G207" s="7" t="str">
        <f>IF(LEFT(Table3[[#This Row],[Object ID]],4)="tbl-","fig-" &amp; MID(Table3[[#This Row],[Object ID]],5,LEN(Table3[[#This Row],[Object ID]])-4),"")</f>
        <v>fig-test-high-bs-dm</v>
      </c>
    </row>
    <row r="208" spans="1:7" x14ac:dyDescent="0.2">
      <c r="A208" t="s">
        <v>6</v>
      </c>
      <c r="B208">
        <v>204</v>
      </c>
      <c r="C208" t="s">
        <v>7</v>
      </c>
      <c r="D208" s="20" t="s">
        <v>671</v>
      </c>
      <c r="E208" t="s">
        <v>670</v>
      </c>
      <c r="F208" s="7" t="s">
        <v>1117</v>
      </c>
      <c r="G208" s="7" t="str">
        <f>IF(LEFT(Table3[[#This Row],[Object ID]],4)="tbl-","fig-" &amp; MID(Table3[[#This Row],[Object ID]],5,LEN(Table3[[#This Row],[Object ID]])-4),"")</f>
        <v>fig-excerpt</v>
      </c>
    </row>
    <row r="209" spans="1:7" x14ac:dyDescent="0.2">
      <c r="A209" t="s">
        <v>6</v>
      </c>
      <c r="B209">
        <v>205</v>
      </c>
      <c r="C209" t="s">
        <v>7</v>
      </c>
      <c r="D209" s="20" t="s">
        <v>672</v>
      </c>
      <c r="E209" t="s">
        <v>902</v>
      </c>
      <c r="F209" s="7" t="s">
        <v>1118</v>
      </c>
      <c r="G209" s="7" t="str">
        <f>IF(LEFT(Table3[[#This Row],[Object ID]],4)="tbl-","fig-" &amp; MID(Table3[[#This Row],[Object ID]],5,LEN(Table3[[#This Row],[Object ID]])-4),"")</f>
        <v>fig-themes-focus-group</v>
      </c>
    </row>
    <row r="210" spans="1:7" x14ac:dyDescent="0.2">
      <c r="A210" t="s">
        <v>6</v>
      </c>
      <c r="B210">
        <v>206</v>
      </c>
      <c r="C210" t="s">
        <v>7</v>
      </c>
      <c r="D210" s="20" t="s">
        <v>673</v>
      </c>
      <c r="E210" t="s">
        <v>903</v>
      </c>
      <c r="F210" s="7" t="s">
        <v>1119</v>
      </c>
      <c r="G210" s="7" t="str">
        <f>IF(LEFT(Table3[[#This Row],[Object ID]],4)="tbl-","fig-" &amp; MID(Table3[[#This Row],[Object ID]],5,LEN(Table3[[#This Row],[Object ID]])-4),"")</f>
        <v>fig-zip-code</v>
      </c>
    </row>
    <row r="211" spans="1:7" x14ac:dyDescent="0.2">
      <c r="A211" t="s">
        <v>6</v>
      </c>
      <c r="B211">
        <v>207</v>
      </c>
      <c r="C211" t="s">
        <v>20</v>
      </c>
      <c r="D211" s="20" t="s">
        <v>674</v>
      </c>
      <c r="E211" t="s">
        <v>675</v>
      </c>
      <c r="F211" s="7" t="s">
        <v>1123</v>
      </c>
      <c r="G211" s="7" t="str">
        <f>IF(LEFT(Table3[[#This Row],[Object ID]],4)="tbl-","fig-" &amp; MID(Table3[[#This Row],[Object ID]],5,LEN(Table3[[#This Row],[Object ID]])-4),"")</f>
        <v>fig-great-strengths-community</v>
      </c>
    </row>
    <row r="212" spans="1:7" x14ac:dyDescent="0.2">
      <c r="A212" t="s">
        <v>6</v>
      </c>
      <c r="B212">
        <v>208</v>
      </c>
      <c r="C212" t="s">
        <v>20</v>
      </c>
      <c r="D212" s="20" t="s">
        <v>677</v>
      </c>
      <c r="E212" t="s">
        <v>676</v>
      </c>
      <c r="F212" s="7" t="s">
        <v>1124</v>
      </c>
      <c r="G212" s="7" t="str">
        <f>IF(LEFT(Table3[[#This Row],[Object ID]],4)="tbl-","fig-" &amp; MID(Table3[[#This Row],[Object ID]],5,LEN(Table3[[#This Row],[Object ID]])-4),"")</f>
        <v>fig-focus-resources-improve-life</v>
      </c>
    </row>
    <row r="213" spans="1:7" x14ac:dyDescent="0.2">
      <c r="A213" t="s">
        <v>6</v>
      </c>
      <c r="B213">
        <v>209</v>
      </c>
      <c r="C213" t="s">
        <v>20</v>
      </c>
      <c r="D213" s="20" t="s">
        <v>679</v>
      </c>
      <c r="E213" t="s">
        <v>678</v>
      </c>
      <c r="F213" s="7" t="s">
        <v>1121</v>
      </c>
      <c r="G213" s="7" t="str">
        <f>IF(LEFT(Table3[[#This Row],[Object ID]],4)="tbl-","fig-" &amp; MID(Table3[[#This Row],[Object ID]],5,LEN(Table3[[#This Row],[Object ID]])-4),"")</f>
        <v>fig-important-health-issues</v>
      </c>
    </row>
    <row r="214" spans="1:7" x14ac:dyDescent="0.2">
      <c r="A214" t="s">
        <v>6</v>
      </c>
      <c r="B214">
        <v>210</v>
      </c>
      <c r="C214" t="s">
        <v>20</v>
      </c>
      <c r="D214" s="20" t="s">
        <v>680</v>
      </c>
      <c r="E214" t="s">
        <v>1120</v>
      </c>
      <c r="F214" s="7" t="s">
        <v>1122</v>
      </c>
      <c r="G214" s="7" t="str">
        <f>IF(LEFT(Table3[[#This Row],[Object ID]],4)="tbl-","fig-" &amp; MID(Table3[[#This Row],[Object ID]],5,LEN(Table3[[#This Row],[Object ID]])-4),"")</f>
        <v>fig-important-health-issues-PA-area</v>
      </c>
    </row>
    <row r="215" spans="1:7" x14ac:dyDescent="0.2">
      <c r="A215" t="s">
        <v>6</v>
      </c>
      <c r="B215">
        <v>211</v>
      </c>
      <c r="C215" t="s">
        <v>20</v>
      </c>
      <c r="D215" s="20" t="s">
        <v>681</v>
      </c>
      <c r="E215" t="s">
        <v>682</v>
      </c>
      <c r="F215" s="7" t="s">
        <v>1125</v>
      </c>
      <c r="G215" s="7" t="str">
        <f>IF(LEFT(Table3[[#This Row],[Object ID]],4)="tbl-","fig-" &amp; MID(Table3[[#This Row],[Object ID]],5,LEN(Table3[[#This Row],[Object ID]])-4),"")</f>
        <v>fig-cas-great-strength-community-longitude</v>
      </c>
    </row>
    <row r="216" spans="1:7" x14ac:dyDescent="0.2">
      <c r="A216" t="s">
        <v>6</v>
      </c>
      <c r="B216">
        <v>212</v>
      </c>
      <c r="C216" t="s">
        <v>20</v>
      </c>
      <c r="D216" s="20" t="s">
        <v>683</v>
      </c>
      <c r="E216" t="s">
        <v>684</v>
      </c>
      <c r="F216" s="7" t="s">
        <v>1126</v>
      </c>
      <c r="G216" s="7" t="str">
        <f>IF(LEFT(Table3[[#This Row],[Object ID]],4)="tbl-","fig-" &amp; MID(Table3[[#This Row],[Object ID]],5,LEN(Table3[[#This Row],[Object ID]])-4),"")</f>
        <v>fig-cas-focus-resources-improve-life-longitude</v>
      </c>
    </row>
    <row r="217" spans="1:7" x14ac:dyDescent="0.2">
      <c r="A217" t="s">
        <v>6</v>
      </c>
      <c r="B217">
        <v>213</v>
      </c>
      <c r="C217" t="s">
        <v>20</v>
      </c>
      <c r="D217" s="20" t="s">
        <v>685</v>
      </c>
      <c r="E217" t="s">
        <v>686</v>
      </c>
      <c r="F217" s="7" t="s">
        <v>1127</v>
      </c>
      <c r="G217" s="7" t="str">
        <f>IF(LEFT(Table3[[#This Row],[Object ID]],4)="tbl-","fig-" &amp; MID(Table3[[#This Row],[Object ID]],5,LEN(Table3[[#This Row],[Object ID]])-4),"")</f>
        <v>fig-cas-important-health-issues-longitude</v>
      </c>
    </row>
    <row r="218" spans="1:7" x14ac:dyDescent="0.2">
      <c r="A218" t="s">
        <v>6</v>
      </c>
      <c r="B218">
        <v>214</v>
      </c>
      <c r="C218" t="s">
        <v>20</v>
      </c>
      <c r="D218" s="20" t="s">
        <v>699</v>
      </c>
      <c r="E218" t="s">
        <v>698</v>
      </c>
      <c r="F218" s="7" t="s">
        <v>1128</v>
      </c>
      <c r="G218" s="7" t="str">
        <f>IF(LEFT(Table3[[#This Row],[Object ID]],4)="tbl-","fig-" &amp; MID(Table3[[#This Row],[Object ID]],5,LEN(Table3[[#This Row],[Object ID]])-4),"")</f>
        <v>fig-health-problem-fix-first</v>
      </c>
    </row>
    <row r="219" spans="1:7" x14ac:dyDescent="0.2">
      <c r="A219" t="s">
        <v>6</v>
      </c>
      <c r="B219">
        <v>215</v>
      </c>
      <c r="C219" t="s">
        <v>7</v>
      </c>
      <c r="D219" s="20" t="s">
        <v>701</v>
      </c>
      <c r="E219" t="s">
        <v>700</v>
      </c>
      <c r="F219" s="7" t="s">
        <v>1129</v>
      </c>
      <c r="G219" s="7" t="str">
        <f>IF(LEFT(Table3[[#This Row],[Object ID]],4)="tbl-","fig-" &amp; MID(Table3[[#This Row],[Object ID]],5,LEN(Table3[[#This Row],[Object ID]])-4),"")</f>
        <v>fig-siena-demographic-break-down</v>
      </c>
    </row>
    <row r="220" spans="1:7" x14ac:dyDescent="0.2">
      <c r="A220" t="s">
        <v>6</v>
      </c>
      <c r="B220">
        <v>216</v>
      </c>
      <c r="C220" t="s">
        <v>20</v>
      </c>
      <c r="D220" t="s">
        <v>703</v>
      </c>
      <c r="E220" t="s">
        <v>702</v>
      </c>
      <c r="F220" s="7" t="s">
        <v>1130</v>
      </c>
      <c r="G220" s="7" t="str">
        <f>IF(LEFT(Table3[[#This Row],[Object ID]],4)="tbl-","fig-" &amp; MID(Table3[[#This Row],[Object ID]],5,LEN(Table3[[#This Row],[Object ID]])-4),"")</f>
        <v>fig-siena-live-oc</v>
      </c>
    </row>
    <row r="221" spans="1:7" x14ac:dyDescent="0.2">
      <c r="A221" t="s">
        <v>6</v>
      </c>
      <c r="B221">
        <v>217</v>
      </c>
      <c r="C221" t="s">
        <v>20</v>
      </c>
      <c r="D221" t="s">
        <v>705</v>
      </c>
      <c r="E221" t="s">
        <v>704</v>
      </c>
      <c r="F221" s="7" t="s">
        <v>1131</v>
      </c>
      <c r="G221" s="7" t="str">
        <f>IF(LEFT(Table3[[#This Row],[Object ID]],4)="tbl-","fig-" &amp; MID(Table3[[#This Row],[Object ID]],5,LEN(Table3[[#This Row],[Object ID]])-4),"")</f>
        <v>fig-siena-quality-life</v>
      </c>
    </row>
    <row r="222" spans="1:7" x14ac:dyDescent="0.2">
      <c r="A222" t="s">
        <v>6</v>
      </c>
      <c r="B222">
        <v>218</v>
      </c>
      <c r="C222" t="s">
        <v>20</v>
      </c>
      <c r="D222" t="s">
        <v>707</v>
      </c>
      <c r="E222" t="s">
        <v>706</v>
      </c>
      <c r="F222" s="7" t="s">
        <v>1132</v>
      </c>
      <c r="G222" s="7" t="str">
        <f>IF(LEFT(Table3[[#This Row],[Object ID]],4)="tbl-","fig-" &amp; MID(Table3[[#This Row],[Object ID]],5,LEN(Table3[[#This Row],[Object ID]])-4),"")</f>
        <v>fig-siena-quality-life-income</v>
      </c>
    </row>
    <row r="223" spans="1:7" x14ac:dyDescent="0.2">
      <c r="A223" t="s">
        <v>6</v>
      </c>
      <c r="B223">
        <v>219</v>
      </c>
      <c r="C223" t="s">
        <v>20</v>
      </c>
      <c r="D223" t="s">
        <v>709</v>
      </c>
      <c r="E223" t="s">
        <v>708</v>
      </c>
      <c r="F223" s="7" t="s">
        <v>1133</v>
      </c>
      <c r="G223" s="7" t="str">
        <f>IF(LEFT(Table3[[#This Row],[Object ID]],4)="tbl-","fig-" &amp; MID(Table3[[#This Row],[Object ID]],5,LEN(Table3[[#This Row],[Object ID]])-4),"")</f>
        <v>fig-siena-info-bad-weather</v>
      </c>
    </row>
    <row r="224" spans="1:7" x14ac:dyDescent="0.2">
      <c r="A224" t="s">
        <v>6</v>
      </c>
      <c r="B224">
        <v>220</v>
      </c>
      <c r="C224" t="s">
        <v>20</v>
      </c>
      <c r="D224" t="s">
        <v>710</v>
      </c>
      <c r="E224" t="s">
        <v>1134</v>
      </c>
      <c r="F224" s="7" t="s">
        <v>1135</v>
      </c>
      <c r="G224" s="7" t="str">
        <f>IF(LEFT(Table3[[#This Row],[Object ID]],4)="tbl-","fig-" &amp; MID(Table3[[#This Row],[Object ID]],5,LEN(Table3[[#This Row],[Object ID]])-4),"")</f>
        <v>fig-siena-info-bad-weather-income</v>
      </c>
    </row>
    <row r="225" spans="1:7" x14ac:dyDescent="0.2">
      <c r="A225" t="s">
        <v>6</v>
      </c>
      <c r="B225">
        <v>221</v>
      </c>
      <c r="C225" t="s">
        <v>20</v>
      </c>
      <c r="D225" t="s">
        <v>712</v>
      </c>
      <c r="E225" t="s">
        <v>711</v>
      </c>
      <c r="F225" s="7" t="s">
        <v>1136</v>
      </c>
      <c r="G225" s="7" t="str">
        <f>IF(LEFT(Table3[[#This Row],[Object ID]],4)="tbl-","fig-" &amp; MID(Table3[[#This Row],[Object ID]],5,LEN(Table3[[#This Row],[Object ID]])-4),"")</f>
        <v>fig-siena-ph-emergency</v>
      </c>
    </row>
    <row r="226" spans="1:7" x14ac:dyDescent="0.2">
      <c r="A226" t="s">
        <v>6</v>
      </c>
      <c r="B226">
        <v>222</v>
      </c>
      <c r="C226" t="s">
        <v>20</v>
      </c>
      <c r="D226" t="s">
        <v>714</v>
      </c>
      <c r="E226" t="s">
        <v>713</v>
      </c>
      <c r="F226" s="7" t="s">
        <v>1137</v>
      </c>
      <c r="G226" s="7" t="str">
        <f>IF(LEFT(Table3[[#This Row],[Object ID]],4)="tbl-","fig-" &amp; MID(Table3[[#This Row],[Object ID]],5,LEN(Table3[[#This Row],[Object ID]])-4),"")</f>
        <v>fig-siena-ph-emergency-income</v>
      </c>
    </row>
    <row r="227" spans="1:7" x14ac:dyDescent="0.2">
      <c r="A227" t="s">
        <v>6</v>
      </c>
      <c r="B227">
        <v>223</v>
      </c>
      <c r="C227" t="s">
        <v>20</v>
      </c>
      <c r="D227" t="s">
        <v>716</v>
      </c>
      <c r="E227" t="s">
        <v>715</v>
      </c>
      <c r="F227" s="7" t="s">
        <v>1140</v>
      </c>
      <c r="G227" s="7" t="str">
        <f>IF(LEFT(Table3[[#This Row],[Object ID]],4)="tbl-","fig-" &amp; MID(Table3[[#This Row],[Object ID]],5,LEN(Table3[[#This Row],[Object ID]])-4),"")</f>
        <v>fig-siena-safe-place-walk-bike</v>
      </c>
    </row>
    <row r="228" spans="1:7" x14ac:dyDescent="0.2">
      <c r="A228" t="s">
        <v>6</v>
      </c>
      <c r="B228">
        <v>224</v>
      </c>
      <c r="C228" t="s">
        <v>20</v>
      </c>
      <c r="D228" t="s">
        <v>718</v>
      </c>
      <c r="E228" t="s">
        <v>717</v>
      </c>
      <c r="F228" s="7" t="s">
        <v>1141</v>
      </c>
      <c r="G228" s="7" t="str">
        <f>IF(LEFT(Table3[[#This Row],[Object ID]],4)="tbl-","fig-" &amp; MID(Table3[[#This Row],[Object ID]],5,LEN(Table3[[#This Row],[Object ID]])-4),"")</f>
        <v>fig-siena-safe-place-walk-bike-income</v>
      </c>
    </row>
    <row r="229" spans="1:7" x14ac:dyDescent="0.2">
      <c r="A229" t="s">
        <v>6</v>
      </c>
      <c r="B229">
        <v>225</v>
      </c>
      <c r="C229" t="s">
        <v>20</v>
      </c>
      <c r="D229" t="s">
        <v>720</v>
      </c>
      <c r="E229" t="s">
        <v>719</v>
      </c>
      <c r="F229" s="7" t="s">
        <v>1138</v>
      </c>
      <c r="G229" s="7" t="str">
        <f>IF(LEFT(Table3[[#This Row],[Object ID]],4)="tbl-","fig-" &amp; MID(Table3[[#This Row],[Object ID]],5,LEN(Table3[[#This Row],[Object ID]])-4),"")</f>
        <v>fig-siena-walk-bike-safe</v>
      </c>
    </row>
    <row r="230" spans="1:7" x14ac:dyDescent="0.2">
      <c r="A230" t="s">
        <v>6</v>
      </c>
      <c r="B230">
        <v>226</v>
      </c>
      <c r="C230" t="s">
        <v>20</v>
      </c>
      <c r="D230" t="s">
        <v>722</v>
      </c>
      <c r="E230" t="s">
        <v>721</v>
      </c>
      <c r="F230" s="7" t="s">
        <v>1139</v>
      </c>
      <c r="G230" s="7" t="str">
        <f>IF(LEFT(Table3[[#This Row],[Object ID]],4)="tbl-","fig-" &amp; MID(Table3[[#This Row],[Object ID]],5,LEN(Table3[[#This Row],[Object ID]])-4),"")</f>
        <v>fig-siena-walk-bike-safe-income</v>
      </c>
    </row>
    <row r="231" spans="1:7" x14ac:dyDescent="0.2">
      <c r="A231" t="s">
        <v>6</v>
      </c>
      <c r="B231">
        <v>227</v>
      </c>
      <c r="C231" t="s">
        <v>20</v>
      </c>
      <c r="D231" t="s">
        <v>724</v>
      </c>
      <c r="E231" t="s">
        <v>723</v>
      </c>
      <c r="F231" s="7" t="s">
        <v>1142</v>
      </c>
      <c r="G231" s="7" t="str">
        <f>IF(LEFT(Table3[[#This Row],[Object ID]],4)="tbl-","fig-" &amp; MID(Table3[[#This Row],[Object ID]],5,LEN(Table3[[#This Row],[Object ID]])-4),"")</f>
        <v>fig-siena-rate-community-as-place-to-age</v>
      </c>
    </row>
    <row r="232" spans="1:7" x14ac:dyDescent="0.2">
      <c r="A232" t="s">
        <v>6</v>
      </c>
      <c r="B232">
        <v>228</v>
      </c>
      <c r="C232" t="s">
        <v>20</v>
      </c>
      <c r="D232" t="s">
        <v>726</v>
      </c>
      <c r="E232" t="s">
        <v>725</v>
      </c>
      <c r="F232" s="7" t="s">
        <v>1143</v>
      </c>
      <c r="G232" s="7" t="str">
        <f>IF(LEFT(Table3[[#This Row],[Object ID]],4)="tbl-","fig-" &amp; MID(Table3[[#This Row],[Object ID]],5,LEN(Table3[[#This Row],[Object ID]])-4),"")</f>
        <v>fig-siena-rate-community-as-place-to-age-income</v>
      </c>
    </row>
    <row r="233" spans="1:7" x14ac:dyDescent="0.2">
      <c r="A233" t="s">
        <v>6</v>
      </c>
      <c r="B233">
        <v>229</v>
      </c>
      <c r="C233" t="s">
        <v>20</v>
      </c>
      <c r="D233" t="s">
        <v>728</v>
      </c>
      <c r="E233" t="s">
        <v>727</v>
      </c>
      <c r="F233" s="7" t="s">
        <v>1144</v>
      </c>
      <c r="G233" s="7" t="str">
        <f>IF(LEFT(Table3[[#This Row],[Object ID]],4)="tbl-","fig-" &amp; MID(Table3[[#This Row],[Object ID]],5,LEN(Table3[[#This Row],[Object ID]])-4),"")</f>
        <v>fig-siena-physical-health</v>
      </c>
    </row>
    <row r="234" spans="1:7" x14ac:dyDescent="0.2">
      <c r="A234" t="s">
        <v>6</v>
      </c>
      <c r="B234">
        <v>230</v>
      </c>
      <c r="C234" t="s">
        <v>20</v>
      </c>
      <c r="D234" t="s">
        <v>730</v>
      </c>
      <c r="E234" t="s">
        <v>729</v>
      </c>
      <c r="F234" s="7" t="s">
        <v>1145</v>
      </c>
      <c r="G234" s="7" t="str">
        <f>IF(LEFT(Table3[[#This Row],[Object ID]],4)="tbl-","fig-" &amp; MID(Table3[[#This Row],[Object ID]],5,LEN(Table3[[#This Row],[Object ID]])-4),"")</f>
        <v>fig-siena-physical-health-income</v>
      </c>
    </row>
    <row r="235" spans="1:7" x14ac:dyDescent="0.2">
      <c r="A235" t="s">
        <v>6</v>
      </c>
      <c r="B235">
        <v>231</v>
      </c>
      <c r="C235" t="s">
        <v>20</v>
      </c>
      <c r="D235" t="s">
        <v>732</v>
      </c>
      <c r="E235" t="s">
        <v>731</v>
      </c>
      <c r="F235" s="7" t="s">
        <v>1146</v>
      </c>
      <c r="G235" s="7" t="str">
        <f>IF(LEFT(Table3[[#This Row],[Object ID]],4)="tbl-","fig-" &amp; MID(Table3[[#This Row],[Object ID]],5,LEN(Table3[[#This Row],[Object ID]])-4),"")</f>
        <v>fig-siena-mental-health</v>
      </c>
    </row>
    <row r="236" spans="1:7" x14ac:dyDescent="0.2">
      <c r="A236" t="s">
        <v>6</v>
      </c>
      <c r="B236">
        <v>232</v>
      </c>
      <c r="C236" t="s">
        <v>20</v>
      </c>
      <c r="D236" t="s">
        <v>734</v>
      </c>
      <c r="E236" t="s">
        <v>733</v>
      </c>
      <c r="F236" s="7" t="s">
        <v>1147</v>
      </c>
      <c r="G236" s="7" t="str">
        <f>IF(LEFT(Table3[[#This Row],[Object ID]],4)="tbl-","fig-" &amp; MID(Table3[[#This Row],[Object ID]],5,LEN(Table3[[#This Row],[Object ID]])-4),"")</f>
        <v>fig-siena-mental-health-income</v>
      </c>
    </row>
    <row r="237" spans="1:7" x14ac:dyDescent="0.2">
      <c r="A237" t="s">
        <v>6</v>
      </c>
      <c r="B237">
        <v>233</v>
      </c>
      <c r="C237" t="s">
        <v>20</v>
      </c>
      <c r="D237" t="s">
        <v>736</v>
      </c>
      <c r="E237" t="s">
        <v>735</v>
      </c>
      <c r="F237" s="7" t="s">
        <v>1148</v>
      </c>
      <c r="G237" s="7" t="str">
        <f>IF(LEFT(Table3[[#This Row],[Object ID]],4)="tbl-","fig-" &amp; MID(Table3[[#This Row],[Object ID]],5,LEN(Table3[[#This Row],[Object ID]])-4),"")</f>
        <v>fig-siena-healthy-diet</v>
      </c>
    </row>
    <row r="238" spans="1:7" x14ac:dyDescent="0.2">
      <c r="A238" t="s">
        <v>6</v>
      </c>
      <c r="B238">
        <v>234</v>
      </c>
      <c r="C238" t="s">
        <v>20</v>
      </c>
      <c r="D238" t="s">
        <v>738</v>
      </c>
      <c r="E238" t="s">
        <v>737</v>
      </c>
      <c r="F238" s="7" t="s">
        <v>1149</v>
      </c>
      <c r="G238" s="7" t="str">
        <f>IF(LEFT(Table3[[#This Row],[Object ID]],4)="tbl-","fig-" &amp; MID(Table3[[#This Row],[Object ID]],5,LEN(Table3[[#This Row],[Object ID]])-4),"")</f>
        <v>fig-siena-healthy-diet-income</v>
      </c>
    </row>
    <row r="239" spans="1:7" x14ac:dyDescent="0.2">
      <c r="A239" t="s">
        <v>6</v>
      </c>
      <c r="B239">
        <v>235</v>
      </c>
      <c r="C239" t="s">
        <v>20</v>
      </c>
      <c r="D239" t="s">
        <v>740</v>
      </c>
      <c r="E239" t="s">
        <v>739</v>
      </c>
      <c r="F239" s="7" t="s">
        <v>1150</v>
      </c>
      <c r="G239" s="7" t="str">
        <f>IF(LEFT(Table3[[#This Row],[Object ID]],4)="tbl-","fig-" &amp; MID(Table3[[#This Row],[Object ID]],5,LEN(Table3[[#This Row],[Object ID]])-4),"")</f>
        <v>fig-siena-exercise</v>
      </c>
    </row>
    <row r="240" spans="1:7" x14ac:dyDescent="0.2">
      <c r="A240" t="s">
        <v>6</v>
      </c>
      <c r="B240">
        <v>236</v>
      </c>
      <c r="C240" t="s">
        <v>20</v>
      </c>
      <c r="D240" t="s">
        <v>742</v>
      </c>
      <c r="E240" t="s">
        <v>741</v>
      </c>
      <c r="F240" s="7" t="s">
        <v>1151</v>
      </c>
      <c r="G240" s="7" t="str">
        <f>IF(LEFT(Table3[[#This Row],[Object ID]],4)="tbl-","fig-" &amp; MID(Table3[[#This Row],[Object ID]],5,LEN(Table3[[#This Row],[Object ID]])-4),"")</f>
        <v>fig-siena-exercise-income</v>
      </c>
    </row>
    <row r="241" spans="1:7" x14ac:dyDescent="0.2">
      <c r="A241" t="s">
        <v>6</v>
      </c>
      <c r="B241">
        <v>237</v>
      </c>
      <c r="C241" t="s">
        <v>20</v>
      </c>
      <c r="D241" t="s">
        <v>744</v>
      </c>
      <c r="E241" t="s">
        <v>743</v>
      </c>
      <c r="F241" s="7" t="s">
        <v>1152</v>
      </c>
      <c r="G241" s="7" t="str">
        <f>IF(LEFT(Table3[[#This Row],[Object ID]],4)="tbl-","fig-" &amp; MID(Table3[[#This Row],[Object ID]],5,LEN(Table3[[#This Row],[Object ID]])-4),"")</f>
        <v>fig-siena-sleep</v>
      </c>
    </row>
    <row r="242" spans="1:7" x14ac:dyDescent="0.2">
      <c r="A242" t="s">
        <v>6</v>
      </c>
      <c r="B242">
        <v>238</v>
      </c>
      <c r="C242" t="s">
        <v>20</v>
      </c>
      <c r="D242" t="s">
        <v>746</v>
      </c>
      <c r="E242" t="s">
        <v>745</v>
      </c>
      <c r="F242" s="7" t="s">
        <v>1153</v>
      </c>
      <c r="G242" s="7" t="str">
        <f>IF(LEFT(Table3[[#This Row],[Object ID]],4)="tbl-","fig-" &amp; MID(Table3[[#This Row],[Object ID]],5,LEN(Table3[[#This Row],[Object ID]])-4),"")</f>
        <v>fig-siena-sleep-income</v>
      </c>
    </row>
    <row r="243" spans="1:7" x14ac:dyDescent="0.2">
      <c r="A243" t="s">
        <v>6</v>
      </c>
      <c r="B243">
        <v>239</v>
      </c>
      <c r="C243" t="s">
        <v>20</v>
      </c>
      <c r="D243" t="s">
        <v>748</v>
      </c>
      <c r="E243" t="s">
        <v>747</v>
      </c>
      <c r="F243" s="7" t="s">
        <v>1154</v>
      </c>
      <c r="G243" s="7" t="str">
        <f>IF(LEFT(Table3[[#This Row],[Object ID]],4)="tbl-","fig-" &amp; MID(Table3[[#This Row],[Object ID]],5,LEN(Table3[[#This Row],[Object ID]])-4),"")</f>
        <v>fig-siena-stress</v>
      </c>
    </row>
    <row r="244" spans="1:7" x14ac:dyDescent="0.2">
      <c r="A244" t="s">
        <v>6</v>
      </c>
      <c r="B244">
        <v>240</v>
      </c>
      <c r="C244" t="s">
        <v>20</v>
      </c>
      <c r="D244" t="s">
        <v>750</v>
      </c>
      <c r="E244" t="s">
        <v>749</v>
      </c>
      <c r="F244" s="7" t="s">
        <v>1155</v>
      </c>
      <c r="G244" s="7" t="str">
        <f>IF(LEFT(Table3[[#This Row],[Object ID]],4)="tbl-","fig-" &amp; MID(Table3[[#This Row],[Object ID]],5,LEN(Table3[[#This Row],[Object ID]])-4),"")</f>
        <v>fig-siena-stress-income</v>
      </c>
    </row>
    <row r="245" spans="1:7" x14ac:dyDescent="0.2">
      <c r="A245" t="s">
        <v>6</v>
      </c>
      <c r="B245">
        <v>241</v>
      </c>
      <c r="C245" t="s">
        <v>20</v>
      </c>
      <c r="D245" t="s">
        <v>752</v>
      </c>
      <c r="E245" t="s">
        <v>751</v>
      </c>
      <c r="F245" s="7" t="s">
        <v>1156</v>
      </c>
      <c r="G245" s="7" t="str">
        <f>IF(LEFT(Table3[[#This Row],[Object ID]],4)="tbl-","fig-" &amp; MID(Table3[[#This Row],[Object ID]],5,LEN(Table3[[#This Row],[Object ID]])-4),"")</f>
        <v>fig-siena-quality-encounter</v>
      </c>
    </row>
    <row r="246" spans="1:7" x14ac:dyDescent="0.2">
      <c r="A246" t="s">
        <v>6</v>
      </c>
      <c r="B246">
        <v>242</v>
      </c>
      <c r="C246" t="s">
        <v>20</v>
      </c>
      <c r="D246" t="s">
        <v>754</v>
      </c>
      <c r="E246" t="s">
        <v>753</v>
      </c>
      <c r="F246" s="7" t="s">
        <v>1157</v>
      </c>
      <c r="G246" s="7" t="str">
        <f>IF(LEFT(Table3[[#This Row],[Object ID]],4)="tbl-","fig-" &amp; MID(Table3[[#This Row],[Object ID]],5,LEN(Table3[[#This Row],[Object ID]])-4),"")</f>
        <v>fig-siena-quality-encounter-income</v>
      </c>
    </row>
    <row r="247" spans="1:7" x14ac:dyDescent="0.2">
      <c r="A247" t="s">
        <v>6</v>
      </c>
      <c r="B247">
        <v>243</v>
      </c>
      <c r="C247" t="s">
        <v>20</v>
      </c>
      <c r="D247" t="s">
        <v>756</v>
      </c>
      <c r="E247" t="s">
        <v>755</v>
      </c>
      <c r="F247" s="7" t="s">
        <v>1158</v>
      </c>
      <c r="G247" s="7" t="str">
        <f>IF(LEFT(Table3[[#This Row],[Object ID]],4)="tbl-","fig-" &amp; MID(Table3[[#This Row],[Object ID]],5,LEN(Table3[[#This Row],[Object ID]])-4),"")</f>
        <v>fig-siena-alcohol</v>
      </c>
    </row>
    <row r="248" spans="1:7" x14ac:dyDescent="0.2">
      <c r="A248" t="s">
        <v>6</v>
      </c>
      <c r="B248">
        <v>244</v>
      </c>
      <c r="C248" t="s">
        <v>20</v>
      </c>
      <c r="D248" t="s">
        <v>758</v>
      </c>
      <c r="E248" t="s">
        <v>757</v>
      </c>
      <c r="F248" s="7" t="s">
        <v>1159</v>
      </c>
      <c r="G248" s="7" t="str">
        <f>IF(LEFT(Table3[[#This Row],[Object ID]],4)="tbl-","fig-" &amp; MID(Table3[[#This Row],[Object ID]],5,LEN(Table3[[#This Row],[Object ID]])-4),"")</f>
        <v>fig-siena-alcohol-income</v>
      </c>
    </row>
    <row r="249" spans="1:7" x14ac:dyDescent="0.2">
      <c r="A249" t="s">
        <v>6</v>
      </c>
      <c r="B249">
        <v>245</v>
      </c>
      <c r="C249" t="s">
        <v>20</v>
      </c>
      <c r="D249" t="s">
        <v>760</v>
      </c>
      <c r="E249" t="s">
        <v>759</v>
      </c>
      <c r="F249" s="7" t="s">
        <v>1160</v>
      </c>
      <c r="G249" s="7" t="str">
        <f>IF(LEFT(Table3[[#This Row],[Object ID]],4)="tbl-","fig-" &amp; MID(Table3[[#This Row],[Object ID]],5,LEN(Table3[[#This Row],[Object ID]])-4),"")</f>
        <v>fig-siena-non-medical-drug-use</v>
      </c>
    </row>
    <row r="250" spans="1:7" x14ac:dyDescent="0.2">
      <c r="A250" t="s">
        <v>6</v>
      </c>
      <c r="B250">
        <v>246</v>
      </c>
      <c r="C250" t="s">
        <v>20</v>
      </c>
      <c r="D250" t="s">
        <v>762</v>
      </c>
      <c r="E250" t="s">
        <v>761</v>
      </c>
      <c r="F250" s="7" t="s">
        <v>1161</v>
      </c>
      <c r="G250" s="7" t="str">
        <f>IF(LEFT(Table3[[#This Row],[Object ID]],4)="tbl-","fig-" &amp; MID(Table3[[#This Row],[Object ID]],5,LEN(Table3[[#This Row],[Object ID]])-4),"")</f>
        <v>fig-siena-non-medical-drug-use-income</v>
      </c>
    </row>
    <row r="251" spans="1:7" x14ac:dyDescent="0.2">
      <c r="A251" t="s">
        <v>6</v>
      </c>
      <c r="B251">
        <v>247</v>
      </c>
      <c r="C251" t="s">
        <v>20</v>
      </c>
      <c r="D251" t="s">
        <v>764</v>
      </c>
      <c r="E251" t="s">
        <v>763</v>
      </c>
      <c r="F251" s="7" t="s">
        <v>1162</v>
      </c>
      <c r="G251" s="7" t="str">
        <f>IF(LEFT(Table3[[#This Row],[Object ID]],4)="tbl-","fig-" &amp; MID(Table3[[#This Row],[Object ID]],5,LEN(Table3[[#This Row],[Object ID]])-4),"")</f>
        <v>fig-siena-cannabis</v>
      </c>
    </row>
    <row r="252" spans="1:7" x14ac:dyDescent="0.2">
      <c r="A252" t="s">
        <v>6</v>
      </c>
      <c r="B252">
        <v>248</v>
      </c>
      <c r="C252" t="s">
        <v>20</v>
      </c>
      <c r="D252" t="s">
        <v>766</v>
      </c>
      <c r="E252" t="s">
        <v>765</v>
      </c>
      <c r="F252" s="7" t="s">
        <v>1163</v>
      </c>
      <c r="G252" s="7" t="str">
        <f>IF(LEFT(Table3[[#This Row],[Object ID]],4)="tbl-","fig-" &amp; MID(Table3[[#This Row],[Object ID]],5,LEN(Table3[[#This Row],[Object ID]])-4),"")</f>
        <v>fig-siena-cannabis-income</v>
      </c>
    </row>
    <row r="253" spans="1:7" x14ac:dyDescent="0.2">
      <c r="A253" t="s">
        <v>6</v>
      </c>
      <c r="B253">
        <v>249</v>
      </c>
      <c r="C253" t="s">
        <v>20</v>
      </c>
      <c r="D253" t="s">
        <v>768</v>
      </c>
      <c r="E253" t="s">
        <v>767</v>
      </c>
      <c r="F253" s="7" t="s">
        <v>1164</v>
      </c>
      <c r="G253" s="7" t="str">
        <f>IF(LEFT(Table3[[#This Row],[Object ID]],4)="tbl-","fig-" &amp; MID(Table3[[#This Row],[Object ID]],5,LEN(Table3[[#This Row],[Object ID]])-4),"")</f>
        <v>fig-siena-unable-food</v>
      </c>
    </row>
    <row r="254" spans="1:7" x14ac:dyDescent="0.2">
      <c r="A254" t="s">
        <v>6</v>
      </c>
      <c r="B254">
        <v>250</v>
      </c>
      <c r="C254" t="s">
        <v>20</v>
      </c>
      <c r="D254" t="s">
        <v>770</v>
      </c>
      <c r="E254" t="s">
        <v>769</v>
      </c>
      <c r="F254" s="7" t="s">
        <v>1165</v>
      </c>
      <c r="G254" s="7" t="str">
        <f>IF(LEFT(Table3[[#This Row],[Object ID]],4)="tbl-","fig-" &amp; MID(Table3[[#This Row],[Object ID]],5,LEN(Table3[[#This Row],[Object ID]])-4),"")</f>
        <v>fig-siena-unable-food-income</v>
      </c>
    </row>
    <row r="255" spans="1:7" x14ac:dyDescent="0.2">
      <c r="A255" t="s">
        <v>6</v>
      </c>
      <c r="B255">
        <v>251</v>
      </c>
      <c r="C255" t="s">
        <v>20</v>
      </c>
      <c r="D255" t="s">
        <v>772</v>
      </c>
      <c r="E255" t="s">
        <v>771</v>
      </c>
      <c r="F255" s="7" t="s">
        <v>1166</v>
      </c>
      <c r="G255" s="7" t="str">
        <f>IF(LEFT(Table3[[#This Row],[Object ID]],4)="tbl-","fig-" &amp; MID(Table3[[#This Row],[Object ID]],5,LEN(Table3[[#This Row],[Object ID]])-4),"")</f>
        <v>fig-siena-unable-utilities</v>
      </c>
    </row>
    <row r="256" spans="1:7" x14ac:dyDescent="0.2">
      <c r="A256" t="s">
        <v>6</v>
      </c>
      <c r="B256">
        <v>252</v>
      </c>
      <c r="C256" t="s">
        <v>20</v>
      </c>
      <c r="D256" t="s">
        <v>774</v>
      </c>
      <c r="E256" t="s">
        <v>773</v>
      </c>
      <c r="F256" s="7" t="s">
        <v>1167</v>
      </c>
      <c r="G256" s="7" t="str">
        <f>IF(LEFT(Table3[[#This Row],[Object ID]],4)="tbl-","fig-" &amp; MID(Table3[[#This Row],[Object ID]],5,LEN(Table3[[#This Row],[Object ID]])-4),"")</f>
        <v>fig-siena-unable-utilities-income</v>
      </c>
    </row>
    <row r="257" spans="1:7" x14ac:dyDescent="0.2">
      <c r="A257" t="s">
        <v>6</v>
      </c>
      <c r="B257">
        <v>253</v>
      </c>
      <c r="C257" t="s">
        <v>20</v>
      </c>
      <c r="D257" t="s">
        <v>776</v>
      </c>
      <c r="E257" t="s">
        <v>775</v>
      </c>
      <c r="F257" s="7" t="s">
        <v>1168</v>
      </c>
      <c r="G257" s="7" t="str">
        <f>IF(LEFT(Table3[[#This Row],[Object ID]],4)="tbl-","fig-" &amp; MID(Table3[[#This Row],[Object ID]],5,LEN(Table3[[#This Row],[Object ID]])-4),"")</f>
        <v>fig-siena-unable-dental-vision</v>
      </c>
    </row>
    <row r="258" spans="1:7" x14ac:dyDescent="0.2">
      <c r="A258" t="s">
        <v>6</v>
      </c>
      <c r="B258">
        <v>254</v>
      </c>
      <c r="C258" t="s">
        <v>20</v>
      </c>
      <c r="D258" t="s">
        <v>778</v>
      </c>
      <c r="E258" t="s">
        <v>777</v>
      </c>
      <c r="F258" s="7" t="s">
        <v>1169</v>
      </c>
      <c r="G258" s="7" t="str">
        <f>IF(LEFT(Table3[[#This Row],[Object ID]],4)="tbl-","fig-" &amp; MID(Table3[[#This Row],[Object ID]],5,LEN(Table3[[#This Row],[Object ID]])-4),"")</f>
        <v>fig-siena-unable-dental-vision-income</v>
      </c>
    </row>
    <row r="259" spans="1:7" x14ac:dyDescent="0.2">
      <c r="A259" t="s">
        <v>6</v>
      </c>
      <c r="B259">
        <v>255</v>
      </c>
      <c r="C259" t="s">
        <v>20</v>
      </c>
      <c r="D259" t="s">
        <v>780</v>
      </c>
      <c r="E259" t="s">
        <v>779</v>
      </c>
      <c r="F259" s="7" t="s">
        <v>1170</v>
      </c>
      <c r="G259" s="7" t="str">
        <f>IF(LEFT(Table3[[#This Row],[Object ID]],4)="tbl-","fig-" &amp; MID(Table3[[#This Row],[Object ID]],5,LEN(Table3[[#This Row],[Object ID]])-4),"")</f>
        <v>fig-siena-unable-phone</v>
      </c>
    </row>
    <row r="260" spans="1:7" x14ac:dyDescent="0.2">
      <c r="A260" t="s">
        <v>6</v>
      </c>
      <c r="B260">
        <v>256</v>
      </c>
      <c r="C260" t="s">
        <v>20</v>
      </c>
      <c r="D260" t="s">
        <v>782</v>
      </c>
      <c r="E260" t="s">
        <v>781</v>
      </c>
      <c r="F260" s="7" t="s">
        <v>1171</v>
      </c>
      <c r="G260" s="7" t="str">
        <f>IF(LEFT(Table3[[#This Row],[Object ID]],4)="tbl-","fig-" &amp; MID(Table3[[#This Row],[Object ID]],5,LEN(Table3[[#This Row],[Object ID]])-4),"")</f>
        <v>fig-siena-unable-phone-income</v>
      </c>
    </row>
    <row r="261" spans="1:7" x14ac:dyDescent="0.2">
      <c r="A261" t="s">
        <v>6</v>
      </c>
      <c r="B261">
        <v>257</v>
      </c>
      <c r="C261" t="s">
        <v>20</v>
      </c>
      <c r="D261" t="s">
        <v>784</v>
      </c>
      <c r="E261" t="s">
        <v>783</v>
      </c>
      <c r="F261" s="7" t="s">
        <v>1172</v>
      </c>
      <c r="G261" s="7" t="str">
        <f>IF(LEFT(Table3[[#This Row],[Object ID]],4)="tbl-","fig-" &amp; MID(Table3[[#This Row],[Object ID]],5,LEN(Table3[[#This Row],[Object ID]])-4),"")</f>
        <v>fig-siena-unable-transportation</v>
      </c>
    </row>
    <row r="262" spans="1:7" x14ac:dyDescent="0.2">
      <c r="A262" t="s">
        <v>6</v>
      </c>
      <c r="B262">
        <v>258</v>
      </c>
      <c r="C262" t="s">
        <v>20</v>
      </c>
      <c r="D262" t="s">
        <v>786</v>
      </c>
      <c r="E262" t="s">
        <v>785</v>
      </c>
      <c r="F262" s="7" t="s">
        <v>1173</v>
      </c>
      <c r="G262" s="7" t="str">
        <f>IF(LEFT(Table3[[#This Row],[Object ID]],4)="tbl-","fig-" &amp; MID(Table3[[#This Row],[Object ID]],5,LEN(Table3[[#This Row],[Object ID]])-4),"")</f>
        <v>fig-siena-unable-transportation-income</v>
      </c>
    </row>
    <row r="263" spans="1:7" x14ac:dyDescent="0.2">
      <c r="A263" t="s">
        <v>6</v>
      </c>
      <c r="B263">
        <v>259</v>
      </c>
      <c r="C263" t="s">
        <v>20</v>
      </c>
      <c r="D263" t="s">
        <v>788</v>
      </c>
      <c r="E263" t="s">
        <v>787</v>
      </c>
      <c r="F263" s="7" t="s">
        <v>1174</v>
      </c>
      <c r="G263" s="7" t="str">
        <f>IF(LEFT(Table3[[#This Row],[Object ID]],4)="tbl-","fig-" &amp; MID(Table3[[#This Row],[Object ID]],5,LEN(Table3[[#This Row],[Object ID]])-4),"")</f>
        <v>fig-siena-unable-housing</v>
      </c>
    </row>
    <row r="264" spans="1:7" x14ac:dyDescent="0.2">
      <c r="A264" t="s">
        <v>6</v>
      </c>
      <c r="B264">
        <v>260</v>
      </c>
      <c r="C264" t="s">
        <v>20</v>
      </c>
      <c r="D264" t="s">
        <v>790</v>
      </c>
      <c r="E264" t="s">
        <v>789</v>
      </c>
      <c r="F264" s="7" t="s">
        <v>1175</v>
      </c>
      <c r="G264" s="7" t="str">
        <f>IF(LEFT(Table3[[#This Row],[Object ID]],4)="tbl-","fig-" &amp; MID(Table3[[#This Row],[Object ID]],5,LEN(Table3[[#This Row],[Object ID]])-4),"")</f>
        <v>fig-siena-unable-housing-income</v>
      </c>
    </row>
    <row r="265" spans="1:7" x14ac:dyDescent="0.2">
      <c r="A265" t="s">
        <v>6</v>
      </c>
      <c r="B265">
        <v>261</v>
      </c>
      <c r="C265" t="s">
        <v>20</v>
      </c>
      <c r="D265" t="s">
        <v>792</v>
      </c>
      <c r="E265" t="s">
        <v>791</v>
      </c>
      <c r="F265" s="7" t="s">
        <v>1176</v>
      </c>
      <c r="G265" s="7" t="str">
        <f>IF(LEFT(Table3[[#This Row],[Object ID]],4)="tbl-","fig-" &amp; MID(Table3[[#This Row],[Object ID]],5,LEN(Table3[[#This Row],[Object ID]])-4),"")</f>
        <v>fig-siena-unable-childcare</v>
      </c>
    </row>
    <row r="266" spans="1:7" x14ac:dyDescent="0.2">
      <c r="A266" t="s">
        <v>6</v>
      </c>
      <c r="B266">
        <v>262</v>
      </c>
      <c r="C266" t="s">
        <v>20</v>
      </c>
      <c r="D266" t="s">
        <v>793</v>
      </c>
      <c r="E266" t="s">
        <v>794</v>
      </c>
      <c r="F266" s="7" t="s">
        <v>1177</v>
      </c>
      <c r="G266" s="7" t="str">
        <f>IF(LEFT(Table3[[#This Row],[Object ID]],4)="tbl-","fig-" &amp; MID(Table3[[#This Row],[Object ID]],5,LEN(Table3[[#This Row],[Object ID]])-4),"")</f>
        <v>fig-siena-unable-childcare-income</v>
      </c>
    </row>
    <row r="267" spans="1:7" x14ac:dyDescent="0.2">
      <c r="A267" t="s">
        <v>6</v>
      </c>
      <c r="B267">
        <v>263</v>
      </c>
      <c r="C267" t="s">
        <v>20</v>
      </c>
      <c r="D267" t="s">
        <v>795</v>
      </c>
      <c r="E267" t="s">
        <v>796</v>
      </c>
      <c r="F267" s="7" t="s">
        <v>1178</v>
      </c>
      <c r="G267" s="7" t="str">
        <f>IF(LEFT(Table3[[#This Row],[Object ID]],4)="tbl-","fig-" &amp; MID(Table3[[#This Row],[Object ID]],5,LEN(Table3[[#This Row],[Object ID]])-4),"")</f>
        <v>fig-siena-unable-internet</v>
      </c>
    </row>
    <row r="268" spans="1:7" x14ac:dyDescent="0.2">
      <c r="A268" t="s">
        <v>6</v>
      </c>
      <c r="B268">
        <v>264</v>
      </c>
      <c r="C268" t="s">
        <v>20</v>
      </c>
      <c r="D268" t="s">
        <v>797</v>
      </c>
      <c r="E268" t="s">
        <v>798</v>
      </c>
      <c r="F268" s="7" t="s">
        <v>1179</v>
      </c>
      <c r="G268" s="7" t="str">
        <f>IF(LEFT(Table3[[#This Row],[Object ID]],4)="tbl-","fig-" &amp; MID(Table3[[#This Row],[Object ID]],5,LEN(Table3[[#This Row],[Object ID]])-4),"")</f>
        <v>fig-siena-unable-internet-income</v>
      </c>
    </row>
    <row r="269" spans="1:7" x14ac:dyDescent="0.2">
      <c r="A269" t="s">
        <v>6</v>
      </c>
      <c r="B269">
        <v>265</v>
      </c>
      <c r="C269" t="s">
        <v>20</v>
      </c>
      <c r="D269" t="s">
        <v>800</v>
      </c>
      <c r="E269" t="s">
        <v>799</v>
      </c>
      <c r="F269" s="7" t="s">
        <v>1180</v>
      </c>
      <c r="G269" s="7" t="str">
        <f>IF(LEFT(Table3[[#This Row],[Object ID]],4)="tbl-","fig-" &amp; MID(Table3[[#This Row],[Object ID]],5,LEN(Table3[[#This Row],[Object ID]])-4),"")</f>
        <v>fig-siena-routine-phsyical</v>
      </c>
    </row>
    <row r="270" spans="1:7" x14ac:dyDescent="0.2">
      <c r="A270" t="s">
        <v>6</v>
      </c>
      <c r="B270">
        <v>266</v>
      </c>
      <c r="C270" t="s">
        <v>20</v>
      </c>
      <c r="D270" t="s">
        <v>801</v>
      </c>
      <c r="E270" t="s">
        <v>802</v>
      </c>
      <c r="F270" s="7" t="s">
        <v>1181</v>
      </c>
      <c r="G270" s="7" t="str">
        <f>IF(LEFT(Table3[[#This Row],[Object ID]],4)="tbl-","fig-" &amp; MID(Table3[[#This Row],[Object ID]],5,LEN(Table3[[#This Row],[Object ID]])-4),"")</f>
        <v>fig-siena-routine-phsyical-income</v>
      </c>
    </row>
    <row r="271" spans="1:7" x14ac:dyDescent="0.2">
      <c r="A271" t="s">
        <v>6</v>
      </c>
      <c r="B271">
        <v>267</v>
      </c>
      <c r="C271" t="s">
        <v>20</v>
      </c>
      <c r="D271" t="s">
        <v>803</v>
      </c>
      <c r="E271" t="s">
        <v>804</v>
      </c>
      <c r="F271" s="7" t="s">
        <v>1182</v>
      </c>
      <c r="G271" s="7" t="str">
        <f>IF(LEFT(Table3[[#This Row],[Object ID]],4)="tbl-","fig-" &amp; MID(Table3[[#This Row],[Object ID]],5,LEN(Table3[[#This Row],[Object ID]])-4),"")</f>
        <v>fig-siena-not-routine-physical</v>
      </c>
    </row>
    <row r="272" spans="1:7" x14ac:dyDescent="0.2">
      <c r="A272" t="s">
        <v>6</v>
      </c>
      <c r="B272">
        <v>268</v>
      </c>
      <c r="C272" t="s">
        <v>7</v>
      </c>
      <c r="D272" t="s">
        <v>812</v>
      </c>
      <c r="E272" t="s">
        <v>813</v>
      </c>
      <c r="F272" s="7" t="s">
        <v>1183</v>
      </c>
      <c r="G272" s="7" t="str">
        <f>IF(LEFT(Table3[[#This Row],[Object ID]],4)="tbl-","fig-" &amp; MID(Table3[[#This Row],[Object ID]],5,LEN(Table3[[#This Row],[Object ID]])-4),"")</f>
        <v>fig-siena-not-routine-physical-income</v>
      </c>
    </row>
    <row r="273" spans="1:7" x14ac:dyDescent="0.2">
      <c r="A273" t="s">
        <v>6</v>
      </c>
      <c r="B273">
        <v>269</v>
      </c>
      <c r="C273" t="s">
        <v>20</v>
      </c>
      <c r="D273" t="s">
        <v>806</v>
      </c>
      <c r="E273" t="s">
        <v>805</v>
      </c>
      <c r="F273" s="7" t="s">
        <v>1184</v>
      </c>
      <c r="G273" s="7" t="str">
        <f>IF(LEFT(Table3[[#This Row],[Object ID]],4)="tbl-","fig-" &amp; MID(Table3[[#This Row],[Object ID]],5,LEN(Table3[[#This Row],[Object ID]])-4),"")</f>
        <v>fig-siena-routine-dentist</v>
      </c>
    </row>
    <row r="274" spans="1:7" x14ac:dyDescent="0.2">
      <c r="A274" t="s">
        <v>6</v>
      </c>
      <c r="B274">
        <v>270</v>
      </c>
      <c r="C274" t="s">
        <v>20</v>
      </c>
      <c r="D274" t="s">
        <v>807</v>
      </c>
      <c r="E274" t="s">
        <v>808</v>
      </c>
      <c r="F274" s="7" t="s">
        <v>1185</v>
      </c>
      <c r="G274" s="7" t="str">
        <f>IF(LEFT(Table3[[#This Row],[Object ID]],4)="tbl-","fig-" &amp; MID(Table3[[#This Row],[Object ID]],5,LEN(Table3[[#This Row],[Object ID]])-4),"")</f>
        <v>fig-siena-routine-dentist-income</v>
      </c>
    </row>
    <row r="275" spans="1:7" x14ac:dyDescent="0.2">
      <c r="A275" t="s">
        <v>6</v>
      </c>
      <c r="B275">
        <v>271</v>
      </c>
      <c r="C275" t="s">
        <v>20</v>
      </c>
      <c r="D275" t="s">
        <v>809</v>
      </c>
      <c r="E275" t="s">
        <v>810</v>
      </c>
      <c r="F275" s="7" t="s">
        <v>1186</v>
      </c>
      <c r="G275" s="7" t="str">
        <f>IF(LEFT(Table3[[#This Row],[Object ID]],4)="tbl-","fig-" &amp; MID(Table3[[#This Row],[Object ID]],5,LEN(Table3[[#This Row],[Object ID]])-4),"")</f>
        <v>fig-siena-not-routine-dentist</v>
      </c>
    </row>
    <row r="276" spans="1:7" x14ac:dyDescent="0.2">
      <c r="A276" t="s">
        <v>6</v>
      </c>
      <c r="B276">
        <v>272</v>
      </c>
      <c r="C276" t="s">
        <v>7</v>
      </c>
      <c r="D276" t="s">
        <v>815</v>
      </c>
      <c r="E276" t="s">
        <v>814</v>
      </c>
      <c r="F276" s="7" t="s">
        <v>1187</v>
      </c>
      <c r="G276" s="7" t="str">
        <f>IF(LEFT(Table3[[#This Row],[Object ID]],4)="tbl-","fig-" &amp; MID(Table3[[#This Row],[Object ID]],5,LEN(Table3[[#This Row],[Object ID]])-4),"")</f>
        <v>fig-siena-not-routine-dentist-income</v>
      </c>
    </row>
    <row r="277" spans="1:7" x14ac:dyDescent="0.2">
      <c r="A277" t="s">
        <v>6</v>
      </c>
      <c r="B277">
        <v>273</v>
      </c>
      <c r="C277" t="s">
        <v>20</v>
      </c>
      <c r="D277" t="s">
        <v>811</v>
      </c>
      <c r="E277" t="s">
        <v>816</v>
      </c>
      <c r="F277" s="7" t="s">
        <v>1188</v>
      </c>
      <c r="G277" s="7" t="str">
        <f>IF(LEFT(Table3[[#This Row],[Object ID]],4)="tbl-","fig-" &amp; MID(Table3[[#This Row],[Object ID]],5,LEN(Table3[[#This Row],[Object ID]])-4),"")</f>
        <v>fig-siena-ed-not-for-emergency</v>
      </c>
    </row>
    <row r="278" spans="1:7" x14ac:dyDescent="0.2">
      <c r="A278" t="s">
        <v>6</v>
      </c>
      <c r="B278">
        <v>274</v>
      </c>
      <c r="C278" t="s">
        <v>20</v>
      </c>
      <c r="D278" t="s">
        <v>817</v>
      </c>
      <c r="E278" t="s">
        <v>818</v>
      </c>
      <c r="F278" s="7" t="s">
        <v>1189</v>
      </c>
      <c r="G278" s="7" t="str">
        <f>IF(LEFT(Table3[[#This Row],[Object ID]],4)="tbl-","fig-" &amp; MID(Table3[[#This Row],[Object ID]],5,LEN(Table3[[#This Row],[Object ID]])-4),"")</f>
        <v>fig-siena-ed-not-for-emergency-income</v>
      </c>
    </row>
    <row r="279" spans="1:7" x14ac:dyDescent="0.2">
      <c r="A279" t="s">
        <v>6</v>
      </c>
      <c r="B279">
        <v>275</v>
      </c>
      <c r="C279" t="s">
        <v>20</v>
      </c>
      <c r="D279" t="s">
        <v>820</v>
      </c>
      <c r="E279" t="s">
        <v>819</v>
      </c>
      <c r="F279" s="7" t="s">
        <v>1190</v>
      </c>
      <c r="G279" s="7" t="str">
        <f>IF(LEFT(Table3[[#This Row],[Object ID]],4)="tbl-","fig-" &amp; MID(Table3[[#This Row],[Object ID]],5,LEN(Table3[[#This Row],[Object ID]])-4),"")</f>
        <v>fig-siena-reason-ed-not-emergency</v>
      </c>
    </row>
    <row r="280" spans="1:7" x14ac:dyDescent="0.2">
      <c r="A280" t="s">
        <v>6</v>
      </c>
      <c r="B280">
        <v>276</v>
      </c>
      <c r="C280" t="s">
        <v>7</v>
      </c>
      <c r="D280" t="s">
        <v>821</v>
      </c>
      <c r="E280" t="s">
        <v>822</v>
      </c>
      <c r="F280" s="7" t="s">
        <v>1191</v>
      </c>
      <c r="G280" s="7" t="str">
        <f>IF(LEFT(Table3[[#This Row],[Object ID]],4)="tbl-","fig-" &amp; MID(Table3[[#This Row],[Object ID]],5,LEN(Table3[[#This Row],[Object ID]])-4),"")</f>
        <v>fig-siena-reason-ed-not-emergency-income</v>
      </c>
    </row>
    <row r="281" spans="1:7" x14ac:dyDescent="0.2">
      <c r="A281" t="s">
        <v>6</v>
      </c>
      <c r="B281">
        <v>277</v>
      </c>
      <c r="C281" t="s">
        <v>20</v>
      </c>
      <c r="D281" t="s">
        <v>829</v>
      </c>
      <c r="E281" t="s">
        <v>823</v>
      </c>
      <c r="F281" s="7" t="s">
        <v>1192</v>
      </c>
      <c r="G281" s="7" t="str">
        <f>IF(LEFT(Table3[[#This Row],[Object ID]],4)="tbl-","fig-" &amp; MID(Table3[[#This Row],[Object ID]],5,LEN(Table3[[#This Row],[Object ID]])-4),"")</f>
        <v>fig-siena-routine-mh-visit</v>
      </c>
    </row>
    <row r="282" spans="1:7" x14ac:dyDescent="0.2">
      <c r="A282" t="s">
        <v>6</v>
      </c>
      <c r="B282">
        <v>278</v>
      </c>
      <c r="C282" t="s">
        <v>20</v>
      </c>
      <c r="D282" t="s">
        <v>824</v>
      </c>
      <c r="E282" t="s">
        <v>825</v>
      </c>
      <c r="F282" s="7" t="s">
        <v>1193</v>
      </c>
      <c r="G282" s="7" t="str">
        <f>IF(LEFT(Table3[[#This Row],[Object ID]],4)="tbl-","fig-" &amp; MID(Table3[[#This Row],[Object ID]],5,LEN(Table3[[#This Row],[Object ID]])-4),"")</f>
        <v>fig-siena-routine-mh-visit-income</v>
      </c>
    </row>
    <row r="283" spans="1:7" x14ac:dyDescent="0.2">
      <c r="A283" t="s">
        <v>6</v>
      </c>
      <c r="B283">
        <v>279</v>
      </c>
      <c r="C283" t="s">
        <v>20</v>
      </c>
      <c r="D283" t="s">
        <v>826</v>
      </c>
      <c r="E283" t="s">
        <v>827</v>
      </c>
      <c r="F283" s="7" t="s">
        <v>1194</v>
      </c>
      <c r="G283" s="7" t="str">
        <f>IF(LEFT(Table3[[#This Row],[Object ID]],4)="tbl-","fig-" &amp; MID(Table3[[#This Row],[Object ID]],5,LEN(Table3[[#This Row],[Object ID]])-4),"")</f>
        <v>fig-siena-reason-not-mh-visist</v>
      </c>
    </row>
    <row r="284" spans="1:7" x14ac:dyDescent="0.2">
      <c r="A284" t="s">
        <v>6</v>
      </c>
      <c r="B284">
        <v>280</v>
      </c>
      <c r="C284" t="s">
        <v>7</v>
      </c>
      <c r="D284" t="s">
        <v>831</v>
      </c>
      <c r="E284" t="s">
        <v>830</v>
      </c>
      <c r="F284" s="7" t="s">
        <v>1195</v>
      </c>
      <c r="G284" s="7" t="str">
        <f>IF(LEFT(Table3[[#This Row],[Object ID]],4)="tbl-","fig-" &amp; MID(Table3[[#This Row],[Object ID]],5,LEN(Table3[[#This Row],[Object ID]])-4),"")</f>
        <v>fig-siena-reason-not-mh-visist-income</v>
      </c>
    </row>
    <row r="285" spans="1:7" x14ac:dyDescent="0.2">
      <c r="A285" t="s">
        <v>6</v>
      </c>
      <c r="B285">
        <v>281</v>
      </c>
      <c r="C285" t="s">
        <v>20</v>
      </c>
      <c r="D285" t="s">
        <v>828</v>
      </c>
      <c r="E285" t="s">
        <v>832</v>
      </c>
      <c r="F285" s="7" t="s">
        <v>1196</v>
      </c>
      <c r="G285" s="7" t="str">
        <f>IF(LEFT(Table3[[#This Row],[Object ID]],4)="tbl-","fig-" &amp; MID(Table3[[#This Row],[Object ID]],5,LEN(Table3[[#This Row],[Object ID]])-4),"")</f>
        <v>fig-siena-had-covid</v>
      </c>
    </row>
    <row r="286" spans="1:7" x14ac:dyDescent="0.2">
      <c r="A286" t="s">
        <v>6</v>
      </c>
      <c r="B286">
        <v>282</v>
      </c>
      <c r="C286" t="s">
        <v>20</v>
      </c>
      <c r="D286" t="s">
        <v>834</v>
      </c>
      <c r="E286" t="s">
        <v>833</v>
      </c>
      <c r="F286" s="7" t="s">
        <v>1197</v>
      </c>
      <c r="G286" s="7" t="str">
        <f>IF(LEFT(Table3[[#This Row],[Object ID]],4)="tbl-","fig-" &amp; MID(Table3[[#This Row],[Object ID]],5,LEN(Table3[[#This Row],[Object ID]])-4),"")</f>
        <v>fig-siena-had-covid-income</v>
      </c>
    </row>
    <row r="287" spans="1:7" x14ac:dyDescent="0.2">
      <c r="A287" t="s">
        <v>6</v>
      </c>
      <c r="B287">
        <v>283</v>
      </c>
      <c r="C287" t="s">
        <v>20</v>
      </c>
      <c r="D287" t="s">
        <v>836</v>
      </c>
      <c r="E287" t="s">
        <v>835</v>
      </c>
      <c r="F287" s="7" t="s">
        <v>1198</v>
      </c>
      <c r="G287" s="7" t="str">
        <f>IF(LEFT(Table3[[#This Row],[Object ID]],4)="tbl-","fig-" &amp; MID(Table3[[#This Row],[Object ID]],5,LEN(Table3[[#This Row],[Object ID]])-4),"")</f>
        <v>fig-siena-had-long-covid</v>
      </c>
    </row>
    <row r="288" spans="1:7" x14ac:dyDescent="0.2">
      <c r="A288" t="s">
        <v>6</v>
      </c>
      <c r="B288">
        <v>284</v>
      </c>
      <c r="C288" t="s">
        <v>20</v>
      </c>
      <c r="D288" t="s">
        <v>837</v>
      </c>
      <c r="E288" t="s">
        <v>838</v>
      </c>
      <c r="F288" s="7" t="s">
        <v>1199</v>
      </c>
      <c r="G288" s="7" t="str">
        <f>IF(LEFT(Table3[[#This Row],[Object ID]],4)="tbl-","fig-" &amp; MID(Table3[[#This Row],[Object ID]],5,LEN(Table3[[#This Row],[Object ID]])-4),"")</f>
        <v>fig-siena-had-long-covid-income</v>
      </c>
    </row>
    <row r="289" spans="1:7" x14ac:dyDescent="0.2">
      <c r="A289" t="s">
        <v>6</v>
      </c>
      <c r="B289">
        <v>285</v>
      </c>
      <c r="C289" t="s">
        <v>20</v>
      </c>
      <c r="D289" t="s">
        <v>840</v>
      </c>
      <c r="E289" t="s">
        <v>839</v>
      </c>
      <c r="F289" s="7" t="s">
        <v>1200</v>
      </c>
      <c r="G289" s="7" t="str">
        <f>IF(LEFT(Table3[[#This Row],[Object ID]],4)="tbl-","fig-" &amp; MID(Table3[[#This Row],[Object ID]],5,LEN(Table3[[#This Row],[Object ID]])-4),"")</f>
        <v>fig-siena-covid-vaccine</v>
      </c>
    </row>
    <row r="290" spans="1:7" x14ac:dyDescent="0.2">
      <c r="A290" t="s">
        <v>6</v>
      </c>
      <c r="B290">
        <v>286</v>
      </c>
      <c r="C290" t="s">
        <v>20</v>
      </c>
      <c r="D290" t="s">
        <v>842</v>
      </c>
      <c r="E290" t="s">
        <v>841</v>
      </c>
      <c r="F290" s="7" t="s">
        <v>1201</v>
      </c>
      <c r="G290" s="7" t="str">
        <f>IF(LEFT(Table3[[#This Row],[Object ID]],4)="tbl-","fig-" &amp; MID(Table3[[#This Row],[Object ID]],5,LEN(Table3[[#This Row],[Object ID]])-4),"")</f>
        <v>fig-siena-covid-vaccine-income</v>
      </c>
    </row>
    <row r="291" spans="1:7" x14ac:dyDescent="0.2">
      <c r="A291" t="s">
        <v>6</v>
      </c>
      <c r="B291">
        <v>287</v>
      </c>
      <c r="C291" t="s">
        <v>20</v>
      </c>
      <c r="D291" t="s">
        <v>844</v>
      </c>
      <c r="E291" t="s">
        <v>843</v>
      </c>
      <c r="F291" s="7" t="s">
        <v>1202</v>
      </c>
      <c r="G291" s="7" t="str">
        <f>IF(LEFT(Table3[[#This Row],[Object ID]],4)="tbl-","fig-" &amp; MID(Table3[[#This Row],[Object ID]],5,LEN(Table3[[#This Row],[Object ID]])-4),"")</f>
        <v>fig-siena-updated-covid-vaccine</v>
      </c>
    </row>
    <row r="292" spans="1:7" x14ac:dyDescent="0.2">
      <c r="A292" t="s">
        <v>6</v>
      </c>
      <c r="B292">
        <v>288</v>
      </c>
      <c r="C292" t="s">
        <v>20</v>
      </c>
      <c r="D292" t="s">
        <v>846</v>
      </c>
      <c r="E292" t="s">
        <v>845</v>
      </c>
      <c r="F292" s="7" t="s">
        <v>1203</v>
      </c>
      <c r="G292" s="7" t="str">
        <f>IF(LEFT(Table3[[#This Row],[Object ID]],4)="tbl-","fig-" &amp; MID(Table3[[#This Row],[Object ID]],5,LEN(Table3[[#This Row],[Object ID]])-4),"")</f>
        <v>fig-siena-updated-covid-vaccine-income</v>
      </c>
    </row>
    <row r="293" spans="1:7" x14ac:dyDescent="0.2">
      <c r="A293" t="s">
        <v>6</v>
      </c>
      <c r="B293">
        <v>289</v>
      </c>
      <c r="C293" t="s">
        <v>20</v>
      </c>
      <c r="D293" t="s">
        <v>848</v>
      </c>
      <c r="E293" t="s">
        <v>847</v>
      </c>
      <c r="F293" s="7" t="s">
        <v>1204</v>
      </c>
      <c r="G293" s="7" t="str">
        <f>IF(LEFT(Table3[[#This Row],[Object ID]],4)="tbl-","fig-" &amp; MID(Table3[[#This Row],[Object ID]],5,LEN(Table3[[#This Row],[Object ID]])-4),"")</f>
        <v>fig-siena-flu-vaccine</v>
      </c>
    </row>
    <row r="294" spans="1:7" x14ac:dyDescent="0.2">
      <c r="C294" t="s">
        <v>20</v>
      </c>
      <c r="D294" t="s">
        <v>850</v>
      </c>
      <c r="E294" t="s">
        <v>849</v>
      </c>
      <c r="F294" s="7" t="s">
        <v>1205</v>
      </c>
      <c r="G294" s="7" t="str">
        <f>IF(LEFT(Table3[[#This Row],[Object ID]],4)="tbl-","fig-" &amp; MID(Table3[[#This Row],[Object ID]],5,LEN(Table3[[#This Row],[Object ID]])-4),"")</f>
        <v>fig-siena-flu-vaccine-income</v>
      </c>
    </row>
    <row r="295" spans="1:7" x14ac:dyDescent="0.2">
      <c r="C295" t="s">
        <v>20</v>
      </c>
      <c r="D295" t="s">
        <v>851</v>
      </c>
      <c r="E295" t="s">
        <v>1206</v>
      </c>
      <c r="F295" s="7" t="s">
        <v>1207</v>
      </c>
      <c r="G295" s="7" t="str">
        <f>IF(LEFT(Table3[[#This Row],[Object ID]],4)="tbl-","fig-" &amp; MID(Table3[[#This Row],[Object ID]],5,LEN(Table3[[#This Row],[Object ID]])-4),"")</f>
        <v>fig-siena-flu-vaccine-60yo</v>
      </c>
    </row>
    <row r="296" spans="1:7" x14ac:dyDescent="0.2">
      <c r="C296" t="s">
        <v>20</v>
      </c>
      <c r="D296" t="s">
        <v>853</v>
      </c>
      <c r="E296" t="s">
        <v>852</v>
      </c>
      <c r="F296" s="7" t="s">
        <v>1208</v>
      </c>
      <c r="G296" s="7" t="str">
        <f>IF(LEFT(Table3[[#This Row],[Object ID]],4)="tbl-","fig-" &amp; MID(Table3[[#This Row],[Object ID]],5,LEN(Table3[[#This Row],[Object ID]])-4),"")</f>
        <v>fig-siena-feeling-nervous</v>
      </c>
    </row>
    <row r="297" spans="1:7" x14ac:dyDescent="0.2">
      <c r="C297" t="s">
        <v>20</v>
      </c>
      <c r="D297" t="s">
        <v>855</v>
      </c>
      <c r="E297" t="s">
        <v>854</v>
      </c>
      <c r="F297" s="7" t="s">
        <v>1209</v>
      </c>
      <c r="G297" s="7" t="str">
        <f>IF(LEFT(Table3[[#This Row],[Object ID]],4)="tbl-","fig-" &amp; MID(Table3[[#This Row],[Object ID]],5,LEN(Table3[[#This Row],[Object ID]])-4),"")</f>
        <v>fig-siena-feeling-nervous-income</v>
      </c>
    </row>
    <row r="298" spans="1:7" x14ac:dyDescent="0.2">
      <c r="C298" t="s">
        <v>20</v>
      </c>
      <c r="D298" t="s">
        <v>858</v>
      </c>
      <c r="E298" t="s">
        <v>856</v>
      </c>
      <c r="F298" s="7" t="s">
        <v>1210</v>
      </c>
      <c r="G298" s="7" t="str">
        <f>IF(LEFT(Table3[[#This Row],[Object ID]],4)="tbl-","fig-" &amp; MID(Table3[[#This Row],[Object ID]],5,LEN(Table3[[#This Row],[Object ID]])-4),"")</f>
        <v>fig-siena-feeling-hopeless</v>
      </c>
    </row>
    <row r="299" spans="1:7" x14ac:dyDescent="0.2">
      <c r="C299" t="s">
        <v>20</v>
      </c>
      <c r="D299" t="s">
        <v>859</v>
      </c>
      <c r="E299" t="s">
        <v>857</v>
      </c>
      <c r="F299" s="7" t="s">
        <v>1211</v>
      </c>
      <c r="G299" s="7" t="str">
        <f>IF(LEFT(Table3[[#This Row],[Object ID]],4)="tbl-","fig-" &amp; MID(Table3[[#This Row],[Object ID]],5,LEN(Table3[[#This Row],[Object ID]])-4),"")</f>
        <v>fig-siena-feeling-hopeless-income</v>
      </c>
    </row>
    <row r="300" spans="1:7" x14ac:dyDescent="0.2">
      <c r="C300" t="s">
        <v>20</v>
      </c>
      <c r="D300" t="s">
        <v>862</v>
      </c>
      <c r="E300" t="s">
        <v>860</v>
      </c>
      <c r="F300" s="7" t="s">
        <v>1212</v>
      </c>
      <c r="G300" s="7" t="str">
        <f>IF(LEFT(Table3[[#This Row],[Object ID]],4)="tbl-","fig-" &amp; MID(Table3[[#This Row],[Object ID]],5,LEN(Table3[[#This Row],[Object ID]])-4),"")</f>
        <v>fig-siena-restless-fidgety</v>
      </c>
    </row>
    <row r="301" spans="1:7" x14ac:dyDescent="0.2">
      <c r="C301" t="s">
        <v>20</v>
      </c>
      <c r="D301" t="s">
        <v>863</v>
      </c>
      <c r="E301" t="s">
        <v>861</v>
      </c>
      <c r="F301" s="7" t="s">
        <v>1213</v>
      </c>
      <c r="G301" s="7" t="str">
        <f>IF(LEFT(Table3[[#This Row],[Object ID]],4)="tbl-","fig-" &amp; MID(Table3[[#This Row],[Object ID]],5,LEN(Table3[[#This Row],[Object ID]])-4),"")</f>
        <v>fig-siena-restless-fidgety-income</v>
      </c>
    </row>
    <row r="302" spans="1:7" x14ac:dyDescent="0.2">
      <c r="C302" t="s">
        <v>20</v>
      </c>
      <c r="D302" t="s">
        <v>866</v>
      </c>
      <c r="E302" t="s">
        <v>864</v>
      </c>
      <c r="F302" s="7" t="s">
        <v>1214</v>
      </c>
      <c r="G302" s="7" t="str">
        <f>IF(LEFT(Table3[[#This Row],[Object ID]],4)="tbl-","fig-" &amp; MID(Table3[[#This Row],[Object ID]],5,LEN(Table3[[#This Row],[Object ID]])-4),"")</f>
        <v>fig-siena-depressed</v>
      </c>
    </row>
    <row r="303" spans="1:7" x14ac:dyDescent="0.2">
      <c r="C303" t="s">
        <v>20</v>
      </c>
      <c r="D303" t="s">
        <v>867</v>
      </c>
      <c r="E303" t="s">
        <v>865</v>
      </c>
      <c r="F303" s="7" t="s">
        <v>1215</v>
      </c>
      <c r="G303" s="7" t="str">
        <f>IF(LEFT(Table3[[#This Row],[Object ID]],4)="tbl-","fig-" &amp; MID(Table3[[#This Row],[Object ID]],5,LEN(Table3[[#This Row],[Object ID]])-4),"")</f>
        <v>fig-siena-depressed-income</v>
      </c>
    </row>
    <row r="304" spans="1:7" x14ac:dyDescent="0.2">
      <c r="C304" t="s">
        <v>20</v>
      </c>
      <c r="D304" t="s">
        <v>869</v>
      </c>
      <c r="E304" t="s">
        <v>868</v>
      </c>
      <c r="F304" s="7" t="s">
        <v>1216</v>
      </c>
      <c r="G304" s="7" t="str">
        <f>IF(LEFT(Table3[[#This Row],[Object ID]],4)="tbl-","fig-" &amp; MID(Table3[[#This Row],[Object ID]],5,LEN(Table3[[#This Row],[Object ID]])-4),"")</f>
        <v>fig-siena-everything-effort</v>
      </c>
    </row>
    <row r="305" spans="3:7" x14ac:dyDescent="0.2">
      <c r="C305" t="s">
        <v>20</v>
      </c>
      <c r="D305" t="s">
        <v>871</v>
      </c>
      <c r="E305" t="s">
        <v>870</v>
      </c>
      <c r="F305" s="7" t="s">
        <v>1217</v>
      </c>
      <c r="G305" s="7" t="str">
        <f>IF(LEFT(Table3[[#This Row],[Object ID]],4)="tbl-","fig-" &amp; MID(Table3[[#This Row],[Object ID]],5,LEN(Table3[[#This Row],[Object ID]])-4),"")</f>
        <v>fig-siena-everything-effort-income</v>
      </c>
    </row>
    <row r="306" spans="3:7" x14ac:dyDescent="0.2">
      <c r="C306" t="s">
        <v>20</v>
      </c>
      <c r="D306" t="s">
        <v>872</v>
      </c>
      <c r="E306" t="s">
        <v>874</v>
      </c>
      <c r="F306" s="7" t="s">
        <v>1218</v>
      </c>
      <c r="G306" s="7" t="str">
        <f>IF(LEFT(Table3[[#This Row],[Object ID]],4)="tbl-","fig-" &amp; MID(Table3[[#This Row],[Object ID]],5,LEN(Table3[[#This Row],[Object ID]])-4),"")</f>
        <v>fig-siena-worthless</v>
      </c>
    </row>
    <row r="307" spans="3:7" x14ac:dyDescent="0.2">
      <c r="C307" t="s">
        <v>20</v>
      </c>
      <c r="D307" t="s">
        <v>873</v>
      </c>
      <c r="E307" t="s">
        <v>875</v>
      </c>
      <c r="F307" s="7" t="s">
        <v>1219</v>
      </c>
      <c r="G307" s="7" t="str">
        <f>IF(LEFT(Table3[[#This Row],[Object ID]],4)="tbl-","fig-" &amp; MID(Table3[[#This Row],[Object ID]],5,LEN(Table3[[#This Row],[Object ID]])-4),"")</f>
        <v>fig-siena-worthless-income</v>
      </c>
    </row>
    <row r="308" spans="3:7" x14ac:dyDescent="0.2">
      <c r="C308" t="s">
        <v>20</v>
      </c>
      <c r="D308" t="s">
        <v>878</v>
      </c>
      <c r="E308" t="s">
        <v>876</v>
      </c>
      <c r="F308" s="7" t="s">
        <v>1220</v>
      </c>
      <c r="G308" s="7" t="str">
        <f>IF(LEFT(Table3[[#This Row],[Object ID]],4)="tbl-","fig-" &amp; MID(Table3[[#This Row],[Object ID]],5,LEN(Table3[[#This Row],[Object ID]])-4),"")</f>
        <v>fig-siena-kessler</v>
      </c>
    </row>
    <row r="309" spans="3:7" x14ac:dyDescent="0.2">
      <c r="C309" t="s">
        <v>20</v>
      </c>
      <c r="D309" t="s">
        <v>879</v>
      </c>
      <c r="E309" t="s">
        <v>877</v>
      </c>
      <c r="F309" s="7" t="s">
        <v>1221</v>
      </c>
      <c r="G309" s="7" t="str">
        <f>IF(LEFT(Table3[[#This Row],[Object ID]],4)="tbl-","fig-" &amp; MID(Table3[[#This Row],[Object ID]],5,LEN(Table3[[#This Row],[Object ID]])-4),"")</f>
        <v>fig-siena-kessler-income</v>
      </c>
    </row>
    <row r="310" spans="3:7" x14ac:dyDescent="0.2">
      <c r="C310" t="s">
        <v>20</v>
      </c>
      <c r="D310" t="s">
        <v>881</v>
      </c>
      <c r="E310" t="s">
        <v>880</v>
      </c>
      <c r="F310" s="7" t="s">
        <v>1222</v>
      </c>
      <c r="G310" s="7" t="str">
        <f>IF(LEFT(Table3[[#This Row],[Object ID]],4)="tbl-","fig-" &amp; MID(Table3[[#This Row],[Object ID]],5,LEN(Table3[[#This Row],[Object ID]])-4),"")</f>
        <v>fig-siena-had-a-child</v>
      </c>
    </row>
    <row r="311" spans="3:7" x14ac:dyDescent="0.2">
      <c r="C311" t="s">
        <v>20</v>
      </c>
      <c r="D311" t="s">
        <v>883</v>
      </c>
      <c r="E311" t="s">
        <v>882</v>
      </c>
      <c r="F311" s="7" t="s">
        <v>1223</v>
      </c>
      <c r="G311" s="7" t="str">
        <f>IF(LEFT(Table3[[#This Row],[Object ID]],4)="tbl-","fig-" &amp; MID(Table3[[#This Row],[Object ID]],5,LEN(Table3[[#This Row],[Object ID]])-4),"")</f>
        <v>fig-siena-bf-any-child</v>
      </c>
    </row>
    <row r="312" spans="3:7" x14ac:dyDescent="0.2">
      <c r="C312" t="s">
        <v>20</v>
      </c>
      <c r="D312" t="s">
        <v>885</v>
      </c>
      <c r="E312" t="s">
        <v>884</v>
      </c>
      <c r="F312" s="7" t="s">
        <v>1224</v>
      </c>
      <c r="G312" s="7" t="str">
        <f>IF(LEFT(Table3[[#This Row],[Object ID]],4)="tbl-","fig-" &amp; MID(Table3[[#This Row],[Object ID]],5,LEN(Table3[[#This Row],[Object ID]])-4),"")</f>
        <v>fig-siena-bf-duration</v>
      </c>
    </row>
    <row r="313" spans="3:7" x14ac:dyDescent="0.2">
      <c r="C313" t="s">
        <v>7</v>
      </c>
      <c r="D313" s="20" t="s">
        <v>886</v>
      </c>
      <c r="E313" s="35" t="s">
        <v>888</v>
      </c>
      <c r="F313" s="7" t="s">
        <v>1225</v>
      </c>
      <c r="G313" s="7" t="str">
        <f>IF(LEFT(Table3[[#This Row],[Object ID]],4)="tbl-","fig-" &amp; MID(Table3[[#This Row],[Object ID]],5,LEN(Table3[[#This Row],[Object ID]])-4),"")</f>
        <v>fig-siena-help-basic-needs</v>
      </c>
    </row>
    <row r="314" spans="3:7" x14ac:dyDescent="0.2">
      <c r="C314" t="s">
        <v>7</v>
      </c>
      <c r="D314" s="20" t="s">
        <v>887</v>
      </c>
      <c r="E314" s="35" t="s">
        <v>889</v>
      </c>
      <c r="F314" s="7" t="s">
        <v>1226</v>
      </c>
      <c r="G314" s="7" t="str">
        <f>IF(LEFT(Table3[[#This Row],[Object ID]],4)="tbl-","fig-" &amp; MID(Table3[[#This Row],[Object ID]],5,LEN(Table3[[#This Row],[Object ID]])-4),"")</f>
        <v>fig-siena-help-child-behavior-develop</v>
      </c>
    </row>
    <row r="315" spans="3:7" x14ac:dyDescent="0.2">
      <c r="C315" t="s">
        <v>20</v>
      </c>
      <c r="D315" t="s">
        <v>891</v>
      </c>
      <c r="E315" s="34" t="s">
        <v>890</v>
      </c>
      <c r="F315" s="7" t="s">
        <v>1227</v>
      </c>
      <c r="G315" s="7" t="str">
        <f>IF(LEFT(Table3[[#This Row],[Object ID]],4)="tbl-","fig-" &amp; MID(Table3[[#This Row],[Object ID]],5,LEN(Table3[[#This Row],[Object ID]])-4),"")</f>
        <v>fig-siena-difficulty-help-for-child</v>
      </c>
    </row>
    <row r="316" spans="3:7" x14ac:dyDescent="0.2">
      <c r="C316" t="s">
        <v>20</v>
      </c>
      <c r="D316" t="s">
        <v>892</v>
      </c>
      <c r="E316" t="s">
        <v>893</v>
      </c>
      <c r="F316" s="7" t="s">
        <v>1228</v>
      </c>
      <c r="G316" s="7" t="str">
        <f>IF(LEFT(Table3[[#This Row],[Object ID]],4)="tbl-","fig-" &amp; MID(Table3[[#This Row],[Object ID]],5,LEN(Table3[[#This Row],[Object ID]])-4),"")</f>
        <v>fig-data-review-guide</v>
      </c>
    </row>
    <row r="317" spans="3:7" x14ac:dyDescent="0.2">
      <c r="C317" t="s">
        <v>7</v>
      </c>
      <c r="D317" t="s">
        <v>895</v>
      </c>
      <c r="E317" t="s">
        <v>894</v>
      </c>
      <c r="F317" s="7" t="s">
        <v>1229</v>
      </c>
      <c r="G317" s="7" t="str">
        <f>IF(LEFT(Table3[[#This Row],[Object ID]],4)="tbl-","fig-" &amp; MID(Table3[[#This Row],[Object ID]],5,LEN(Table3[[#This Row],[Object ID]])-4),"")</f>
        <v>fig-top-areas-concern</v>
      </c>
    </row>
    <row r="318" spans="3:7" x14ac:dyDescent="0.2">
      <c r="C318" t="s">
        <v>20</v>
      </c>
      <c r="D318" t="s">
        <v>896</v>
      </c>
      <c r="E318" t="s">
        <v>897</v>
      </c>
      <c r="F318" s="7" t="s">
        <v>1230</v>
      </c>
      <c r="G318" s="7" t="str">
        <f>IF(LEFT(Table3[[#This Row],[Object ID]],4)="tbl-","fig-" &amp; MID(Table3[[#This Row],[Object ID]],5,LEN(Table3[[#This Row],[Object ID]])-4),"")</f>
        <v>fig-data-review-process</v>
      </c>
    </row>
    <row r="319" spans="3:7" x14ac:dyDescent="0.2">
      <c r="C319" t="s">
        <v>7</v>
      </c>
      <c r="D319" t="s">
        <v>898</v>
      </c>
      <c r="E319" t="s">
        <v>899</v>
      </c>
      <c r="F319" s="7" t="s">
        <v>1231</v>
      </c>
      <c r="G319" s="7" t="str">
        <f>IF(LEFT(Table3[[#This Row],[Object ID]],4)="tbl-","fig-" &amp; MID(Table3[[#This Row],[Object ID]],5,LEN(Table3[[#This Row],[Object ID]])-4),"")</f>
        <v>fig-ebi-long-term-objective</v>
      </c>
    </row>
    <row r="320" spans="3:7" x14ac:dyDescent="0.2">
      <c r="C320" t="s">
        <v>7</v>
      </c>
      <c r="D320" t="s">
        <v>900</v>
      </c>
      <c r="E320" t="s">
        <v>901</v>
      </c>
      <c r="F320" s="7" t="s">
        <v>1232</v>
      </c>
      <c r="G320" s="7" t="str">
        <f>IF(LEFT(Table3[[#This Row],[Object ID]],4)="tbl-","fig-" &amp; MID(Table3[[#This Row],[Object ID]],5,LEN(Table3[[#This Row],[Object ID]])-4),"")</f>
        <v>fig-short-term-process</v>
      </c>
    </row>
  </sheetData>
  <conditionalFormatting sqref="E116">
    <cfRule type="duplicateValues" dxfId="1" priority="1"/>
  </conditionalFormatting>
  <conditionalFormatting sqref="E274 E4 E215:E217 E8 E18 E34 E41 E45 E86">
    <cfRule type="duplicateValues" dxfId="0" priority="3"/>
  </conditionalFormatting>
  <dataValidations count="2">
    <dataValidation type="list" allowBlank="1" showInputMessage="1" showErrorMessage="1" sqref="C79:C271 C273:C275 C277:C308 C2:C77" xr:uid="{00000000-0002-0000-0000-000001000000}">
      <formula1>"Table,Figure"</formula1>
    </dataValidation>
    <dataValidation type="list" allowBlank="1" showInputMessage="1" showErrorMessage="1" sqref="A2:A320" xr:uid="{00000000-0002-0000-0000-000000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G1" sqref="G1:H1048576"/>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144</v>
      </c>
      <c r="B1" s="16" t="s">
        <v>145</v>
      </c>
      <c r="C1" s="1"/>
      <c r="D1" s="1" t="s">
        <v>146</v>
      </c>
      <c r="E1" s="1" t="s">
        <v>147</v>
      </c>
      <c r="F1" s="1" t="s">
        <v>148</v>
      </c>
    </row>
    <row r="2" spans="1:6" x14ac:dyDescent="0.2">
      <c r="A2" t="s">
        <v>149</v>
      </c>
      <c r="B2" t="s">
        <v>150</v>
      </c>
      <c r="C2" t="s">
        <v>151</v>
      </c>
      <c r="D2" t="s">
        <v>152</v>
      </c>
      <c r="E2" s="2" t="s">
        <v>153</v>
      </c>
      <c r="F2" s="3" t="s">
        <v>154</v>
      </c>
    </row>
    <row r="3" spans="1:6" x14ac:dyDescent="0.2">
      <c r="A3" t="s">
        <v>155</v>
      </c>
      <c r="B3" t="s">
        <v>156</v>
      </c>
      <c r="C3" t="s">
        <v>151</v>
      </c>
      <c r="D3" t="s">
        <v>157</v>
      </c>
      <c r="E3" s="5" t="s">
        <v>158</v>
      </c>
      <c r="F3" s="3" t="s">
        <v>159</v>
      </c>
    </row>
    <row r="4" spans="1:6" x14ac:dyDescent="0.2">
      <c r="A4" t="s">
        <v>160</v>
      </c>
      <c r="B4" t="s">
        <v>161</v>
      </c>
      <c r="C4" t="s">
        <v>151</v>
      </c>
      <c r="D4" t="s">
        <v>162</v>
      </c>
      <c r="E4" s="5" t="s">
        <v>163</v>
      </c>
      <c r="F4" s="3" t="s">
        <v>164</v>
      </c>
    </row>
    <row r="5" spans="1:6" x14ac:dyDescent="0.2">
      <c r="A5" t="s">
        <v>165</v>
      </c>
      <c r="B5" t="s">
        <v>166</v>
      </c>
      <c r="C5" t="s">
        <v>151</v>
      </c>
      <c r="D5" t="s">
        <v>167</v>
      </c>
      <c r="E5" s="5" t="s">
        <v>168</v>
      </c>
      <c r="F5" s="3" t="s">
        <v>169</v>
      </c>
    </row>
    <row r="6" spans="1:6" x14ac:dyDescent="0.2">
      <c r="A6" t="s">
        <v>170</v>
      </c>
      <c r="B6" t="s">
        <v>171</v>
      </c>
      <c r="C6" t="s">
        <v>151</v>
      </c>
      <c r="D6" t="s">
        <v>172</v>
      </c>
      <c r="E6" s="5" t="s">
        <v>173</v>
      </c>
      <c r="F6" s="3" t="s">
        <v>174</v>
      </c>
    </row>
    <row r="7" spans="1:6" x14ac:dyDescent="0.2">
      <c r="A7" t="s">
        <v>175</v>
      </c>
      <c r="B7" t="s">
        <v>176</v>
      </c>
      <c r="C7" t="s">
        <v>151</v>
      </c>
      <c r="D7" t="s">
        <v>177</v>
      </c>
      <c r="E7" s="5" t="s">
        <v>178</v>
      </c>
      <c r="F7" s="3" t="s">
        <v>179</v>
      </c>
    </row>
    <row r="8" spans="1:6" x14ac:dyDescent="0.2">
      <c r="A8" t="s">
        <v>180</v>
      </c>
      <c r="B8" t="s">
        <v>181</v>
      </c>
      <c r="C8" t="s">
        <v>151</v>
      </c>
      <c r="D8" t="s">
        <v>182</v>
      </c>
      <c r="E8" s="5" t="s">
        <v>183</v>
      </c>
      <c r="F8" s="3" t="s">
        <v>184</v>
      </c>
    </row>
    <row r="9" spans="1:6" x14ac:dyDescent="0.2">
      <c r="B9" t="s">
        <v>185</v>
      </c>
      <c r="C9" t="s">
        <v>186</v>
      </c>
      <c r="D9" t="s">
        <v>187</v>
      </c>
      <c r="E9" s="5" t="s">
        <v>188</v>
      </c>
      <c r="F9" s="3" t="s">
        <v>189</v>
      </c>
    </row>
    <row r="10" spans="1:6" x14ac:dyDescent="0.2">
      <c r="C10" s="6" t="s">
        <v>190</v>
      </c>
      <c r="D10" s="4" t="s">
        <v>191</v>
      </c>
      <c r="E10" s="5" t="s">
        <v>192</v>
      </c>
      <c r="F10" s="3" t="s">
        <v>193</v>
      </c>
    </row>
    <row r="11" spans="1:6" x14ac:dyDescent="0.2">
      <c r="C11" s="6" t="s">
        <v>190</v>
      </c>
      <c r="D11" s="4" t="s">
        <v>194</v>
      </c>
      <c r="E11" s="5" t="s">
        <v>195</v>
      </c>
      <c r="F11" s="3" t="s">
        <v>196</v>
      </c>
    </row>
    <row r="12" spans="1:6" x14ac:dyDescent="0.2">
      <c r="C12" s="6" t="s">
        <v>190</v>
      </c>
      <c r="D12" s="4" t="s">
        <v>197</v>
      </c>
      <c r="E12" s="5" t="s">
        <v>198</v>
      </c>
      <c r="F12" s="3" t="s">
        <v>199</v>
      </c>
    </row>
    <row r="13" spans="1:6" x14ac:dyDescent="0.2">
      <c r="C13" s="6" t="s">
        <v>190</v>
      </c>
      <c r="D13" s="4" t="s">
        <v>200</v>
      </c>
      <c r="E13" s="5" t="s">
        <v>201</v>
      </c>
      <c r="F13" s="3" t="s">
        <v>202</v>
      </c>
    </row>
    <row r="14" spans="1:6" x14ac:dyDescent="0.2">
      <c r="C14" s="6" t="s">
        <v>190</v>
      </c>
      <c r="D14" s="4" t="s">
        <v>203</v>
      </c>
      <c r="E14" s="2" t="s">
        <v>204</v>
      </c>
      <c r="F14" s="3" t="s">
        <v>205</v>
      </c>
    </row>
    <row r="15" spans="1:6" x14ac:dyDescent="0.2">
      <c r="C15" t="s">
        <v>206</v>
      </c>
      <c r="D15" t="s">
        <v>207</v>
      </c>
      <c r="E15" s="2" t="s">
        <v>208</v>
      </c>
      <c r="F15" s="3" t="s">
        <v>209</v>
      </c>
    </row>
    <row r="16" spans="1:6" x14ac:dyDescent="0.2">
      <c r="C16" t="s">
        <v>206</v>
      </c>
      <c r="D16" t="s">
        <v>210</v>
      </c>
      <c r="E16" s="2" t="s">
        <v>211</v>
      </c>
      <c r="F16" s="3" t="s">
        <v>212</v>
      </c>
    </row>
    <row r="17" spans="3:6" x14ac:dyDescent="0.2">
      <c r="C17" t="s">
        <v>206</v>
      </c>
      <c r="D17" s="7" t="s">
        <v>213</v>
      </c>
      <c r="E17" s="2" t="s">
        <v>214</v>
      </c>
      <c r="F17" s="3" t="s">
        <v>215</v>
      </c>
    </row>
    <row r="18" spans="3:6" x14ac:dyDescent="0.2">
      <c r="C18" t="s">
        <v>206</v>
      </c>
      <c r="D18" t="s">
        <v>216</v>
      </c>
      <c r="E18" s="5" t="s">
        <v>217</v>
      </c>
      <c r="F18" s="3" t="s">
        <v>218</v>
      </c>
    </row>
    <row r="19" spans="3:6" x14ac:dyDescent="0.2">
      <c r="C19" t="s">
        <v>206</v>
      </c>
      <c r="D19" t="s">
        <v>219</v>
      </c>
      <c r="E19" s="2" t="s">
        <v>220</v>
      </c>
      <c r="F19" s="3" t="s">
        <v>221</v>
      </c>
    </row>
    <row r="20" spans="3:6" x14ac:dyDescent="0.2">
      <c r="C20" s="1"/>
      <c r="D20" s="1"/>
      <c r="E20" s="5" t="s">
        <v>222</v>
      </c>
      <c r="F20" s="3" t="s">
        <v>223</v>
      </c>
    </row>
    <row r="21" spans="3:6" x14ac:dyDescent="0.2">
      <c r="C21" s="1"/>
      <c r="D21" s="1"/>
      <c r="E21" s="5" t="s">
        <v>224</v>
      </c>
      <c r="F21" s="3" t="s">
        <v>225</v>
      </c>
    </row>
    <row r="22" spans="3:6" x14ac:dyDescent="0.2">
      <c r="C22" s="1"/>
      <c r="D22" s="1"/>
      <c r="E22" s="5" t="s">
        <v>226</v>
      </c>
      <c r="F22" s="3" t="s">
        <v>227</v>
      </c>
    </row>
    <row r="23" spans="3:6" x14ac:dyDescent="0.2">
      <c r="C23" s="1"/>
      <c r="D23" s="1"/>
      <c r="E23" s="5" t="s">
        <v>228</v>
      </c>
      <c r="F23" s="3" t="s">
        <v>229</v>
      </c>
    </row>
    <row r="24" spans="3:6" x14ac:dyDescent="0.2">
      <c r="C24" s="1"/>
      <c r="D24" s="1"/>
      <c r="E24" s="5" t="s">
        <v>230</v>
      </c>
      <c r="F24" s="3" t="s">
        <v>231</v>
      </c>
    </row>
    <row r="25" spans="3:6" x14ac:dyDescent="0.2">
      <c r="C25" s="1"/>
      <c r="D25" s="1"/>
      <c r="E25" s="5" t="s">
        <v>232</v>
      </c>
      <c r="F25" s="3" t="s">
        <v>233</v>
      </c>
    </row>
    <row r="26" spans="3:6" x14ac:dyDescent="0.2">
      <c r="C26" s="1"/>
      <c r="D26" s="1"/>
      <c r="E26" s="5" t="s">
        <v>234</v>
      </c>
      <c r="F26" s="3" t="s">
        <v>235</v>
      </c>
    </row>
    <row r="27" spans="3:6" x14ac:dyDescent="0.2">
      <c r="C27" s="1"/>
      <c r="D27" s="1"/>
      <c r="E27" s="5" t="s">
        <v>236</v>
      </c>
      <c r="F27" s="3" t="s">
        <v>237</v>
      </c>
    </row>
    <row r="28" spans="3:6" x14ac:dyDescent="0.2">
      <c r="C28" s="1"/>
      <c r="D28" s="1"/>
      <c r="E28" s="5" t="s">
        <v>238</v>
      </c>
      <c r="F28" s="3" t="s">
        <v>239</v>
      </c>
    </row>
    <row r="29" spans="3:6" x14ac:dyDescent="0.2">
      <c r="C29" s="1"/>
      <c r="D29" s="1"/>
      <c r="E29" s="1"/>
      <c r="F29" s="3" t="s">
        <v>240</v>
      </c>
    </row>
    <row r="30" spans="3:6" x14ac:dyDescent="0.2">
      <c r="C30" s="1"/>
      <c r="D30" s="1"/>
      <c r="E30" s="1"/>
      <c r="F30" s="3" t="s">
        <v>241</v>
      </c>
    </row>
    <row r="31" spans="3:6" x14ac:dyDescent="0.2">
      <c r="C31" s="1"/>
      <c r="D31" s="1"/>
      <c r="E31" s="1"/>
      <c r="F31" s="3" t="s">
        <v>242</v>
      </c>
    </row>
    <row r="32" spans="3:6" x14ac:dyDescent="0.2">
      <c r="C32" s="1"/>
      <c r="D32" s="1"/>
      <c r="E32" s="1"/>
      <c r="F32" s="3" t="s">
        <v>243</v>
      </c>
    </row>
    <row r="33" spans="3:6" x14ac:dyDescent="0.2">
      <c r="C33" s="1"/>
      <c r="D33" s="1"/>
      <c r="E33" s="1"/>
      <c r="F33" s="3" t="s">
        <v>244</v>
      </c>
    </row>
    <row r="34" spans="3:6" x14ac:dyDescent="0.2">
      <c r="C34" s="1"/>
      <c r="D34" s="1"/>
      <c r="E34" s="1"/>
      <c r="F34" s="3" t="s">
        <v>245</v>
      </c>
    </row>
    <row r="35" spans="3:6" x14ac:dyDescent="0.2">
      <c r="C35" s="1"/>
      <c r="D35" s="1"/>
      <c r="E35" s="1"/>
      <c r="F35" s="3" t="s">
        <v>246</v>
      </c>
    </row>
    <row r="36" spans="3:6" x14ac:dyDescent="0.2">
      <c r="C36" s="1"/>
      <c r="D36" s="1"/>
      <c r="E36" s="1"/>
      <c r="F36" s="3" t="s">
        <v>247</v>
      </c>
    </row>
    <row r="37" spans="3:6" x14ac:dyDescent="0.2">
      <c r="C37" s="1"/>
      <c r="D37" s="1"/>
      <c r="E37" s="1"/>
      <c r="F37" s="3" t="s">
        <v>248</v>
      </c>
    </row>
    <row r="38" spans="3:6" x14ac:dyDescent="0.2">
      <c r="C38" s="1"/>
      <c r="D38" s="1"/>
      <c r="E38" s="1"/>
      <c r="F38" s="3" t="s">
        <v>249</v>
      </c>
    </row>
    <row r="39" spans="3:6" x14ac:dyDescent="0.2">
      <c r="C39" s="1"/>
      <c r="D39" s="1"/>
      <c r="E39" s="1"/>
      <c r="F39" s="3" t="s">
        <v>209</v>
      </c>
    </row>
    <row r="40" spans="3:6" x14ac:dyDescent="0.2">
      <c r="C40" s="1"/>
      <c r="D40" s="1"/>
      <c r="E40" s="1"/>
      <c r="F40" s="3" t="s">
        <v>250</v>
      </c>
    </row>
    <row r="41" spans="3:6" x14ac:dyDescent="0.2">
      <c r="C41" s="1"/>
      <c r="D41" s="1"/>
      <c r="E41" s="1"/>
      <c r="F41" s="3" t="s">
        <v>251</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5D4C7-C1D8-4D33-911C-BF3437A0F1F3}">
  <dimension ref="A1:Q57"/>
  <sheetViews>
    <sheetView topLeftCell="A4"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8" bestFit="1" customWidth="1"/>
    <col min="8" max="8" width="12.33203125" style="18" bestFit="1" customWidth="1"/>
    <col min="9" max="10" width="11" style="18" bestFit="1" customWidth="1"/>
    <col min="11" max="11" width="9.33203125" style="18" bestFit="1" customWidth="1"/>
    <col min="12" max="12" width="9.5" style="18" bestFit="1" customWidth="1"/>
    <col min="13" max="14" width="12.33203125" style="18" bestFit="1" customWidth="1"/>
    <col min="15" max="16" width="12.5" bestFit="1" customWidth="1"/>
  </cols>
  <sheetData>
    <row r="1" spans="1:17" x14ac:dyDescent="0.2">
      <c r="A1" s="17" t="s">
        <v>252</v>
      </c>
      <c r="B1" s="48" t="s">
        <v>282</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tbl-demographics-sum</v>
      </c>
    </row>
    <row r="4" spans="1:17" x14ac:dyDescent="0.2">
      <c r="A4" s="17" t="s">
        <v>5</v>
      </c>
      <c r="B4" t="str">
        <f>IF($B$1="","",_xlfn.XLOOKUP($B$1,Master!$E$2:$E$320,Master!$G$2:$G$320,""))</f>
        <v>fig-demographics-sum</v>
      </c>
      <c r="E4" s="8"/>
      <c r="F4" s="10" t="s">
        <v>144</v>
      </c>
      <c r="G4" s="11" t="s">
        <v>149</v>
      </c>
      <c r="H4" s="11" t="s">
        <v>149</v>
      </c>
      <c r="I4" s="11" t="s">
        <v>149</v>
      </c>
      <c r="J4" s="11" t="s">
        <v>149</v>
      </c>
      <c r="K4" s="11" t="s">
        <v>149</v>
      </c>
      <c r="L4" s="11" t="s">
        <v>149</v>
      </c>
      <c r="M4" s="11" t="s">
        <v>149</v>
      </c>
      <c r="N4" s="11" t="s">
        <v>155</v>
      </c>
      <c r="O4" s="10"/>
      <c r="P4" s="10"/>
      <c r="Q4" s="10"/>
    </row>
    <row r="5" spans="1:17" x14ac:dyDescent="0.2">
      <c r="A5" s="50" t="s">
        <v>255</v>
      </c>
      <c r="B5" s="51"/>
      <c r="E5" s="52" t="s">
        <v>256</v>
      </c>
      <c r="F5" s="54" t="s">
        <v>394</v>
      </c>
      <c r="G5" s="18" t="s">
        <v>485</v>
      </c>
      <c r="H5" s="54" t="s">
        <v>277</v>
      </c>
      <c r="I5" s="54"/>
      <c r="J5" s="54"/>
      <c r="K5" s="54"/>
      <c r="L5" s="54" t="s">
        <v>276</v>
      </c>
      <c r="M5" s="54"/>
      <c r="N5" s="54" t="s">
        <v>395</v>
      </c>
    </row>
    <row r="6" spans="1:17" ht="15" customHeight="1" x14ac:dyDescent="0.2">
      <c r="A6" t="s">
        <v>259</v>
      </c>
      <c r="B6" t="b">
        <v>1</v>
      </c>
      <c r="E6" s="51"/>
      <c r="F6" s="54"/>
      <c r="G6" s="18" t="s">
        <v>275</v>
      </c>
      <c r="H6" s="18" t="s">
        <v>484</v>
      </c>
      <c r="I6" s="18" t="s">
        <v>488</v>
      </c>
      <c r="J6" s="18" t="s">
        <v>489</v>
      </c>
      <c r="K6" s="18" t="s">
        <v>490</v>
      </c>
      <c r="L6" s="18" t="s">
        <v>270</v>
      </c>
      <c r="M6" s="18" t="s">
        <v>271</v>
      </c>
      <c r="N6" s="54"/>
      <c r="O6" s="16"/>
    </row>
    <row r="7" spans="1:17" ht="15.75" customHeight="1" x14ac:dyDescent="0.2">
      <c r="E7" s="51"/>
      <c r="F7" s="17" t="s">
        <v>396</v>
      </c>
      <c r="G7" s="31">
        <v>403840</v>
      </c>
      <c r="H7" s="31">
        <v>103740</v>
      </c>
      <c r="I7" s="31">
        <v>41468</v>
      </c>
      <c r="J7" s="31">
        <v>200687</v>
      </c>
      <c r="K7" s="31">
        <v>57945</v>
      </c>
      <c r="L7" s="31">
        <v>201512</v>
      </c>
      <c r="M7" s="31">
        <v>202328</v>
      </c>
      <c r="N7" s="18">
        <v>36.9</v>
      </c>
      <c r="O7" s="16"/>
    </row>
    <row r="8" spans="1:17" x14ac:dyDescent="0.2">
      <c r="E8" s="51"/>
      <c r="F8" s="17" t="s">
        <v>397</v>
      </c>
      <c r="G8" s="31">
        <v>18672</v>
      </c>
      <c r="H8" s="31">
        <v>5333</v>
      </c>
      <c r="I8" s="31">
        <v>1742</v>
      </c>
      <c r="J8" s="31">
        <v>9322</v>
      </c>
      <c r="K8" s="31">
        <v>2275</v>
      </c>
      <c r="L8" s="31">
        <v>9133</v>
      </c>
      <c r="M8" s="31">
        <v>9539</v>
      </c>
      <c r="N8" s="18">
        <v>34.4</v>
      </c>
      <c r="O8" s="16"/>
      <c r="P8" s="9"/>
    </row>
    <row r="9" spans="1:17" x14ac:dyDescent="0.2">
      <c r="A9" s="50" t="s">
        <v>260</v>
      </c>
      <c r="B9" s="51"/>
      <c r="E9" s="51"/>
      <c r="F9" s="12" t="s">
        <v>398</v>
      </c>
      <c r="G9" s="31">
        <v>3880</v>
      </c>
      <c r="H9" s="31">
        <v>1658</v>
      </c>
      <c r="I9" s="31">
        <v>263</v>
      </c>
      <c r="J9" s="31">
        <v>1622</v>
      </c>
      <c r="K9" s="31">
        <v>337</v>
      </c>
      <c r="L9" s="31">
        <v>1933</v>
      </c>
      <c r="M9" s="31">
        <v>1947</v>
      </c>
      <c r="N9" s="18">
        <v>25.2</v>
      </c>
      <c r="O9" s="16"/>
    </row>
    <row r="10" spans="1:17" x14ac:dyDescent="0.2">
      <c r="A10" t="s">
        <v>261</v>
      </c>
      <c r="E10" s="51"/>
      <c r="F10" s="12" t="s">
        <v>399</v>
      </c>
      <c r="G10" s="31">
        <v>5723</v>
      </c>
      <c r="H10" s="31">
        <v>1287</v>
      </c>
      <c r="I10" s="31">
        <v>430</v>
      </c>
      <c r="J10" s="31">
        <v>3121</v>
      </c>
      <c r="K10" s="31">
        <v>885</v>
      </c>
      <c r="L10" s="31">
        <v>2883</v>
      </c>
      <c r="M10" s="31">
        <v>2840</v>
      </c>
      <c r="N10" s="18">
        <v>39.1</v>
      </c>
    </row>
    <row r="11" spans="1:17" x14ac:dyDescent="0.2">
      <c r="A11" t="s">
        <v>262</v>
      </c>
      <c r="E11" s="51"/>
      <c r="F11" s="17" t="s">
        <v>400</v>
      </c>
      <c r="G11" s="31">
        <v>12621</v>
      </c>
      <c r="H11" s="31">
        <v>2702</v>
      </c>
      <c r="I11" s="31">
        <v>1198</v>
      </c>
      <c r="J11" s="31">
        <v>6927</v>
      </c>
      <c r="K11" s="31">
        <v>1794</v>
      </c>
      <c r="L11" s="31">
        <v>5839</v>
      </c>
      <c r="M11" s="31">
        <v>6782</v>
      </c>
      <c r="N11" s="18">
        <v>39.1</v>
      </c>
      <c r="O11" s="13"/>
    </row>
    <row r="12" spans="1:17" x14ac:dyDescent="0.2">
      <c r="A12" t="s">
        <v>263</v>
      </c>
      <c r="E12" s="51"/>
      <c r="F12" s="27" t="s">
        <v>401</v>
      </c>
      <c r="G12" s="31">
        <v>4052</v>
      </c>
      <c r="H12" s="31">
        <v>738</v>
      </c>
      <c r="I12" s="31">
        <v>313</v>
      </c>
      <c r="J12" s="31">
        <v>2451</v>
      </c>
      <c r="K12" s="31">
        <v>550</v>
      </c>
      <c r="L12" s="31">
        <v>1961</v>
      </c>
      <c r="M12" s="31" t="s">
        <v>402</v>
      </c>
      <c r="N12" s="14" t="s">
        <v>403</v>
      </c>
      <c r="O12" s="13"/>
    </row>
    <row r="13" spans="1:17" x14ac:dyDescent="0.2">
      <c r="A13" t="s">
        <v>264</v>
      </c>
      <c r="E13" s="51"/>
      <c r="F13" s="25" t="s">
        <v>404</v>
      </c>
      <c r="G13" s="31">
        <v>12801</v>
      </c>
      <c r="H13" s="31">
        <v>2714</v>
      </c>
      <c r="I13" s="31">
        <v>1148</v>
      </c>
      <c r="J13" s="31">
        <v>6435</v>
      </c>
      <c r="K13" s="31">
        <v>2504</v>
      </c>
      <c r="L13" s="31">
        <v>6218</v>
      </c>
      <c r="M13" s="31" t="s">
        <v>405</v>
      </c>
      <c r="N13" s="14" t="s">
        <v>406</v>
      </c>
    </row>
    <row r="14" spans="1:17" x14ac:dyDescent="0.2">
      <c r="A14" t="s">
        <v>265</v>
      </c>
      <c r="E14" s="51"/>
      <c r="F14" s="12" t="s">
        <v>407</v>
      </c>
      <c r="G14" s="31">
        <v>3046</v>
      </c>
      <c r="H14" s="31">
        <v>593</v>
      </c>
      <c r="I14" s="31">
        <v>321</v>
      </c>
      <c r="J14" s="31">
        <v>1580</v>
      </c>
      <c r="K14" s="31">
        <v>552</v>
      </c>
      <c r="L14" s="31">
        <v>1460</v>
      </c>
      <c r="M14" s="31">
        <v>1586</v>
      </c>
      <c r="N14" s="18">
        <v>44.7</v>
      </c>
    </row>
    <row r="15" spans="1:17" x14ac:dyDescent="0.2">
      <c r="A15" t="s">
        <v>267</v>
      </c>
      <c r="E15" s="51"/>
      <c r="F15" s="17" t="s">
        <v>408</v>
      </c>
      <c r="G15" s="31">
        <v>9097</v>
      </c>
      <c r="H15" s="31">
        <v>2086</v>
      </c>
      <c r="I15" s="31">
        <v>814</v>
      </c>
      <c r="J15" s="31">
        <v>5014</v>
      </c>
      <c r="K15" s="31">
        <v>1183</v>
      </c>
      <c r="L15" s="31">
        <v>4732</v>
      </c>
      <c r="M15" s="31">
        <v>4365</v>
      </c>
      <c r="N15" s="18">
        <v>40.799999999999997</v>
      </c>
    </row>
    <row r="16" spans="1:17" x14ac:dyDescent="0.2">
      <c r="A16" t="s">
        <v>274</v>
      </c>
      <c r="E16" s="51"/>
      <c r="F16" s="17" t="s">
        <v>409</v>
      </c>
      <c r="G16" s="31">
        <v>7471</v>
      </c>
      <c r="H16" s="31">
        <v>1512</v>
      </c>
      <c r="I16" s="31">
        <v>508</v>
      </c>
      <c r="J16" s="31">
        <v>3786</v>
      </c>
      <c r="K16" s="31">
        <v>1665</v>
      </c>
      <c r="L16" s="31">
        <v>3753</v>
      </c>
      <c r="M16" s="31">
        <v>3718</v>
      </c>
      <c r="N16" s="18">
        <v>45.4</v>
      </c>
    </row>
    <row r="17" spans="1:15" x14ac:dyDescent="0.2">
      <c r="E17" s="51"/>
      <c r="F17" s="17" t="s">
        <v>410</v>
      </c>
      <c r="G17" s="31">
        <v>14463</v>
      </c>
      <c r="H17" s="31">
        <v>2871</v>
      </c>
      <c r="I17" s="31">
        <v>1226</v>
      </c>
      <c r="J17" s="31">
        <v>7303</v>
      </c>
      <c r="K17" s="31">
        <v>3063</v>
      </c>
      <c r="L17" s="31">
        <v>7390</v>
      </c>
      <c r="M17" s="31">
        <v>7073</v>
      </c>
      <c r="N17" s="18">
        <v>44.7</v>
      </c>
    </row>
    <row r="18" spans="1:15" x14ac:dyDescent="0.2">
      <c r="A18" s="50" t="s">
        <v>268</v>
      </c>
      <c r="B18" s="51"/>
      <c r="E18" s="51"/>
      <c r="F18" s="12" t="s">
        <v>411</v>
      </c>
      <c r="G18" s="31">
        <v>5751</v>
      </c>
      <c r="H18" s="31">
        <v>1108</v>
      </c>
      <c r="I18" s="31">
        <v>367</v>
      </c>
      <c r="J18" s="31">
        <v>2744</v>
      </c>
      <c r="K18" s="31">
        <v>1532</v>
      </c>
      <c r="L18" s="31">
        <v>2745</v>
      </c>
      <c r="M18" s="31">
        <v>3006</v>
      </c>
      <c r="N18" s="18">
        <v>48</v>
      </c>
    </row>
    <row r="19" spans="1:15" x14ac:dyDescent="0.2">
      <c r="A19" t="s">
        <v>1250</v>
      </c>
      <c r="B19" t="s">
        <v>1262</v>
      </c>
      <c r="E19" s="51"/>
      <c r="F19" s="17" t="s">
        <v>412</v>
      </c>
      <c r="G19" s="31">
        <v>4680</v>
      </c>
      <c r="H19" s="31">
        <v>1167</v>
      </c>
      <c r="I19" s="31">
        <v>266</v>
      </c>
      <c r="J19" s="31">
        <v>2637</v>
      </c>
      <c r="K19" s="31">
        <v>610</v>
      </c>
      <c r="L19" s="31">
        <v>2458</v>
      </c>
      <c r="M19" s="31">
        <v>2222</v>
      </c>
      <c r="N19" s="18">
        <v>37.799999999999997</v>
      </c>
    </row>
    <row r="20" spans="1:15" x14ac:dyDescent="0.2">
      <c r="E20" s="51"/>
      <c r="F20" s="17" t="s">
        <v>413</v>
      </c>
      <c r="G20" s="31">
        <v>5507</v>
      </c>
      <c r="H20" s="31">
        <v>1280</v>
      </c>
      <c r="I20" s="31">
        <v>499</v>
      </c>
      <c r="J20" s="31">
        <v>2943</v>
      </c>
      <c r="K20" s="31">
        <v>785</v>
      </c>
      <c r="L20" s="31">
        <v>2924</v>
      </c>
      <c r="M20" s="31">
        <v>2583</v>
      </c>
      <c r="N20" s="18">
        <v>44.3</v>
      </c>
      <c r="O20" s="13"/>
    </row>
    <row r="21" spans="1:15" x14ac:dyDescent="0.2">
      <c r="A21" s="53" t="s">
        <v>269</v>
      </c>
      <c r="B21" s="51"/>
      <c r="E21" s="51"/>
      <c r="F21" s="26" t="s">
        <v>414</v>
      </c>
      <c r="G21" s="31" t="s">
        <v>415</v>
      </c>
      <c r="H21" s="31" t="s">
        <v>416</v>
      </c>
      <c r="I21" s="31" t="s">
        <v>417</v>
      </c>
      <c r="J21" s="31" t="s">
        <v>418</v>
      </c>
      <c r="K21" s="31" t="s">
        <v>419</v>
      </c>
      <c r="L21" s="31" t="s">
        <v>420</v>
      </c>
      <c r="M21" s="31" t="s">
        <v>421</v>
      </c>
      <c r="N21" s="14" t="s">
        <v>422</v>
      </c>
      <c r="O21" s="13"/>
    </row>
    <row r="22" spans="1:15" x14ac:dyDescent="0.2">
      <c r="A22" t="s">
        <v>1249</v>
      </c>
      <c r="B22" t="s">
        <v>1261</v>
      </c>
      <c r="E22" s="51"/>
      <c r="F22" s="12" t="s">
        <v>423</v>
      </c>
      <c r="G22" s="31" t="s">
        <v>424</v>
      </c>
      <c r="H22" s="31" t="s">
        <v>425</v>
      </c>
      <c r="I22" s="31" t="s">
        <v>426</v>
      </c>
      <c r="J22" s="31" t="s">
        <v>427</v>
      </c>
      <c r="K22" s="31" t="s">
        <v>428</v>
      </c>
      <c r="L22" s="31" t="s">
        <v>429</v>
      </c>
      <c r="M22" s="31" t="s">
        <v>430</v>
      </c>
      <c r="N22" s="14" t="s">
        <v>431</v>
      </c>
    </row>
    <row r="23" spans="1:15" x14ac:dyDescent="0.2">
      <c r="E23" s="51"/>
      <c r="F23" s="26" t="s">
        <v>432</v>
      </c>
      <c r="G23" s="31" t="s">
        <v>433</v>
      </c>
      <c r="H23" s="31" t="s">
        <v>434</v>
      </c>
      <c r="I23" s="31" t="s">
        <v>435</v>
      </c>
      <c r="J23" s="31">
        <v>15768</v>
      </c>
      <c r="K23" s="31">
        <v>4110</v>
      </c>
      <c r="L23" s="31">
        <v>15640</v>
      </c>
      <c r="M23" s="31">
        <v>14587</v>
      </c>
      <c r="N23" s="18">
        <v>35.700000000000003</v>
      </c>
    </row>
    <row r="24" spans="1:15" x14ac:dyDescent="0.2">
      <c r="E24" s="51"/>
      <c r="F24" s="26" t="s">
        <v>436</v>
      </c>
      <c r="G24" s="31" t="s">
        <v>437</v>
      </c>
      <c r="H24" s="31" t="s">
        <v>438</v>
      </c>
      <c r="I24" s="31" t="s">
        <v>439</v>
      </c>
      <c r="J24" s="31">
        <v>2371</v>
      </c>
      <c r="K24" s="31">
        <v>524</v>
      </c>
      <c r="L24" s="31">
        <v>2246</v>
      </c>
      <c r="M24" s="31">
        <v>2402</v>
      </c>
      <c r="N24" s="18">
        <v>36.5</v>
      </c>
    </row>
    <row r="25" spans="1:15" x14ac:dyDescent="0.2">
      <c r="E25" s="51"/>
      <c r="F25" s="27" t="s">
        <v>440</v>
      </c>
      <c r="G25" s="31" t="s">
        <v>441</v>
      </c>
      <c r="H25" s="31" t="s">
        <v>442</v>
      </c>
      <c r="I25" s="31" t="s">
        <v>278</v>
      </c>
      <c r="J25" s="31">
        <v>304</v>
      </c>
      <c r="K25" s="31">
        <v>79</v>
      </c>
      <c r="L25" s="31">
        <v>282</v>
      </c>
      <c r="M25" s="31">
        <v>402</v>
      </c>
      <c r="N25" s="18">
        <v>30.5</v>
      </c>
    </row>
    <row r="26" spans="1:15" x14ac:dyDescent="0.2">
      <c r="E26" s="51"/>
      <c r="F26" s="29" t="s">
        <v>443</v>
      </c>
      <c r="G26" s="31" t="s">
        <v>444</v>
      </c>
      <c r="H26" s="31" t="s">
        <v>445</v>
      </c>
      <c r="I26" s="31" t="s">
        <v>446</v>
      </c>
      <c r="J26" s="31">
        <v>10438</v>
      </c>
      <c r="K26" s="31">
        <v>3039</v>
      </c>
      <c r="L26" s="31">
        <v>9782</v>
      </c>
      <c r="M26" s="31">
        <v>11517</v>
      </c>
      <c r="N26" s="18">
        <v>36.799999999999997</v>
      </c>
    </row>
    <row r="27" spans="1:15" x14ac:dyDescent="0.2">
      <c r="A27" s="53"/>
      <c r="B27" s="51"/>
      <c r="E27" s="51"/>
      <c r="F27" s="12" t="s">
        <v>447</v>
      </c>
      <c r="G27" s="31">
        <v>2089</v>
      </c>
      <c r="H27" s="31">
        <v>598</v>
      </c>
      <c r="I27" s="31" t="s">
        <v>448</v>
      </c>
      <c r="J27" s="31">
        <v>1033</v>
      </c>
      <c r="K27" s="31">
        <v>363</v>
      </c>
      <c r="L27" s="31">
        <v>877</v>
      </c>
      <c r="M27" s="31">
        <v>1212</v>
      </c>
      <c r="N27" s="18">
        <v>37</v>
      </c>
    </row>
    <row r="28" spans="1:15" x14ac:dyDescent="0.2">
      <c r="E28" s="51"/>
      <c r="F28" s="12" t="s">
        <v>449</v>
      </c>
      <c r="G28" s="31">
        <v>9466</v>
      </c>
      <c r="H28" s="31">
        <v>2552</v>
      </c>
      <c r="I28" s="31" t="s">
        <v>450</v>
      </c>
      <c r="J28" s="31">
        <v>4846</v>
      </c>
      <c r="K28" s="31">
        <v>950</v>
      </c>
      <c r="L28" s="31">
        <v>4473</v>
      </c>
      <c r="M28" s="31">
        <v>4993</v>
      </c>
      <c r="N28" s="18">
        <v>32.799999999999997</v>
      </c>
    </row>
    <row r="29" spans="1:15" x14ac:dyDescent="0.2">
      <c r="E29" s="51"/>
      <c r="F29" s="26" t="s">
        <v>451</v>
      </c>
      <c r="G29" s="31">
        <v>23235</v>
      </c>
      <c r="H29" s="31">
        <v>5597</v>
      </c>
      <c r="I29" s="31" t="s">
        <v>452</v>
      </c>
      <c r="J29" s="31">
        <v>12228</v>
      </c>
      <c r="K29" s="31">
        <v>3358</v>
      </c>
      <c r="L29" s="31">
        <v>11058</v>
      </c>
      <c r="M29" s="31">
        <v>12177</v>
      </c>
      <c r="N29" s="18">
        <v>39.4</v>
      </c>
    </row>
    <row r="30" spans="1:15" x14ac:dyDescent="0.2">
      <c r="E30" s="51"/>
      <c r="F30" s="12" t="s">
        <v>453</v>
      </c>
      <c r="G30" s="31">
        <v>3147</v>
      </c>
      <c r="H30" s="31">
        <v>507</v>
      </c>
      <c r="I30" s="31" t="s">
        <v>454</v>
      </c>
      <c r="J30" s="31">
        <v>1772</v>
      </c>
      <c r="K30" s="31">
        <v>660</v>
      </c>
      <c r="L30" s="31">
        <v>1451</v>
      </c>
      <c r="M30" s="31">
        <v>1696</v>
      </c>
      <c r="N30" s="18">
        <v>46.5</v>
      </c>
    </row>
    <row r="31" spans="1:15" x14ac:dyDescent="0.2">
      <c r="E31" s="51"/>
      <c r="F31" s="12" t="s">
        <v>455</v>
      </c>
      <c r="G31" s="31">
        <v>3800</v>
      </c>
      <c r="H31" s="31">
        <v>962</v>
      </c>
      <c r="I31" s="31" t="s">
        <v>456</v>
      </c>
      <c r="J31" s="31">
        <v>1960</v>
      </c>
      <c r="K31" s="31">
        <v>553</v>
      </c>
      <c r="L31" s="31">
        <v>1722</v>
      </c>
      <c r="M31" s="31">
        <v>2078</v>
      </c>
      <c r="N31" s="18">
        <v>39.799999999999997</v>
      </c>
    </row>
    <row r="32" spans="1:15" x14ac:dyDescent="0.2">
      <c r="E32" s="51"/>
      <c r="F32" s="12" t="s">
        <v>457</v>
      </c>
      <c r="G32" s="31">
        <v>6871</v>
      </c>
      <c r="H32" s="31">
        <v>1664</v>
      </c>
      <c r="I32" s="31" t="s">
        <v>458</v>
      </c>
      <c r="J32" s="31">
        <v>3732</v>
      </c>
      <c r="K32" s="31">
        <v>816</v>
      </c>
      <c r="L32" s="31">
        <v>3498</v>
      </c>
      <c r="M32" s="31">
        <v>3373</v>
      </c>
      <c r="N32" s="18">
        <v>38.1</v>
      </c>
    </row>
    <row r="33" spans="5:14" x14ac:dyDescent="0.2">
      <c r="E33" s="51"/>
      <c r="F33" s="17" t="s">
        <v>459</v>
      </c>
      <c r="G33" s="31" t="s">
        <v>460</v>
      </c>
      <c r="H33" s="31" t="s">
        <v>461</v>
      </c>
      <c r="I33" s="31" t="s">
        <v>462</v>
      </c>
      <c r="J33" s="31">
        <v>3856</v>
      </c>
      <c r="K33" s="31">
        <v>1079</v>
      </c>
      <c r="L33" s="31">
        <v>3897</v>
      </c>
      <c r="M33" s="31">
        <v>2603</v>
      </c>
      <c r="N33" s="18">
        <v>44.3</v>
      </c>
    </row>
    <row r="34" spans="5:14" x14ac:dyDescent="0.2">
      <c r="E34" s="51"/>
      <c r="F34" s="16" t="s">
        <v>463</v>
      </c>
      <c r="G34" s="31">
        <v>1210</v>
      </c>
      <c r="H34" s="31">
        <v>353</v>
      </c>
      <c r="I34" s="31" t="s">
        <v>464</v>
      </c>
      <c r="J34" s="31">
        <v>564</v>
      </c>
      <c r="K34" s="31">
        <v>237</v>
      </c>
      <c r="L34" s="31">
        <v>623</v>
      </c>
      <c r="M34" s="31">
        <v>587</v>
      </c>
      <c r="N34" s="18">
        <v>35.6</v>
      </c>
    </row>
    <row r="35" spans="5:14" x14ac:dyDescent="0.2">
      <c r="E35" s="51"/>
      <c r="F35" s="26" t="s">
        <v>465</v>
      </c>
      <c r="G35" s="31">
        <v>28649</v>
      </c>
      <c r="H35" s="31">
        <v>7379</v>
      </c>
      <c r="I35" s="31" t="s">
        <v>466</v>
      </c>
      <c r="J35" s="31">
        <v>14393</v>
      </c>
      <c r="K35" s="31">
        <v>3540</v>
      </c>
      <c r="L35" s="31">
        <v>13424</v>
      </c>
      <c r="M35" s="31">
        <v>15225</v>
      </c>
      <c r="N35" s="18">
        <v>31.7</v>
      </c>
    </row>
    <row r="36" spans="5:14" x14ac:dyDescent="0.2">
      <c r="E36" s="51"/>
      <c r="F36" s="26" t="s">
        <v>467</v>
      </c>
      <c r="G36" s="31">
        <v>31866</v>
      </c>
      <c r="H36" s="31">
        <v>6121</v>
      </c>
      <c r="I36" s="31" t="s">
        <v>468</v>
      </c>
      <c r="J36" s="31">
        <v>17297</v>
      </c>
      <c r="K36" s="31">
        <v>5460</v>
      </c>
      <c r="L36" s="31">
        <v>16112</v>
      </c>
      <c r="M36" s="31">
        <v>15754</v>
      </c>
      <c r="N36" s="18">
        <v>41.8</v>
      </c>
    </row>
    <row r="37" spans="5:14" x14ac:dyDescent="0.2">
      <c r="E37" s="51"/>
      <c r="F37" s="26" t="s">
        <v>469</v>
      </c>
      <c r="G37" s="31">
        <v>27781</v>
      </c>
      <c r="H37" s="31">
        <v>5691</v>
      </c>
      <c r="I37" s="31" t="s">
        <v>470</v>
      </c>
      <c r="J37" s="31">
        <v>15049</v>
      </c>
      <c r="K37" s="31">
        <v>4593</v>
      </c>
      <c r="L37" s="31">
        <v>13475</v>
      </c>
      <c r="M37" s="31">
        <v>14306</v>
      </c>
      <c r="N37" s="18">
        <v>41.4</v>
      </c>
    </row>
    <row r="38" spans="5:14" x14ac:dyDescent="0.2">
      <c r="E38" s="51"/>
      <c r="F38" s="26" t="s">
        <v>471</v>
      </c>
      <c r="G38" s="31">
        <v>36572</v>
      </c>
      <c r="H38" s="31">
        <v>20811</v>
      </c>
      <c r="I38" s="31" t="s">
        <v>472</v>
      </c>
      <c r="J38" s="31">
        <v>9535</v>
      </c>
      <c r="K38" s="31">
        <v>969</v>
      </c>
      <c r="L38" s="31">
        <v>18558</v>
      </c>
      <c r="M38" s="31">
        <v>18014</v>
      </c>
      <c r="N38" s="18">
        <v>15.1</v>
      </c>
    </row>
    <row r="39" spans="5:14" x14ac:dyDescent="0.2">
      <c r="E39" s="51"/>
      <c r="F39" s="27" t="s">
        <v>473</v>
      </c>
      <c r="G39" s="31" t="s">
        <v>474</v>
      </c>
      <c r="H39" s="31" t="s">
        <v>475</v>
      </c>
      <c r="I39" s="31" t="s">
        <v>472</v>
      </c>
      <c r="J39" s="31">
        <v>9535</v>
      </c>
      <c r="K39" s="31">
        <v>969</v>
      </c>
      <c r="L39" s="31">
        <v>18558</v>
      </c>
      <c r="M39" s="31">
        <v>18014</v>
      </c>
      <c r="N39" s="18">
        <v>15.1</v>
      </c>
    </row>
    <row r="40" spans="5:14" x14ac:dyDescent="0.2">
      <c r="E40" s="51"/>
      <c r="F40" s="28" t="s">
        <v>476</v>
      </c>
      <c r="G40" s="31" t="s">
        <v>477</v>
      </c>
      <c r="H40" s="31" t="s">
        <v>478</v>
      </c>
      <c r="I40" s="31" t="s">
        <v>479</v>
      </c>
      <c r="J40" s="31">
        <v>4209</v>
      </c>
      <c r="K40" s="31">
        <v>1615</v>
      </c>
      <c r="L40" s="31">
        <v>4267</v>
      </c>
      <c r="M40" s="31">
        <v>4442</v>
      </c>
      <c r="N40" s="18">
        <v>39.6</v>
      </c>
    </row>
    <row r="41" spans="5:14" x14ac:dyDescent="0.2">
      <c r="E41" s="51"/>
      <c r="F41" s="17" t="s">
        <v>497</v>
      </c>
      <c r="G41" s="31" t="s">
        <v>498</v>
      </c>
      <c r="H41" s="31" t="s">
        <v>499</v>
      </c>
      <c r="I41" s="31" t="s">
        <v>500</v>
      </c>
      <c r="J41" s="31">
        <v>1954</v>
      </c>
      <c r="K41" s="31">
        <v>869</v>
      </c>
      <c r="L41" s="31">
        <v>1975</v>
      </c>
      <c r="M41" s="31">
        <v>1790</v>
      </c>
      <c r="N41" s="18">
        <v>48.4</v>
      </c>
    </row>
    <row r="42" spans="5:14" x14ac:dyDescent="0.2">
      <c r="E42" s="51"/>
      <c r="F42" s="12" t="s">
        <v>501</v>
      </c>
      <c r="G42" s="31">
        <v>3083</v>
      </c>
      <c r="H42" s="31">
        <v>620</v>
      </c>
      <c r="I42" s="31">
        <v>228</v>
      </c>
      <c r="J42" s="31">
        <v>1543</v>
      </c>
      <c r="K42" s="31">
        <v>692</v>
      </c>
      <c r="L42" s="31">
        <v>1546</v>
      </c>
      <c r="M42" s="31">
        <v>1537</v>
      </c>
      <c r="N42" s="18">
        <v>45.1</v>
      </c>
    </row>
    <row r="43" spans="5:14" x14ac:dyDescent="0.2">
      <c r="E43" s="51"/>
      <c r="F43" s="12" t="s">
        <v>502</v>
      </c>
      <c r="G43" s="31">
        <v>682</v>
      </c>
      <c r="H43" s="31">
        <v>82</v>
      </c>
      <c r="I43" s="31">
        <v>12</v>
      </c>
      <c r="J43" s="31">
        <v>411</v>
      </c>
      <c r="K43" s="31">
        <v>177</v>
      </c>
      <c r="L43" s="31">
        <v>429</v>
      </c>
      <c r="M43" s="31">
        <v>253</v>
      </c>
      <c r="N43" s="18">
        <v>51.9</v>
      </c>
    </row>
    <row r="44" spans="5:14" x14ac:dyDescent="0.2">
      <c r="E44" s="51"/>
      <c r="F44" s="17" t="s">
        <v>503</v>
      </c>
      <c r="G44" s="31">
        <v>30790</v>
      </c>
      <c r="H44" s="31">
        <v>5920</v>
      </c>
      <c r="I44" s="31">
        <v>3341</v>
      </c>
      <c r="J44" s="31">
        <v>16353</v>
      </c>
      <c r="K44" s="31">
        <v>5176</v>
      </c>
      <c r="L44" s="31">
        <v>15650</v>
      </c>
      <c r="M44" s="31">
        <v>15140</v>
      </c>
      <c r="N44" s="18">
        <v>41.3</v>
      </c>
    </row>
    <row r="45" spans="5:14" x14ac:dyDescent="0.2">
      <c r="E45" s="51"/>
      <c r="F45" s="17" t="s">
        <v>504</v>
      </c>
      <c r="G45" s="31">
        <v>31909</v>
      </c>
      <c r="H45" s="31">
        <v>6273</v>
      </c>
      <c r="I45" s="31">
        <v>2216</v>
      </c>
      <c r="J45" s="31">
        <v>17141</v>
      </c>
      <c r="K45" s="31">
        <v>6279</v>
      </c>
      <c r="L45" s="31">
        <v>15794</v>
      </c>
      <c r="M45" s="31">
        <v>16115</v>
      </c>
      <c r="N45" s="18">
        <v>44.1</v>
      </c>
    </row>
    <row r="46" spans="5:14" x14ac:dyDescent="0.2">
      <c r="E46" s="51"/>
      <c r="F46" s="12" t="s">
        <v>505</v>
      </c>
      <c r="G46" s="31">
        <v>2915</v>
      </c>
      <c r="H46" s="31">
        <v>620</v>
      </c>
      <c r="I46" s="31">
        <v>278</v>
      </c>
      <c r="J46" s="31">
        <v>1575</v>
      </c>
      <c r="K46" s="31">
        <v>442</v>
      </c>
      <c r="L46" s="31">
        <v>1566</v>
      </c>
      <c r="M46" s="31">
        <v>1349</v>
      </c>
      <c r="N46" s="18">
        <v>36</v>
      </c>
    </row>
    <row r="47" spans="5:14" x14ac:dyDescent="0.2">
      <c r="E47" s="51"/>
      <c r="F47" s="12" t="s">
        <v>506</v>
      </c>
      <c r="G47" s="31">
        <v>3022</v>
      </c>
      <c r="H47" s="31">
        <v>529</v>
      </c>
      <c r="I47" s="31">
        <v>101</v>
      </c>
      <c r="J47" s="31">
        <v>1760</v>
      </c>
      <c r="K47" s="31">
        <v>632</v>
      </c>
      <c r="L47" s="31">
        <v>1471</v>
      </c>
      <c r="M47" s="31">
        <v>1551</v>
      </c>
      <c r="N47" s="18">
        <v>42.2</v>
      </c>
    </row>
    <row r="48" spans="5:14" x14ac:dyDescent="0.2">
      <c r="E48" s="51"/>
      <c r="F48" s="12" t="s">
        <v>507</v>
      </c>
      <c r="G48" s="31">
        <v>6625</v>
      </c>
      <c r="H48" s="31">
        <v>1274</v>
      </c>
      <c r="I48" s="31">
        <v>418</v>
      </c>
      <c r="J48" s="31">
        <v>3125</v>
      </c>
      <c r="K48" s="31">
        <v>1808</v>
      </c>
      <c r="L48" s="31">
        <v>2921</v>
      </c>
      <c r="M48" s="31">
        <v>3704</v>
      </c>
      <c r="N48" s="18">
        <v>48.4</v>
      </c>
    </row>
    <row r="49" spans="5:14" x14ac:dyDescent="0.2">
      <c r="E49" s="51"/>
      <c r="F49" s="17" t="s">
        <v>508</v>
      </c>
      <c r="G49" s="31">
        <v>7493</v>
      </c>
      <c r="H49" s="31">
        <v>1726</v>
      </c>
      <c r="I49" s="31">
        <v>882</v>
      </c>
      <c r="J49" s="31">
        <v>3842</v>
      </c>
      <c r="K49" s="31">
        <v>1043</v>
      </c>
      <c r="L49" s="31">
        <v>3585</v>
      </c>
      <c r="M49" s="31">
        <v>3908</v>
      </c>
      <c r="N49" s="18">
        <v>39.200000000000003</v>
      </c>
    </row>
    <row r="50" spans="5:14" x14ac:dyDescent="0.2">
      <c r="E50" s="51"/>
      <c r="F50" s="17" t="s">
        <v>509</v>
      </c>
      <c r="G50" s="31">
        <v>12191</v>
      </c>
      <c r="H50" s="31">
        <v>3079</v>
      </c>
      <c r="I50" s="31">
        <v>1478</v>
      </c>
      <c r="J50" s="31">
        <v>6286</v>
      </c>
      <c r="K50" s="31">
        <v>1348</v>
      </c>
      <c r="L50" s="31">
        <v>6205</v>
      </c>
      <c r="M50" s="31">
        <v>5986</v>
      </c>
      <c r="N50" s="18">
        <v>40</v>
      </c>
    </row>
    <row r="51" spans="5:14" x14ac:dyDescent="0.2">
      <c r="E51" s="51"/>
      <c r="F51" s="12" t="s">
        <v>447</v>
      </c>
      <c r="G51" s="31">
        <v>754</v>
      </c>
      <c r="H51" s="31">
        <v>149</v>
      </c>
      <c r="I51" s="31">
        <v>39</v>
      </c>
      <c r="J51" s="31">
        <v>505</v>
      </c>
      <c r="K51" s="31">
        <v>61</v>
      </c>
      <c r="L51" s="31">
        <v>337</v>
      </c>
      <c r="M51" s="31">
        <v>417</v>
      </c>
      <c r="N51" s="18">
        <v>37</v>
      </c>
    </row>
    <row r="52" spans="5:14" x14ac:dyDescent="0.2">
      <c r="E52" s="51"/>
      <c r="F52" s="12" t="s">
        <v>510</v>
      </c>
      <c r="G52" s="31">
        <v>11437</v>
      </c>
      <c r="H52" s="31">
        <v>2930</v>
      </c>
      <c r="I52" s="31">
        <v>1439</v>
      </c>
      <c r="J52" s="31">
        <v>5781</v>
      </c>
      <c r="K52" s="31">
        <v>1287</v>
      </c>
      <c r="L52" s="31">
        <v>5868</v>
      </c>
      <c r="M52" s="31">
        <v>5569</v>
      </c>
      <c r="N52" s="18">
        <v>39.700000000000003</v>
      </c>
    </row>
    <row r="53" spans="5:14" x14ac:dyDescent="0.2">
      <c r="E53" s="51"/>
    </row>
    <row r="54" spans="5:14" x14ac:dyDescent="0.2">
      <c r="E54" s="51"/>
    </row>
    <row r="55" spans="5:14" x14ac:dyDescent="0.2">
      <c r="E55" s="51"/>
    </row>
    <row r="56" spans="5:14" x14ac:dyDescent="0.2">
      <c r="E56" s="51"/>
    </row>
    <row r="57" spans="5:14" x14ac:dyDescent="0.2">
      <c r="E57" s="51"/>
    </row>
  </sheetData>
  <mergeCells count="11">
    <mergeCell ref="B1:O1"/>
    <mergeCell ref="A5:B5"/>
    <mergeCell ref="E5:E57"/>
    <mergeCell ref="A9:B9"/>
    <mergeCell ref="A18:B18"/>
    <mergeCell ref="A27:B27"/>
    <mergeCell ref="F5:F6"/>
    <mergeCell ref="L5:M5"/>
    <mergeCell ref="N5:N6"/>
    <mergeCell ref="H5:K5"/>
    <mergeCell ref="A21:B21"/>
  </mergeCells>
  <dataValidations count="4">
    <dataValidation type="list" allowBlank="1" showInputMessage="1" showErrorMessage="1" sqref="P4:Q4" xr:uid="{4156A20C-2346-4BBC-A443-1AAB25DB9AFE}">
      <formula1>"integer, number, percent1"</formula1>
    </dataValidation>
    <dataValidation type="list" allowBlank="1" showInputMessage="1" showErrorMessage="1" sqref="B10" xr:uid="{9FF54F95-5F7E-497D-A985-B2C643147C25}">
      <formula1>"Line,Clustered Bar,Stacked Bar,Bar,Horizontal Stacked Bar"</formula1>
    </dataValidation>
    <dataValidation type="list" allowBlank="1" showInputMessage="1" showErrorMessage="1" sqref="B2" xr:uid="{F4A17B54-273D-4FB6-B546-B991FEC0C547}">
      <formula1>"Table,Figure,Both"</formula1>
    </dataValidation>
    <dataValidation type="list" allowBlank="1" showInputMessage="1" showErrorMessage="1" sqref="B6 B15:B16" xr:uid="{E772EBDF-7E4E-4970-A901-4CCBA5EE54E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54E178D-FE31-4192-9054-B2B10C9D6CED}">
          <x14:formula1>
            <xm:f>Dropdowns!$A$1:$A$8</xm:f>
          </x14:formula1>
          <xm:sqref>F4:O4</xm:sqref>
        </x14:dataValidation>
        <x14:dataValidation type="list" allowBlank="1" showInputMessage="1" showErrorMessage="1" xr:uid="{BA554AFC-45DA-4C14-953B-F94F4E8F4204}">
          <x14:formula1>
            <xm:f>Master!$F$2:$F$401</xm:f>
          </x14:formula1>
          <xm:sqref>B1:O1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C9392-F324-4C8E-9F13-B0E578A71603}">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283</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tbl-pop</v>
      </c>
    </row>
    <row r="4" spans="1:17" x14ac:dyDescent="0.2">
      <c r="A4" s="17" t="s">
        <v>5</v>
      </c>
      <c r="B4" t="str">
        <f>IF($B$1="","",_xlfn.XLOOKUP($B$1,Master!$E$2:$E$320,Master!$G$2:$G$320,""))</f>
        <v>fig-pop</v>
      </c>
      <c r="E4" s="8"/>
      <c r="F4" s="10" t="s">
        <v>144</v>
      </c>
      <c r="G4" s="10" t="s">
        <v>149</v>
      </c>
      <c r="H4" s="10" t="s">
        <v>149</v>
      </c>
      <c r="I4" s="10" t="s">
        <v>149</v>
      </c>
      <c r="J4" s="10" t="s">
        <v>149</v>
      </c>
      <c r="K4" s="10" t="s">
        <v>149</v>
      </c>
      <c r="L4" s="10" t="s">
        <v>149</v>
      </c>
      <c r="M4" s="10"/>
      <c r="N4" s="10"/>
      <c r="O4" s="10"/>
      <c r="P4" s="10"/>
      <c r="Q4" s="10"/>
    </row>
    <row r="5" spans="1:17" x14ac:dyDescent="0.2">
      <c r="A5" s="50" t="s">
        <v>255</v>
      </c>
      <c r="B5" s="51"/>
      <c r="E5" s="52" t="s">
        <v>256</v>
      </c>
      <c r="F5" s="54" t="s">
        <v>394</v>
      </c>
      <c r="G5" s="54" t="s">
        <v>521</v>
      </c>
      <c r="H5" s="54"/>
      <c r="I5" s="54"/>
      <c r="J5" s="54"/>
      <c r="K5" s="54"/>
      <c r="L5" s="54"/>
      <c r="M5" s="22"/>
      <c r="N5" s="22"/>
    </row>
    <row r="6" spans="1:17" ht="15" customHeight="1" x14ac:dyDescent="0.2">
      <c r="A6" t="s">
        <v>259</v>
      </c>
      <c r="E6" s="51"/>
      <c r="F6" s="54"/>
      <c r="G6" s="18">
        <v>1970</v>
      </c>
      <c r="H6" s="16">
        <v>1980</v>
      </c>
      <c r="I6" s="16">
        <v>1990</v>
      </c>
      <c r="J6" s="16">
        <v>2000</v>
      </c>
      <c r="K6" s="16">
        <v>2010</v>
      </c>
      <c r="L6" s="16">
        <v>2020</v>
      </c>
      <c r="M6" s="16"/>
      <c r="N6" s="22"/>
      <c r="O6" s="16"/>
    </row>
    <row r="7" spans="1:17" ht="15.75" customHeight="1" x14ac:dyDescent="0.2">
      <c r="E7" s="51"/>
      <c r="F7" s="17" t="s">
        <v>396</v>
      </c>
      <c r="G7" s="24">
        <v>221657</v>
      </c>
      <c r="H7" s="24">
        <v>259603</v>
      </c>
      <c r="I7" s="24">
        <v>307647</v>
      </c>
      <c r="J7" s="24">
        <v>341367</v>
      </c>
      <c r="K7" s="24">
        <v>372813</v>
      </c>
      <c r="L7" s="24">
        <v>401310</v>
      </c>
      <c r="M7" s="16"/>
      <c r="N7" s="16"/>
      <c r="O7" s="16"/>
    </row>
    <row r="8" spans="1:17" x14ac:dyDescent="0.2">
      <c r="E8" s="51"/>
      <c r="F8" s="12" t="s">
        <v>397</v>
      </c>
      <c r="G8" s="24">
        <v>8813</v>
      </c>
      <c r="H8" s="24">
        <v>12339</v>
      </c>
      <c r="I8" s="24">
        <v>16673</v>
      </c>
      <c r="J8" s="24">
        <v>17351</v>
      </c>
      <c r="K8" s="24">
        <v>18028</v>
      </c>
      <c r="L8" s="24">
        <v>18811</v>
      </c>
      <c r="M8" s="16"/>
      <c r="N8" s="16"/>
      <c r="O8" s="16"/>
      <c r="P8" s="9"/>
    </row>
    <row r="9" spans="1:17" x14ac:dyDescent="0.2">
      <c r="A9" s="50" t="s">
        <v>260</v>
      </c>
      <c r="B9" s="51"/>
      <c r="E9" s="51"/>
      <c r="F9" s="12" t="s">
        <v>398</v>
      </c>
      <c r="G9" s="16" t="s">
        <v>266</v>
      </c>
      <c r="H9" s="16" t="s">
        <v>266</v>
      </c>
      <c r="I9" s="16" t="s">
        <v>266</v>
      </c>
      <c r="J9" s="16" t="s">
        <v>266</v>
      </c>
      <c r="K9" s="24">
        <v>3234</v>
      </c>
      <c r="L9" s="24">
        <v>3973</v>
      </c>
      <c r="M9" s="16"/>
      <c r="N9" s="16"/>
      <c r="O9" s="16"/>
    </row>
    <row r="10" spans="1:17" x14ac:dyDescent="0.2">
      <c r="A10" t="s">
        <v>261</v>
      </c>
      <c r="E10" s="51"/>
      <c r="F10" s="17" t="s">
        <v>399</v>
      </c>
      <c r="G10" s="24">
        <v>1887</v>
      </c>
      <c r="H10" s="24">
        <v>2380</v>
      </c>
      <c r="I10" s="24">
        <v>4906</v>
      </c>
      <c r="J10" s="24">
        <v>5851</v>
      </c>
      <c r="K10" s="24">
        <v>5899</v>
      </c>
      <c r="L10" s="24">
        <v>5657</v>
      </c>
      <c r="M10" s="16"/>
      <c r="N10" s="16"/>
    </row>
    <row r="11" spans="1:17" x14ac:dyDescent="0.2">
      <c r="A11" t="s">
        <v>262</v>
      </c>
      <c r="E11" s="51"/>
      <c r="F11" s="27" t="s">
        <v>400</v>
      </c>
      <c r="G11" s="24">
        <v>4767</v>
      </c>
      <c r="H11" s="24">
        <v>6850</v>
      </c>
      <c r="I11" s="24">
        <v>9138</v>
      </c>
      <c r="J11" s="30">
        <v>12140</v>
      </c>
      <c r="K11" s="30">
        <v>11981</v>
      </c>
      <c r="L11" s="30">
        <v>12646</v>
      </c>
      <c r="M11" s="16"/>
      <c r="N11" s="16"/>
      <c r="O11" s="13"/>
    </row>
    <row r="12" spans="1:17" x14ac:dyDescent="0.2">
      <c r="A12" t="s">
        <v>263</v>
      </c>
      <c r="E12" s="51"/>
      <c r="F12" s="25" t="s">
        <v>401</v>
      </c>
      <c r="G12" s="30">
        <v>1627</v>
      </c>
      <c r="H12" s="30">
        <v>1910</v>
      </c>
      <c r="I12" s="24">
        <v>3270</v>
      </c>
      <c r="J12" s="24">
        <v>3445</v>
      </c>
      <c r="K12" s="24">
        <v>3969</v>
      </c>
      <c r="L12" s="24">
        <v>3993</v>
      </c>
      <c r="M12" s="18"/>
      <c r="N12" s="18"/>
      <c r="O12" s="13"/>
    </row>
    <row r="13" spans="1:17" x14ac:dyDescent="0.2">
      <c r="A13" t="s">
        <v>264</v>
      </c>
      <c r="E13" s="51"/>
      <c r="F13" s="12" t="s">
        <v>404</v>
      </c>
      <c r="G13" s="24">
        <v>9672</v>
      </c>
      <c r="H13" s="24">
        <v>10774</v>
      </c>
      <c r="I13" s="24">
        <v>11270</v>
      </c>
      <c r="J13" s="24">
        <v>12307</v>
      </c>
      <c r="K13" s="24">
        <v>12646</v>
      </c>
      <c r="L13" s="24">
        <v>12884</v>
      </c>
      <c r="M13" s="16"/>
      <c r="N13" s="16"/>
    </row>
    <row r="14" spans="1:17" x14ac:dyDescent="0.2">
      <c r="A14" t="s">
        <v>265</v>
      </c>
      <c r="E14" s="51"/>
      <c r="F14" s="17" t="s">
        <v>407</v>
      </c>
      <c r="G14" s="24">
        <v>3131</v>
      </c>
      <c r="H14" s="24">
        <v>3164</v>
      </c>
      <c r="I14" s="24">
        <v>3093</v>
      </c>
      <c r="J14" s="24">
        <v>3058</v>
      </c>
      <c r="K14" s="24">
        <v>3018</v>
      </c>
      <c r="L14" s="24">
        <v>3075</v>
      </c>
      <c r="M14" s="16"/>
      <c r="N14" s="16"/>
    </row>
    <row r="15" spans="1:17" x14ac:dyDescent="0.2">
      <c r="A15" t="s">
        <v>267</v>
      </c>
      <c r="E15" s="51"/>
      <c r="F15" s="17" t="s">
        <v>408</v>
      </c>
      <c r="G15" s="24">
        <v>3896</v>
      </c>
      <c r="H15" s="24">
        <v>4910</v>
      </c>
      <c r="I15" s="24">
        <v>6394</v>
      </c>
      <c r="J15" s="24">
        <v>7875</v>
      </c>
      <c r="K15" s="24">
        <v>9316</v>
      </c>
      <c r="L15" s="24">
        <v>9130</v>
      </c>
      <c r="M15" s="16"/>
      <c r="N15" s="16"/>
    </row>
    <row r="16" spans="1:17" x14ac:dyDescent="0.2">
      <c r="A16" t="s">
        <v>274</v>
      </c>
      <c r="E16" s="51"/>
      <c r="F16" s="17" t="s">
        <v>409</v>
      </c>
      <c r="G16" s="24">
        <v>4370</v>
      </c>
      <c r="H16" s="24">
        <v>5633</v>
      </c>
      <c r="I16" s="24">
        <v>7832</v>
      </c>
      <c r="J16" s="24">
        <v>7858</v>
      </c>
      <c r="K16" s="24">
        <v>7901</v>
      </c>
      <c r="L16" s="24">
        <v>7509</v>
      </c>
      <c r="M16" s="16"/>
      <c r="N16" s="16"/>
    </row>
    <row r="17" spans="1:15" x14ac:dyDescent="0.2">
      <c r="E17" s="51"/>
      <c r="F17" s="12" t="s">
        <v>410</v>
      </c>
      <c r="G17" s="24">
        <v>8393</v>
      </c>
      <c r="H17" s="24">
        <v>10463</v>
      </c>
      <c r="I17" s="24">
        <v>11500</v>
      </c>
      <c r="J17" s="24">
        <v>12913</v>
      </c>
      <c r="K17" s="24">
        <v>13687</v>
      </c>
      <c r="L17" s="24">
        <v>14571</v>
      </c>
      <c r="M17" s="16"/>
      <c r="N17" s="16"/>
    </row>
    <row r="18" spans="1:15" x14ac:dyDescent="0.2">
      <c r="A18" s="50" t="s">
        <v>268</v>
      </c>
      <c r="B18" s="51"/>
      <c r="E18" s="51"/>
      <c r="F18" s="17" t="s">
        <v>411</v>
      </c>
      <c r="G18" s="24">
        <v>4342</v>
      </c>
      <c r="H18" s="24">
        <v>4874</v>
      </c>
      <c r="I18" s="24">
        <v>5255</v>
      </c>
      <c r="J18" s="24">
        <v>5676</v>
      </c>
      <c r="K18" s="24">
        <v>5454</v>
      </c>
      <c r="L18" s="24">
        <v>5777</v>
      </c>
      <c r="M18" s="16"/>
      <c r="N18" s="16"/>
    </row>
    <row r="19" spans="1:15" x14ac:dyDescent="0.2">
      <c r="A19" t="s">
        <v>1250</v>
      </c>
      <c r="B19" t="s">
        <v>1264</v>
      </c>
      <c r="E19" s="51"/>
      <c r="F19" s="17" t="s">
        <v>412</v>
      </c>
      <c r="G19" s="24">
        <v>1379</v>
      </c>
      <c r="H19" s="24">
        <v>2085</v>
      </c>
      <c r="I19" s="24">
        <v>3120</v>
      </c>
      <c r="J19" s="24">
        <v>3800</v>
      </c>
      <c r="K19" s="24">
        <v>4616</v>
      </c>
      <c r="L19" s="24">
        <v>4689</v>
      </c>
      <c r="M19" s="16"/>
      <c r="N19" s="16"/>
    </row>
    <row r="20" spans="1:15" x14ac:dyDescent="0.2">
      <c r="E20" s="51"/>
      <c r="F20" s="26" t="s">
        <v>413</v>
      </c>
      <c r="G20" s="24">
        <v>2204</v>
      </c>
      <c r="H20" s="24">
        <v>2945</v>
      </c>
      <c r="I20" s="24">
        <v>3910</v>
      </c>
      <c r="J20" s="24">
        <v>4686</v>
      </c>
      <c r="K20" s="24">
        <v>5561</v>
      </c>
      <c r="L20" s="24">
        <v>5489</v>
      </c>
      <c r="M20" s="16"/>
      <c r="N20" s="16"/>
      <c r="O20" s="13"/>
    </row>
    <row r="21" spans="1:15" x14ac:dyDescent="0.2">
      <c r="A21" s="53" t="s">
        <v>269</v>
      </c>
      <c r="B21" s="51"/>
      <c r="E21" s="51"/>
      <c r="F21" s="12" t="s">
        <v>414</v>
      </c>
      <c r="G21" s="24">
        <v>14661</v>
      </c>
      <c r="H21" s="24">
        <v>14004</v>
      </c>
      <c r="I21" s="24">
        <v>13667</v>
      </c>
      <c r="J21" s="24">
        <v>12484</v>
      </c>
      <c r="K21" s="24">
        <v>12492</v>
      </c>
      <c r="L21" s="24">
        <v>12939</v>
      </c>
      <c r="M21" s="16"/>
      <c r="N21" s="16"/>
      <c r="O21" s="13"/>
    </row>
    <row r="22" spans="1:15" x14ac:dyDescent="0.2">
      <c r="A22" t="s">
        <v>1249</v>
      </c>
      <c r="B22" t="s">
        <v>1263</v>
      </c>
      <c r="E22" s="51"/>
      <c r="F22" s="26" t="s">
        <v>423</v>
      </c>
      <c r="G22" s="24">
        <v>4638</v>
      </c>
      <c r="H22" s="24">
        <v>4187</v>
      </c>
      <c r="I22" s="24">
        <v>3937</v>
      </c>
      <c r="J22" s="24">
        <v>3678</v>
      </c>
      <c r="K22" s="24">
        <v>3900</v>
      </c>
      <c r="L22" s="24">
        <v>3684</v>
      </c>
      <c r="M22" s="16"/>
      <c r="N22" s="16"/>
    </row>
    <row r="23" spans="1:15" x14ac:dyDescent="0.2">
      <c r="E23" s="51"/>
      <c r="F23" s="26" t="s">
        <v>432</v>
      </c>
      <c r="G23" s="24">
        <v>22607</v>
      </c>
      <c r="H23" s="24">
        <v>21454</v>
      </c>
      <c r="I23" s="24">
        <v>24160</v>
      </c>
      <c r="J23" s="24">
        <v>25388</v>
      </c>
      <c r="K23" s="24">
        <v>28086</v>
      </c>
      <c r="L23" s="24">
        <v>30345</v>
      </c>
      <c r="M23" s="16"/>
      <c r="N23" s="16"/>
    </row>
    <row r="24" spans="1:15" x14ac:dyDescent="0.2">
      <c r="E24" s="51"/>
      <c r="F24" s="27" t="s">
        <v>436</v>
      </c>
      <c r="G24" s="24">
        <v>1942</v>
      </c>
      <c r="H24" s="24">
        <v>2488</v>
      </c>
      <c r="I24" s="24">
        <v>2981</v>
      </c>
      <c r="J24" s="24">
        <v>3585</v>
      </c>
      <c r="K24" s="24">
        <v>4490</v>
      </c>
      <c r="L24" s="24">
        <v>4621</v>
      </c>
      <c r="M24" s="16"/>
      <c r="N24" s="16"/>
    </row>
    <row r="25" spans="1:15" x14ac:dyDescent="0.2">
      <c r="E25" s="51"/>
      <c r="F25" s="29" t="s">
        <v>440</v>
      </c>
      <c r="G25" s="16">
        <v>576</v>
      </c>
      <c r="H25" s="16">
        <v>574</v>
      </c>
      <c r="I25" s="16">
        <v>548</v>
      </c>
      <c r="J25" s="16">
        <v>536</v>
      </c>
      <c r="K25" s="16">
        <v>612</v>
      </c>
      <c r="L25" s="16">
        <v>592</v>
      </c>
      <c r="M25" s="16"/>
      <c r="N25" s="16"/>
    </row>
    <row r="26" spans="1:15" x14ac:dyDescent="0.2">
      <c r="E26" s="51"/>
      <c r="F26" s="12" t="s">
        <v>443</v>
      </c>
      <c r="G26" s="24">
        <v>9190</v>
      </c>
      <c r="H26" s="24">
        <v>14948</v>
      </c>
      <c r="I26" s="24">
        <v>23035</v>
      </c>
      <c r="J26" s="24">
        <v>31407</v>
      </c>
      <c r="K26" s="24">
        <v>39912</v>
      </c>
      <c r="L26" s="24">
        <v>21387</v>
      </c>
      <c r="M26" s="16"/>
      <c r="N26" s="16"/>
    </row>
    <row r="27" spans="1:15" x14ac:dyDescent="0.2">
      <c r="A27" s="53"/>
      <c r="B27" s="51"/>
      <c r="E27" s="51"/>
      <c r="F27" s="12" t="s">
        <v>447</v>
      </c>
      <c r="G27" s="16">
        <v>955</v>
      </c>
      <c r="H27" s="16">
        <v>796</v>
      </c>
      <c r="I27" s="24">
        <v>2288</v>
      </c>
      <c r="J27" s="24">
        <v>2252</v>
      </c>
      <c r="K27" s="24">
        <v>2424</v>
      </c>
      <c r="L27" s="24">
        <v>2714</v>
      </c>
      <c r="M27" s="16"/>
      <c r="N27" s="16"/>
    </row>
    <row r="28" spans="1:15" x14ac:dyDescent="0.2">
      <c r="E28" s="51"/>
      <c r="F28" s="26" t="s">
        <v>449</v>
      </c>
      <c r="G28" s="24">
        <v>4439</v>
      </c>
      <c r="H28" s="24">
        <v>5996</v>
      </c>
      <c r="I28" s="24">
        <v>6672</v>
      </c>
      <c r="J28" s="24">
        <v>7780</v>
      </c>
      <c r="K28" s="24">
        <v>8364</v>
      </c>
      <c r="L28" s="24">
        <v>9343</v>
      </c>
      <c r="M28" s="16"/>
      <c r="N28" s="16"/>
    </row>
    <row r="29" spans="1:15" x14ac:dyDescent="0.2">
      <c r="E29" s="51"/>
      <c r="F29" s="12" t="s">
        <v>451</v>
      </c>
      <c r="G29" s="24">
        <v>13995</v>
      </c>
      <c r="H29" s="24">
        <v>16576</v>
      </c>
      <c r="I29" s="24">
        <v>18501</v>
      </c>
      <c r="J29" s="24">
        <v>20891</v>
      </c>
      <c r="K29" s="24">
        <v>22606</v>
      </c>
      <c r="L29" s="24">
        <v>23322</v>
      </c>
      <c r="M29" s="16"/>
      <c r="N29" s="16"/>
    </row>
    <row r="30" spans="1:15" x14ac:dyDescent="0.2">
      <c r="E30" s="51"/>
      <c r="F30" s="12" t="s">
        <v>453</v>
      </c>
      <c r="G30" s="24">
        <v>1536</v>
      </c>
      <c r="H30" s="24">
        <v>2007</v>
      </c>
      <c r="I30" s="24">
        <v>2802</v>
      </c>
      <c r="J30" s="24">
        <v>3084</v>
      </c>
      <c r="K30" s="24">
        <v>2958</v>
      </c>
      <c r="L30" s="24">
        <v>3150</v>
      </c>
      <c r="M30" s="16"/>
      <c r="N30" s="16"/>
    </row>
    <row r="31" spans="1:15" x14ac:dyDescent="0.2">
      <c r="E31" s="51"/>
      <c r="F31" s="12" t="s">
        <v>455</v>
      </c>
      <c r="G31" s="24">
        <v>1533</v>
      </c>
      <c r="H31" s="24">
        <v>2316</v>
      </c>
      <c r="I31" s="24">
        <v>2696</v>
      </c>
      <c r="J31" s="24">
        <v>3636</v>
      </c>
      <c r="K31" s="24">
        <v>3814</v>
      </c>
      <c r="L31" s="24">
        <v>3834</v>
      </c>
      <c r="M31" s="16"/>
      <c r="N31" s="16"/>
    </row>
    <row r="32" spans="1:15" x14ac:dyDescent="0.2">
      <c r="E32" s="51"/>
      <c r="F32" s="17" t="s">
        <v>457</v>
      </c>
      <c r="G32" s="24">
        <v>5277</v>
      </c>
      <c r="H32" s="24">
        <v>5659</v>
      </c>
      <c r="I32" s="24">
        <v>5836</v>
      </c>
      <c r="J32" s="24">
        <v>6164</v>
      </c>
      <c r="K32" s="24">
        <v>6978</v>
      </c>
      <c r="L32" s="24">
        <v>6818</v>
      </c>
      <c r="M32" s="16"/>
      <c r="N32" s="16"/>
    </row>
    <row r="33" spans="5:14" x14ac:dyDescent="0.2">
      <c r="E33" s="51"/>
      <c r="F33" s="16" t="s">
        <v>459</v>
      </c>
      <c r="G33" s="24">
        <v>2966</v>
      </c>
      <c r="H33" s="24">
        <v>4398</v>
      </c>
      <c r="I33" s="24">
        <v>5971</v>
      </c>
      <c r="J33" s="24">
        <v>6639</v>
      </c>
      <c r="K33" s="24">
        <v>7018</v>
      </c>
      <c r="L33" s="24">
        <v>6537</v>
      </c>
      <c r="M33" s="16"/>
      <c r="N33" s="16"/>
    </row>
    <row r="34" spans="5:14" x14ac:dyDescent="0.2">
      <c r="E34" s="51"/>
      <c r="F34" s="26" t="s">
        <v>463</v>
      </c>
      <c r="G34" s="16">
        <v>933</v>
      </c>
      <c r="H34" s="16">
        <v>953</v>
      </c>
      <c r="I34" s="30">
        <v>1078</v>
      </c>
      <c r="J34" s="16">
        <v>989</v>
      </c>
      <c r="K34" s="24">
        <v>1068</v>
      </c>
      <c r="L34" s="16">
        <v>989</v>
      </c>
      <c r="M34" s="16"/>
      <c r="N34" s="16"/>
    </row>
    <row r="35" spans="5:14" x14ac:dyDescent="0.2">
      <c r="E35" s="51"/>
      <c r="F35" s="26" t="s">
        <v>465</v>
      </c>
      <c r="G35" s="24">
        <v>26219</v>
      </c>
      <c r="H35" s="24">
        <v>23438</v>
      </c>
      <c r="I35" s="30">
        <v>26454</v>
      </c>
      <c r="J35" s="24">
        <v>28259</v>
      </c>
      <c r="K35" s="24">
        <v>28866</v>
      </c>
      <c r="L35" s="24">
        <v>28856</v>
      </c>
      <c r="M35" s="16"/>
      <c r="N35" s="16"/>
    </row>
    <row r="36" spans="5:14" x14ac:dyDescent="0.2">
      <c r="E36" s="51"/>
      <c r="F36" s="26" t="s">
        <v>467</v>
      </c>
      <c r="G36" s="24">
        <v>21593</v>
      </c>
      <c r="H36" s="24">
        <v>22747</v>
      </c>
      <c r="I36" s="30">
        <v>24058</v>
      </c>
      <c r="J36" s="24">
        <v>27568</v>
      </c>
      <c r="K36" s="24">
        <v>29801</v>
      </c>
      <c r="L36" s="24">
        <v>31985</v>
      </c>
      <c r="M36" s="16"/>
      <c r="N36" s="16"/>
    </row>
    <row r="37" spans="5:14" x14ac:dyDescent="0.2">
      <c r="E37" s="51"/>
      <c r="F37" s="26" t="s">
        <v>469</v>
      </c>
      <c r="G37" s="24">
        <v>16650</v>
      </c>
      <c r="H37" s="24">
        <v>19534</v>
      </c>
      <c r="I37" s="30">
        <v>22937</v>
      </c>
      <c r="J37" s="24">
        <v>22866</v>
      </c>
      <c r="K37" s="24">
        <v>25244</v>
      </c>
      <c r="L37" s="24">
        <v>27805</v>
      </c>
      <c r="M37" s="16"/>
      <c r="N37" s="16"/>
    </row>
    <row r="38" spans="5:14" x14ac:dyDescent="0.2">
      <c r="E38" s="51"/>
      <c r="F38" s="27" t="s">
        <v>471</v>
      </c>
      <c r="G38" s="16" t="s">
        <v>266</v>
      </c>
      <c r="H38" s="16" t="s">
        <v>266</v>
      </c>
      <c r="I38" s="16" t="s">
        <v>266</v>
      </c>
      <c r="J38" s="16" t="s">
        <v>266</v>
      </c>
      <c r="K38" s="16" t="s">
        <v>266</v>
      </c>
      <c r="L38" s="24">
        <v>32954</v>
      </c>
      <c r="M38" s="16"/>
      <c r="N38" s="16"/>
    </row>
    <row r="39" spans="5:14" x14ac:dyDescent="0.2">
      <c r="E39" s="51"/>
      <c r="F39" s="28" t="s">
        <v>473</v>
      </c>
      <c r="G39" s="16">
        <v>0</v>
      </c>
      <c r="H39" s="24">
        <v>2088</v>
      </c>
      <c r="I39" s="24">
        <v>7437</v>
      </c>
      <c r="J39" s="24">
        <v>13138</v>
      </c>
      <c r="K39" s="24">
        <v>20175</v>
      </c>
      <c r="L39" s="24">
        <v>32954</v>
      </c>
      <c r="M39" s="16"/>
      <c r="N39" s="16"/>
    </row>
    <row r="40" spans="5:14" x14ac:dyDescent="0.2">
      <c r="E40" s="51"/>
      <c r="F40" s="17" t="s">
        <v>476</v>
      </c>
      <c r="G40" s="24">
        <v>8852</v>
      </c>
      <c r="H40" s="24">
        <v>8699</v>
      </c>
      <c r="I40" s="24">
        <v>9060</v>
      </c>
      <c r="J40" s="24">
        <v>8860</v>
      </c>
      <c r="K40" s="24">
        <v>8828</v>
      </c>
      <c r="L40" s="24">
        <v>8775</v>
      </c>
      <c r="M40" s="16"/>
      <c r="N40" s="16"/>
    </row>
    <row r="41" spans="5:14" x14ac:dyDescent="0.2">
      <c r="E41" s="51"/>
      <c r="F41" s="17" t="s">
        <v>497</v>
      </c>
      <c r="G41" s="15">
        <v>2967</v>
      </c>
      <c r="H41" s="15">
        <v>3069</v>
      </c>
      <c r="I41" s="15">
        <v>3023</v>
      </c>
      <c r="J41" s="15">
        <v>3334</v>
      </c>
      <c r="K41" s="15">
        <v>3624</v>
      </c>
      <c r="L41" s="15">
        <v>3811</v>
      </c>
      <c r="M41" s="16"/>
      <c r="N41" s="16"/>
    </row>
    <row r="42" spans="5:14" x14ac:dyDescent="0.2">
      <c r="E42" s="51"/>
      <c r="F42" s="12" t="s">
        <v>501</v>
      </c>
      <c r="G42" s="16">
        <v>861</v>
      </c>
      <c r="H42" s="16">
        <v>809</v>
      </c>
      <c r="I42" s="16">
        <v>706</v>
      </c>
      <c r="J42" s="16">
        <v>731</v>
      </c>
      <c r="K42" s="16">
        <v>623</v>
      </c>
      <c r="L42" s="16">
        <v>645</v>
      </c>
      <c r="M42" s="16"/>
      <c r="N42" s="16"/>
    </row>
    <row r="43" spans="5:14" x14ac:dyDescent="0.2">
      <c r="E43" s="51"/>
      <c r="F43" s="12" t="s">
        <v>502</v>
      </c>
      <c r="G43" s="24">
        <v>11518</v>
      </c>
      <c r="H43" s="24">
        <v>20481</v>
      </c>
      <c r="I43" s="24">
        <v>23016</v>
      </c>
      <c r="J43" s="24">
        <v>24659</v>
      </c>
      <c r="K43" s="24">
        <v>27426</v>
      </c>
      <c r="L43" s="24">
        <v>30486</v>
      </c>
      <c r="M43" s="16"/>
      <c r="N43" s="16"/>
    </row>
    <row r="44" spans="5:14" x14ac:dyDescent="0.2">
      <c r="E44" s="51"/>
      <c r="F44" s="17" t="s">
        <v>503</v>
      </c>
      <c r="G44" s="24">
        <v>16956</v>
      </c>
      <c r="H44" s="24">
        <v>20976</v>
      </c>
      <c r="I44" s="24">
        <v>27193</v>
      </c>
      <c r="J44" s="24">
        <v>30764</v>
      </c>
      <c r="K44" s="24">
        <v>32065</v>
      </c>
      <c r="L44" s="24">
        <v>32027</v>
      </c>
      <c r="M44" s="16"/>
      <c r="N44" s="16"/>
    </row>
    <row r="45" spans="5:14" x14ac:dyDescent="0.2">
      <c r="E45" s="51"/>
      <c r="F45" s="17" t="s">
        <v>504</v>
      </c>
      <c r="G45" s="24">
        <v>1674</v>
      </c>
      <c r="H45" s="24">
        <v>1947</v>
      </c>
      <c r="I45" s="24">
        <v>2497</v>
      </c>
      <c r="J45" s="24">
        <v>2571</v>
      </c>
      <c r="K45" s="24">
        <v>2833</v>
      </c>
      <c r="L45" s="24">
        <v>2888</v>
      </c>
      <c r="M45" s="16"/>
      <c r="N45" s="16"/>
    </row>
    <row r="46" spans="5:14" x14ac:dyDescent="0.2">
      <c r="E46" s="51"/>
      <c r="F46" s="12" t="s">
        <v>505</v>
      </c>
      <c r="G46" s="24">
        <v>2262</v>
      </c>
      <c r="H46" s="24">
        <v>2809</v>
      </c>
      <c r="I46" s="24">
        <v>3208</v>
      </c>
      <c r="J46" s="24">
        <v>3411</v>
      </c>
      <c r="K46" s="24">
        <v>3154</v>
      </c>
      <c r="L46" s="24">
        <v>2994</v>
      </c>
      <c r="M46" s="16"/>
      <c r="N46" s="16"/>
    </row>
    <row r="47" spans="5:14" x14ac:dyDescent="0.2">
      <c r="E47" s="51"/>
      <c r="F47" s="12" t="s">
        <v>506</v>
      </c>
      <c r="G47" s="24">
        <v>3604</v>
      </c>
      <c r="H47" s="24">
        <v>4320</v>
      </c>
      <c r="I47" s="24">
        <v>5984</v>
      </c>
      <c r="J47" s="24">
        <v>6412</v>
      </c>
      <c r="K47" s="24">
        <v>6731</v>
      </c>
      <c r="L47" s="24">
        <v>6652</v>
      </c>
      <c r="M47" s="16"/>
      <c r="N47" s="16"/>
    </row>
    <row r="48" spans="5:14" x14ac:dyDescent="0.2">
      <c r="E48" s="51"/>
      <c r="F48" s="12" t="s">
        <v>507</v>
      </c>
      <c r="G48" s="24">
        <v>3408</v>
      </c>
      <c r="H48" s="24">
        <v>4298</v>
      </c>
      <c r="I48" s="24">
        <v>5518</v>
      </c>
      <c r="J48" s="24">
        <v>6273</v>
      </c>
      <c r="K48" s="24">
        <v>7266</v>
      </c>
      <c r="L48" s="24">
        <v>7534</v>
      </c>
      <c r="M48" s="16"/>
      <c r="N48" s="16"/>
    </row>
    <row r="49" spans="5:14" x14ac:dyDescent="0.2">
      <c r="E49" s="51"/>
      <c r="F49" s="17" t="s">
        <v>508</v>
      </c>
      <c r="G49" s="24">
        <v>4639</v>
      </c>
      <c r="H49" s="24">
        <v>6494</v>
      </c>
      <c r="I49" s="24">
        <v>8236</v>
      </c>
      <c r="J49" s="24">
        <v>9460</v>
      </c>
      <c r="K49" s="24">
        <v>11353</v>
      </c>
      <c r="L49" s="24">
        <v>12197</v>
      </c>
      <c r="M49" s="16"/>
      <c r="N49" s="16"/>
    </row>
    <row r="50" spans="5:14" x14ac:dyDescent="0.2">
      <c r="E50" s="51"/>
      <c r="F50" s="17" t="s">
        <v>509</v>
      </c>
      <c r="G50" s="16" t="s">
        <v>266</v>
      </c>
      <c r="H50" s="16" t="s">
        <v>266</v>
      </c>
      <c r="I50" s="16" t="s">
        <v>266</v>
      </c>
      <c r="J50" s="16" t="s">
        <v>266</v>
      </c>
      <c r="K50" s="24">
        <v>10686</v>
      </c>
      <c r="L50" s="24">
        <v>11526</v>
      </c>
      <c r="M50" s="16"/>
      <c r="N50" s="16"/>
    </row>
    <row r="51" spans="5:14" x14ac:dyDescent="0.2">
      <c r="E51" s="51"/>
      <c r="F51" s="12" t="s">
        <v>447</v>
      </c>
      <c r="G51" s="16" t="s">
        <v>266</v>
      </c>
      <c r="H51" s="16" t="s">
        <v>266</v>
      </c>
      <c r="I51" s="16" t="s">
        <v>266</v>
      </c>
      <c r="J51" s="16" t="s">
        <v>266</v>
      </c>
      <c r="K51" s="16" t="s">
        <v>266</v>
      </c>
      <c r="L51" s="16" t="s">
        <v>266</v>
      </c>
      <c r="M51" s="16"/>
      <c r="N51" s="16"/>
    </row>
    <row r="52" spans="5:14" x14ac:dyDescent="0.2">
      <c r="E52" s="51"/>
      <c r="F52" s="12" t="s">
        <v>510</v>
      </c>
      <c r="G52" s="16" t="s">
        <v>266</v>
      </c>
      <c r="H52" s="16" t="s">
        <v>266</v>
      </c>
      <c r="I52" s="16" t="s">
        <v>266</v>
      </c>
      <c r="J52" s="16" t="s">
        <v>266</v>
      </c>
      <c r="K52" s="16" t="s">
        <v>266</v>
      </c>
      <c r="L52" s="16" t="s">
        <v>266</v>
      </c>
      <c r="M52" s="16"/>
      <c r="N52" s="16"/>
    </row>
    <row r="53" spans="5:14" x14ac:dyDescent="0.2">
      <c r="E53" s="51"/>
    </row>
    <row r="54" spans="5:14" x14ac:dyDescent="0.2">
      <c r="E54" s="51"/>
    </row>
    <row r="55" spans="5:14" x14ac:dyDescent="0.2">
      <c r="E55" s="51"/>
    </row>
    <row r="56" spans="5:14" x14ac:dyDescent="0.2">
      <c r="E56" s="51"/>
    </row>
    <row r="57" spans="5:14" x14ac:dyDescent="0.2">
      <c r="E57" s="51"/>
    </row>
  </sheetData>
  <mergeCells count="9">
    <mergeCell ref="B1:O1"/>
    <mergeCell ref="A5:B5"/>
    <mergeCell ref="E5:E57"/>
    <mergeCell ref="A9:B9"/>
    <mergeCell ref="A18:B18"/>
    <mergeCell ref="A27:B27"/>
    <mergeCell ref="F5:F6"/>
    <mergeCell ref="A21:B21"/>
    <mergeCell ref="G5:L5"/>
  </mergeCells>
  <dataValidations count="4">
    <dataValidation type="list" allowBlank="1" showInputMessage="1" showErrorMessage="1" sqref="P4:Q4" xr:uid="{2CF5739C-5BBB-4194-AF0B-ACC64F72CC5B}">
      <formula1>"integer, number, percent1"</formula1>
    </dataValidation>
    <dataValidation type="list" allowBlank="1" showInputMessage="1" showErrorMessage="1" sqref="B10" xr:uid="{2C586519-34BE-4E1E-A231-2B49CF97C9FE}">
      <formula1>"Line,Clustered Bar,Stacked Bar,Bar,Horizontal Stacked Bar"</formula1>
    </dataValidation>
    <dataValidation type="list" allowBlank="1" showInputMessage="1" showErrorMessage="1" sqref="B2" xr:uid="{60B26E7D-9C50-4A59-91F4-15F8BCEC4513}">
      <formula1>"Table,Figure,Both"</formula1>
    </dataValidation>
    <dataValidation type="list" allowBlank="1" showInputMessage="1" showErrorMessage="1" sqref="B6 B15:B16" xr:uid="{C5E58DA8-4262-4EE4-A785-3AA2D64964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764429-9C5E-4065-A455-DB7F5C79F222}">
          <x14:formula1>
            <xm:f>Dropdowns!$A$1:$A$8</xm:f>
          </x14:formula1>
          <xm:sqref>F4:O4</xm:sqref>
        </x14:dataValidation>
        <x14:dataValidation type="list" allowBlank="1" showInputMessage="1" showErrorMessage="1" xr:uid="{0194E455-5731-44DD-BD94-B04B60CE0975}">
          <x14:formula1>
            <xm:f>Master!$F$2:$F$401</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167C4-C79D-4C5B-91EC-EA49003D9929}">
  <dimension ref="A1:Q57"/>
  <sheetViews>
    <sheetView workbookViewId="0">
      <selection activeCell="A26" sqref="A26:B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7" t="s">
        <v>252</v>
      </c>
      <c r="B1" s="48" t="s">
        <v>285</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tbl-pop-growth</v>
      </c>
    </row>
    <row r="4" spans="1:17" x14ac:dyDescent="0.2">
      <c r="A4" s="17" t="s">
        <v>5</v>
      </c>
      <c r="B4" t="str">
        <f>IF($B$1="","",_xlfn.XLOOKUP($B$1,Master!$E$2:$E$320,Master!$G$2:$G$320,""))</f>
        <v>fig-pop-growth</v>
      </c>
      <c r="E4" s="8"/>
      <c r="F4" s="10" t="s">
        <v>144</v>
      </c>
      <c r="G4" s="10" t="s">
        <v>149</v>
      </c>
      <c r="H4" s="10" t="s">
        <v>149</v>
      </c>
      <c r="I4" s="10" t="s">
        <v>149</v>
      </c>
      <c r="J4" s="10" t="s">
        <v>155</v>
      </c>
      <c r="K4" s="10" t="s">
        <v>155</v>
      </c>
      <c r="L4" s="10" t="s">
        <v>155</v>
      </c>
      <c r="M4" s="10"/>
      <c r="N4" s="10"/>
      <c r="O4" s="10"/>
      <c r="P4" s="10"/>
      <c r="Q4" s="10"/>
    </row>
    <row r="5" spans="1:17" x14ac:dyDescent="0.2">
      <c r="A5" s="50" t="s">
        <v>255</v>
      </c>
      <c r="B5" s="51"/>
      <c r="E5" s="52" t="s">
        <v>256</v>
      </c>
      <c r="F5" s="54" t="s">
        <v>394</v>
      </c>
      <c r="G5" s="54" t="s">
        <v>258</v>
      </c>
      <c r="H5" s="54"/>
      <c r="I5" s="54"/>
      <c r="J5" s="54" t="s">
        <v>561</v>
      </c>
      <c r="K5" s="54"/>
      <c r="L5" s="54"/>
    </row>
    <row r="6" spans="1:17" ht="15" customHeight="1" x14ac:dyDescent="0.2">
      <c r="A6" t="s">
        <v>259</v>
      </c>
      <c r="B6" t="b">
        <v>0</v>
      </c>
      <c r="E6" s="51"/>
      <c r="F6" s="54"/>
      <c r="G6" s="18">
        <v>2000</v>
      </c>
      <c r="H6" s="18">
        <v>2010</v>
      </c>
      <c r="I6" s="18">
        <v>2020</v>
      </c>
      <c r="J6" s="18" t="s">
        <v>562</v>
      </c>
      <c r="K6" s="18" t="s">
        <v>563</v>
      </c>
      <c r="L6" s="18" t="s">
        <v>564</v>
      </c>
      <c r="M6" s="16"/>
      <c r="N6" s="16"/>
      <c r="O6" s="16"/>
    </row>
    <row r="7" spans="1:17" ht="15.75" customHeight="1" x14ac:dyDescent="0.2">
      <c r="E7" s="51"/>
      <c r="F7" s="17" t="s">
        <v>396</v>
      </c>
      <c r="G7" s="30">
        <v>341367</v>
      </c>
      <c r="H7" s="30">
        <v>372813</v>
      </c>
      <c r="I7" s="30">
        <v>401310</v>
      </c>
      <c r="J7" s="18">
        <v>9.1999999999999993</v>
      </c>
      <c r="K7" s="18">
        <v>7.6</v>
      </c>
      <c r="L7" s="18">
        <v>17.600000000000001</v>
      </c>
      <c r="M7" s="16"/>
      <c r="N7" s="16"/>
      <c r="O7" s="16"/>
    </row>
    <row r="8" spans="1:17" x14ac:dyDescent="0.2">
      <c r="E8" s="51"/>
      <c r="F8" s="17" t="s">
        <v>397</v>
      </c>
      <c r="G8" s="30">
        <v>17351</v>
      </c>
      <c r="H8" s="30">
        <v>18028</v>
      </c>
      <c r="I8" s="30">
        <v>18811</v>
      </c>
      <c r="J8" s="18">
        <v>3.9</v>
      </c>
      <c r="K8" s="18">
        <v>4.3</v>
      </c>
      <c r="L8" s="18">
        <v>8.4</v>
      </c>
      <c r="M8" s="16"/>
      <c r="N8" s="16"/>
      <c r="O8" s="16"/>
    </row>
    <row r="9" spans="1:17" x14ac:dyDescent="0.2">
      <c r="A9" s="50" t="s">
        <v>260</v>
      </c>
      <c r="B9" s="51"/>
      <c r="E9" s="51"/>
      <c r="F9" s="12" t="s">
        <v>398</v>
      </c>
      <c r="G9" s="18" t="s">
        <v>557</v>
      </c>
      <c r="H9" s="30">
        <v>3234</v>
      </c>
      <c r="I9" s="30">
        <v>3973</v>
      </c>
      <c r="J9" s="18" t="s">
        <v>266</v>
      </c>
      <c r="K9" s="18">
        <v>22.9</v>
      </c>
      <c r="L9" s="18" t="s">
        <v>266</v>
      </c>
      <c r="M9" s="16"/>
      <c r="N9" s="16"/>
      <c r="O9" s="16"/>
    </row>
    <row r="10" spans="1:17" x14ac:dyDescent="0.2">
      <c r="A10" t="s">
        <v>261</v>
      </c>
      <c r="E10" s="51"/>
      <c r="F10" s="12" t="s">
        <v>399</v>
      </c>
      <c r="G10" s="30">
        <v>5851</v>
      </c>
      <c r="H10" s="30">
        <v>5899</v>
      </c>
      <c r="I10" s="30">
        <v>5657</v>
      </c>
      <c r="J10" s="18">
        <v>0.8</v>
      </c>
      <c r="K10" s="18">
        <v>-4.0999999999999996</v>
      </c>
      <c r="L10" s="18">
        <v>-3.3</v>
      </c>
    </row>
    <row r="11" spans="1:17" x14ac:dyDescent="0.2">
      <c r="A11" t="s">
        <v>262</v>
      </c>
      <c r="E11" s="51"/>
      <c r="F11" s="17" t="s">
        <v>400</v>
      </c>
      <c r="G11" s="30">
        <v>12140</v>
      </c>
      <c r="H11" s="30">
        <v>11981</v>
      </c>
      <c r="I11" s="30">
        <v>12646</v>
      </c>
      <c r="J11" s="18">
        <v>-1.3</v>
      </c>
      <c r="K11" s="18">
        <v>5.6</v>
      </c>
      <c r="L11" s="18">
        <v>4.2</v>
      </c>
      <c r="M11" s="18"/>
      <c r="N11" s="18"/>
    </row>
    <row r="12" spans="1:17" x14ac:dyDescent="0.2">
      <c r="A12" t="s">
        <v>263</v>
      </c>
      <c r="E12" s="51"/>
      <c r="F12" s="27" t="s">
        <v>401</v>
      </c>
      <c r="G12" s="30">
        <v>3445</v>
      </c>
      <c r="H12" s="30">
        <v>3969</v>
      </c>
      <c r="I12" s="30">
        <v>3993</v>
      </c>
      <c r="J12" s="18">
        <v>15.2</v>
      </c>
      <c r="K12" s="18">
        <v>0.6</v>
      </c>
      <c r="L12" s="18">
        <v>15.9</v>
      </c>
    </row>
    <row r="13" spans="1:17" x14ac:dyDescent="0.2">
      <c r="A13" t="s">
        <v>264</v>
      </c>
      <c r="E13" s="51"/>
      <c r="F13" s="25" t="s">
        <v>404</v>
      </c>
      <c r="G13" s="30">
        <v>12307</v>
      </c>
      <c r="H13" s="30">
        <v>12646</v>
      </c>
      <c r="I13" s="30">
        <v>12884</v>
      </c>
      <c r="J13" s="18">
        <v>2.8</v>
      </c>
      <c r="K13" s="18">
        <v>1.9</v>
      </c>
      <c r="L13" s="18">
        <v>4.7</v>
      </c>
    </row>
    <row r="14" spans="1:17" x14ac:dyDescent="0.2">
      <c r="A14" t="s">
        <v>265</v>
      </c>
      <c r="E14" s="51"/>
      <c r="F14" s="12" t="s">
        <v>407</v>
      </c>
      <c r="G14" s="30">
        <v>3058</v>
      </c>
      <c r="H14" s="30">
        <v>3018</v>
      </c>
      <c r="I14" s="30">
        <v>3075</v>
      </c>
      <c r="J14" s="18">
        <v>-1.3</v>
      </c>
      <c r="K14" s="18">
        <v>1.9</v>
      </c>
      <c r="L14" s="18">
        <v>0.6</v>
      </c>
    </row>
    <row r="15" spans="1:17" x14ac:dyDescent="0.2">
      <c r="A15" t="s">
        <v>267</v>
      </c>
      <c r="E15" s="51"/>
      <c r="F15" s="17" t="s">
        <v>408</v>
      </c>
      <c r="G15" s="30">
        <v>7875</v>
      </c>
      <c r="H15" s="30">
        <v>9316</v>
      </c>
      <c r="I15" s="30">
        <v>9130</v>
      </c>
      <c r="J15" s="18">
        <v>18.3</v>
      </c>
      <c r="K15" s="18">
        <v>-2</v>
      </c>
      <c r="L15" s="18">
        <v>15.9</v>
      </c>
    </row>
    <row r="16" spans="1:17" x14ac:dyDescent="0.2">
      <c r="A16" t="s">
        <v>274</v>
      </c>
      <c r="E16" s="51"/>
      <c r="F16" s="17" t="s">
        <v>409</v>
      </c>
      <c r="G16" s="30">
        <v>7858</v>
      </c>
      <c r="H16" s="30">
        <v>7901</v>
      </c>
      <c r="I16" s="30">
        <v>7509</v>
      </c>
      <c r="J16" s="18">
        <v>0.5</v>
      </c>
      <c r="K16" s="18">
        <v>-5</v>
      </c>
      <c r="L16" s="18">
        <v>-4.4000000000000004</v>
      </c>
    </row>
    <row r="17" spans="1:12" x14ac:dyDescent="0.2">
      <c r="E17" s="51"/>
      <c r="F17" s="17" t="s">
        <v>410</v>
      </c>
      <c r="G17" s="30">
        <v>12913</v>
      </c>
      <c r="H17" s="30">
        <v>13687</v>
      </c>
      <c r="I17" s="30">
        <v>14571</v>
      </c>
      <c r="J17" s="18">
        <v>6</v>
      </c>
      <c r="K17" s="18">
        <v>6.5</v>
      </c>
      <c r="L17" s="18">
        <v>12.8</v>
      </c>
    </row>
    <row r="18" spans="1:12" x14ac:dyDescent="0.2">
      <c r="A18" s="50" t="s">
        <v>268</v>
      </c>
      <c r="B18" s="51"/>
      <c r="E18" s="51"/>
      <c r="F18" s="12" t="s">
        <v>411</v>
      </c>
      <c r="G18" s="30">
        <v>5676</v>
      </c>
      <c r="H18" s="30">
        <v>5454</v>
      </c>
      <c r="I18" s="30">
        <v>5777</v>
      </c>
      <c r="J18" s="18">
        <v>-3.9</v>
      </c>
      <c r="K18" s="18">
        <v>5.9</v>
      </c>
      <c r="L18" s="18">
        <v>1.8</v>
      </c>
    </row>
    <row r="19" spans="1:12" x14ac:dyDescent="0.2">
      <c r="A19" t="s">
        <v>1250</v>
      </c>
      <c r="B19" t="s">
        <v>1266</v>
      </c>
      <c r="E19" s="51"/>
      <c r="F19" s="17" t="s">
        <v>412</v>
      </c>
      <c r="G19" s="30">
        <v>3800</v>
      </c>
      <c r="H19" s="30">
        <v>4616</v>
      </c>
      <c r="I19" s="30">
        <v>4689</v>
      </c>
      <c r="J19" s="18">
        <v>21.5</v>
      </c>
      <c r="K19" s="18">
        <v>1.6</v>
      </c>
      <c r="L19" s="18">
        <v>23.4</v>
      </c>
    </row>
    <row r="20" spans="1:12" x14ac:dyDescent="0.2">
      <c r="E20" s="51"/>
      <c r="F20" s="17" t="s">
        <v>413</v>
      </c>
      <c r="G20" s="30">
        <v>4686</v>
      </c>
      <c r="H20" s="30">
        <v>5561</v>
      </c>
      <c r="I20" s="30">
        <v>5489</v>
      </c>
      <c r="J20" s="18">
        <v>18.7</v>
      </c>
      <c r="K20" s="18">
        <v>-1.3</v>
      </c>
      <c r="L20" s="18">
        <v>17.100000000000001</v>
      </c>
    </row>
    <row r="21" spans="1:12" x14ac:dyDescent="0.2">
      <c r="A21" s="50" t="s">
        <v>269</v>
      </c>
      <c r="B21" s="55"/>
      <c r="E21" s="51"/>
      <c r="F21" s="26" t="s">
        <v>414</v>
      </c>
      <c r="G21" s="30">
        <v>12484</v>
      </c>
      <c r="H21" s="30">
        <v>12492</v>
      </c>
      <c r="I21" s="30">
        <v>12939</v>
      </c>
      <c r="J21" s="18">
        <v>0.1</v>
      </c>
      <c r="K21" s="18">
        <v>3.6</v>
      </c>
      <c r="L21" s="18">
        <v>3.6</v>
      </c>
    </row>
    <row r="22" spans="1:12" x14ac:dyDescent="0.2">
      <c r="A22" t="s">
        <v>1249</v>
      </c>
      <c r="B22" t="s">
        <v>1265</v>
      </c>
      <c r="E22" s="51"/>
      <c r="F22" s="12" t="s">
        <v>423</v>
      </c>
      <c r="G22" s="30">
        <v>3678</v>
      </c>
      <c r="H22" s="30">
        <v>3900</v>
      </c>
      <c r="I22" s="30">
        <v>3684</v>
      </c>
      <c r="J22" s="18">
        <v>6</v>
      </c>
      <c r="K22" s="18">
        <v>-5.5</v>
      </c>
      <c r="L22" s="18">
        <v>0.2</v>
      </c>
    </row>
    <row r="23" spans="1:12" x14ac:dyDescent="0.2">
      <c r="A23" s="56"/>
      <c r="B23" s="51"/>
      <c r="E23" s="51"/>
      <c r="F23" s="26" t="s">
        <v>432</v>
      </c>
      <c r="G23" s="30">
        <v>25388</v>
      </c>
      <c r="H23" s="30">
        <v>28086</v>
      </c>
      <c r="I23" s="30">
        <v>30345</v>
      </c>
      <c r="J23" s="18">
        <v>10.6</v>
      </c>
      <c r="K23" s="18">
        <v>8</v>
      </c>
      <c r="L23" s="18">
        <v>19.5</v>
      </c>
    </row>
    <row r="24" spans="1:12" x14ac:dyDescent="0.2">
      <c r="E24" s="51"/>
      <c r="F24" s="26" t="s">
        <v>436</v>
      </c>
      <c r="G24" s="30">
        <v>3585</v>
      </c>
      <c r="H24" s="30">
        <v>4490</v>
      </c>
      <c r="I24" s="30">
        <v>4621</v>
      </c>
      <c r="J24" s="18">
        <v>25.2</v>
      </c>
      <c r="K24" s="18">
        <v>2.9</v>
      </c>
      <c r="L24" s="18">
        <v>28.9</v>
      </c>
    </row>
    <row r="25" spans="1:12" x14ac:dyDescent="0.2">
      <c r="E25" s="51"/>
      <c r="F25" s="27" t="s">
        <v>440</v>
      </c>
      <c r="G25" s="18">
        <v>536</v>
      </c>
      <c r="H25" s="18">
        <v>612</v>
      </c>
      <c r="I25" s="18">
        <v>592</v>
      </c>
      <c r="J25" s="18">
        <v>14.2</v>
      </c>
      <c r="K25" s="18">
        <v>-3.3</v>
      </c>
      <c r="L25" s="18">
        <v>10.4</v>
      </c>
    </row>
    <row r="26" spans="1:12" x14ac:dyDescent="0.2">
      <c r="A26" s="53"/>
      <c r="B26" s="51"/>
      <c r="E26" s="51"/>
      <c r="F26" s="29" t="s">
        <v>443</v>
      </c>
      <c r="G26" s="30">
        <v>31407</v>
      </c>
      <c r="H26" s="30">
        <v>39912</v>
      </c>
      <c r="I26" s="30">
        <v>21387</v>
      </c>
      <c r="J26" s="18">
        <v>27.1</v>
      </c>
      <c r="K26" s="18">
        <v>-46.4</v>
      </c>
      <c r="L26" s="18">
        <v>-31.9</v>
      </c>
    </row>
    <row r="27" spans="1:12" x14ac:dyDescent="0.2">
      <c r="E27" s="51"/>
      <c r="F27" s="12" t="s">
        <v>447</v>
      </c>
      <c r="G27" s="30">
        <v>2252</v>
      </c>
      <c r="H27" s="30">
        <v>2424</v>
      </c>
      <c r="I27" s="30">
        <v>2714</v>
      </c>
      <c r="J27" s="18">
        <v>7.6</v>
      </c>
      <c r="K27" s="18">
        <v>12</v>
      </c>
      <c r="L27" s="18">
        <v>20.5</v>
      </c>
    </row>
    <row r="28" spans="1:12" x14ac:dyDescent="0.2">
      <c r="E28" s="51"/>
      <c r="F28" s="12" t="s">
        <v>449</v>
      </c>
      <c r="G28" s="30">
        <v>7780</v>
      </c>
      <c r="H28" s="30">
        <v>8364</v>
      </c>
      <c r="I28" s="30">
        <v>9343</v>
      </c>
      <c r="J28" s="18">
        <v>7.5</v>
      </c>
      <c r="K28" s="18">
        <v>11.7</v>
      </c>
      <c r="L28" s="18">
        <v>20.100000000000001</v>
      </c>
    </row>
    <row r="29" spans="1:12" x14ac:dyDescent="0.2">
      <c r="E29" s="51"/>
      <c r="F29" s="26" t="s">
        <v>451</v>
      </c>
      <c r="G29" s="30">
        <v>20891</v>
      </c>
      <c r="H29" s="30">
        <v>22606</v>
      </c>
      <c r="I29" s="30">
        <v>23322</v>
      </c>
      <c r="J29" s="18">
        <v>8.1999999999999993</v>
      </c>
      <c r="K29" s="18">
        <v>3.2</v>
      </c>
      <c r="L29" s="18">
        <v>11.6</v>
      </c>
    </row>
    <row r="30" spans="1:12" x14ac:dyDescent="0.2">
      <c r="E30" s="51"/>
      <c r="F30" s="12" t="s">
        <v>453</v>
      </c>
      <c r="G30" s="30">
        <v>3084</v>
      </c>
      <c r="H30" s="30">
        <v>2958</v>
      </c>
      <c r="I30" s="30">
        <v>3150</v>
      </c>
      <c r="J30" s="18">
        <v>-4.0999999999999996</v>
      </c>
      <c r="K30" s="18">
        <v>6.5</v>
      </c>
      <c r="L30" s="18">
        <v>2.1</v>
      </c>
    </row>
    <row r="31" spans="1:12" x14ac:dyDescent="0.2">
      <c r="E31" s="51"/>
      <c r="F31" s="12" t="s">
        <v>455</v>
      </c>
      <c r="G31" s="30">
        <v>3636</v>
      </c>
      <c r="H31" s="30">
        <v>3814</v>
      </c>
      <c r="I31" s="30">
        <v>3834</v>
      </c>
      <c r="J31" s="18">
        <v>4.9000000000000004</v>
      </c>
      <c r="K31" s="18">
        <v>0.5</v>
      </c>
      <c r="L31" s="18">
        <v>5.4</v>
      </c>
    </row>
    <row r="32" spans="1:12" x14ac:dyDescent="0.2">
      <c r="E32" s="51"/>
      <c r="F32" s="12" t="s">
        <v>457</v>
      </c>
      <c r="G32" s="30">
        <v>6164</v>
      </c>
      <c r="H32" s="30">
        <v>6978</v>
      </c>
      <c r="I32" s="30">
        <v>6818</v>
      </c>
      <c r="J32" s="18">
        <v>13.2</v>
      </c>
      <c r="K32" s="18">
        <v>-2.2999999999999998</v>
      </c>
      <c r="L32" s="18">
        <v>10.6</v>
      </c>
    </row>
    <row r="33" spans="5:12" x14ac:dyDescent="0.2">
      <c r="E33" s="51"/>
      <c r="F33" s="17" t="s">
        <v>459</v>
      </c>
      <c r="G33" s="30">
        <v>6639</v>
      </c>
      <c r="H33" s="30">
        <v>7018</v>
      </c>
      <c r="I33" s="30">
        <v>6537</v>
      </c>
      <c r="J33" s="18">
        <v>5.7</v>
      </c>
      <c r="K33" s="18">
        <v>-6.9</v>
      </c>
      <c r="L33" s="18">
        <v>-1.5</v>
      </c>
    </row>
    <row r="34" spans="5:12" x14ac:dyDescent="0.2">
      <c r="E34" s="51"/>
      <c r="F34" s="16" t="s">
        <v>463</v>
      </c>
      <c r="G34" s="18">
        <v>989</v>
      </c>
      <c r="H34" s="30">
        <v>1068</v>
      </c>
      <c r="I34" s="18">
        <v>989</v>
      </c>
      <c r="J34" s="18">
        <v>8</v>
      </c>
      <c r="K34" s="18">
        <v>-7.4</v>
      </c>
      <c r="L34" s="18">
        <v>0</v>
      </c>
    </row>
    <row r="35" spans="5:12" x14ac:dyDescent="0.2">
      <c r="E35" s="51"/>
      <c r="F35" s="26" t="s">
        <v>465</v>
      </c>
      <c r="G35" s="30">
        <v>28259</v>
      </c>
      <c r="H35" s="30">
        <v>28866</v>
      </c>
      <c r="I35" s="30">
        <v>28856</v>
      </c>
      <c r="J35" s="18">
        <v>2.1</v>
      </c>
      <c r="K35" s="18">
        <v>0</v>
      </c>
      <c r="L35" s="18">
        <v>2.1</v>
      </c>
    </row>
    <row r="36" spans="5:12" x14ac:dyDescent="0.2">
      <c r="E36" s="51"/>
      <c r="F36" s="26" t="s">
        <v>467</v>
      </c>
      <c r="G36" s="30">
        <v>27568</v>
      </c>
      <c r="H36" s="30">
        <v>29801</v>
      </c>
      <c r="I36" s="30">
        <v>31985</v>
      </c>
      <c r="J36" s="18">
        <v>8.1</v>
      </c>
      <c r="K36" s="18">
        <v>7.3</v>
      </c>
      <c r="L36" s="18">
        <v>16</v>
      </c>
    </row>
    <row r="37" spans="5:12" x14ac:dyDescent="0.2">
      <c r="E37" s="51"/>
      <c r="F37" s="26" t="s">
        <v>469</v>
      </c>
      <c r="G37" s="30">
        <v>22866</v>
      </c>
      <c r="H37" s="30">
        <v>25244</v>
      </c>
      <c r="I37" s="30">
        <v>27805</v>
      </c>
      <c r="J37" s="18">
        <v>10.4</v>
      </c>
      <c r="K37" s="18">
        <v>10.1</v>
      </c>
      <c r="L37" s="18">
        <v>21.6</v>
      </c>
    </row>
    <row r="38" spans="5:12" x14ac:dyDescent="0.2">
      <c r="E38" s="51"/>
      <c r="F38" s="26" t="s">
        <v>471</v>
      </c>
      <c r="G38" s="18" t="s">
        <v>266</v>
      </c>
      <c r="H38" s="18" t="s">
        <v>266</v>
      </c>
      <c r="I38" s="30">
        <v>32954</v>
      </c>
      <c r="J38" s="18" t="s">
        <v>266</v>
      </c>
      <c r="K38" s="18" t="s">
        <v>266</v>
      </c>
      <c r="L38" s="18" t="s">
        <v>266</v>
      </c>
    </row>
    <row r="39" spans="5:12" x14ac:dyDescent="0.2">
      <c r="E39" s="51"/>
      <c r="F39" s="27" t="s">
        <v>473</v>
      </c>
      <c r="G39" s="30">
        <v>13138</v>
      </c>
      <c r="H39" s="30">
        <v>20175</v>
      </c>
      <c r="I39" s="30">
        <v>32954</v>
      </c>
      <c r="J39" s="18">
        <v>53.6</v>
      </c>
      <c r="K39" s="18">
        <v>63.3</v>
      </c>
      <c r="L39" s="18">
        <v>150.80000000000001</v>
      </c>
    </row>
    <row r="40" spans="5:12" x14ac:dyDescent="0.2">
      <c r="E40" s="51"/>
      <c r="F40" s="28" t="s">
        <v>476</v>
      </c>
      <c r="G40" s="30">
        <v>8860</v>
      </c>
      <c r="H40" s="30">
        <v>8828</v>
      </c>
      <c r="I40" s="30">
        <v>8775</v>
      </c>
      <c r="J40" s="18">
        <v>-0.4</v>
      </c>
      <c r="K40" s="18">
        <v>-0.6</v>
      </c>
      <c r="L40" s="18">
        <v>-1</v>
      </c>
    </row>
    <row r="41" spans="5:12" x14ac:dyDescent="0.2">
      <c r="E41" s="51"/>
      <c r="F41" s="17" t="s">
        <v>497</v>
      </c>
      <c r="G41" s="30">
        <v>3334</v>
      </c>
      <c r="H41" s="30">
        <v>3624</v>
      </c>
      <c r="I41" s="30">
        <v>3811</v>
      </c>
      <c r="J41" s="18">
        <v>8.6999999999999993</v>
      </c>
      <c r="K41" s="18">
        <v>5.2</v>
      </c>
      <c r="L41" s="18">
        <v>14.3</v>
      </c>
    </row>
    <row r="42" spans="5:12" x14ac:dyDescent="0.2">
      <c r="E42" s="51"/>
      <c r="F42" s="12" t="s">
        <v>501</v>
      </c>
      <c r="G42" s="18">
        <v>731</v>
      </c>
      <c r="H42" s="18">
        <v>623</v>
      </c>
      <c r="I42" s="18">
        <v>645</v>
      </c>
      <c r="J42" s="18">
        <v>-14.8</v>
      </c>
      <c r="K42" s="18">
        <v>3.5</v>
      </c>
      <c r="L42" s="18">
        <v>-11.8</v>
      </c>
    </row>
    <row r="43" spans="5:12" x14ac:dyDescent="0.2">
      <c r="E43" s="51"/>
      <c r="F43" s="12" t="s">
        <v>502</v>
      </c>
      <c r="G43" s="30">
        <v>24659</v>
      </c>
      <c r="H43" s="30">
        <v>27426</v>
      </c>
      <c r="I43" s="30">
        <v>30486</v>
      </c>
      <c r="J43" s="18">
        <v>11.2</v>
      </c>
      <c r="K43" s="18">
        <v>11.2</v>
      </c>
      <c r="L43" s="18">
        <v>23.6</v>
      </c>
    </row>
    <row r="44" spans="5:12" x14ac:dyDescent="0.2">
      <c r="E44" s="51"/>
      <c r="F44" s="17" t="s">
        <v>503</v>
      </c>
      <c r="G44" s="30">
        <v>30764</v>
      </c>
      <c r="H44" s="30">
        <v>32065</v>
      </c>
      <c r="I44" s="30">
        <v>32027</v>
      </c>
      <c r="J44" s="18">
        <v>4.2</v>
      </c>
      <c r="K44" s="18">
        <v>-0.1</v>
      </c>
      <c r="L44" s="18">
        <v>4.0999999999999996</v>
      </c>
    </row>
    <row r="45" spans="5:12" x14ac:dyDescent="0.2">
      <c r="E45" s="51"/>
      <c r="F45" s="17" t="s">
        <v>504</v>
      </c>
      <c r="G45" s="30">
        <v>2571</v>
      </c>
      <c r="H45" s="30">
        <v>2833</v>
      </c>
      <c r="I45" s="30">
        <v>2888</v>
      </c>
      <c r="J45" s="18">
        <v>10.199999999999999</v>
      </c>
      <c r="K45" s="18">
        <v>1.9</v>
      </c>
      <c r="L45" s="18">
        <v>12.3</v>
      </c>
    </row>
    <row r="46" spans="5:12" x14ac:dyDescent="0.2">
      <c r="E46" s="51"/>
      <c r="F46" s="12" t="s">
        <v>505</v>
      </c>
      <c r="G46" s="30">
        <v>3411</v>
      </c>
      <c r="H46" s="30">
        <v>3154</v>
      </c>
      <c r="I46" s="30">
        <v>2994</v>
      </c>
      <c r="J46" s="18">
        <v>-7.5</v>
      </c>
      <c r="K46" s="18">
        <v>-5.0999999999999996</v>
      </c>
      <c r="L46" s="18">
        <v>-12.2</v>
      </c>
    </row>
    <row r="47" spans="5:12" x14ac:dyDescent="0.2">
      <c r="E47" s="51"/>
      <c r="F47" s="12" t="s">
        <v>506</v>
      </c>
      <c r="G47" s="30">
        <v>6412</v>
      </c>
      <c r="H47" s="30">
        <v>6731</v>
      </c>
      <c r="I47" s="30">
        <v>6652</v>
      </c>
      <c r="J47" s="18">
        <v>5</v>
      </c>
      <c r="K47" s="18">
        <v>-1.2</v>
      </c>
      <c r="L47" s="18">
        <v>3.7</v>
      </c>
    </row>
    <row r="48" spans="5:12" x14ac:dyDescent="0.2">
      <c r="E48" s="51"/>
      <c r="F48" s="12" t="s">
        <v>507</v>
      </c>
      <c r="G48" s="30">
        <v>6273</v>
      </c>
      <c r="H48" s="30">
        <v>7266</v>
      </c>
      <c r="I48" s="30">
        <v>7534</v>
      </c>
      <c r="J48" s="18">
        <v>15.8</v>
      </c>
      <c r="K48" s="18">
        <v>3.7</v>
      </c>
      <c r="L48" s="18">
        <v>20.100000000000001</v>
      </c>
    </row>
    <row r="49" spans="5:12" x14ac:dyDescent="0.2">
      <c r="E49" s="51"/>
      <c r="F49" s="17" t="s">
        <v>508</v>
      </c>
      <c r="G49" s="30">
        <v>9460</v>
      </c>
      <c r="H49" s="30">
        <v>11353</v>
      </c>
      <c r="I49" s="30">
        <v>12197</v>
      </c>
      <c r="J49" s="18">
        <v>20</v>
      </c>
      <c r="K49" s="18">
        <v>7.4</v>
      </c>
      <c r="L49" s="18">
        <v>28.9</v>
      </c>
    </row>
    <row r="50" spans="5:12" x14ac:dyDescent="0.2">
      <c r="E50" s="51"/>
      <c r="F50" s="17" t="s">
        <v>509</v>
      </c>
      <c r="G50" s="18" t="s">
        <v>266</v>
      </c>
      <c r="H50" s="30">
        <v>10686</v>
      </c>
      <c r="I50" s="30">
        <v>11526</v>
      </c>
      <c r="J50" s="18" t="s">
        <v>266</v>
      </c>
      <c r="K50" s="18">
        <v>7.9</v>
      </c>
      <c r="L50" s="18" t="s">
        <v>266</v>
      </c>
    </row>
    <row r="51" spans="5:12" x14ac:dyDescent="0.2">
      <c r="E51" s="51"/>
      <c r="F51" s="12" t="s">
        <v>447</v>
      </c>
      <c r="G51" s="18" t="s">
        <v>266</v>
      </c>
      <c r="H51" s="18" t="s">
        <v>266</v>
      </c>
      <c r="I51" s="18" t="s">
        <v>266</v>
      </c>
      <c r="J51" s="18" t="s">
        <v>266</v>
      </c>
      <c r="K51" s="18" t="s">
        <v>266</v>
      </c>
      <c r="L51" s="18" t="s">
        <v>266</v>
      </c>
    </row>
    <row r="52" spans="5:12" x14ac:dyDescent="0.2">
      <c r="E52" s="51"/>
      <c r="F52" s="12" t="s">
        <v>510</v>
      </c>
      <c r="G52" s="18" t="s">
        <v>266</v>
      </c>
      <c r="H52" s="18" t="s">
        <v>266</v>
      </c>
      <c r="I52" s="18" t="s">
        <v>266</v>
      </c>
      <c r="J52" s="18" t="s">
        <v>266</v>
      </c>
      <c r="K52" s="18" t="s">
        <v>266</v>
      </c>
      <c r="L52" s="18" t="s">
        <v>266</v>
      </c>
    </row>
    <row r="53" spans="5:12" x14ac:dyDescent="0.2">
      <c r="E53" s="51"/>
    </row>
    <row r="54" spans="5:12" x14ac:dyDescent="0.2">
      <c r="E54" s="51"/>
    </row>
    <row r="55" spans="5:12" x14ac:dyDescent="0.2">
      <c r="E55" s="51"/>
    </row>
    <row r="56" spans="5:12" x14ac:dyDescent="0.2">
      <c r="E56" s="51"/>
    </row>
    <row r="57" spans="5:12" x14ac:dyDescent="0.2">
      <c r="E57" s="51"/>
    </row>
  </sheetData>
  <mergeCells count="11">
    <mergeCell ref="B1:O1"/>
    <mergeCell ref="A5:B5"/>
    <mergeCell ref="E5:E57"/>
    <mergeCell ref="A9:B9"/>
    <mergeCell ref="A18:B18"/>
    <mergeCell ref="F5:F6"/>
    <mergeCell ref="G5:I5"/>
    <mergeCell ref="J5:L5"/>
    <mergeCell ref="A21:B21"/>
    <mergeCell ref="A23:B23"/>
    <mergeCell ref="A26:B26"/>
  </mergeCells>
  <dataValidations count="4">
    <dataValidation type="list" allowBlank="1" showInputMessage="1" showErrorMessage="1" sqref="P4:Q4" xr:uid="{57C8B844-2550-4DAA-933D-8023B1214E84}">
      <formula1>"integer, number, percent1"</formula1>
    </dataValidation>
    <dataValidation type="list" allowBlank="1" showInputMessage="1" showErrorMessage="1" sqref="B10" xr:uid="{111E606D-6EF5-4F8F-9297-1C945C5662C9}">
      <formula1>"Line,Clustered Bar,Stacked Bar,Bar,Horizontal Stacked Bar"</formula1>
    </dataValidation>
    <dataValidation type="list" allowBlank="1" showInputMessage="1" showErrorMessage="1" sqref="B2" xr:uid="{5DD5A8D7-0F67-4AAC-A6EC-1F52AE82F972}">
      <formula1>"Table,Figure,Both"</formula1>
    </dataValidation>
    <dataValidation type="list" allowBlank="1" showInputMessage="1" showErrorMessage="1" sqref="B6 B15:B16" xr:uid="{0FC5EF13-A949-4453-8F73-064B1D682B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4DF403-39B2-48F8-A683-E98DBFA551E4}">
          <x14:formula1>
            <xm:f>Dropdowns!$A$1:$A$8</xm:f>
          </x14:formula1>
          <xm:sqref>F4:O4</xm:sqref>
        </x14:dataValidation>
        <x14:dataValidation type="list" allowBlank="1" showInputMessage="1" showErrorMessage="1" xr:uid="{26614959-365C-43B9-8E42-DD41CBD1975A}">
          <x14:formula1>
            <xm:f>Master!$F$2:$F$401</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B4802-A55F-41E6-8947-04D3168ED982}">
  <dimension ref="A1:Q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286</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tbl-pop-housing-density</v>
      </c>
    </row>
    <row r="4" spans="1:17" x14ac:dyDescent="0.2">
      <c r="A4" s="17" t="s">
        <v>5</v>
      </c>
      <c r="B4" t="str">
        <f>IF($B$1="","",_xlfn.XLOOKUP($B$1,Master!$E$2:$E$320,Master!$G$2:$G$320,""))</f>
        <v>fig-pop-housing-density</v>
      </c>
      <c r="E4" s="8"/>
      <c r="F4" s="10" t="s">
        <v>144</v>
      </c>
      <c r="G4" s="10" t="s">
        <v>155</v>
      </c>
      <c r="H4" s="10" t="s">
        <v>155</v>
      </c>
      <c r="I4" s="10" t="s">
        <v>155</v>
      </c>
      <c r="J4" s="10"/>
      <c r="K4" s="10"/>
      <c r="L4" s="10"/>
      <c r="M4" s="10"/>
      <c r="N4" s="10"/>
      <c r="O4" s="10"/>
      <c r="P4" s="10"/>
      <c r="Q4" s="10"/>
    </row>
    <row r="5" spans="1:17" x14ac:dyDescent="0.2">
      <c r="A5" s="50" t="s">
        <v>255</v>
      </c>
      <c r="B5" s="51"/>
      <c r="E5" s="52" t="s">
        <v>256</v>
      </c>
      <c r="F5" t="s">
        <v>394</v>
      </c>
      <c r="G5" t="s">
        <v>611</v>
      </c>
      <c r="H5" t="s">
        <v>612</v>
      </c>
      <c r="I5" t="s">
        <v>613</v>
      </c>
    </row>
    <row r="6" spans="1:17" ht="15" customHeight="1" x14ac:dyDescent="0.2">
      <c r="A6" t="s">
        <v>259</v>
      </c>
      <c r="B6" t="b">
        <v>0</v>
      </c>
      <c r="E6" s="51"/>
      <c r="F6" s="17" t="s">
        <v>396</v>
      </c>
      <c r="G6" s="16">
        <v>812.3</v>
      </c>
      <c r="H6" s="16">
        <v>497.1</v>
      </c>
      <c r="I6" s="16">
        <v>182.8</v>
      </c>
      <c r="J6" s="16"/>
      <c r="K6" s="16"/>
      <c r="L6" s="16"/>
      <c r="M6" s="16"/>
      <c r="N6" s="16"/>
      <c r="O6" s="16"/>
    </row>
    <row r="7" spans="1:17" ht="15.75" customHeight="1" x14ac:dyDescent="0.2">
      <c r="E7" s="51"/>
      <c r="F7" s="17" t="s">
        <v>397</v>
      </c>
      <c r="G7" s="16">
        <v>34.700000000000003</v>
      </c>
      <c r="H7" s="16">
        <v>537.6</v>
      </c>
      <c r="I7" s="16">
        <v>198.2</v>
      </c>
      <c r="J7" s="16"/>
      <c r="K7" s="16"/>
      <c r="L7" s="16"/>
      <c r="M7" s="16"/>
      <c r="N7" s="16"/>
      <c r="O7" s="16"/>
    </row>
    <row r="8" spans="1:17" x14ac:dyDescent="0.2">
      <c r="E8" s="51"/>
      <c r="F8" s="12" t="s">
        <v>398</v>
      </c>
      <c r="G8" s="16">
        <v>4.7</v>
      </c>
      <c r="H8" s="16">
        <v>829.1</v>
      </c>
      <c r="I8" s="16">
        <v>297</v>
      </c>
      <c r="J8" s="16"/>
      <c r="K8" s="16"/>
      <c r="L8" s="16"/>
      <c r="M8" s="16"/>
      <c r="N8" s="16"/>
      <c r="O8" s="16"/>
    </row>
    <row r="9" spans="1:17" x14ac:dyDescent="0.2">
      <c r="A9" s="50" t="s">
        <v>260</v>
      </c>
      <c r="B9" s="51"/>
      <c r="E9" s="51"/>
      <c r="F9" s="12" t="s">
        <v>399</v>
      </c>
      <c r="G9" s="16">
        <v>2.5</v>
      </c>
      <c r="H9" s="32">
        <v>2253.1999999999998</v>
      </c>
      <c r="I9" s="16">
        <v>860.6</v>
      </c>
      <c r="J9" s="16"/>
      <c r="K9" s="16"/>
      <c r="L9" s="16"/>
      <c r="M9" s="16"/>
      <c r="N9" s="16"/>
      <c r="O9" s="16"/>
    </row>
    <row r="10" spans="1:17" x14ac:dyDescent="0.2">
      <c r="A10" t="s">
        <v>261</v>
      </c>
      <c r="E10" s="51"/>
      <c r="F10" s="17" t="s">
        <v>400</v>
      </c>
      <c r="G10" s="16">
        <v>25.1</v>
      </c>
      <c r="H10" s="16">
        <v>503.8</v>
      </c>
      <c r="I10" s="16">
        <v>190.1</v>
      </c>
    </row>
    <row r="11" spans="1:17" x14ac:dyDescent="0.2">
      <c r="A11" t="s">
        <v>262</v>
      </c>
      <c r="E11" s="51"/>
      <c r="F11" s="27" t="s">
        <v>401</v>
      </c>
      <c r="G11" s="16">
        <v>2.2000000000000002</v>
      </c>
      <c r="H11" s="32">
        <v>1884.7</v>
      </c>
      <c r="I11" s="16">
        <v>784.7</v>
      </c>
      <c r="J11" s="18"/>
      <c r="K11" s="18"/>
      <c r="L11" s="18"/>
      <c r="M11" s="18"/>
      <c r="N11" s="18"/>
    </row>
    <row r="12" spans="1:17" x14ac:dyDescent="0.2">
      <c r="A12" t="s">
        <v>263</v>
      </c>
      <c r="E12" s="51"/>
      <c r="F12" s="25" t="s">
        <v>404</v>
      </c>
      <c r="G12" s="18">
        <v>26.7</v>
      </c>
      <c r="H12" s="18">
        <v>480.2</v>
      </c>
      <c r="I12" s="16">
        <v>201.3</v>
      </c>
      <c r="J12" s="16"/>
      <c r="K12" s="16"/>
      <c r="L12" s="16"/>
    </row>
    <row r="13" spans="1:17" x14ac:dyDescent="0.2">
      <c r="A13" t="s">
        <v>264</v>
      </c>
      <c r="E13" s="51"/>
      <c r="F13" s="12" t="s">
        <v>407</v>
      </c>
      <c r="G13" s="16">
        <v>2</v>
      </c>
      <c r="H13" s="32">
        <v>1530.7</v>
      </c>
      <c r="I13" s="16">
        <v>671.9</v>
      </c>
    </row>
    <row r="14" spans="1:17" x14ac:dyDescent="0.2">
      <c r="A14" t="s">
        <v>265</v>
      </c>
      <c r="E14" s="51"/>
      <c r="F14" s="17" t="s">
        <v>408</v>
      </c>
      <c r="G14" s="16">
        <v>40</v>
      </c>
      <c r="H14" s="16">
        <v>227.3</v>
      </c>
      <c r="I14" s="16">
        <v>77.3</v>
      </c>
    </row>
    <row r="15" spans="1:17" x14ac:dyDescent="0.2">
      <c r="A15" t="s">
        <v>267</v>
      </c>
      <c r="E15" s="51"/>
      <c r="F15" s="17" t="s">
        <v>409</v>
      </c>
      <c r="G15" s="16">
        <v>66.5</v>
      </c>
      <c r="H15" s="16">
        <v>112.4</v>
      </c>
      <c r="I15" s="16">
        <v>50.3</v>
      </c>
    </row>
    <row r="16" spans="1:17" x14ac:dyDescent="0.2">
      <c r="A16" t="s">
        <v>274</v>
      </c>
      <c r="E16" s="51"/>
      <c r="F16" s="17" t="s">
        <v>410</v>
      </c>
      <c r="G16" s="16">
        <v>43.6</v>
      </c>
      <c r="H16" s="16">
        <v>331.4</v>
      </c>
      <c r="I16" s="16">
        <v>123.1</v>
      </c>
    </row>
    <row r="17" spans="1:11" x14ac:dyDescent="0.2">
      <c r="E17" s="51"/>
      <c r="F17" s="12" t="s">
        <v>411</v>
      </c>
      <c r="G17" s="16">
        <v>3.3</v>
      </c>
      <c r="H17" s="32">
        <v>1732.2</v>
      </c>
      <c r="I17" s="16">
        <v>778</v>
      </c>
    </row>
    <row r="18" spans="1:11" x14ac:dyDescent="0.2">
      <c r="A18" s="50" t="s">
        <v>268</v>
      </c>
      <c r="B18" s="51"/>
      <c r="E18" s="51"/>
      <c r="F18" s="17" t="s">
        <v>412</v>
      </c>
      <c r="G18" s="16">
        <v>38.9</v>
      </c>
      <c r="H18" s="16">
        <v>120.3</v>
      </c>
      <c r="I18" s="16">
        <v>45.6</v>
      </c>
    </row>
    <row r="19" spans="1:11" x14ac:dyDescent="0.2">
      <c r="A19" t="s">
        <v>1250</v>
      </c>
      <c r="B19" t="s">
        <v>1268</v>
      </c>
      <c r="E19" s="51"/>
      <c r="F19" s="17" t="s">
        <v>413</v>
      </c>
      <c r="G19" s="16">
        <v>26.8</v>
      </c>
      <c r="H19" s="16">
        <v>205.8</v>
      </c>
      <c r="I19" s="16">
        <v>68.8</v>
      </c>
    </row>
    <row r="20" spans="1:11" x14ac:dyDescent="0.2">
      <c r="E20" s="51"/>
      <c r="F20" s="26" t="s">
        <v>414</v>
      </c>
      <c r="G20" s="16">
        <v>30.4</v>
      </c>
      <c r="H20" s="16">
        <v>424.1</v>
      </c>
      <c r="I20" s="16">
        <v>139.5</v>
      </c>
    </row>
    <row r="21" spans="1:11" x14ac:dyDescent="0.2">
      <c r="A21" s="50" t="s">
        <v>269</v>
      </c>
      <c r="B21" s="55"/>
      <c r="E21" s="51"/>
      <c r="F21" s="12" t="s">
        <v>423</v>
      </c>
      <c r="G21" s="16">
        <v>1.1000000000000001</v>
      </c>
      <c r="H21" s="32">
        <v>3390.8</v>
      </c>
      <c r="I21" s="32">
        <v>1649.5</v>
      </c>
    </row>
    <row r="22" spans="1:11" x14ac:dyDescent="0.2">
      <c r="A22" t="s">
        <v>1249</v>
      </c>
      <c r="B22" t="s">
        <v>1267</v>
      </c>
      <c r="E22" s="51"/>
      <c r="F22" s="26" t="s">
        <v>432</v>
      </c>
      <c r="G22" s="16">
        <v>5.3</v>
      </c>
      <c r="H22" s="32">
        <v>5692.5</v>
      </c>
      <c r="I22" s="32">
        <v>2075</v>
      </c>
    </row>
    <row r="23" spans="1:11" x14ac:dyDescent="0.2">
      <c r="A23" s="56"/>
      <c r="B23" s="51"/>
      <c r="E23" s="51"/>
      <c r="F23" s="26" t="s">
        <v>436</v>
      </c>
      <c r="G23" s="16">
        <v>23</v>
      </c>
      <c r="H23" s="16">
        <v>202.1</v>
      </c>
      <c r="I23" s="16">
        <v>70.8</v>
      </c>
    </row>
    <row r="24" spans="1:11" x14ac:dyDescent="0.2">
      <c r="E24" s="51"/>
      <c r="F24" s="27" t="s">
        <v>440</v>
      </c>
      <c r="G24" s="16">
        <v>0.3</v>
      </c>
      <c r="H24" s="32">
        <v>2206.5</v>
      </c>
      <c r="I24" s="16">
        <v>758.1</v>
      </c>
    </row>
    <row r="25" spans="1:11" x14ac:dyDescent="0.2">
      <c r="E25" s="51"/>
      <c r="F25" s="29" t="s">
        <v>443</v>
      </c>
      <c r="G25" s="16">
        <v>18.600000000000001</v>
      </c>
      <c r="H25" s="32">
        <v>1148.2</v>
      </c>
      <c r="I25" s="16">
        <v>398.7</v>
      </c>
      <c r="K25" t="s">
        <v>28</v>
      </c>
    </row>
    <row r="26" spans="1:11" x14ac:dyDescent="0.2">
      <c r="E26" s="51"/>
      <c r="F26" s="12" t="s">
        <v>447</v>
      </c>
      <c r="G26" s="16">
        <v>0.5</v>
      </c>
      <c r="H26" s="32">
        <v>4352.1000000000004</v>
      </c>
      <c r="I26" s="32">
        <v>1829.2</v>
      </c>
    </row>
    <row r="27" spans="1:11" x14ac:dyDescent="0.2">
      <c r="A27" s="53"/>
      <c r="B27" s="51"/>
      <c r="E27" s="51"/>
      <c r="F27" s="12" t="s">
        <v>449</v>
      </c>
      <c r="G27" s="16">
        <v>3.5</v>
      </c>
      <c r="H27" s="32">
        <v>2712.3</v>
      </c>
      <c r="I27" s="16">
        <v>850.7</v>
      </c>
    </row>
    <row r="28" spans="1:11" x14ac:dyDescent="0.2">
      <c r="E28" s="51"/>
      <c r="F28" s="26" t="s">
        <v>451</v>
      </c>
      <c r="G28" s="16">
        <v>50.3</v>
      </c>
      <c r="H28" s="16">
        <v>462.3</v>
      </c>
      <c r="I28" s="16">
        <v>178.5</v>
      </c>
    </row>
    <row r="29" spans="1:11" x14ac:dyDescent="0.2">
      <c r="E29" s="51"/>
      <c r="F29" s="12" t="s">
        <v>453</v>
      </c>
      <c r="G29" s="16">
        <v>1.4</v>
      </c>
      <c r="H29" s="32">
        <v>2331.1</v>
      </c>
      <c r="I29" s="32">
        <v>1125.2</v>
      </c>
    </row>
    <row r="30" spans="1:11" x14ac:dyDescent="0.2">
      <c r="E30" s="51"/>
      <c r="F30" s="12" t="s">
        <v>455</v>
      </c>
      <c r="G30" s="16">
        <v>1.4</v>
      </c>
      <c r="H30" s="32">
        <v>2695</v>
      </c>
      <c r="I30" s="32">
        <v>1134.8</v>
      </c>
    </row>
    <row r="31" spans="1:11" x14ac:dyDescent="0.2">
      <c r="E31" s="51"/>
      <c r="F31" s="12" t="s">
        <v>457</v>
      </c>
      <c r="G31" s="16">
        <v>2</v>
      </c>
      <c r="H31" s="32">
        <v>3487.8</v>
      </c>
      <c r="I31" s="32">
        <v>1462.9</v>
      </c>
      <c r="K31" t="s">
        <v>280</v>
      </c>
    </row>
    <row r="32" spans="1:11" x14ac:dyDescent="0.2">
      <c r="E32" s="51"/>
      <c r="F32" s="17" t="s">
        <v>459</v>
      </c>
      <c r="G32" s="16">
        <v>25.1</v>
      </c>
      <c r="H32" s="16">
        <v>258.7</v>
      </c>
      <c r="I32" s="16">
        <v>91.1</v>
      </c>
    </row>
    <row r="33" spans="5:9" x14ac:dyDescent="0.2">
      <c r="E33" s="51"/>
      <c r="F33" s="16" t="s">
        <v>463</v>
      </c>
      <c r="G33" s="16">
        <v>0.8</v>
      </c>
      <c r="H33" s="32">
        <v>1592.1</v>
      </c>
      <c r="I33" s="16">
        <v>615.79999999999995</v>
      </c>
    </row>
    <row r="34" spans="5:9" x14ac:dyDescent="0.2">
      <c r="E34" s="51"/>
      <c r="F34" s="26" t="s">
        <v>465</v>
      </c>
      <c r="G34" s="16">
        <v>3.8</v>
      </c>
      <c r="H34" s="32">
        <v>7519.4</v>
      </c>
      <c r="I34" s="33">
        <v>3050.9</v>
      </c>
    </row>
    <row r="35" spans="5:9" x14ac:dyDescent="0.2">
      <c r="E35" s="51"/>
      <c r="F35" s="26" t="s">
        <v>467</v>
      </c>
      <c r="G35" s="16">
        <v>43.4</v>
      </c>
      <c r="H35" s="16">
        <v>734.9</v>
      </c>
      <c r="I35" s="18">
        <v>284.89999999999998</v>
      </c>
    </row>
    <row r="36" spans="5:9" x14ac:dyDescent="0.2">
      <c r="E36" s="51"/>
      <c r="F36" s="26" t="s">
        <v>469</v>
      </c>
      <c r="G36" s="16">
        <v>34.1</v>
      </c>
      <c r="H36" s="16">
        <v>815.2</v>
      </c>
      <c r="I36" s="18">
        <v>332.6</v>
      </c>
    </row>
    <row r="37" spans="5:9" x14ac:dyDescent="0.2">
      <c r="E37" s="51"/>
      <c r="F37" s="26" t="s">
        <v>471</v>
      </c>
      <c r="G37" s="16">
        <v>1.5</v>
      </c>
      <c r="H37" s="32">
        <v>25049.3</v>
      </c>
      <c r="I37" s="33">
        <v>5056.8999999999996</v>
      </c>
    </row>
    <row r="38" spans="5:9" x14ac:dyDescent="0.2">
      <c r="E38" s="51"/>
      <c r="F38" s="27" t="s">
        <v>473</v>
      </c>
      <c r="G38" s="16">
        <v>1.5</v>
      </c>
      <c r="H38" s="32">
        <v>25049.3</v>
      </c>
      <c r="I38" s="32">
        <v>5056.8999999999996</v>
      </c>
    </row>
    <row r="39" spans="5:9" x14ac:dyDescent="0.2">
      <c r="E39" s="51"/>
      <c r="F39" s="28" t="s">
        <v>476</v>
      </c>
      <c r="G39" s="16">
        <v>2.5</v>
      </c>
      <c r="H39" s="32">
        <v>3442.3</v>
      </c>
      <c r="I39" s="32">
        <v>1539.9</v>
      </c>
    </row>
    <row r="40" spans="5:9" x14ac:dyDescent="0.2">
      <c r="E40" s="51"/>
      <c r="F40" s="17" t="s">
        <v>497</v>
      </c>
      <c r="G40" s="16">
        <v>47.1</v>
      </c>
      <c r="H40" s="16">
        <v>80</v>
      </c>
      <c r="I40" s="16">
        <v>37.5</v>
      </c>
    </row>
    <row r="41" spans="5:9" x14ac:dyDescent="0.2">
      <c r="E41" s="51"/>
      <c r="F41" s="12" t="s">
        <v>501</v>
      </c>
      <c r="G41" s="16">
        <v>44.4</v>
      </c>
      <c r="H41" s="16">
        <v>69.5</v>
      </c>
      <c r="I41" s="16">
        <v>28.9</v>
      </c>
    </row>
    <row r="42" spans="5:9" x14ac:dyDescent="0.2">
      <c r="E42" s="51"/>
      <c r="F42" s="12" t="s">
        <v>502</v>
      </c>
      <c r="G42" s="16">
        <v>2.7</v>
      </c>
      <c r="H42" s="16">
        <v>256.39999999999998</v>
      </c>
      <c r="I42" s="16">
        <v>181.2</v>
      </c>
    </row>
    <row r="43" spans="5:9" x14ac:dyDescent="0.2">
      <c r="E43" s="51"/>
      <c r="F43" s="17" t="s">
        <v>503</v>
      </c>
      <c r="G43" s="16">
        <v>61.9</v>
      </c>
      <c r="H43" s="16">
        <v>497.5</v>
      </c>
      <c r="I43" s="16">
        <v>198.5</v>
      </c>
    </row>
    <row r="44" spans="5:9" x14ac:dyDescent="0.2">
      <c r="E44" s="51"/>
      <c r="F44" s="17" t="s">
        <v>504</v>
      </c>
      <c r="G44" s="16">
        <v>101.3</v>
      </c>
      <c r="H44" s="16">
        <v>315</v>
      </c>
      <c r="I44" s="16">
        <v>128.80000000000001</v>
      </c>
    </row>
    <row r="45" spans="5:9" x14ac:dyDescent="0.2">
      <c r="E45" s="51"/>
      <c r="F45" s="12" t="s">
        <v>505</v>
      </c>
      <c r="G45" s="16">
        <v>2.2999999999999998</v>
      </c>
      <c r="H45" s="32">
        <v>1295.5999999999999</v>
      </c>
      <c r="I45" s="16">
        <v>445.3</v>
      </c>
    </row>
    <row r="46" spans="5:9" x14ac:dyDescent="0.2">
      <c r="E46" s="51"/>
      <c r="F46" s="12" t="s">
        <v>506</v>
      </c>
      <c r="G46" s="16">
        <v>2</v>
      </c>
      <c r="H46" s="32">
        <v>1496</v>
      </c>
      <c r="I46" s="16">
        <v>682.7</v>
      </c>
    </row>
    <row r="47" spans="5:9" x14ac:dyDescent="0.2">
      <c r="E47" s="51"/>
      <c r="F47" s="12" t="s">
        <v>507</v>
      </c>
      <c r="G47" s="16">
        <v>2.4</v>
      </c>
      <c r="H47" s="32">
        <v>2726.3</v>
      </c>
      <c r="I47" s="32">
        <v>1359.7</v>
      </c>
    </row>
    <row r="48" spans="5:9" x14ac:dyDescent="0.2">
      <c r="E48" s="51"/>
      <c r="F48" s="17" t="s">
        <v>508</v>
      </c>
      <c r="G48" s="16">
        <v>34.700000000000003</v>
      </c>
      <c r="H48" s="16">
        <v>215.9</v>
      </c>
      <c r="I48" s="16">
        <v>75.900000000000006</v>
      </c>
    </row>
    <row r="49" spans="5:9" x14ac:dyDescent="0.2">
      <c r="E49" s="51"/>
      <c r="F49" s="17" t="s">
        <v>509</v>
      </c>
      <c r="G49" s="16">
        <v>36.1</v>
      </c>
      <c r="H49" s="16">
        <v>337.7</v>
      </c>
      <c r="I49" s="16">
        <v>116.2</v>
      </c>
    </row>
    <row r="50" spans="5:9" x14ac:dyDescent="0.2">
      <c r="E50" s="51"/>
      <c r="F50" s="12" t="s">
        <v>447</v>
      </c>
      <c r="G50" s="16">
        <v>0.5</v>
      </c>
      <c r="H50" s="32">
        <v>1450</v>
      </c>
      <c r="I50" s="16">
        <v>498.1</v>
      </c>
    </row>
    <row r="51" spans="5:9" x14ac:dyDescent="0.2">
      <c r="E51" s="51"/>
      <c r="F51" s="12" t="s">
        <v>510</v>
      </c>
      <c r="G51" s="16">
        <v>35.6</v>
      </c>
      <c r="H51" s="16">
        <v>321.39999999999998</v>
      </c>
      <c r="I51" s="16">
        <v>110.6</v>
      </c>
    </row>
    <row r="52" spans="5:9" x14ac:dyDescent="0.2">
      <c r="E52" s="51"/>
    </row>
    <row r="53" spans="5:9" x14ac:dyDescent="0.2">
      <c r="E53" s="51"/>
    </row>
    <row r="54" spans="5:9" x14ac:dyDescent="0.2">
      <c r="E54" s="51"/>
    </row>
    <row r="55" spans="5:9" x14ac:dyDescent="0.2">
      <c r="E55" s="51"/>
    </row>
    <row r="56" spans="5:9" x14ac:dyDescent="0.2">
      <c r="E56" s="51"/>
    </row>
    <row r="57" spans="5:9" x14ac:dyDescent="0.2">
      <c r="E57" s="51"/>
    </row>
  </sheetData>
  <mergeCells count="8">
    <mergeCell ref="B1:O1"/>
    <mergeCell ref="A5:B5"/>
    <mergeCell ref="E5:E57"/>
    <mergeCell ref="A9:B9"/>
    <mergeCell ref="A18:B18"/>
    <mergeCell ref="A27:B27"/>
    <mergeCell ref="A21:B21"/>
    <mergeCell ref="A23:B23"/>
  </mergeCells>
  <dataValidations count="4">
    <dataValidation type="list" allowBlank="1" showInputMessage="1" showErrorMessage="1" sqref="P4:Q4" xr:uid="{05A25793-78A0-4FA1-B152-3E33D4769199}">
      <formula1>"integer, number, percent1"</formula1>
    </dataValidation>
    <dataValidation type="list" allowBlank="1" showInputMessage="1" showErrorMessage="1" sqref="B10" xr:uid="{8AD58892-48BB-462D-BA2A-21E593E24B0F}">
      <formula1>"Line,Clustered Bar,Stacked Bar,Bar,Horizontal Stacked Bar"</formula1>
    </dataValidation>
    <dataValidation type="list" allowBlank="1" showInputMessage="1" showErrorMessage="1" sqref="B2" xr:uid="{8C85B97E-965B-4716-BFAD-6DE2061E8933}">
      <formula1>"Table,Figure,Both"</formula1>
    </dataValidation>
    <dataValidation type="list" allowBlank="1" showInputMessage="1" showErrorMessage="1" sqref="B6 B15:B16" xr:uid="{318E6D6D-8CFD-4F3C-857F-00356F276C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EA44C3-9A51-4E1B-AEA2-BF7412C6BDD5}">
          <x14:formula1>
            <xm:f>Dropdowns!$A$1:$A$8</xm:f>
          </x14:formula1>
          <xm:sqref>F4:O4</xm:sqref>
        </x14:dataValidation>
        <x14:dataValidation type="list" allowBlank="1" showInputMessage="1" showErrorMessage="1" xr:uid="{CCDF3862-C1F8-42A1-8052-22DDCF9B8500}">
          <x14:formula1>
            <xm:f>Master!$F$2:$F$401</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E3D85-CE89-4FB6-BDE6-CB3C39E6B7AF}">
  <dimension ref="A1:R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7" t="s">
        <v>252</v>
      </c>
      <c r="B1" s="48" t="s">
        <v>287</v>
      </c>
      <c r="C1" s="49"/>
      <c r="D1" s="49"/>
      <c r="E1" s="49"/>
      <c r="F1" s="49"/>
      <c r="G1" s="49"/>
      <c r="H1" s="49"/>
      <c r="I1" s="49"/>
      <c r="J1" s="49"/>
      <c r="K1" s="49"/>
      <c r="L1" s="49"/>
      <c r="M1" s="49"/>
      <c r="N1" s="49"/>
      <c r="O1" s="49"/>
    </row>
    <row r="2" spans="1:18" x14ac:dyDescent="0.2">
      <c r="A2" s="17" t="s">
        <v>253</v>
      </c>
      <c r="B2" t="s">
        <v>273</v>
      </c>
    </row>
    <row r="3" spans="1:18" x14ac:dyDescent="0.2">
      <c r="A3" s="17" t="s">
        <v>254</v>
      </c>
      <c r="B3" t="str">
        <f>IF($B$1="","",_xlfn.XLOOKUP($B$1,Master!$E$2:$E$320,Master!$F$2:$F$320,""))</f>
        <v>tbl-pop-sex-age</v>
      </c>
    </row>
    <row r="4" spans="1:18" x14ac:dyDescent="0.2">
      <c r="A4" s="17" t="s">
        <v>5</v>
      </c>
      <c r="B4" t="str">
        <f>IF($B$1="","",_xlfn.XLOOKUP($B$1,Master!$E$2:$E$320,Master!$G$2:$G$320,""))</f>
        <v>fig-pop-sex-age</v>
      </c>
      <c r="E4" s="8"/>
      <c r="F4" s="10" t="s">
        <v>144</v>
      </c>
      <c r="G4" s="10" t="s">
        <v>155</v>
      </c>
      <c r="H4" s="10" t="s">
        <v>155</v>
      </c>
      <c r="I4" s="10" t="s">
        <v>155</v>
      </c>
      <c r="J4" s="10" t="s">
        <v>155</v>
      </c>
      <c r="K4" s="10" t="s">
        <v>155</v>
      </c>
      <c r="L4" s="10" t="s">
        <v>155</v>
      </c>
      <c r="M4" s="10" t="s">
        <v>155</v>
      </c>
      <c r="N4" s="10" t="s">
        <v>155</v>
      </c>
      <c r="O4" s="10" t="s">
        <v>155</v>
      </c>
      <c r="P4" s="10" t="s">
        <v>149</v>
      </c>
      <c r="Q4" s="10" t="s">
        <v>149</v>
      </c>
      <c r="R4" s="10" t="s">
        <v>149</v>
      </c>
    </row>
    <row r="5" spans="1:18" x14ac:dyDescent="0.2">
      <c r="A5" s="50" t="s">
        <v>255</v>
      </c>
      <c r="B5" s="51"/>
      <c r="E5" s="52" t="s">
        <v>256</v>
      </c>
      <c r="F5" s="54" t="s">
        <v>394</v>
      </c>
      <c r="G5" s="54" t="s">
        <v>258</v>
      </c>
      <c r="H5" s="54"/>
      <c r="I5" s="54"/>
      <c r="J5" s="54" t="s">
        <v>641</v>
      </c>
      <c r="K5" s="54"/>
      <c r="L5" s="54"/>
      <c r="M5" s="54" t="s">
        <v>642</v>
      </c>
      <c r="N5" s="54"/>
      <c r="O5" s="54"/>
      <c r="P5" s="54" t="s">
        <v>643</v>
      </c>
      <c r="Q5" s="54"/>
      <c r="R5" s="54"/>
    </row>
    <row r="6" spans="1:18" ht="15" customHeight="1" x14ac:dyDescent="0.2">
      <c r="A6" t="s">
        <v>259</v>
      </c>
      <c r="B6" t="b">
        <v>1</v>
      </c>
      <c r="E6" s="51"/>
      <c r="F6" s="54"/>
      <c r="G6" s="18" t="s">
        <v>275</v>
      </c>
      <c r="H6" s="18" t="s">
        <v>270</v>
      </c>
      <c r="I6" s="18" t="s">
        <v>271</v>
      </c>
      <c r="J6" s="18" t="s">
        <v>275</v>
      </c>
      <c r="K6" s="18" t="s">
        <v>270</v>
      </c>
      <c r="L6" s="18" t="s">
        <v>271</v>
      </c>
      <c r="M6" s="18" t="s">
        <v>275</v>
      </c>
      <c r="N6" s="18" t="s">
        <v>270</v>
      </c>
      <c r="O6" s="18" t="s">
        <v>271</v>
      </c>
      <c r="P6" s="18" t="s">
        <v>275</v>
      </c>
      <c r="Q6" s="18" t="s">
        <v>270</v>
      </c>
      <c r="R6" s="18" t="s">
        <v>271</v>
      </c>
    </row>
    <row r="7" spans="1:18" ht="15.75" customHeight="1" x14ac:dyDescent="0.2">
      <c r="E7" s="51"/>
      <c r="F7" s="17" t="s">
        <v>396</v>
      </c>
      <c r="G7" s="24">
        <v>403840</v>
      </c>
      <c r="H7" s="24">
        <v>201512</v>
      </c>
      <c r="I7" s="24">
        <v>202328</v>
      </c>
      <c r="J7" s="24">
        <v>103740</v>
      </c>
      <c r="K7" s="24">
        <v>53161</v>
      </c>
      <c r="L7" s="24">
        <v>50579</v>
      </c>
      <c r="M7" s="24">
        <v>157903</v>
      </c>
      <c r="N7" s="24">
        <v>80408</v>
      </c>
      <c r="O7" s="24">
        <v>77495</v>
      </c>
      <c r="P7" s="15">
        <v>57945</v>
      </c>
      <c r="Q7" s="15">
        <v>26221</v>
      </c>
      <c r="R7" s="15">
        <v>31724</v>
      </c>
    </row>
    <row r="8" spans="1:18" x14ac:dyDescent="0.2">
      <c r="E8" s="51"/>
      <c r="F8" s="17" t="s">
        <v>397</v>
      </c>
      <c r="G8" s="24">
        <v>18672</v>
      </c>
      <c r="H8" s="24">
        <v>9133</v>
      </c>
      <c r="I8" s="24">
        <v>9539</v>
      </c>
      <c r="J8" s="24">
        <v>5333</v>
      </c>
      <c r="K8" s="24">
        <v>2906</v>
      </c>
      <c r="L8" s="24">
        <v>2427</v>
      </c>
      <c r="M8" s="24">
        <v>7299</v>
      </c>
      <c r="N8" s="24">
        <v>3507</v>
      </c>
      <c r="O8" s="24">
        <v>3792</v>
      </c>
      <c r="P8" s="15">
        <v>2275</v>
      </c>
      <c r="Q8" s="15">
        <v>1093</v>
      </c>
      <c r="R8" s="15">
        <v>1182</v>
      </c>
    </row>
    <row r="9" spans="1:18" x14ac:dyDescent="0.2">
      <c r="A9" s="50" t="s">
        <v>260</v>
      </c>
      <c r="B9" s="51"/>
      <c r="E9" s="51"/>
      <c r="F9" s="12" t="s">
        <v>398</v>
      </c>
      <c r="G9" s="24">
        <v>3880</v>
      </c>
      <c r="H9" s="15">
        <v>1933</v>
      </c>
      <c r="I9" s="15">
        <v>1947</v>
      </c>
      <c r="J9" s="15">
        <v>1658</v>
      </c>
      <c r="K9">
        <v>774</v>
      </c>
      <c r="L9">
        <v>884</v>
      </c>
      <c r="M9" s="15">
        <v>1552</v>
      </c>
      <c r="N9">
        <v>738</v>
      </c>
      <c r="O9">
        <v>814</v>
      </c>
      <c r="P9">
        <v>337</v>
      </c>
      <c r="Q9">
        <v>188</v>
      </c>
      <c r="R9">
        <v>149</v>
      </c>
    </row>
    <row r="10" spans="1:18" x14ac:dyDescent="0.2">
      <c r="A10" t="s">
        <v>261</v>
      </c>
      <c r="E10" s="51"/>
      <c r="F10" s="12" t="s">
        <v>399</v>
      </c>
      <c r="G10" s="24">
        <v>5723</v>
      </c>
      <c r="H10" s="24">
        <v>2883</v>
      </c>
      <c r="I10" s="24">
        <v>2840</v>
      </c>
      <c r="J10" s="30">
        <v>1287</v>
      </c>
      <c r="K10" s="18">
        <v>740</v>
      </c>
      <c r="L10" s="18">
        <v>547</v>
      </c>
      <c r="M10" s="30">
        <v>2353</v>
      </c>
      <c r="N10" s="30">
        <v>1384</v>
      </c>
      <c r="O10">
        <v>969</v>
      </c>
      <c r="P10">
        <v>885</v>
      </c>
      <c r="Q10">
        <v>377</v>
      </c>
      <c r="R10">
        <v>508</v>
      </c>
    </row>
    <row r="11" spans="1:18" x14ac:dyDescent="0.2">
      <c r="A11" t="s">
        <v>262</v>
      </c>
      <c r="E11" s="51"/>
      <c r="F11" s="17" t="s">
        <v>400</v>
      </c>
      <c r="G11" s="30">
        <v>12621</v>
      </c>
      <c r="H11" s="30">
        <v>5839</v>
      </c>
      <c r="I11" s="24">
        <v>6782</v>
      </c>
      <c r="J11" s="24">
        <v>2702</v>
      </c>
      <c r="K11" s="24">
        <v>1098</v>
      </c>
      <c r="L11" s="24">
        <v>1604</v>
      </c>
      <c r="M11" s="15">
        <v>5120</v>
      </c>
      <c r="N11" s="15">
        <v>2506</v>
      </c>
      <c r="O11" s="15">
        <v>2614</v>
      </c>
      <c r="P11" s="15">
        <v>1794</v>
      </c>
      <c r="Q11">
        <v>726</v>
      </c>
      <c r="R11" s="15">
        <v>1068</v>
      </c>
    </row>
    <row r="12" spans="1:18" x14ac:dyDescent="0.2">
      <c r="A12" t="s">
        <v>263</v>
      </c>
      <c r="E12" s="51"/>
      <c r="F12" s="27" t="s">
        <v>401</v>
      </c>
      <c r="G12" s="15">
        <v>4052</v>
      </c>
      <c r="H12" s="15">
        <v>1961</v>
      </c>
      <c r="I12" s="15">
        <v>2091</v>
      </c>
      <c r="J12">
        <v>738</v>
      </c>
      <c r="K12">
        <v>369</v>
      </c>
      <c r="L12">
        <v>369</v>
      </c>
      <c r="M12" s="15">
        <v>1797</v>
      </c>
      <c r="N12" s="15">
        <v>1018</v>
      </c>
      <c r="O12">
        <v>779</v>
      </c>
      <c r="P12">
        <v>550</v>
      </c>
      <c r="Q12">
        <v>221</v>
      </c>
      <c r="R12">
        <v>329</v>
      </c>
    </row>
    <row r="13" spans="1:18" x14ac:dyDescent="0.2">
      <c r="A13" t="s">
        <v>264</v>
      </c>
      <c r="E13" s="51"/>
      <c r="F13" s="25" t="s">
        <v>404</v>
      </c>
      <c r="G13" s="15">
        <v>12801</v>
      </c>
      <c r="H13" s="15">
        <v>6218</v>
      </c>
      <c r="I13" s="15">
        <v>6583</v>
      </c>
      <c r="J13" s="15">
        <v>2714</v>
      </c>
      <c r="K13" s="15">
        <v>1263</v>
      </c>
      <c r="L13" s="15">
        <v>1451</v>
      </c>
      <c r="M13" s="15">
        <v>4709</v>
      </c>
      <c r="N13" s="15">
        <v>2289</v>
      </c>
      <c r="O13" s="15">
        <v>2420</v>
      </c>
      <c r="P13" s="15">
        <v>2504</v>
      </c>
      <c r="Q13" s="15">
        <v>1207</v>
      </c>
      <c r="R13" s="15">
        <v>1297</v>
      </c>
    </row>
    <row r="14" spans="1:18" x14ac:dyDescent="0.2">
      <c r="A14" t="s">
        <v>265</v>
      </c>
      <c r="E14" s="51"/>
      <c r="F14" s="12" t="s">
        <v>407</v>
      </c>
      <c r="G14" s="15">
        <v>3046</v>
      </c>
      <c r="H14" s="15">
        <v>1460</v>
      </c>
      <c r="I14" s="15">
        <v>1586</v>
      </c>
      <c r="J14">
        <v>593</v>
      </c>
      <c r="K14">
        <v>228</v>
      </c>
      <c r="L14">
        <v>365</v>
      </c>
      <c r="M14" s="15">
        <v>1087</v>
      </c>
      <c r="N14">
        <v>484</v>
      </c>
      <c r="O14">
        <v>603</v>
      </c>
      <c r="P14">
        <v>552</v>
      </c>
      <c r="Q14">
        <v>233</v>
      </c>
      <c r="R14">
        <v>319</v>
      </c>
    </row>
    <row r="15" spans="1:18" x14ac:dyDescent="0.2">
      <c r="A15" t="s">
        <v>267</v>
      </c>
      <c r="E15" s="51"/>
      <c r="F15" s="17" t="s">
        <v>408</v>
      </c>
      <c r="G15" s="15">
        <v>9097</v>
      </c>
      <c r="H15" s="15">
        <v>4732</v>
      </c>
      <c r="I15" s="15">
        <v>4365</v>
      </c>
      <c r="J15" s="15">
        <v>2086</v>
      </c>
      <c r="K15" s="15">
        <v>1380</v>
      </c>
      <c r="L15">
        <v>706</v>
      </c>
      <c r="M15" s="15">
        <v>3571</v>
      </c>
      <c r="N15" s="15">
        <v>1701</v>
      </c>
      <c r="O15" s="15">
        <v>1870</v>
      </c>
      <c r="P15" s="15">
        <v>1183</v>
      </c>
      <c r="Q15">
        <v>495</v>
      </c>
      <c r="R15">
        <v>688</v>
      </c>
    </row>
    <row r="16" spans="1:18" x14ac:dyDescent="0.2">
      <c r="A16" t="s">
        <v>274</v>
      </c>
      <c r="E16" s="51"/>
      <c r="F16" s="17" t="s">
        <v>409</v>
      </c>
      <c r="G16" s="15">
        <v>7471</v>
      </c>
      <c r="H16" s="15">
        <v>3753</v>
      </c>
      <c r="I16" s="15">
        <v>3718</v>
      </c>
      <c r="J16" s="15">
        <v>1512</v>
      </c>
      <c r="K16">
        <v>494</v>
      </c>
      <c r="L16" s="15">
        <v>1018</v>
      </c>
      <c r="M16" s="15">
        <v>2498</v>
      </c>
      <c r="N16" s="15">
        <v>1298</v>
      </c>
      <c r="O16" s="15">
        <v>1200</v>
      </c>
      <c r="P16" s="15">
        <v>1665</v>
      </c>
      <c r="Q16">
        <v>925</v>
      </c>
      <c r="R16">
        <v>740</v>
      </c>
    </row>
    <row r="17" spans="1:18" x14ac:dyDescent="0.2">
      <c r="E17" s="51"/>
      <c r="F17" s="17" t="s">
        <v>410</v>
      </c>
      <c r="G17" s="15">
        <v>14463</v>
      </c>
      <c r="H17" s="15">
        <v>7390</v>
      </c>
      <c r="I17" s="15">
        <v>7073</v>
      </c>
      <c r="J17" s="15">
        <v>2871</v>
      </c>
      <c r="K17" s="15">
        <v>1373</v>
      </c>
      <c r="L17" s="15">
        <v>1498</v>
      </c>
      <c r="M17" s="15">
        <v>4911</v>
      </c>
      <c r="N17" s="15">
        <v>2696</v>
      </c>
      <c r="O17" s="15">
        <v>2215</v>
      </c>
      <c r="P17" s="15">
        <v>3063</v>
      </c>
      <c r="Q17" s="15">
        <v>1307</v>
      </c>
      <c r="R17" s="15">
        <v>1756</v>
      </c>
    </row>
    <row r="18" spans="1:18" x14ac:dyDescent="0.2">
      <c r="A18" s="50" t="s">
        <v>268</v>
      </c>
      <c r="B18" s="51"/>
      <c r="E18" s="51"/>
      <c r="F18" s="12" t="s">
        <v>411</v>
      </c>
      <c r="G18" s="15">
        <v>5751</v>
      </c>
      <c r="H18" s="15">
        <v>2745</v>
      </c>
      <c r="I18" s="15">
        <v>3006</v>
      </c>
      <c r="J18" s="15">
        <v>1108</v>
      </c>
      <c r="K18">
        <v>594</v>
      </c>
      <c r="L18">
        <v>514</v>
      </c>
      <c r="M18" s="15">
        <v>1675</v>
      </c>
      <c r="N18">
        <v>812</v>
      </c>
      <c r="O18">
        <v>863</v>
      </c>
      <c r="P18" s="15">
        <v>1532</v>
      </c>
      <c r="Q18">
        <v>591</v>
      </c>
      <c r="R18">
        <v>941</v>
      </c>
    </row>
    <row r="19" spans="1:18" x14ac:dyDescent="0.2">
      <c r="A19" t="s">
        <v>1250</v>
      </c>
      <c r="B19" t="s">
        <v>1270</v>
      </c>
      <c r="E19" s="51"/>
      <c r="F19" s="17" t="s">
        <v>412</v>
      </c>
      <c r="G19" s="24">
        <v>4680</v>
      </c>
      <c r="H19" s="24">
        <v>2458</v>
      </c>
      <c r="I19" s="15">
        <v>2222</v>
      </c>
      <c r="J19" s="15">
        <v>1167</v>
      </c>
      <c r="K19">
        <v>659</v>
      </c>
      <c r="L19">
        <v>508</v>
      </c>
      <c r="M19" s="15">
        <v>1869</v>
      </c>
      <c r="N19" s="15">
        <v>1015</v>
      </c>
      <c r="O19">
        <v>854</v>
      </c>
      <c r="P19">
        <v>610</v>
      </c>
      <c r="Q19">
        <v>285</v>
      </c>
      <c r="R19">
        <v>325</v>
      </c>
    </row>
    <row r="20" spans="1:18" x14ac:dyDescent="0.2">
      <c r="E20" s="51"/>
      <c r="F20" s="17" t="s">
        <v>413</v>
      </c>
      <c r="G20" s="24">
        <v>5507</v>
      </c>
      <c r="H20" s="24">
        <v>2924</v>
      </c>
      <c r="I20" s="15">
        <v>2583</v>
      </c>
      <c r="J20" s="15">
        <v>1280</v>
      </c>
      <c r="K20">
        <v>818</v>
      </c>
      <c r="L20">
        <v>462</v>
      </c>
      <c r="M20" s="15">
        <v>1877</v>
      </c>
      <c r="N20" s="15">
        <v>1033</v>
      </c>
      <c r="O20">
        <v>844</v>
      </c>
      <c r="P20">
        <v>785</v>
      </c>
      <c r="Q20">
        <v>340</v>
      </c>
      <c r="R20">
        <v>445</v>
      </c>
    </row>
    <row r="21" spans="1:18" x14ac:dyDescent="0.2">
      <c r="A21" s="50" t="s">
        <v>269</v>
      </c>
      <c r="B21" s="55"/>
      <c r="E21" s="51"/>
      <c r="F21" s="26" t="s">
        <v>414</v>
      </c>
      <c r="G21" s="24">
        <v>12894</v>
      </c>
      <c r="H21" s="24">
        <v>7397</v>
      </c>
      <c r="I21" s="15">
        <v>5497</v>
      </c>
      <c r="J21" s="15">
        <v>3027</v>
      </c>
      <c r="K21" s="15">
        <v>1700</v>
      </c>
      <c r="L21" s="15">
        <v>1327</v>
      </c>
      <c r="M21" s="15">
        <v>6519</v>
      </c>
      <c r="N21" s="15">
        <v>3791</v>
      </c>
      <c r="O21" s="15">
        <v>2728</v>
      </c>
      <c r="P21" s="15">
        <v>1064</v>
      </c>
      <c r="Q21">
        <v>553</v>
      </c>
      <c r="R21">
        <v>511</v>
      </c>
    </row>
    <row r="22" spans="1:18" x14ac:dyDescent="0.2">
      <c r="A22" t="s">
        <v>1249</v>
      </c>
      <c r="B22" t="s">
        <v>1269</v>
      </c>
      <c r="E22" s="51"/>
      <c r="F22" s="12" t="s">
        <v>423</v>
      </c>
      <c r="G22" s="24">
        <v>3696</v>
      </c>
      <c r="H22" s="24">
        <v>2000</v>
      </c>
      <c r="I22" s="15">
        <v>1696</v>
      </c>
      <c r="J22">
        <v>773</v>
      </c>
      <c r="K22">
        <v>439</v>
      </c>
      <c r="L22">
        <v>334</v>
      </c>
      <c r="M22" s="15">
        <v>1323</v>
      </c>
      <c r="N22">
        <v>694</v>
      </c>
      <c r="O22">
        <v>629</v>
      </c>
      <c r="P22">
        <v>447</v>
      </c>
      <c r="Q22">
        <v>176</v>
      </c>
      <c r="R22">
        <v>271</v>
      </c>
    </row>
    <row r="23" spans="1:18" x14ac:dyDescent="0.2">
      <c r="E23" s="51"/>
      <c r="F23" s="26" t="s">
        <v>432</v>
      </c>
      <c r="G23" s="15">
        <v>30227</v>
      </c>
      <c r="H23" s="15">
        <v>15640</v>
      </c>
      <c r="I23" s="15">
        <v>14587</v>
      </c>
      <c r="J23" s="15">
        <v>7796</v>
      </c>
      <c r="K23" s="15">
        <v>4379</v>
      </c>
      <c r="L23" s="15">
        <v>3417</v>
      </c>
      <c r="M23" s="15">
        <v>12169</v>
      </c>
      <c r="N23" s="15">
        <v>6647</v>
      </c>
      <c r="O23" s="15">
        <v>5522</v>
      </c>
      <c r="P23" s="15">
        <v>4110</v>
      </c>
      <c r="Q23" s="15">
        <v>1855</v>
      </c>
      <c r="R23" s="15">
        <v>2255</v>
      </c>
    </row>
    <row r="24" spans="1:18" x14ac:dyDescent="0.2">
      <c r="E24" s="51"/>
      <c r="F24" s="26" t="s">
        <v>436</v>
      </c>
      <c r="G24" s="24">
        <v>4648</v>
      </c>
      <c r="H24" s="24">
        <v>2246</v>
      </c>
      <c r="I24" s="15">
        <v>2402</v>
      </c>
      <c r="J24" s="15">
        <v>1277</v>
      </c>
      <c r="K24">
        <v>496</v>
      </c>
      <c r="L24">
        <v>781</v>
      </c>
      <c r="M24" s="15">
        <v>1806</v>
      </c>
      <c r="N24">
        <v>841</v>
      </c>
      <c r="O24">
        <v>965</v>
      </c>
      <c r="P24">
        <v>524</v>
      </c>
      <c r="Q24">
        <v>332</v>
      </c>
      <c r="R24">
        <v>192</v>
      </c>
    </row>
    <row r="25" spans="1:18" x14ac:dyDescent="0.2">
      <c r="E25" s="51"/>
      <c r="F25" s="27" t="s">
        <v>440</v>
      </c>
      <c r="G25" s="16">
        <v>684</v>
      </c>
      <c r="H25" s="16">
        <v>282</v>
      </c>
      <c r="I25">
        <v>402</v>
      </c>
      <c r="J25">
        <v>222</v>
      </c>
      <c r="K25">
        <v>61</v>
      </c>
      <c r="L25">
        <v>161</v>
      </c>
      <c r="M25">
        <v>278</v>
      </c>
      <c r="N25">
        <v>114</v>
      </c>
      <c r="O25">
        <v>164</v>
      </c>
      <c r="P25">
        <v>79</v>
      </c>
      <c r="Q25">
        <v>38</v>
      </c>
      <c r="R25">
        <v>41</v>
      </c>
    </row>
    <row r="26" spans="1:18" x14ac:dyDescent="0.2">
      <c r="E26" s="51"/>
      <c r="F26" s="29" t="s">
        <v>443</v>
      </c>
      <c r="G26" s="24">
        <v>21299</v>
      </c>
      <c r="H26" s="24">
        <v>9782</v>
      </c>
      <c r="I26" s="15">
        <v>11517</v>
      </c>
      <c r="J26" s="15">
        <v>5787</v>
      </c>
      <c r="K26" s="15">
        <v>2800</v>
      </c>
      <c r="L26" s="15">
        <v>2987</v>
      </c>
      <c r="M26" s="15">
        <v>7992</v>
      </c>
      <c r="N26" s="15">
        <v>3423</v>
      </c>
      <c r="O26" s="15">
        <v>4569</v>
      </c>
      <c r="P26" s="15">
        <v>3039</v>
      </c>
      <c r="Q26" s="15">
        <v>1509</v>
      </c>
      <c r="R26" s="15">
        <v>1530</v>
      </c>
    </row>
    <row r="27" spans="1:18" x14ac:dyDescent="0.2">
      <c r="A27" s="53"/>
      <c r="B27" s="51"/>
      <c r="E27" s="51"/>
      <c r="F27" s="12" t="s">
        <v>447</v>
      </c>
      <c r="G27" s="24">
        <v>2089</v>
      </c>
      <c r="H27" s="16">
        <v>877</v>
      </c>
      <c r="I27" s="15">
        <v>1212</v>
      </c>
      <c r="J27">
        <v>598</v>
      </c>
      <c r="K27">
        <v>232</v>
      </c>
      <c r="L27">
        <v>366</v>
      </c>
      <c r="M27">
        <v>839</v>
      </c>
      <c r="N27">
        <v>399</v>
      </c>
      <c r="O27">
        <v>440</v>
      </c>
      <c r="P27">
        <v>363</v>
      </c>
      <c r="Q27">
        <v>117</v>
      </c>
      <c r="R27">
        <v>246</v>
      </c>
    </row>
    <row r="28" spans="1:18" x14ac:dyDescent="0.2">
      <c r="E28" s="51"/>
      <c r="F28" s="12" t="s">
        <v>449</v>
      </c>
      <c r="G28" s="24">
        <v>9466</v>
      </c>
      <c r="H28" s="24">
        <v>4473</v>
      </c>
      <c r="I28" s="15">
        <v>4993</v>
      </c>
      <c r="J28" s="15">
        <v>2552</v>
      </c>
      <c r="K28" s="15">
        <v>1325</v>
      </c>
      <c r="L28" s="15">
        <v>1227</v>
      </c>
      <c r="M28" s="15">
        <v>3867</v>
      </c>
      <c r="N28" s="15">
        <v>1767</v>
      </c>
      <c r="O28" s="15">
        <v>2100</v>
      </c>
      <c r="P28">
        <v>950</v>
      </c>
      <c r="Q28">
        <v>344</v>
      </c>
      <c r="R28">
        <v>606</v>
      </c>
    </row>
    <row r="29" spans="1:18" x14ac:dyDescent="0.2">
      <c r="E29" s="51"/>
      <c r="F29" s="26" t="s">
        <v>451</v>
      </c>
      <c r="G29" s="24">
        <v>23235</v>
      </c>
      <c r="H29" s="24">
        <v>11058</v>
      </c>
      <c r="I29" s="15">
        <v>12177</v>
      </c>
      <c r="J29" s="15">
        <v>5597</v>
      </c>
      <c r="K29" s="15">
        <v>2566</v>
      </c>
      <c r="L29" s="15">
        <v>3031</v>
      </c>
      <c r="M29" s="15">
        <v>8825</v>
      </c>
      <c r="N29" s="15">
        <v>4262</v>
      </c>
      <c r="O29" s="15">
        <v>4563</v>
      </c>
      <c r="P29" s="15">
        <v>3358</v>
      </c>
      <c r="Q29" s="15">
        <v>1473</v>
      </c>
      <c r="R29" s="15">
        <v>1885</v>
      </c>
    </row>
    <row r="30" spans="1:18" x14ac:dyDescent="0.2">
      <c r="E30" s="51"/>
      <c r="F30" s="12" t="s">
        <v>453</v>
      </c>
      <c r="G30" s="24">
        <v>3147</v>
      </c>
      <c r="H30" s="24">
        <v>1451</v>
      </c>
      <c r="I30" s="15">
        <v>1696</v>
      </c>
      <c r="J30">
        <v>507</v>
      </c>
      <c r="K30">
        <v>202</v>
      </c>
      <c r="L30">
        <v>305</v>
      </c>
      <c r="M30" s="15">
        <v>1094</v>
      </c>
      <c r="N30">
        <v>626</v>
      </c>
      <c r="O30">
        <v>468</v>
      </c>
      <c r="P30">
        <v>660</v>
      </c>
      <c r="Q30">
        <v>273</v>
      </c>
      <c r="R30">
        <v>387</v>
      </c>
    </row>
    <row r="31" spans="1:18" x14ac:dyDescent="0.2">
      <c r="E31" s="51"/>
      <c r="F31" s="12" t="s">
        <v>455</v>
      </c>
      <c r="G31" s="15">
        <v>3800</v>
      </c>
      <c r="H31" s="15">
        <v>1722</v>
      </c>
      <c r="I31" s="15">
        <v>2078</v>
      </c>
      <c r="J31">
        <v>962</v>
      </c>
      <c r="K31">
        <v>434</v>
      </c>
      <c r="L31">
        <v>528</v>
      </c>
      <c r="M31" s="15">
        <v>1407</v>
      </c>
      <c r="N31">
        <v>679</v>
      </c>
      <c r="O31">
        <v>728</v>
      </c>
      <c r="P31">
        <v>553</v>
      </c>
      <c r="Q31">
        <v>186</v>
      </c>
      <c r="R31">
        <v>367</v>
      </c>
    </row>
    <row r="32" spans="1:18" x14ac:dyDescent="0.2">
      <c r="E32" s="51"/>
      <c r="F32" s="12" t="s">
        <v>457</v>
      </c>
      <c r="G32" s="24">
        <v>6871</v>
      </c>
      <c r="H32" s="24">
        <v>3498</v>
      </c>
      <c r="I32" s="15">
        <v>3373</v>
      </c>
      <c r="J32" s="15">
        <v>1664</v>
      </c>
      <c r="K32">
        <v>868</v>
      </c>
      <c r="L32">
        <v>796</v>
      </c>
      <c r="M32" s="15">
        <v>2710</v>
      </c>
      <c r="N32" s="15">
        <v>1279</v>
      </c>
      <c r="O32" s="15">
        <v>1431</v>
      </c>
      <c r="P32">
        <v>816</v>
      </c>
      <c r="Q32">
        <v>337</v>
      </c>
      <c r="R32">
        <v>479</v>
      </c>
    </row>
    <row r="33" spans="5:18" x14ac:dyDescent="0.2">
      <c r="E33" s="51"/>
      <c r="F33" s="17" t="s">
        <v>459</v>
      </c>
      <c r="G33" s="24">
        <v>6500</v>
      </c>
      <c r="H33" s="24">
        <v>3897</v>
      </c>
      <c r="I33" s="30">
        <v>2603</v>
      </c>
      <c r="J33" s="15">
        <v>1080</v>
      </c>
      <c r="K33">
        <v>541</v>
      </c>
      <c r="L33">
        <v>539</v>
      </c>
      <c r="M33" s="15">
        <v>2476</v>
      </c>
      <c r="N33" s="15">
        <v>1540</v>
      </c>
      <c r="O33">
        <v>936</v>
      </c>
      <c r="P33" s="15">
        <v>1079</v>
      </c>
      <c r="Q33">
        <v>540</v>
      </c>
      <c r="R33">
        <v>539</v>
      </c>
    </row>
    <row r="34" spans="5:18" x14ac:dyDescent="0.2">
      <c r="E34" s="51"/>
      <c r="F34" s="16" t="s">
        <v>463</v>
      </c>
      <c r="G34" s="24">
        <v>1210</v>
      </c>
      <c r="H34" s="16">
        <v>623</v>
      </c>
      <c r="I34" s="18">
        <v>587</v>
      </c>
      <c r="J34">
        <v>353</v>
      </c>
      <c r="K34">
        <v>148</v>
      </c>
      <c r="L34">
        <v>205</v>
      </c>
      <c r="M34">
        <v>464</v>
      </c>
      <c r="N34">
        <v>267</v>
      </c>
      <c r="O34">
        <v>197</v>
      </c>
      <c r="P34">
        <v>237</v>
      </c>
      <c r="Q34">
        <v>102</v>
      </c>
      <c r="R34">
        <v>135</v>
      </c>
    </row>
    <row r="35" spans="5:18" x14ac:dyDescent="0.2">
      <c r="E35" s="51"/>
      <c r="F35" s="26" t="s">
        <v>465</v>
      </c>
      <c r="G35" s="24">
        <v>28649</v>
      </c>
      <c r="H35" s="24">
        <v>13424</v>
      </c>
      <c r="I35" s="30">
        <v>15225</v>
      </c>
      <c r="J35" s="15">
        <v>7379</v>
      </c>
      <c r="K35" s="15">
        <v>3882</v>
      </c>
      <c r="L35" s="15">
        <v>3497</v>
      </c>
      <c r="M35" s="15">
        <v>12569</v>
      </c>
      <c r="N35" s="15">
        <v>5909</v>
      </c>
      <c r="O35" s="15">
        <v>6660</v>
      </c>
      <c r="P35" s="15">
        <v>3540</v>
      </c>
      <c r="Q35" s="15">
        <v>1339</v>
      </c>
      <c r="R35" s="15">
        <v>2201</v>
      </c>
    </row>
    <row r="36" spans="5:18" x14ac:dyDescent="0.2">
      <c r="E36" s="51"/>
      <c r="F36" s="26" t="s">
        <v>467</v>
      </c>
      <c r="G36" s="24">
        <v>31866</v>
      </c>
      <c r="H36" s="24">
        <v>16112</v>
      </c>
      <c r="I36" s="30">
        <v>15754</v>
      </c>
      <c r="J36" s="15">
        <v>6121</v>
      </c>
      <c r="K36" s="15">
        <v>3348</v>
      </c>
      <c r="L36" s="15">
        <v>2773</v>
      </c>
      <c r="M36" s="15">
        <v>12104</v>
      </c>
      <c r="N36" s="15">
        <v>6078</v>
      </c>
      <c r="O36" s="15">
        <v>6026</v>
      </c>
      <c r="P36" s="15">
        <v>5460</v>
      </c>
      <c r="Q36" s="15">
        <v>2695</v>
      </c>
      <c r="R36" s="15">
        <v>2765</v>
      </c>
    </row>
    <row r="37" spans="5:18" x14ac:dyDescent="0.2">
      <c r="E37" s="51"/>
      <c r="F37" s="26" t="s">
        <v>469</v>
      </c>
      <c r="G37" s="15">
        <v>27781</v>
      </c>
      <c r="H37" s="15">
        <v>13475</v>
      </c>
      <c r="I37" s="15">
        <v>14306</v>
      </c>
      <c r="J37" s="15">
        <v>5691</v>
      </c>
      <c r="K37" s="15">
        <v>2802</v>
      </c>
      <c r="L37" s="15">
        <v>2889</v>
      </c>
      <c r="M37" s="15">
        <v>11036</v>
      </c>
      <c r="N37" s="15">
        <v>5596</v>
      </c>
      <c r="O37" s="15">
        <v>5440</v>
      </c>
      <c r="P37" s="15">
        <v>4593</v>
      </c>
      <c r="Q37" s="15">
        <v>1908</v>
      </c>
      <c r="R37" s="15">
        <v>2685</v>
      </c>
    </row>
    <row r="38" spans="5:18" x14ac:dyDescent="0.2">
      <c r="E38" s="51"/>
      <c r="F38" s="26" t="s">
        <v>471</v>
      </c>
      <c r="G38" s="15">
        <v>36572</v>
      </c>
      <c r="H38" s="15">
        <v>18558</v>
      </c>
      <c r="I38" s="15">
        <v>18014</v>
      </c>
      <c r="J38" s="15">
        <v>20811</v>
      </c>
      <c r="K38" s="15">
        <v>10582</v>
      </c>
      <c r="L38" s="15">
        <v>10229</v>
      </c>
      <c r="M38" s="15">
        <v>14907</v>
      </c>
      <c r="N38" s="15">
        <v>7680</v>
      </c>
      <c r="O38" s="15">
        <v>7227</v>
      </c>
      <c r="P38">
        <v>969</v>
      </c>
      <c r="Q38">
        <v>424</v>
      </c>
      <c r="R38">
        <v>545</v>
      </c>
    </row>
    <row r="39" spans="5:18" x14ac:dyDescent="0.2">
      <c r="E39" s="51"/>
      <c r="F39" s="27" t="s">
        <v>473</v>
      </c>
      <c r="G39" s="15">
        <v>36572</v>
      </c>
      <c r="H39" s="15">
        <v>18558</v>
      </c>
      <c r="I39" s="15">
        <v>18014</v>
      </c>
      <c r="J39" s="15">
        <v>20811</v>
      </c>
      <c r="K39" s="15">
        <v>10582</v>
      </c>
      <c r="L39" s="15">
        <v>10229</v>
      </c>
      <c r="M39" s="15">
        <v>14907</v>
      </c>
      <c r="N39" s="15">
        <v>7680</v>
      </c>
      <c r="O39" s="15">
        <v>7227</v>
      </c>
      <c r="P39">
        <v>969</v>
      </c>
      <c r="Q39">
        <v>424</v>
      </c>
      <c r="R39">
        <v>545</v>
      </c>
    </row>
    <row r="40" spans="5:18" x14ac:dyDescent="0.2">
      <c r="E40" s="51"/>
      <c r="F40" s="28" t="s">
        <v>476</v>
      </c>
      <c r="G40" s="15">
        <v>8709</v>
      </c>
      <c r="H40" s="15">
        <v>4267</v>
      </c>
      <c r="I40" s="15">
        <v>4442</v>
      </c>
      <c r="J40" s="15">
        <v>1809</v>
      </c>
      <c r="K40">
        <v>875</v>
      </c>
      <c r="L40">
        <v>934</v>
      </c>
      <c r="M40" s="15">
        <v>3614</v>
      </c>
      <c r="N40" s="15">
        <v>1882</v>
      </c>
      <c r="O40" s="15">
        <v>1732</v>
      </c>
      <c r="P40" s="15">
        <v>1615</v>
      </c>
      <c r="Q40">
        <v>631</v>
      </c>
      <c r="R40">
        <v>984</v>
      </c>
    </row>
    <row r="41" spans="5:18" x14ac:dyDescent="0.2">
      <c r="E41" s="51"/>
      <c r="F41" s="17" t="s">
        <v>497</v>
      </c>
      <c r="G41" s="15">
        <v>3765</v>
      </c>
      <c r="H41" s="15">
        <v>1975</v>
      </c>
      <c r="I41" s="15">
        <v>1790</v>
      </c>
      <c r="J41">
        <v>702</v>
      </c>
      <c r="K41">
        <v>360</v>
      </c>
      <c r="L41">
        <v>342</v>
      </c>
      <c r="M41" s="15">
        <v>1099</v>
      </c>
      <c r="N41">
        <v>600</v>
      </c>
      <c r="O41">
        <v>499</v>
      </c>
      <c r="P41">
        <v>869</v>
      </c>
      <c r="Q41">
        <v>398</v>
      </c>
      <c r="R41">
        <v>471</v>
      </c>
    </row>
    <row r="42" spans="5:18" x14ac:dyDescent="0.2">
      <c r="E42" s="51"/>
      <c r="F42" s="12" t="s">
        <v>501</v>
      </c>
      <c r="G42" s="15">
        <v>3083</v>
      </c>
      <c r="H42" s="15">
        <v>1546</v>
      </c>
      <c r="I42" s="15">
        <v>1537</v>
      </c>
      <c r="J42">
        <v>620</v>
      </c>
      <c r="K42">
        <v>302</v>
      </c>
      <c r="L42">
        <v>318</v>
      </c>
      <c r="M42">
        <v>998</v>
      </c>
      <c r="N42">
        <v>556</v>
      </c>
      <c r="O42">
        <v>442</v>
      </c>
      <c r="P42">
        <v>692</v>
      </c>
      <c r="Q42">
        <v>304</v>
      </c>
      <c r="R42">
        <v>388</v>
      </c>
    </row>
    <row r="43" spans="5:18" x14ac:dyDescent="0.2">
      <c r="E43" s="51"/>
      <c r="F43" s="12" t="s">
        <v>502</v>
      </c>
      <c r="G43">
        <v>682</v>
      </c>
      <c r="H43">
        <v>429</v>
      </c>
      <c r="I43">
        <v>253</v>
      </c>
      <c r="J43">
        <v>82</v>
      </c>
      <c r="K43">
        <v>58</v>
      </c>
      <c r="L43">
        <v>24</v>
      </c>
      <c r="M43">
        <v>101</v>
      </c>
      <c r="N43">
        <v>44</v>
      </c>
      <c r="O43">
        <v>57</v>
      </c>
      <c r="P43">
        <v>177</v>
      </c>
      <c r="Q43">
        <v>94</v>
      </c>
      <c r="R43">
        <v>83</v>
      </c>
    </row>
    <row r="44" spans="5:18" x14ac:dyDescent="0.2">
      <c r="E44" s="51"/>
      <c r="F44" s="17" t="s">
        <v>503</v>
      </c>
      <c r="G44" s="15">
        <v>30790</v>
      </c>
      <c r="H44" s="15">
        <v>15650</v>
      </c>
      <c r="I44" s="15">
        <v>15140</v>
      </c>
      <c r="J44" s="15">
        <v>5920</v>
      </c>
      <c r="K44" s="15">
        <v>3193</v>
      </c>
      <c r="L44" s="15">
        <v>2727</v>
      </c>
      <c r="M44" s="15">
        <v>12150</v>
      </c>
      <c r="N44" s="15">
        <v>6415</v>
      </c>
      <c r="O44" s="15">
        <v>5735</v>
      </c>
      <c r="P44" s="15">
        <v>5176</v>
      </c>
      <c r="Q44" s="15">
        <v>2171</v>
      </c>
      <c r="R44" s="15">
        <v>3005</v>
      </c>
    </row>
    <row r="45" spans="5:18" x14ac:dyDescent="0.2">
      <c r="E45" s="51"/>
      <c r="F45" s="17" t="s">
        <v>504</v>
      </c>
      <c r="G45" s="15">
        <v>31909</v>
      </c>
      <c r="H45" s="15">
        <v>15794</v>
      </c>
      <c r="I45" s="15">
        <v>16115</v>
      </c>
      <c r="J45" s="15">
        <v>6273</v>
      </c>
      <c r="K45" s="15">
        <v>3096</v>
      </c>
      <c r="L45" s="15">
        <v>3177</v>
      </c>
      <c r="M45" s="15">
        <v>11255</v>
      </c>
      <c r="N45" s="15">
        <v>5803</v>
      </c>
      <c r="O45" s="15">
        <v>5452</v>
      </c>
      <c r="P45" s="15">
        <v>6279</v>
      </c>
      <c r="Q45" s="15">
        <v>2773</v>
      </c>
      <c r="R45" s="15">
        <v>3506</v>
      </c>
    </row>
    <row r="46" spans="5:18" x14ac:dyDescent="0.2">
      <c r="E46" s="51"/>
      <c r="F46" s="12" t="s">
        <v>505</v>
      </c>
      <c r="G46" s="15">
        <v>2915</v>
      </c>
      <c r="H46" s="15">
        <v>1566</v>
      </c>
      <c r="I46" s="15">
        <v>1349</v>
      </c>
      <c r="J46">
        <v>620</v>
      </c>
      <c r="K46">
        <v>413</v>
      </c>
      <c r="L46">
        <v>207</v>
      </c>
      <c r="M46" s="15">
        <v>1251</v>
      </c>
      <c r="N46">
        <v>677</v>
      </c>
      <c r="O46">
        <v>574</v>
      </c>
      <c r="P46">
        <v>442</v>
      </c>
      <c r="Q46">
        <v>188</v>
      </c>
      <c r="R46">
        <v>254</v>
      </c>
    </row>
    <row r="47" spans="5:18" x14ac:dyDescent="0.2">
      <c r="E47" s="51"/>
      <c r="F47" s="12" t="s">
        <v>506</v>
      </c>
      <c r="G47" s="15">
        <v>3022</v>
      </c>
      <c r="H47" s="15">
        <v>1471</v>
      </c>
      <c r="I47" s="15">
        <v>1551</v>
      </c>
      <c r="J47">
        <v>529</v>
      </c>
      <c r="K47">
        <v>270</v>
      </c>
      <c r="L47">
        <v>259</v>
      </c>
      <c r="M47" s="15">
        <v>1225</v>
      </c>
      <c r="N47">
        <v>520</v>
      </c>
      <c r="O47">
        <v>705</v>
      </c>
      <c r="P47">
        <v>632</v>
      </c>
      <c r="Q47">
        <v>359</v>
      </c>
      <c r="R47">
        <v>273</v>
      </c>
    </row>
    <row r="48" spans="5:18" x14ac:dyDescent="0.2">
      <c r="E48" s="51"/>
      <c r="F48" s="12" t="s">
        <v>507</v>
      </c>
      <c r="G48" s="15">
        <v>6625</v>
      </c>
      <c r="H48" s="15">
        <v>2921</v>
      </c>
      <c r="I48" s="15">
        <v>3704</v>
      </c>
      <c r="J48" s="15">
        <v>1274</v>
      </c>
      <c r="K48">
        <v>566</v>
      </c>
      <c r="L48">
        <v>708</v>
      </c>
      <c r="M48" s="15">
        <v>2054</v>
      </c>
      <c r="N48" s="15">
        <v>1005</v>
      </c>
      <c r="O48" s="15">
        <v>1049</v>
      </c>
      <c r="P48" s="15">
        <v>1808</v>
      </c>
      <c r="Q48">
        <v>682</v>
      </c>
      <c r="R48" s="15">
        <v>1126</v>
      </c>
    </row>
    <row r="49" spans="5:18" x14ac:dyDescent="0.2">
      <c r="E49" s="51"/>
      <c r="F49" s="17" t="s">
        <v>508</v>
      </c>
      <c r="G49" s="15">
        <v>7493</v>
      </c>
      <c r="H49" s="15">
        <v>3585</v>
      </c>
      <c r="I49" s="15">
        <v>3908</v>
      </c>
      <c r="J49" s="15">
        <v>1726</v>
      </c>
      <c r="K49">
        <v>726</v>
      </c>
      <c r="L49" s="15">
        <v>1000</v>
      </c>
      <c r="M49" s="15">
        <v>2794</v>
      </c>
      <c r="N49" s="15">
        <v>1326</v>
      </c>
      <c r="O49" s="15">
        <v>1468</v>
      </c>
      <c r="P49" s="15">
        <v>1043</v>
      </c>
      <c r="Q49">
        <v>584</v>
      </c>
      <c r="R49">
        <v>459</v>
      </c>
    </row>
    <row r="50" spans="5:18" x14ac:dyDescent="0.2">
      <c r="E50" s="51"/>
      <c r="F50" s="17" t="s">
        <v>509</v>
      </c>
      <c r="G50" s="15">
        <v>12191</v>
      </c>
      <c r="H50" s="15">
        <v>6205</v>
      </c>
      <c r="I50" s="15">
        <v>5986</v>
      </c>
      <c r="J50" s="15">
        <v>3079</v>
      </c>
      <c r="K50" s="15">
        <v>1824</v>
      </c>
      <c r="L50" s="15">
        <v>1255</v>
      </c>
      <c r="M50" s="15">
        <v>4734</v>
      </c>
      <c r="N50" s="15">
        <v>2570</v>
      </c>
      <c r="O50" s="15">
        <v>2164</v>
      </c>
      <c r="P50" s="15">
        <v>1348</v>
      </c>
      <c r="Q50">
        <v>658</v>
      </c>
      <c r="R50">
        <v>690</v>
      </c>
    </row>
    <row r="51" spans="5:18" x14ac:dyDescent="0.2">
      <c r="E51" s="51"/>
      <c r="F51" s="12" t="s">
        <v>447</v>
      </c>
      <c r="G51">
        <v>754</v>
      </c>
      <c r="H51">
        <v>337</v>
      </c>
      <c r="I51">
        <v>417</v>
      </c>
      <c r="J51">
        <v>149</v>
      </c>
      <c r="K51">
        <v>103</v>
      </c>
      <c r="L51">
        <v>46</v>
      </c>
      <c r="M51">
        <v>250</v>
      </c>
      <c r="N51">
        <v>114</v>
      </c>
      <c r="O51">
        <v>136</v>
      </c>
      <c r="P51">
        <v>61</v>
      </c>
      <c r="Q51">
        <v>38</v>
      </c>
      <c r="R51">
        <v>23</v>
      </c>
    </row>
    <row r="52" spans="5:18" x14ac:dyDescent="0.2">
      <c r="E52" s="51"/>
      <c r="F52" s="12" t="s">
        <v>510</v>
      </c>
      <c r="G52" s="15">
        <v>11437</v>
      </c>
      <c r="H52" s="15">
        <v>5868</v>
      </c>
      <c r="I52" s="15">
        <v>5569</v>
      </c>
      <c r="J52" s="15">
        <v>2930</v>
      </c>
      <c r="K52" s="15">
        <v>1721</v>
      </c>
      <c r="L52" s="15">
        <v>1209</v>
      </c>
      <c r="M52" s="15">
        <v>4484</v>
      </c>
      <c r="N52" s="15">
        <v>2456</v>
      </c>
      <c r="O52" s="15">
        <v>2028</v>
      </c>
      <c r="P52" s="15">
        <v>1287</v>
      </c>
      <c r="Q52">
        <v>620</v>
      </c>
      <c r="R52">
        <v>667</v>
      </c>
    </row>
    <row r="53" spans="5:18" x14ac:dyDescent="0.2">
      <c r="E53" s="51"/>
    </row>
    <row r="54" spans="5:18" x14ac:dyDescent="0.2">
      <c r="E54" s="51"/>
    </row>
    <row r="55" spans="5:18" x14ac:dyDescent="0.2">
      <c r="E55" s="51"/>
    </row>
    <row r="56" spans="5:18" x14ac:dyDescent="0.2">
      <c r="E56" s="51"/>
    </row>
    <row r="57" spans="5:18" x14ac:dyDescent="0.2">
      <c r="E57" s="51"/>
    </row>
  </sheetData>
  <mergeCells count="12">
    <mergeCell ref="P5:R5"/>
    <mergeCell ref="B1:O1"/>
    <mergeCell ref="A5:B5"/>
    <mergeCell ref="E5:E57"/>
    <mergeCell ref="A9:B9"/>
    <mergeCell ref="A18:B18"/>
    <mergeCell ref="A27:B27"/>
    <mergeCell ref="F5:F6"/>
    <mergeCell ref="G5:I5"/>
    <mergeCell ref="J5:L5"/>
    <mergeCell ref="M5:O5"/>
    <mergeCell ref="A21:B21"/>
  </mergeCells>
  <dataValidations count="4">
    <dataValidation type="list" allowBlank="1" showInputMessage="1" showErrorMessage="1" sqref="P4:R4" xr:uid="{1A73F687-F4B5-4C52-B312-86B9905DF402}">
      <formula1>"integer, number, percent1"</formula1>
    </dataValidation>
    <dataValidation type="list" allowBlank="1" showInputMessage="1" showErrorMessage="1" sqref="B10" xr:uid="{C8A32454-97D0-4576-B24C-59F48E91FD35}">
      <formula1>"Line,Clustered Bar,Stacked Bar,Bar,Horizontal Stacked Bar"</formula1>
    </dataValidation>
    <dataValidation type="list" allowBlank="1" showInputMessage="1" showErrorMessage="1" sqref="B2" xr:uid="{E48FAE01-9401-4D60-A206-3E94B61E783B}">
      <formula1>"Table,Figure,Both"</formula1>
    </dataValidation>
    <dataValidation type="list" allowBlank="1" showInputMessage="1" showErrorMessage="1" sqref="B6 B15:B16" xr:uid="{39D1456D-5E91-46A7-8F0B-C44F51508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80D611-BA05-44AE-9FD0-B83D91F4D49D}">
          <x14:formula1>
            <xm:f>Dropdowns!$A$1:$A$8</xm:f>
          </x14:formula1>
          <xm:sqref>F4:O4</xm:sqref>
        </x14:dataValidation>
        <x14:dataValidation type="list" allowBlank="1" showInputMessage="1" showErrorMessage="1" xr:uid="{59256D36-20F9-4AF2-B3C6-4DFE6844026A}">
          <x14:formula1>
            <xm:f>Master!$F$2:$F$401</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5A812-52C1-4AD2-9A47-83BA4D258F5E}">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7" t="s">
        <v>252</v>
      </c>
      <c r="B1" s="48" t="s">
        <v>289</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tbl-pop-race-ethnicity</v>
      </c>
    </row>
    <row r="4" spans="1:17" x14ac:dyDescent="0.2">
      <c r="A4" s="17" t="s">
        <v>5</v>
      </c>
      <c r="B4" t="str">
        <f>IF($B$1="","",_xlfn.XLOOKUP($B$1,Master!$E$2:$E$320,Master!$G$2:$G$320,""))</f>
        <v>fig-pop-race-ethnicity</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
      <c r="A5" s="50" t="s">
        <v>255</v>
      </c>
      <c r="B5" s="51"/>
      <c r="E5" s="52" t="s">
        <v>256</v>
      </c>
      <c r="F5" t="s">
        <v>394</v>
      </c>
      <c r="G5" s="18" t="s">
        <v>687</v>
      </c>
      <c r="H5" s="18" t="s">
        <v>688</v>
      </c>
      <c r="I5" s="18" t="s">
        <v>689</v>
      </c>
      <c r="J5" s="18" t="s">
        <v>690</v>
      </c>
      <c r="K5" s="18" t="s">
        <v>691</v>
      </c>
      <c r="L5" s="18" t="s">
        <v>692</v>
      </c>
      <c r="M5" s="18" t="s">
        <v>693</v>
      </c>
      <c r="N5" s="18" t="s">
        <v>694</v>
      </c>
      <c r="O5" s="18" t="s">
        <v>695</v>
      </c>
      <c r="P5" s="18" t="s">
        <v>696</v>
      </c>
    </row>
    <row r="6" spans="1:17" ht="15" customHeight="1" x14ac:dyDescent="0.2">
      <c r="A6" t="s">
        <v>259</v>
      </c>
      <c r="B6" t="b">
        <v>0</v>
      </c>
      <c r="E6" s="51"/>
      <c r="F6" t="s">
        <v>396</v>
      </c>
      <c r="G6" s="30">
        <v>401310</v>
      </c>
      <c r="H6" s="30">
        <v>248085</v>
      </c>
      <c r="I6" s="30">
        <v>45543</v>
      </c>
      <c r="J6" s="30">
        <v>2949</v>
      </c>
      <c r="K6" s="30">
        <v>12025</v>
      </c>
      <c r="L6" s="18">
        <v>185</v>
      </c>
      <c r="M6" s="30">
        <v>52023</v>
      </c>
      <c r="N6" s="30">
        <v>40500</v>
      </c>
      <c r="O6" s="30">
        <v>89744</v>
      </c>
      <c r="P6" s="30">
        <v>311566</v>
      </c>
    </row>
    <row r="7" spans="1:17" ht="15.75" customHeight="1" x14ac:dyDescent="0.2">
      <c r="E7" s="51"/>
      <c r="F7" t="s">
        <v>397</v>
      </c>
      <c r="G7" s="30">
        <v>18811</v>
      </c>
      <c r="H7" s="30">
        <v>12738</v>
      </c>
      <c r="I7" s="30">
        <v>1539</v>
      </c>
      <c r="J7" s="18">
        <v>121</v>
      </c>
      <c r="K7" s="18">
        <v>416</v>
      </c>
      <c r="L7" s="18">
        <v>7</v>
      </c>
      <c r="M7" s="30">
        <v>1784</v>
      </c>
      <c r="N7" s="30">
        <v>2206</v>
      </c>
      <c r="O7" s="30">
        <v>3913</v>
      </c>
      <c r="P7" s="30">
        <v>14898</v>
      </c>
    </row>
    <row r="8" spans="1:17" x14ac:dyDescent="0.2">
      <c r="E8" s="51"/>
      <c r="F8" t="s">
        <v>398</v>
      </c>
      <c r="G8" s="30">
        <v>3973</v>
      </c>
      <c r="H8" s="30">
        <v>2786</v>
      </c>
      <c r="I8" s="18">
        <v>311</v>
      </c>
      <c r="J8" s="18">
        <v>25</v>
      </c>
      <c r="K8" s="18">
        <v>52</v>
      </c>
      <c r="L8" s="18">
        <v>5</v>
      </c>
      <c r="M8" s="18">
        <v>484</v>
      </c>
      <c r="N8" s="18">
        <v>310</v>
      </c>
      <c r="O8" s="18">
        <v>555</v>
      </c>
      <c r="P8" s="30">
        <v>3418</v>
      </c>
    </row>
    <row r="9" spans="1:17" x14ac:dyDescent="0.2">
      <c r="A9" s="50" t="s">
        <v>260</v>
      </c>
      <c r="B9" s="51"/>
      <c r="E9" s="51"/>
      <c r="F9" t="s">
        <v>399</v>
      </c>
      <c r="G9" s="30">
        <v>5657</v>
      </c>
      <c r="H9" s="30">
        <v>3555</v>
      </c>
      <c r="I9" s="18">
        <v>630</v>
      </c>
      <c r="J9" s="18">
        <v>26</v>
      </c>
      <c r="K9" s="18">
        <v>131</v>
      </c>
      <c r="L9" s="18">
        <v>1</v>
      </c>
      <c r="M9" s="18">
        <v>590</v>
      </c>
      <c r="N9" s="18">
        <v>724</v>
      </c>
      <c r="O9" s="30">
        <v>1466</v>
      </c>
      <c r="P9" s="30">
        <v>4191</v>
      </c>
    </row>
    <row r="10" spans="1:17" x14ac:dyDescent="0.2">
      <c r="A10" t="s">
        <v>261</v>
      </c>
      <c r="E10" s="51"/>
      <c r="F10" t="s">
        <v>400</v>
      </c>
      <c r="G10" s="30">
        <v>12646</v>
      </c>
      <c r="H10" s="30">
        <v>8574</v>
      </c>
      <c r="I10" s="30">
        <v>1188</v>
      </c>
      <c r="J10" s="18">
        <v>53</v>
      </c>
      <c r="K10" s="18">
        <v>513</v>
      </c>
      <c r="L10" s="18">
        <v>2</v>
      </c>
      <c r="M10" s="18">
        <v>984</v>
      </c>
      <c r="N10" s="30">
        <v>1332</v>
      </c>
      <c r="O10" s="30">
        <v>2446</v>
      </c>
      <c r="P10" s="30">
        <v>10200</v>
      </c>
    </row>
    <row r="11" spans="1:17" x14ac:dyDescent="0.2">
      <c r="A11" t="s">
        <v>262</v>
      </c>
      <c r="E11" s="51"/>
      <c r="F11" t="s">
        <v>401</v>
      </c>
      <c r="G11" s="30">
        <v>3993</v>
      </c>
      <c r="H11" s="30">
        <v>2287</v>
      </c>
      <c r="I11" s="18">
        <v>611</v>
      </c>
      <c r="J11" s="18">
        <v>33</v>
      </c>
      <c r="K11" s="18">
        <v>212</v>
      </c>
      <c r="L11" s="18">
        <v>2</v>
      </c>
      <c r="M11" s="18">
        <v>417</v>
      </c>
      <c r="N11" s="18">
        <v>431</v>
      </c>
      <c r="O11" s="18">
        <v>912</v>
      </c>
      <c r="P11" s="30">
        <v>3081</v>
      </c>
    </row>
    <row r="12" spans="1:17" x14ac:dyDescent="0.2">
      <c r="A12" t="s">
        <v>263</v>
      </c>
      <c r="E12" s="51"/>
      <c r="F12" s="22" t="s">
        <v>404</v>
      </c>
      <c r="G12" s="30">
        <v>12884</v>
      </c>
      <c r="H12" s="30">
        <v>10225</v>
      </c>
      <c r="I12" s="18">
        <v>466</v>
      </c>
      <c r="J12" s="18">
        <v>37</v>
      </c>
      <c r="K12" s="18">
        <v>412</v>
      </c>
      <c r="L12" s="18">
        <v>5</v>
      </c>
      <c r="M12" s="18">
        <v>585</v>
      </c>
      <c r="N12" s="30">
        <v>1154</v>
      </c>
      <c r="O12" s="30">
        <v>1664</v>
      </c>
      <c r="P12" s="30">
        <v>11220</v>
      </c>
    </row>
    <row r="13" spans="1:17" x14ac:dyDescent="0.2">
      <c r="A13" t="s">
        <v>264</v>
      </c>
      <c r="E13" s="51"/>
      <c r="F13" t="s">
        <v>407</v>
      </c>
      <c r="G13" s="30">
        <v>3075</v>
      </c>
      <c r="H13" s="30">
        <v>2598</v>
      </c>
      <c r="I13" s="18">
        <v>82</v>
      </c>
      <c r="J13" s="18">
        <v>9</v>
      </c>
      <c r="K13" s="18">
        <v>51</v>
      </c>
      <c r="L13" s="18">
        <v>3</v>
      </c>
      <c r="M13" s="18">
        <v>65</v>
      </c>
      <c r="N13" s="18">
        <v>267</v>
      </c>
      <c r="O13" s="18">
        <v>277</v>
      </c>
      <c r="P13" s="30">
        <v>2798</v>
      </c>
    </row>
    <row r="14" spans="1:17" x14ac:dyDescent="0.2">
      <c r="A14" t="s">
        <v>265</v>
      </c>
      <c r="E14" s="51"/>
      <c r="F14" t="s">
        <v>408</v>
      </c>
      <c r="G14" s="30">
        <v>9130</v>
      </c>
      <c r="H14" s="30">
        <v>7187</v>
      </c>
      <c r="I14" s="18">
        <v>390</v>
      </c>
      <c r="J14" s="18">
        <v>38</v>
      </c>
      <c r="K14" s="18">
        <v>152</v>
      </c>
      <c r="L14" s="18">
        <v>1</v>
      </c>
      <c r="M14" s="18">
        <v>439</v>
      </c>
      <c r="N14" s="18">
        <v>923</v>
      </c>
      <c r="O14" s="30">
        <v>1370</v>
      </c>
      <c r="P14" s="30">
        <v>7760</v>
      </c>
    </row>
    <row r="15" spans="1:17" x14ac:dyDescent="0.2">
      <c r="A15" t="s">
        <v>267</v>
      </c>
      <c r="E15" s="51"/>
      <c r="F15" t="s">
        <v>409</v>
      </c>
      <c r="G15" s="30">
        <v>7509</v>
      </c>
      <c r="H15" s="30">
        <v>6083</v>
      </c>
      <c r="I15" s="18">
        <v>240</v>
      </c>
      <c r="J15" s="18">
        <v>37</v>
      </c>
      <c r="K15" s="18">
        <v>334</v>
      </c>
      <c r="L15" s="18">
        <v>3</v>
      </c>
      <c r="M15" s="18">
        <v>188</v>
      </c>
      <c r="N15" s="18">
        <v>624</v>
      </c>
      <c r="O15" s="18">
        <v>657</v>
      </c>
      <c r="P15" s="30">
        <v>6852</v>
      </c>
    </row>
    <row r="16" spans="1:17" x14ac:dyDescent="0.2">
      <c r="A16" t="s">
        <v>274</v>
      </c>
      <c r="E16" s="51"/>
      <c r="F16" t="s">
        <v>410</v>
      </c>
      <c r="G16" s="30">
        <v>14571</v>
      </c>
      <c r="H16" s="30">
        <v>10315</v>
      </c>
      <c r="I16" s="30">
        <v>1026</v>
      </c>
      <c r="J16" s="18">
        <v>68</v>
      </c>
      <c r="K16" s="18">
        <v>491</v>
      </c>
      <c r="L16" s="18">
        <v>3</v>
      </c>
      <c r="M16" s="30">
        <v>1196</v>
      </c>
      <c r="N16" s="30">
        <v>1472</v>
      </c>
      <c r="O16" s="30">
        <v>3133</v>
      </c>
      <c r="P16" s="30">
        <v>11438</v>
      </c>
    </row>
    <row r="17" spans="1:16" x14ac:dyDescent="0.2">
      <c r="E17" s="51"/>
      <c r="F17" t="s">
        <v>411</v>
      </c>
      <c r="G17" s="30">
        <v>5777</v>
      </c>
      <c r="H17" s="30">
        <v>4230</v>
      </c>
      <c r="I17" s="18">
        <v>303</v>
      </c>
      <c r="J17" s="18">
        <v>31</v>
      </c>
      <c r="K17" s="18">
        <v>185</v>
      </c>
      <c r="L17" s="18">
        <v>2</v>
      </c>
      <c r="M17" s="18">
        <v>509</v>
      </c>
      <c r="N17" s="18">
        <v>517</v>
      </c>
      <c r="O17" s="30">
        <v>1205</v>
      </c>
      <c r="P17" s="30">
        <v>4572</v>
      </c>
    </row>
    <row r="18" spans="1:16" x14ac:dyDescent="0.2">
      <c r="A18" s="50" t="s">
        <v>268</v>
      </c>
      <c r="B18" s="51"/>
      <c r="E18" s="51"/>
      <c r="F18" t="s">
        <v>412</v>
      </c>
      <c r="G18" s="30">
        <v>4689</v>
      </c>
      <c r="H18" s="30">
        <v>3828</v>
      </c>
      <c r="I18" s="18">
        <v>164</v>
      </c>
      <c r="J18" s="18">
        <v>17</v>
      </c>
      <c r="K18" s="18">
        <v>55</v>
      </c>
      <c r="L18" s="18">
        <v>0</v>
      </c>
      <c r="M18" s="18">
        <v>229</v>
      </c>
      <c r="N18" s="18">
        <v>396</v>
      </c>
      <c r="O18" s="18">
        <v>626</v>
      </c>
      <c r="P18" s="30">
        <v>4063</v>
      </c>
    </row>
    <row r="19" spans="1:16" x14ac:dyDescent="0.2">
      <c r="A19" t="s">
        <v>1250</v>
      </c>
      <c r="B19" t="s">
        <v>1264</v>
      </c>
      <c r="E19" s="51"/>
      <c r="F19" t="s">
        <v>413</v>
      </c>
      <c r="G19" s="30">
        <v>5489</v>
      </c>
      <c r="H19" s="30">
        <v>4274</v>
      </c>
      <c r="I19" s="18">
        <v>189</v>
      </c>
      <c r="J19" s="18">
        <v>20</v>
      </c>
      <c r="K19" s="18">
        <v>204</v>
      </c>
      <c r="L19" s="18">
        <v>0</v>
      </c>
      <c r="M19" s="18">
        <v>227</v>
      </c>
      <c r="N19" s="18">
        <v>575</v>
      </c>
      <c r="O19" s="18">
        <v>797</v>
      </c>
      <c r="P19" s="30">
        <v>4692</v>
      </c>
    </row>
    <row r="20" spans="1:16" x14ac:dyDescent="0.2">
      <c r="E20" s="51"/>
      <c r="F20" s="16" t="s">
        <v>414</v>
      </c>
      <c r="G20" s="30">
        <v>12939</v>
      </c>
      <c r="H20" s="30">
        <v>8655</v>
      </c>
      <c r="I20" s="30">
        <v>1435</v>
      </c>
      <c r="J20" s="18">
        <v>137</v>
      </c>
      <c r="K20" s="18">
        <v>613</v>
      </c>
      <c r="L20" s="18">
        <v>31</v>
      </c>
      <c r="M20" s="18">
        <v>893</v>
      </c>
      <c r="N20" s="30">
        <v>1175</v>
      </c>
      <c r="O20" s="30">
        <v>2066</v>
      </c>
      <c r="P20" s="30">
        <v>10873</v>
      </c>
    </row>
    <row r="21" spans="1:16" x14ac:dyDescent="0.2">
      <c r="A21" s="50" t="s">
        <v>269</v>
      </c>
      <c r="B21" s="55"/>
      <c r="E21" s="51"/>
      <c r="F21" s="16" t="s">
        <v>423</v>
      </c>
      <c r="G21" s="30">
        <v>3684</v>
      </c>
      <c r="H21" s="30">
        <v>2100</v>
      </c>
      <c r="I21" s="18">
        <v>561</v>
      </c>
      <c r="J21" s="18">
        <v>54</v>
      </c>
      <c r="K21" s="18">
        <v>110</v>
      </c>
      <c r="L21" s="18">
        <v>3</v>
      </c>
      <c r="M21" s="18">
        <v>441</v>
      </c>
      <c r="N21" s="18">
        <v>415</v>
      </c>
      <c r="O21" s="18">
        <v>947</v>
      </c>
      <c r="P21" s="30">
        <v>2737</v>
      </c>
    </row>
    <row r="22" spans="1:16" x14ac:dyDescent="0.2">
      <c r="A22" t="s">
        <v>1249</v>
      </c>
      <c r="B22" t="s">
        <v>1271</v>
      </c>
      <c r="E22" s="51"/>
      <c r="F22" s="16" t="s">
        <v>432</v>
      </c>
      <c r="G22" s="30">
        <v>30345</v>
      </c>
      <c r="H22" s="30">
        <v>9983</v>
      </c>
      <c r="I22" s="30">
        <v>7116</v>
      </c>
      <c r="J22" s="18">
        <v>424</v>
      </c>
      <c r="K22" s="30">
        <v>1165</v>
      </c>
      <c r="L22" s="18">
        <v>14</v>
      </c>
      <c r="M22" s="30">
        <v>7284</v>
      </c>
      <c r="N22" s="30">
        <v>4359</v>
      </c>
      <c r="O22" s="30">
        <v>13243</v>
      </c>
      <c r="P22" s="30">
        <v>17102</v>
      </c>
    </row>
    <row r="23" spans="1:16" x14ac:dyDescent="0.2">
      <c r="E23" s="51"/>
      <c r="F23" s="16" t="s">
        <v>436</v>
      </c>
      <c r="G23" s="30">
        <v>4621</v>
      </c>
      <c r="H23" s="30">
        <v>3829</v>
      </c>
      <c r="I23" s="18">
        <v>177</v>
      </c>
      <c r="J23" s="18">
        <v>8</v>
      </c>
      <c r="K23" s="18">
        <v>49</v>
      </c>
      <c r="L23" s="18">
        <v>0</v>
      </c>
      <c r="M23" s="18">
        <v>188</v>
      </c>
      <c r="N23" s="18">
        <v>370</v>
      </c>
      <c r="O23" s="18">
        <v>618</v>
      </c>
      <c r="P23" s="30">
        <v>4003</v>
      </c>
    </row>
    <row r="24" spans="1:16" x14ac:dyDescent="0.2">
      <c r="E24" s="51"/>
      <c r="F24" t="s">
        <v>440</v>
      </c>
      <c r="G24" s="18">
        <v>592</v>
      </c>
      <c r="H24" s="18">
        <v>505</v>
      </c>
      <c r="I24" s="18">
        <v>27</v>
      </c>
      <c r="J24" s="18">
        <v>0</v>
      </c>
      <c r="K24" s="18">
        <v>4</v>
      </c>
      <c r="L24" s="18">
        <v>0</v>
      </c>
      <c r="M24" s="18">
        <v>23</v>
      </c>
      <c r="N24" s="18">
        <v>33</v>
      </c>
      <c r="O24" s="18">
        <v>53</v>
      </c>
      <c r="P24" s="18">
        <v>539</v>
      </c>
    </row>
    <row r="25" spans="1:16" x14ac:dyDescent="0.2">
      <c r="E25" s="51"/>
      <c r="F25" s="16" t="s">
        <v>443</v>
      </c>
      <c r="G25" s="30">
        <v>21387</v>
      </c>
      <c r="H25" s="30">
        <v>13246</v>
      </c>
      <c r="I25" s="30">
        <v>1685</v>
      </c>
      <c r="J25" s="18">
        <v>137</v>
      </c>
      <c r="K25" s="30">
        <v>1221</v>
      </c>
      <c r="L25" s="18">
        <v>6</v>
      </c>
      <c r="M25" s="30">
        <v>2833</v>
      </c>
      <c r="N25" s="30">
        <v>2259</v>
      </c>
      <c r="O25" s="30">
        <v>5342</v>
      </c>
      <c r="P25" s="30">
        <v>16045</v>
      </c>
    </row>
    <row r="26" spans="1:16" x14ac:dyDescent="0.2">
      <c r="E26" s="51"/>
      <c r="F26" s="16" t="s">
        <v>697</v>
      </c>
      <c r="G26" s="30">
        <v>2714</v>
      </c>
      <c r="H26" s="30">
        <v>1247</v>
      </c>
      <c r="I26" s="18">
        <v>495</v>
      </c>
      <c r="J26" s="18">
        <v>9</v>
      </c>
      <c r="K26" s="18">
        <v>258</v>
      </c>
      <c r="L26" s="18">
        <v>5</v>
      </c>
      <c r="M26" s="18">
        <v>364</v>
      </c>
      <c r="N26" s="18">
        <v>336</v>
      </c>
      <c r="O26" s="18">
        <v>783</v>
      </c>
      <c r="P26" s="30">
        <v>1931</v>
      </c>
    </row>
    <row r="27" spans="1:16" x14ac:dyDescent="0.2">
      <c r="A27" s="53"/>
      <c r="B27" s="51"/>
      <c r="E27" s="51"/>
      <c r="F27" s="16" t="s">
        <v>449</v>
      </c>
      <c r="G27" s="30">
        <v>9343</v>
      </c>
      <c r="H27" s="30">
        <v>5528</v>
      </c>
      <c r="I27" s="18">
        <v>699</v>
      </c>
      <c r="J27" s="18">
        <v>64</v>
      </c>
      <c r="K27" s="18">
        <v>530</v>
      </c>
      <c r="L27" s="18">
        <v>0</v>
      </c>
      <c r="M27" s="30">
        <v>1544</v>
      </c>
      <c r="N27" s="18">
        <v>978</v>
      </c>
      <c r="O27" s="30">
        <v>2790</v>
      </c>
      <c r="P27" s="30">
        <v>6553</v>
      </c>
    </row>
    <row r="28" spans="1:16" x14ac:dyDescent="0.2">
      <c r="E28" s="51"/>
      <c r="F28" s="16" t="s">
        <v>451</v>
      </c>
      <c r="G28" s="30">
        <v>23322</v>
      </c>
      <c r="H28" s="30">
        <v>16894</v>
      </c>
      <c r="I28" s="30">
        <v>1842</v>
      </c>
      <c r="J28" s="18">
        <v>117</v>
      </c>
      <c r="K28" s="18">
        <v>414</v>
      </c>
      <c r="L28" s="18">
        <v>6</v>
      </c>
      <c r="M28" s="30">
        <v>1562</v>
      </c>
      <c r="N28" s="30">
        <v>2487</v>
      </c>
      <c r="O28" s="30">
        <v>4320</v>
      </c>
      <c r="P28" s="30">
        <v>19002</v>
      </c>
    </row>
    <row r="29" spans="1:16" x14ac:dyDescent="0.2">
      <c r="E29" s="51"/>
      <c r="F29" s="16" t="s">
        <v>453</v>
      </c>
      <c r="G29" s="30">
        <v>3150</v>
      </c>
      <c r="H29" s="30">
        <v>1930</v>
      </c>
      <c r="I29" s="18">
        <v>461</v>
      </c>
      <c r="J29" s="18">
        <v>11</v>
      </c>
      <c r="K29" s="18">
        <v>43</v>
      </c>
      <c r="L29" s="18">
        <v>0</v>
      </c>
      <c r="M29" s="18">
        <v>286</v>
      </c>
      <c r="N29" s="18">
        <v>419</v>
      </c>
      <c r="O29" s="18">
        <v>803</v>
      </c>
      <c r="P29" s="30">
        <v>2347</v>
      </c>
    </row>
    <row r="30" spans="1:16" x14ac:dyDescent="0.2">
      <c r="E30" s="51"/>
      <c r="F30" s="16" t="s">
        <v>455</v>
      </c>
      <c r="G30" s="30">
        <v>3834</v>
      </c>
      <c r="H30" s="30">
        <v>2896</v>
      </c>
      <c r="I30" s="18">
        <v>275</v>
      </c>
      <c r="J30" s="18">
        <v>9</v>
      </c>
      <c r="K30" s="18">
        <v>61</v>
      </c>
      <c r="L30" s="18">
        <v>0</v>
      </c>
      <c r="M30" s="18">
        <v>181</v>
      </c>
      <c r="N30" s="18">
        <v>412</v>
      </c>
      <c r="O30" s="18">
        <v>620</v>
      </c>
      <c r="P30" s="30">
        <v>3214</v>
      </c>
    </row>
    <row r="31" spans="1:16" x14ac:dyDescent="0.2">
      <c r="E31" s="51"/>
      <c r="F31" s="16" t="s">
        <v>457</v>
      </c>
      <c r="G31" s="30">
        <v>6818</v>
      </c>
      <c r="H31" s="30">
        <v>4533</v>
      </c>
      <c r="I31" s="18">
        <v>680</v>
      </c>
      <c r="J31" s="18">
        <v>55</v>
      </c>
      <c r="K31" s="18">
        <v>130</v>
      </c>
      <c r="L31" s="18">
        <v>5</v>
      </c>
      <c r="M31" s="18">
        <v>588</v>
      </c>
      <c r="N31" s="18">
        <v>827</v>
      </c>
      <c r="O31" s="30">
        <v>1596</v>
      </c>
      <c r="P31" s="30">
        <v>5222</v>
      </c>
    </row>
    <row r="32" spans="1:16" x14ac:dyDescent="0.2">
      <c r="E32" s="51"/>
      <c r="F32" t="s">
        <v>459</v>
      </c>
      <c r="G32" s="30">
        <v>6537</v>
      </c>
      <c r="H32" s="30">
        <v>4474</v>
      </c>
      <c r="I32" s="18">
        <v>824</v>
      </c>
      <c r="J32" s="18">
        <v>28</v>
      </c>
      <c r="K32" s="18">
        <v>312</v>
      </c>
      <c r="L32" s="18">
        <v>0</v>
      </c>
      <c r="M32" s="18">
        <v>387</v>
      </c>
      <c r="N32" s="18">
        <v>512</v>
      </c>
      <c r="O32" s="30">
        <v>1143</v>
      </c>
      <c r="P32" s="30">
        <v>5394</v>
      </c>
    </row>
    <row r="33" spans="5:16" x14ac:dyDescent="0.2">
      <c r="E33" s="51"/>
      <c r="F33" s="16" t="s">
        <v>463</v>
      </c>
      <c r="G33" s="18">
        <v>969</v>
      </c>
      <c r="H33" s="18">
        <v>719</v>
      </c>
      <c r="I33" s="18">
        <v>52</v>
      </c>
      <c r="J33" s="18">
        <v>3</v>
      </c>
      <c r="K33" s="18">
        <v>72</v>
      </c>
      <c r="L33" s="18">
        <v>0</v>
      </c>
      <c r="M33" s="18">
        <v>34</v>
      </c>
      <c r="N33" s="18">
        <v>89</v>
      </c>
      <c r="O33" s="18">
        <v>159</v>
      </c>
      <c r="P33" s="18">
        <v>810</v>
      </c>
    </row>
    <row r="34" spans="5:16" x14ac:dyDescent="0.2">
      <c r="E34" s="51"/>
      <c r="F34" s="16" t="s">
        <v>465</v>
      </c>
      <c r="G34" s="30">
        <v>28856</v>
      </c>
      <c r="H34" s="30">
        <v>6554</v>
      </c>
      <c r="I34" s="30">
        <v>8167</v>
      </c>
      <c r="J34" s="18">
        <v>656</v>
      </c>
      <c r="K34" s="18">
        <v>260</v>
      </c>
      <c r="L34" s="18">
        <v>24</v>
      </c>
      <c r="M34" s="30">
        <v>9737</v>
      </c>
      <c r="N34" s="30">
        <v>3458</v>
      </c>
      <c r="O34" s="30">
        <v>15085</v>
      </c>
      <c r="P34" s="30">
        <v>13771</v>
      </c>
    </row>
    <row r="35" spans="5:16" x14ac:dyDescent="0.2">
      <c r="E35" s="51"/>
      <c r="F35" s="16" t="s">
        <v>467</v>
      </c>
      <c r="G35" s="30">
        <v>31985</v>
      </c>
      <c r="H35" s="30">
        <v>19719</v>
      </c>
      <c r="I35" s="30">
        <v>4462</v>
      </c>
      <c r="J35" s="18">
        <v>281</v>
      </c>
      <c r="K35" s="18">
        <v>948</v>
      </c>
      <c r="L35" s="18">
        <v>5</v>
      </c>
      <c r="M35" s="30">
        <v>3084</v>
      </c>
      <c r="N35" s="30">
        <v>3486</v>
      </c>
      <c r="O35" s="30">
        <v>7066</v>
      </c>
      <c r="P35" s="30">
        <v>24919</v>
      </c>
    </row>
    <row r="36" spans="5:16" x14ac:dyDescent="0.2">
      <c r="E36" s="51"/>
      <c r="F36" s="16" t="s">
        <v>469</v>
      </c>
      <c r="G36" s="30">
        <v>27805</v>
      </c>
      <c r="H36" s="30">
        <v>15819</v>
      </c>
      <c r="I36" s="30">
        <v>4346</v>
      </c>
      <c r="J36" s="18">
        <v>194</v>
      </c>
      <c r="K36" s="30">
        <v>1084</v>
      </c>
      <c r="L36" s="18">
        <v>21</v>
      </c>
      <c r="M36" s="30">
        <v>3109</v>
      </c>
      <c r="N36" s="30">
        <v>3232</v>
      </c>
      <c r="O36" s="30">
        <v>7100</v>
      </c>
      <c r="P36" s="30">
        <v>20705</v>
      </c>
    </row>
    <row r="37" spans="5:16" x14ac:dyDescent="0.2">
      <c r="E37" s="51"/>
      <c r="F37" s="16" t="s">
        <v>471</v>
      </c>
      <c r="G37" s="30">
        <v>32954</v>
      </c>
      <c r="H37" s="30">
        <v>23305</v>
      </c>
      <c r="I37" s="18">
        <v>58</v>
      </c>
      <c r="J37" s="18">
        <v>20</v>
      </c>
      <c r="K37" s="18">
        <v>18</v>
      </c>
      <c r="L37" s="18">
        <v>14</v>
      </c>
      <c r="M37" s="30">
        <v>8803</v>
      </c>
      <c r="N37" s="18">
        <v>736</v>
      </c>
      <c r="O37" s="18">
        <v>465</v>
      </c>
      <c r="P37" s="30">
        <v>32489</v>
      </c>
    </row>
    <row r="38" spans="5:16" x14ac:dyDescent="0.2">
      <c r="E38" s="51"/>
      <c r="F38" t="s">
        <v>473</v>
      </c>
      <c r="G38" s="30">
        <v>32954</v>
      </c>
      <c r="H38" s="30">
        <v>23305</v>
      </c>
      <c r="I38" s="18">
        <v>58</v>
      </c>
      <c r="J38" s="18">
        <v>20</v>
      </c>
      <c r="K38" s="18">
        <v>18</v>
      </c>
      <c r="L38" s="18">
        <v>14</v>
      </c>
      <c r="M38" s="30">
        <v>8803</v>
      </c>
      <c r="N38" s="18">
        <v>736</v>
      </c>
      <c r="O38" s="18">
        <v>465</v>
      </c>
      <c r="P38" s="30">
        <v>32489</v>
      </c>
    </row>
    <row r="39" spans="5:16" x14ac:dyDescent="0.2">
      <c r="E39" s="51"/>
      <c r="F39" t="s">
        <v>476</v>
      </c>
      <c r="G39" s="30">
        <v>8775</v>
      </c>
      <c r="H39" s="30">
        <v>6201</v>
      </c>
      <c r="I39" s="18">
        <v>803</v>
      </c>
      <c r="J39" s="18">
        <v>47</v>
      </c>
      <c r="K39" s="18">
        <v>187</v>
      </c>
      <c r="L39" s="18">
        <v>2</v>
      </c>
      <c r="M39" s="18">
        <v>606</v>
      </c>
      <c r="N39" s="18">
        <v>929</v>
      </c>
      <c r="O39" s="30">
        <v>1311</v>
      </c>
      <c r="P39" s="30">
        <v>7464</v>
      </c>
    </row>
    <row r="40" spans="5:16" x14ac:dyDescent="0.2">
      <c r="E40" s="51"/>
      <c r="F40" t="s">
        <v>497</v>
      </c>
      <c r="G40" s="30">
        <v>3811</v>
      </c>
      <c r="H40" s="30">
        <v>2948</v>
      </c>
      <c r="I40" s="18">
        <v>186</v>
      </c>
      <c r="J40" s="18">
        <v>3</v>
      </c>
      <c r="K40" s="18">
        <v>193</v>
      </c>
      <c r="L40" s="18">
        <v>0</v>
      </c>
      <c r="M40" s="18">
        <v>183</v>
      </c>
      <c r="N40" s="18">
        <v>298</v>
      </c>
      <c r="O40" s="18">
        <v>466</v>
      </c>
      <c r="P40" s="30">
        <v>3345</v>
      </c>
    </row>
    <row r="41" spans="5:16" x14ac:dyDescent="0.2">
      <c r="E41" s="51"/>
      <c r="F41" t="s">
        <v>502</v>
      </c>
      <c r="G41" s="18">
        <v>645</v>
      </c>
      <c r="H41" s="18">
        <v>535</v>
      </c>
      <c r="I41" s="18">
        <v>7</v>
      </c>
      <c r="J41" s="18">
        <v>0</v>
      </c>
      <c r="K41" s="18">
        <v>47</v>
      </c>
      <c r="L41" s="18">
        <v>0</v>
      </c>
      <c r="M41" s="18">
        <v>6</v>
      </c>
      <c r="N41" s="18">
        <v>50</v>
      </c>
      <c r="O41" s="18">
        <v>41</v>
      </c>
      <c r="P41" s="18">
        <v>604</v>
      </c>
    </row>
    <row r="42" spans="5:16" x14ac:dyDescent="0.2">
      <c r="E42" s="51"/>
      <c r="F42" t="s">
        <v>503</v>
      </c>
      <c r="G42" s="30">
        <v>30486</v>
      </c>
      <c r="H42" s="30">
        <v>14858</v>
      </c>
      <c r="I42" s="30">
        <v>6244</v>
      </c>
      <c r="J42" s="18">
        <v>250</v>
      </c>
      <c r="K42" s="30">
        <v>1320</v>
      </c>
      <c r="L42" s="18">
        <v>16</v>
      </c>
      <c r="M42" s="30">
        <v>4025</v>
      </c>
      <c r="N42" s="30">
        <v>3773</v>
      </c>
      <c r="O42" s="30">
        <v>8492</v>
      </c>
      <c r="P42" s="30">
        <v>21994</v>
      </c>
    </row>
    <row r="43" spans="5:16" x14ac:dyDescent="0.2">
      <c r="E43" s="51"/>
      <c r="F43" t="s">
        <v>504</v>
      </c>
      <c r="G43" s="30">
        <v>32027</v>
      </c>
      <c r="H43" s="30">
        <v>25384</v>
      </c>
      <c r="I43" s="30">
        <v>1377</v>
      </c>
      <c r="J43" s="18">
        <v>141</v>
      </c>
      <c r="K43" s="18">
        <v>643</v>
      </c>
      <c r="L43" s="18">
        <v>7</v>
      </c>
      <c r="M43" s="30">
        <v>1643</v>
      </c>
      <c r="N43" s="30">
        <v>2832</v>
      </c>
      <c r="O43" s="30">
        <v>4429</v>
      </c>
      <c r="P43" s="30">
        <v>27598</v>
      </c>
    </row>
    <row r="44" spans="5:16" x14ac:dyDescent="0.2">
      <c r="E44" s="51"/>
      <c r="F44" t="s">
        <v>505</v>
      </c>
      <c r="G44" s="30">
        <v>2888</v>
      </c>
      <c r="H44" s="30">
        <v>2116</v>
      </c>
      <c r="I44" s="18">
        <v>236</v>
      </c>
      <c r="J44" s="18">
        <v>18</v>
      </c>
      <c r="K44" s="18">
        <v>71</v>
      </c>
      <c r="L44" s="18">
        <v>0</v>
      </c>
      <c r="M44" s="18">
        <v>166</v>
      </c>
      <c r="N44" s="18">
        <v>281</v>
      </c>
      <c r="O44" s="18">
        <v>510</v>
      </c>
      <c r="P44" s="30">
        <v>2378</v>
      </c>
    </row>
    <row r="45" spans="5:16" x14ac:dyDescent="0.2">
      <c r="E45" s="51"/>
      <c r="F45" t="s">
        <v>506</v>
      </c>
      <c r="G45" s="30">
        <v>2994</v>
      </c>
      <c r="H45" s="30">
        <v>2452</v>
      </c>
      <c r="I45" s="18">
        <v>50</v>
      </c>
      <c r="J45" s="18">
        <v>11</v>
      </c>
      <c r="K45" s="18">
        <v>41</v>
      </c>
      <c r="L45" s="18">
        <v>4</v>
      </c>
      <c r="M45" s="18">
        <v>130</v>
      </c>
      <c r="N45" s="18">
        <v>306</v>
      </c>
      <c r="O45" s="18">
        <v>413</v>
      </c>
      <c r="P45" s="30">
        <v>2581</v>
      </c>
    </row>
    <row r="46" spans="5:16" x14ac:dyDescent="0.2">
      <c r="E46" s="51"/>
      <c r="F46" t="s">
        <v>507</v>
      </c>
      <c r="G46" s="30">
        <v>6652</v>
      </c>
      <c r="H46" s="30">
        <v>5568</v>
      </c>
      <c r="I46" s="18">
        <v>182</v>
      </c>
      <c r="J46" s="18">
        <v>36</v>
      </c>
      <c r="K46" s="18">
        <v>94</v>
      </c>
      <c r="L46" s="18">
        <v>0</v>
      </c>
      <c r="M46" s="18">
        <v>247</v>
      </c>
      <c r="N46" s="18">
        <v>525</v>
      </c>
      <c r="O46" s="18">
        <v>826</v>
      </c>
      <c r="P46" s="30">
        <v>5826</v>
      </c>
    </row>
    <row r="47" spans="5:16" x14ac:dyDescent="0.2">
      <c r="E47" s="51"/>
      <c r="F47" t="s">
        <v>508</v>
      </c>
      <c r="G47" s="30">
        <v>7534</v>
      </c>
      <c r="H47" s="30">
        <v>5546</v>
      </c>
      <c r="I47" s="18">
        <v>498</v>
      </c>
      <c r="J47" s="18">
        <v>22</v>
      </c>
      <c r="K47" s="18">
        <v>194</v>
      </c>
      <c r="L47" s="18">
        <v>0</v>
      </c>
      <c r="M47" s="18">
        <v>567</v>
      </c>
      <c r="N47" s="18">
        <v>707</v>
      </c>
      <c r="O47" s="30">
        <v>1335</v>
      </c>
      <c r="P47" s="30">
        <v>6199</v>
      </c>
    </row>
    <row r="48" spans="5:16" x14ac:dyDescent="0.2">
      <c r="E48" s="51"/>
      <c r="F48" t="s">
        <v>509</v>
      </c>
      <c r="G48" s="30">
        <v>12197</v>
      </c>
      <c r="H48" s="30">
        <v>7446</v>
      </c>
      <c r="I48" s="30">
        <v>1121</v>
      </c>
      <c r="J48" s="18">
        <v>93</v>
      </c>
      <c r="K48" s="18">
        <v>827</v>
      </c>
      <c r="L48" s="18">
        <v>18</v>
      </c>
      <c r="M48" s="30">
        <v>1487</v>
      </c>
      <c r="N48" s="30">
        <v>1205</v>
      </c>
      <c r="O48" s="30">
        <v>2657</v>
      </c>
      <c r="P48" s="30">
        <v>9540</v>
      </c>
    </row>
    <row r="49" spans="5:16" x14ac:dyDescent="0.2">
      <c r="E49" s="51"/>
      <c r="F49" t="s">
        <v>510</v>
      </c>
      <c r="G49" s="30">
        <v>11526</v>
      </c>
      <c r="H49" s="30">
        <v>7226</v>
      </c>
      <c r="I49" s="18">
        <v>942</v>
      </c>
      <c r="J49" s="18">
        <v>92</v>
      </c>
      <c r="K49" s="18">
        <v>720</v>
      </c>
      <c r="L49" s="18">
        <v>15</v>
      </c>
      <c r="M49" s="30">
        <v>1389</v>
      </c>
      <c r="N49" s="30">
        <v>1142</v>
      </c>
      <c r="O49" s="30">
        <v>2458</v>
      </c>
      <c r="P49" s="30">
        <v>9068</v>
      </c>
    </row>
    <row r="50" spans="5:16" x14ac:dyDescent="0.2">
      <c r="E50" s="51"/>
    </row>
    <row r="51" spans="5:16" x14ac:dyDescent="0.2">
      <c r="E51" s="51"/>
    </row>
    <row r="52" spans="5:16" x14ac:dyDescent="0.2">
      <c r="E52" s="51"/>
    </row>
    <row r="53" spans="5:16" x14ac:dyDescent="0.2">
      <c r="E53" s="51"/>
    </row>
    <row r="54" spans="5:16" x14ac:dyDescent="0.2">
      <c r="E54" s="51"/>
    </row>
    <row r="55" spans="5:16" x14ac:dyDescent="0.2">
      <c r="E55" s="51"/>
    </row>
    <row r="56" spans="5:16" x14ac:dyDescent="0.2">
      <c r="E56" s="51"/>
    </row>
    <row r="57" spans="5:16" x14ac:dyDescent="0.2">
      <c r="E57" s="51"/>
    </row>
  </sheetData>
  <mergeCells count="7">
    <mergeCell ref="B1:O1"/>
    <mergeCell ref="A5:B5"/>
    <mergeCell ref="E5:E57"/>
    <mergeCell ref="A9:B9"/>
    <mergeCell ref="A18:B18"/>
    <mergeCell ref="A27:B27"/>
    <mergeCell ref="A21:B21"/>
  </mergeCells>
  <dataValidations count="4">
    <dataValidation type="list" allowBlank="1" showInputMessage="1" showErrorMessage="1" sqref="Q4" xr:uid="{CDCD4E5F-B963-480F-9B6D-D203A3801070}">
      <formula1>"integer, number, percent1"</formula1>
    </dataValidation>
    <dataValidation type="list" allowBlank="1" showInputMessage="1" showErrorMessage="1" sqref="B10" xr:uid="{AC119E33-1ACB-46D6-A5BE-04E7E20C983D}">
      <formula1>"Line,Clustered Bar,Stacked Bar,Bar,Horizontal Stacked Bar"</formula1>
    </dataValidation>
    <dataValidation type="list" allowBlank="1" showInputMessage="1" showErrorMessage="1" sqref="B2" xr:uid="{E5F1D177-4A18-46DA-8F9B-604014DA247E}">
      <formula1>"Table,Figure,Both"</formula1>
    </dataValidation>
    <dataValidation type="list" allowBlank="1" showInputMessage="1" showErrorMessage="1" sqref="B6 B15:B16" xr:uid="{C766EA16-CDD3-4795-8EB3-CF8CC957CC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089616-478B-4396-85A7-64D9AF2E4789}">
          <x14:formula1>
            <xm:f>Dropdowns!$A$1:$A$8</xm:f>
          </x14:formula1>
          <xm:sqref>F4:P4</xm:sqref>
        </x14:dataValidation>
        <x14:dataValidation type="list" allowBlank="1" showInputMessage="1" showErrorMessage="1" xr:uid="{C2B398BA-FBA3-406D-85B7-7574AFEE6E51}">
          <x14:formula1>
            <xm:f>Master!$F$2:$F$401</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8DED6-59AD-41B5-9941-455097865AE4}">
  <dimension ref="A1:V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7" t="s">
        <v>252</v>
      </c>
      <c r="B1" s="48" t="s">
        <v>290</v>
      </c>
      <c r="C1" s="49"/>
      <c r="D1" s="49"/>
      <c r="E1" s="49"/>
      <c r="F1" s="49"/>
      <c r="G1" s="49"/>
      <c r="H1" s="49"/>
      <c r="I1" s="49"/>
      <c r="J1" s="49"/>
      <c r="K1" s="49"/>
      <c r="L1" s="49"/>
      <c r="M1" s="49"/>
      <c r="N1" s="49"/>
      <c r="O1" s="49"/>
    </row>
    <row r="2" spans="1:22" x14ac:dyDescent="0.2">
      <c r="A2" s="17" t="s">
        <v>253</v>
      </c>
      <c r="B2" t="s">
        <v>273</v>
      </c>
    </row>
    <row r="3" spans="1:22" x14ac:dyDescent="0.2">
      <c r="A3" s="17" t="s">
        <v>254</v>
      </c>
      <c r="B3" t="str">
        <f>IF($B$1="","",_xlfn.XLOOKUP($B$1,Master!$E$2:$E$320,Master!$F$2:$F$320,""))</f>
        <v>tbl-employed-civilians-industry</v>
      </c>
    </row>
    <row r="4" spans="1:22" x14ac:dyDescent="0.2">
      <c r="A4" s="17" t="s">
        <v>5</v>
      </c>
      <c r="B4" t="str">
        <f>IF($B$1="","",_xlfn.XLOOKUP($B$1,Master!$E$2:$E$320,Master!$G$2:$G$320,""))</f>
        <v>fig-employed-civilians-industry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c r="S4" s="10" t="s">
        <v>149</v>
      </c>
      <c r="T4" s="10" t="s">
        <v>149</v>
      </c>
    </row>
    <row r="5" spans="1:22" x14ac:dyDescent="0.2">
      <c r="A5" s="50" t="s">
        <v>255</v>
      </c>
      <c r="B5" s="51"/>
      <c r="E5" s="52" t="s">
        <v>256</v>
      </c>
      <c r="F5" s="57" t="s">
        <v>394</v>
      </c>
      <c r="G5" s="57" t="s">
        <v>1233</v>
      </c>
      <c r="H5" s="53" t="s">
        <v>1247</v>
      </c>
      <c r="I5" s="53"/>
      <c r="J5" s="53"/>
      <c r="K5" s="53"/>
      <c r="L5" s="53"/>
      <c r="M5" s="53"/>
      <c r="N5" s="53"/>
      <c r="O5" s="53"/>
      <c r="P5" s="53"/>
      <c r="Q5" s="53"/>
      <c r="R5" s="53"/>
      <c r="S5" s="53"/>
      <c r="T5" s="53"/>
      <c r="U5" s="53"/>
      <c r="V5" s="53"/>
    </row>
    <row r="6" spans="1:22" ht="15" customHeight="1" x14ac:dyDescent="0.2">
      <c r="A6" t="s">
        <v>259</v>
      </c>
      <c r="B6" t="b">
        <v>1</v>
      </c>
      <c r="E6" s="51"/>
      <c r="F6" s="57"/>
      <c r="G6" s="57"/>
      <c r="H6" s="37" t="s">
        <v>1234</v>
      </c>
      <c r="I6" s="37" t="s">
        <v>1235</v>
      </c>
      <c r="J6" s="37" t="s">
        <v>1236</v>
      </c>
      <c r="K6" s="37" t="s">
        <v>1237</v>
      </c>
      <c r="L6" s="37" t="s">
        <v>1238</v>
      </c>
      <c r="M6" s="37" t="s">
        <v>1239</v>
      </c>
      <c r="N6" s="37" t="s">
        <v>1240</v>
      </c>
      <c r="O6" s="37" t="s">
        <v>1241</v>
      </c>
      <c r="P6" s="37" t="s">
        <v>1242</v>
      </c>
      <c r="Q6" s="37" t="s">
        <v>1243</v>
      </c>
      <c r="R6" s="37" t="s">
        <v>1244</v>
      </c>
      <c r="S6" s="37" t="s">
        <v>1246</v>
      </c>
      <c r="T6" s="37" t="s">
        <v>1245</v>
      </c>
      <c r="V6" s="16"/>
    </row>
    <row r="7" spans="1:22" ht="15.75" customHeight="1" x14ac:dyDescent="0.2">
      <c r="E7" s="51"/>
      <c r="F7" t="s">
        <v>396</v>
      </c>
      <c r="G7" s="24">
        <v>184167</v>
      </c>
      <c r="H7" s="24">
        <v>1278</v>
      </c>
      <c r="I7" s="24">
        <v>13492</v>
      </c>
      <c r="J7" s="24">
        <v>11754</v>
      </c>
      <c r="K7" s="24">
        <v>5470</v>
      </c>
      <c r="L7" s="24">
        <v>23207</v>
      </c>
      <c r="M7" s="24">
        <v>12393</v>
      </c>
      <c r="N7" s="24">
        <v>4268</v>
      </c>
      <c r="O7" s="24">
        <v>10817</v>
      </c>
      <c r="P7" s="24">
        <v>18700</v>
      </c>
      <c r="Q7" s="24">
        <v>50693</v>
      </c>
      <c r="R7" s="24">
        <v>12127</v>
      </c>
      <c r="S7" s="24">
        <v>10996</v>
      </c>
      <c r="T7" s="24">
        <v>8972</v>
      </c>
      <c r="U7" s="16"/>
      <c r="V7" s="16"/>
    </row>
    <row r="8" spans="1:22" x14ac:dyDescent="0.2">
      <c r="E8" s="51"/>
      <c r="F8" t="s">
        <v>397</v>
      </c>
      <c r="G8" s="24">
        <v>8167</v>
      </c>
      <c r="H8" s="16">
        <v>85</v>
      </c>
      <c r="I8" s="16">
        <v>766</v>
      </c>
      <c r="J8" s="16">
        <v>369</v>
      </c>
      <c r="K8" s="16">
        <v>263</v>
      </c>
      <c r="L8" s="16">
        <v>891</v>
      </c>
      <c r="M8" s="16">
        <v>375</v>
      </c>
      <c r="N8" s="16">
        <v>255</v>
      </c>
      <c r="O8" s="16">
        <v>633</v>
      </c>
      <c r="P8" s="16">
        <v>692</v>
      </c>
      <c r="Q8" s="24">
        <v>2359</v>
      </c>
      <c r="R8" s="16">
        <v>628</v>
      </c>
      <c r="S8" s="16">
        <v>495</v>
      </c>
      <c r="T8" s="16">
        <v>356</v>
      </c>
      <c r="U8" s="16"/>
      <c r="V8" s="16"/>
    </row>
    <row r="9" spans="1:22" x14ac:dyDescent="0.2">
      <c r="A9" s="50" t="s">
        <v>260</v>
      </c>
      <c r="B9" s="51"/>
      <c r="E9" s="51"/>
      <c r="F9" t="s">
        <v>398</v>
      </c>
      <c r="G9" s="24">
        <v>1268</v>
      </c>
      <c r="H9" s="16">
        <v>0</v>
      </c>
      <c r="I9" s="16">
        <v>103</v>
      </c>
      <c r="J9" s="16">
        <v>102</v>
      </c>
      <c r="K9" s="16">
        <v>49</v>
      </c>
      <c r="L9" s="16">
        <v>169</v>
      </c>
      <c r="M9" s="16">
        <v>55</v>
      </c>
      <c r="N9" s="16">
        <v>29</v>
      </c>
      <c r="O9" s="16">
        <v>99</v>
      </c>
      <c r="P9" s="16">
        <v>71</v>
      </c>
      <c r="Q9" s="16">
        <v>355</v>
      </c>
      <c r="R9" s="16">
        <v>132</v>
      </c>
      <c r="S9" s="16">
        <v>5</v>
      </c>
      <c r="T9" s="16">
        <v>99</v>
      </c>
      <c r="U9" s="16"/>
      <c r="V9" s="16"/>
    </row>
    <row r="10" spans="1:22" x14ac:dyDescent="0.2">
      <c r="A10" t="s">
        <v>261</v>
      </c>
      <c r="E10" s="51"/>
      <c r="F10" t="s">
        <v>399</v>
      </c>
      <c r="G10" s="24">
        <v>2827</v>
      </c>
      <c r="H10" s="16">
        <v>0</v>
      </c>
      <c r="I10" s="16">
        <v>120</v>
      </c>
      <c r="J10" s="16">
        <v>103</v>
      </c>
      <c r="K10" s="16">
        <v>187</v>
      </c>
      <c r="L10" s="16">
        <v>251</v>
      </c>
      <c r="M10" s="16">
        <v>89</v>
      </c>
      <c r="N10" s="16">
        <v>155</v>
      </c>
      <c r="O10" s="16">
        <v>288</v>
      </c>
      <c r="P10" s="16">
        <v>203</v>
      </c>
      <c r="Q10" s="16">
        <v>800</v>
      </c>
      <c r="R10" s="16">
        <v>169</v>
      </c>
      <c r="S10" s="16">
        <v>298</v>
      </c>
      <c r="T10" s="16">
        <v>164</v>
      </c>
      <c r="U10" s="16"/>
      <c r="V10" s="16"/>
    </row>
    <row r="11" spans="1:22" x14ac:dyDescent="0.2">
      <c r="A11" t="s">
        <v>262</v>
      </c>
      <c r="E11" s="51"/>
      <c r="F11" t="s">
        <v>400</v>
      </c>
      <c r="G11" s="24">
        <v>6888</v>
      </c>
      <c r="H11" s="16">
        <v>25</v>
      </c>
      <c r="I11" s="16">
        <v>346</v>
      </c>
      <c r="J11" s="18">
        <v>488</v>
      </c>
      <c r="K11" s="18">
        <v>283</v>
      </c>
      <c r="L11" s="30">
        <v>1099</v>
      </c>
      <c r="M11" s="18">
        <v>648</v>
      </c>
      <c r="N11" s="18">
        <v>244</v>
      </c>
      <c r="O11" s="16">
        <v>416</v>
      </c>
      <c r="P11" s="16">
        <v>790</v>
      </c>
      <c r="Q11" s="24">
        <v>1327</v>
      </c>
      <c r="R11" s="16">
        <v>533</v>
      </c>
      <c r="S11" s="16">
        <v>447</v>
      </c>
      <c r="T11" s="16">
        <v>242</v>
      </c>
      <c r="U11" s="16"/>
      <c r="V11" s="16"/>
    </row>
    <row r="12" spans="1:22" x14ac:dyDescent="0.2">
      <c r="A12" t="s">
        <v>263</v>
      </c>
      <c r="E12" s="51"/>
      <c r="F12" s="22" t="s">
        <v>401</v>
      </c>
      <c r="G12" s="30">
        <v>2488</v>
      </c>
      <c r="H12" s="18">
        <v>0</v>
      </c>
      <c r="I12" s="16">
        <v>89</v>
      </c>
      <c r="J12" s="16">
        <v>111</v>
      </c>
      <c r="K12" s="16">
        <v>96</v>
      </c>
      <c r="L12" s="16">
        <v>633</v>
      </c>
      <c r="M12" s="16">
        <v>263</v>
      </c>
      <c r="N12" s="16">
        <v>77</v>
      </c>
      <c r="O12" s="16">
        <v>175</v>
      </c>
      <c r="P12" s="16">
        <v>108</v>
      </c>
      <c r="Q12" s="16">
        <v>423</v>
      </c>
      <c r="R12" s="16">
        <v>260</v>
      </c>
      <c r="S12" s="16">
        <v>141</v>
      </c>
      <c r="T12" s="16">
        <v>112</v>
      </c>
      <c r="U12" s="16"/>
      <c r="V12" s="16"/>
    </row>
    <row r="13" spans="1:22" x14ac:dyDescent="0.2">
      <c r="A13" t="s">
        <v>264</v>
      </c>
      <c r="E13" s="51"/>
      <c r="F13" t="s">
        <v>404</v>
      </c>
      <c r="G13" s="24">
        <v>6425</v>
      </c>
      <c r="H13" s="16">
        <v>12</v>
      </c>
      <c r="I13" s="16">
        <v>357</v>
      </c>
      <c r="J13" s="16">
        <v>452</v>
      </c>
      <c r="K13" s="16">
        <v>155</v>
      </c>
      <c r="L13" s="16">
        <v>593</v>
      </c>
      <c r="M13" s="16">
        <v>207</v>
      </c>
      <c r="N13" s="16">
        <v>171</v>
      </c>
      <c r="O13" s="16">
        <v>406</v>
      </c>
      <c r="P13" s="16">
        <v>799</v>
      </c>
      <c r="Q13" s="24">
        <v>2023</v>
      </c>
      <c r="R13" s="16">
        <v>342</v>
      </c>
      <c r="S13" s="16">
        <v>725</v>
      </c>
      <c r="T13" s="16">
        <v>183</v>
      </c>
      <c r="U13" s="16"/>
      <c r="V13" s="16"/>
    </row>
    <row r="14" spans="1:22" x14ac:dyDescent="0.2">
      <c r="A14" t="s">
        <v>265</v>
      </c>
      <c r="E14" s="51"/>
      <c r="F14" t="s">
        <v>407</v>
      </c>
      <c r="G14" s="24">
        <v>1656</v>
      </c>
      <c r="H14" s="16">
        <v>0</v>
      </c>
      <c r="I14" s="16">
        <v>63</v>
      </c>
      <c r="J14" s="16">
        <v>156</v>
      </c>
      <c r="K14" s="16">
        <v>10</v>
      </c>
      <c r="L14" s="16">
        <v>189</v>
      </c>
      <c r="M14" s="16">
        <v>87</v>
      </c>
      <c r="N14" s="16">
        <v>30</v>
      </c>
      <c r="O14" s="16">
        <v>120</v>
      </c>
      <c r="P14" s="16">
        <v>148</v>
      </c>
      <c r="Q14" s="16">
        <v>534</v>
      </c>
      <c r="R14" s="16">
        <v>74</v>
      </c>
      <c r="S14" s="16">
        <v>202</v>
      </c>
      <c r="T14" s="16">
        <v>43</v>
      </c>
      <c r="U14" s="16"/>
      <c r="V14" s="16"/>
    </row>
    <row r="15" spans="1:22" x14ac:dyDescent="0.2">
      <c r="A15" t="s">
        <v>267</v>
      </c>
      <c r="E15" s="51"/>
      <c r="F15" t="s">
        <v>408</v>
      </c>
      <c r="G15" s="24">
        <v>5000</v>
      </c>
      <c r="H15" s="16">
        <v>58</v>
      </c>
      <c r="I15" s="16">
        <v>426</v>
      </c>
      <c r="J15" s="16">
        <v>162</v>
      </c>
      <c r="K15" s="16">
        <v>180</v>
      </c>
      <c r="L15" s="16">
        <v>580</v>
      </c>
      <c r="M15" s="16">
        <v>230</v>
      </c>
      <c r="N15" s="16">
        <v>149</v>
      </c>
      <c r="O15" s="16">
        <v>293</v>
      </c>
      <c r="P15" s="16">
        <v>516</v>
      </c>
      <c r="Q15" s="24">
        <v>1632</v>
      </c>
      <c r="R15" s="16">
        <v>255</v>
      </c>
      <c r="S15" s="16">
        <v>315</v>
      </c>
      <c r="T15" s="16">
        <v>204</v>
      </c>
      <c r="U15" s="16"/>
      <c r="V15" s="16"/>
    </row>
    <row r="16" spans="1:22" x14ac:dyDescent="0.2">
      <c r="A16" t="s">
        <v>274</v>
      </c>
      <c r="E16" s="51"/>
      <c r="F16" t="s">
        <v>409</v>
      </c>
      <c r="G16" s="24">
        <v>3207</v>
      </c>
      <c r="H16" s="16">
        <v>76</v>
      </c>
      <c r="I16" s="16">
        <v>232</v>
      </c>
      <c r="J16" s="16">
        <v>250</v>
      </c>
      <c r="K16" s="16">
        <v>52</v>
      </c>
      <c r="L16" s="16">
        <v>463</v>
      </c>
      <c r="M16" s="16">
        <v>239</v>
      </c>
      <c r="N16" s="16">
        <v>74</v>
      </c>
      <c r="O16" s="16">
        <v>30</v>
      </c>
      <c r="P16" s="16">
        <v>309</v>
      </c>
      <c r="Q16" s="16">
        <v>810</v>
      </c>
      <c r="R16" s="16">
        <v>163</v>
      </c>
      <c r="S16" s="16">
        <v>192</v>
      </c>
      <c r="T16" s="16">
        <v>317</v>
      </c>
      <c r="U16" s="16"/>
      <c r="V16" s="16"/>
    </row>
    <row r="17" spans="1:22" x14ac:dyDescent="0.2">
      <c r="E17" s="51"/>
      <c r="F17" t="s">
        <v>410</v>
      </c>
      <c r="G17" s="24">
        <v>6373</v>
      </c>
      <c r="H17" s="16">
        <v>52</v>
      </c>
      <c r="I17" s="16">
        <v>372</v>
      </c>
      <c r="J17" s="16">
        <v>590</v>
      </c>
      <c r="K17" s="16">
        <v>214</v>
      </c>
      <c r="L17" s="16">
        <v>863</v>
      </c>
      <c r="M17" s="16">
        <v>270</v>
      </c>
      <c r="N17" s="16">
        <v>80</v>
      </c>
      <c r="O17" s="16">
        <v>328</v>
      </c>
      <c r="P17" s="16">
        <v>744</v>
      </c>
      <c r="Q17" s="24">
        <v>1875</v>
      </c>
      <c r="R17" s="16">
        <v>318</v>
      </c>
      <c r="S17" s="16">
        <v>439</v>
      </c>
      <c r="T17" s="16">
        <v>228</v>
      </c>
      <c r="U17" s="16"/>
      <c r="V17" s="16"/>
    </row>
    <row r="18" spans="1:22" x14ac:dyDescent="0.2">
      <c r="A18" s="50" t="s">
        <v>268</v>
      </c>
      <c r="B18" s="51"/>
      <c r="E18" s="51"/>
      <c r="F18" t="s">
        <v>411</v>
      </c>
      <c r="G18" s="24">
        <v>2703</v>
      </c>
      <c r="H18" s="16">
        <v>0</v>
      </c>
      <c r="I18" s="16">
        <v>175</v>
      </c>
      <c r="J18" s="16">
        <v>103</v>
      </c>
      <c r="K18" s="16">
        <v>61</v>
      </c>
      <c r="L18" s="16">
        <v>349</v>
      </c>
      <c r="M18" s="16">
        <v>127</v>
      </c>
      <c r="N18" s="16">
        <v>29</v>
      </c>
      <c r="O18" s="16">
        <v>178</v>
      </c>
      <c r="P18" s="16">
        <v>335</v>
      </c>
      <c r="Q18" s="16">
        <v>796</v>
      </c>
      <c r="R18" s="16">
        <v>232</v>
      </c>
      <c r="S18" s="16">
        <v>238</v>
      </c>
      <c r="T18" s="16">
        <v>80</v>
      </c>
      <c r="U18" s="16"/>
      <c r="V18" s="16"/>
    </row>
    <row r="19" spans="1:22" x14ac:dyDescent="0.2">
      <c r="A19" t="s">
        <v>1250</v>
      </c>
      <c r="B19" t="s">
        <v>1252</v>
      </c>
      <c r="E19" s="51"/>
      <c r="F19" t="s">
        <v>412</v>
      </c>
      <c r="G19" s="24">
        <v>2563</v>
      </c>
      <c r="H19" s="16">
        <v>55</v>
      </c>
      <c r="I19" s="16">
        <v>206</v>
      </c>
      <c r="J19" s="16">
        <v>113</v>
      </c>
      <c r="K19" s="16">
        <v>36</v>
      </c>
      <c r="L19" s="16">
        <v>262</v>
      </c>
      <c r="M19" s="16">
        <v>250</v>
      </c>
      <c r="N19" s="16">
        <v>63</v>
      </c>
      <c r="O19" s="16">
        <v>115</v>
      </c>
      <c r="P19" s="16">
        <v>155</v>
      </c>
      <c r="Q19" s="16">
        <v>774</v>
      </c>
      <c r="R19" s="16">
        <v>49</v>
      </c>
      <c r="S19" s="16">
        <v>304</v>
      </c>
      <c r="T19" s="16">
        <v>181</v>
      </c>
      <c r="U19" s="16"/>
      <c r="V19" s="16"/>
    </row>
    <row r="20" spans="1:22" x14ac:dyDescent="0.2">
      <c r="E20" s="51"/>
      <c r="F20" s="16" t="s">
        <v>413</v>
      </c>
      <c r="G20" s="24">
        <v>2495</v>
      </c>
      <c r="H20" s="16">
        <v>9</v>
      </c>
      <c r="I20" s="16">
        <v>368</v>
      </c>
      <c r="J20" s="16">
        <v>74</v>
      </c>
      <c r="K20" s="16">
        <v>112</v>
      </c>
      <c r="L20" s="16">
        <v>249</v>
      </c>
      <c r="M20" s="16">
        <v>110</v>
      </c>
      <c r="N20" s="16">
        <v>55</v>
      </c>
      <c r="O20" s="16">
        <v>113</v>
      </c>
      <c r="P20" s="16">
        <v>355</v>
      </c>
      <c r="Q20" s="16">
        <v>598</v>
      </c>
      <c r="R20" s="16">
        <v>161</v>
      </c>
      <c r="S20" s="16">
        <v>52</v>
      </c>
      <c r="T20" s="16">
        <v>239</v>
      </c>
      <c r="U20" s="16"/>
      <c r="V20" s="16"/>
    </row>
    <row r="21" spans="1:22" x14ac:dyDescent="0.2">
      <c r="A21" s="53" t="s">
        <v>269</v>
      </c>
      <c r="B21" s="51"/>
      <c r="E21" s="51"/>
      <c r="F21" s="16" t="s">
        <v>414</v>
      </c>
      <c r="G21" s="24">
        <v>4373</v>
      </c>
      <c r="H21" s="16">
        <v>7</v>
      </c>
      <c r="I21" s="16">
        <v>234</v>
      </c>
      <c r="J21" s="16">
        <v>202</v>
      </c>
      <c r="K21" s="16">
        <v>14</v>
      </c>
      <c r="L21" s="16">
        <v>257</v>
      </c>
      <c r="M21" s="16">
        <v>568</v>
      </c>
      <c r="N21" s="16">
        <v>82</v>
      </c>
      <c r="O21" s="16">
        <v>61</v>
      </c>
      <c r="P21" s="16">
        <v>632</v>
      </c>
      <c r="Q21" s="24">
        <v>1291</v>
      </c>
      <c r="R21" s="16">
        <v>423</v>
      </c>
      <c r="S21" s="16">
        <v>420</v>
      </c>
      <c r="T21" s="16">
        <v>182</v>
      </c>
      <c r="U21" s="16"/>
      <c r="V21" s="16"/>
    </row>
    <row r="22" spans="1:22" x14ac:dyDescent="0.2">
      <c r="A22" t="s">
        <v>1249</v>
      </c>
      <c r="B22" t="s">
        <v>1251</v>
      </c>
      <c r="E22" s="51"/>
      <c r="F22" s="16" t="s">
        <v>423</v>
      </c>
      <c r="G22" s="24">
        <v>1770</v>
      </c>
      <c r="H22" s="16">
        <v>0</v>
      </c>
      <c r="I22" s="16">
        <v>109</v>
      </c>
      <c r="J22" s="16">
        <v>85</v>
      </c>
      <c r="K22" s="16">
        <v>14</v>
      </c>
      <c r="L22" s="16">
        <v>100</v>
      </c>
      <c r="M22" s="16">
        <v>135</v>
      </c>
      <c r="N22" s="16">
        <v>7</v>
      </c>
      <c r="O22" s="16">
        <v>15</v>
      </c>
      <c r="P22" s="16">
        <v>312</v>
      </c>
      <c r="Q22" s="16">
        <v>539</v>
      </c>
      <c r="R22" s="16">
        <v>207</v>
      </c>
      <c r="S22" s="16">
        <v>183</v>
      </c>
      <c r="T22" s="16">
        <v>64</v>
      </c>
      <c r="U22" s="16"/>
      <c r="V22" s="16"/>
    </row>
    <row r="23" spans="1:22" x14ac:dyDescent="0.2">
      <c r="E23" s="51"/>
      <c r="F23" s="16" t="s">
        <v>432</v>
      </c>
      <c r="G23" s="24">
        <v>13664</v>
      </c>
      <c r="H23" s="16">
        <v>139</v>
      </c>
      <c r="I23" s="24">
        <v>1041</v>
      </c>
      <c r="J23" s="16">
        <v>834</v>
      </c>
      <c r="K23" s="16">
        <v>214</v>
      </c>
      <c r="L23" s="24">
        <v>1951</v>
      </c>
      <c r="M23" s="24">
        <v>1113</v>
      </c>
      <c r="N23" s="16">
        <v>308</v>
      </c>
      <c r="O23" s="16">
        <v>679</v>
      </c>
      <c r="P23" s="24">
        <v>1311</v>
      </c>
      <c r="Q23" s="24">
        <v>3597</v>
      </c>
      <c r="R23" s="24">
        <v>1028</v>
      </c>
      <c r="S23" s="16">
        <v>601</v>
      </c>
      <c r="T23" s="16">
        <v>848</v>
      </c>
      <c r="U23" s="16"/>
      <c r="V23" s="16"/>
    </row>
    <row r="24" spans="1:22" x14ac:dyDescent="0.2">
      <c r="E24" s="51"/>
      <c r="F24" t="s">
        <v>436</v>
      </c>
      <c r="G24" s="24">
        <v>2456</v>
      </c>
      <c r="H24" s="16">
        <v>26</v>
      </c>
      <c r="I24" s="16">
        <v>101</v>
      </c>
      <c r="J24" s="16">
        <v>79</v>
      </c>
      <c r="K24" s="16">
        <v>71</v>
      </c>
      <c r="L24" s="16">
        <v>189</v>
      </c>
      <c r="M24" s="16">
        <v>270</v>
      </c>
      <c r="N24" s="16">
        <v>41</v>
      </c>
      <c r="O24" s="16">
        <v>134</v>
      </c>
      <c r="P24" s="16">
        <v>305</v>
      </c>
      <c r="Q24" s="16">
        <v>837</v>
      </c>
      <c r="R24" s="16">
        <v>127</v>
      </c>
      <c r="S24" s="16">
        <v>132</v>
      </c>
      <c r="T24" s="16">
        <v>144</v>
      </c>
      <c r="U24" s="16"/>
      <c r="V24" s="16"/>
    </row>
    <row r="25" spans="1:22" x14ac:dyDescent="0.2">
      <c r="E25" s="51"/>
      <c r="F25" s="16" t="s">
        <v>440</v>
      </c>
      <c r="G25" s="16">
        <v>368</v>
      </c>
      <c r="H25" s="16">
        <v>0</v>
      </c>
      <c r="I25" s="16">
        <v>19</v>
      </c>
      <c r="J25" s="16">
        <v>0</v>
      </c>
      <c r="K25" s="16">
        <v>0</v>
      </c>
      <c r="L25" s="16">
        <v>43</v>
      </c>
      <c r="M25" s="16">
        <v>83</v>
      </c>
      <c r="N25" s="16">
        <v>0</v>
      </c>
      <c r="O25" s="16">
        <v>35</v>
      </c>
      <c r="P25" s="16">
        <v>76</v>
      </c>
      <c r="Q25" s="16">
        <v>80</v>
      </c>
      <c r="R25" s="16">
        <v>5</v>
      </c>
      <c r="S25" s="16">
        <v>0</v>
      </c>
      <c r="T25" s="16">
        <v>27</v>
      </c>
      <c r="U25" s="16"/>
      <c r="V25" s="16"/>
    </row>
    <row r="26" spans="1:22" x14ac:dyDescent="0.2">
      <c r="E26" s="51"/>
      <c r="F26" s="16" t="s">
        <v>443</v>
      </c>
      <c r="G26" s="24">
        <v>10354</v>
      </c>
      <c r="H26" s="16">
        <v>7</v>
      </c>
      <c r="I26" s="16">
        <v>615</v>
      </c>
      <c r="J26" s="16">
        <v>554</v>
      </c>
      <c r="K26" s="16">
        <v>200</v>
      </c>
      <c r="L26" s="24">
        <v>1305</v>
      </c>
      <c r="M26" s="16">
        <v>544</v>
      </c>
      <c r="N26" s="16">
        <v>375</v>
      </c>
      <c r="O26" s="16">
        <v>715</v>
      </c>
      <c r="P26" s="24">
        <v>1187</v>
      </c>
      <c r="Q26" s="24">
        <v>2809</v>
      </c>
      <c r="R26" s="16">
        <v>643</v>
      </c>
      <c r="S26" s="16">
        <v>714</v>
      </c>
      <c r="T26" s="16">
        <v>686</v>
      </c>
      <c r="U26" s="16"/>
      <c r="V26" s="16"/>
    </row>
    <row r="27" spans="1:22" x14ac:dyDescent="0.2">
      <c r="E27" s="51"/>
      <c r="F27" s="16" t="s">
        <v>1248</v>
      </c>
      <c r="G27" s="24">
        <v>1052</v>
      </c>
      <c r="H27" s="16">
        <v>0</v>
      </c>
      <c r="I27" s="16">
        <v>82</v>
      </c>
      <c r="J27" s="16">
        <v>71</v>
      </c>
      <c r="K27" s="16">
        <v>8</v>
      </c>
      <c r="L27" s="16">
        <v>140</v>
      </c>
      <c r="M27" s="16">
        <v>38</v>
      </c>
      <c r="N27" s="16">
        <v>9</v>
      </c>
      <c r="O27" s="16">
        <v>18</v>
      </c>
      <c r="P27" s="16">
        <v>27</v>
      </c>
      <c r="Q27" s="16">
        <v>333</v>
      </c>
      <c r="R27" s="16">
        <v>73</v>
      </c>
      <c r="S27" s="16">
        <v>40</v>
      </c>
      <c r="T27" s="16">
        <v>113</v>
      </c>
      <c r="U27" s="16"/>
      <c r="V27" s="16"/>
    </row>
    <row r="28" spans="1:22" x14ac:dyDescent="0.2">
      <c r="E28" s="51"/>
      <c r="F28" s="16" t="s">
        <v>449</v>
      </c>
      <c r="G28" s="24">
        <v>4852</v>
      </c>
      <c r="H28" s="16">
        <v>7</v>
      </c>
      <c r="I28" s="16">
        <v>299</v>
      </c>
      <c r="J28" s="16">
        <v>294</v>
      </c>
      <c r="K28" s="16">
        <v>45</v>
      </c>
      <c r="L28" s="16">
        <v>606</v>
      </c>
      <c r="M28" s="16">
        <v>276</v>
      </c>
      <c r="N28" s="16">
        <v>75</v>
      </c>
      <c r="O28" s="16">
        <v>317</v>
      </c>
      <c r="P28" s="16">
        <v>526</v>
      </c>
      <c r="Q28" s="24">
        <v>1482</v>
      </c>
      <c r="R28" s="16">
        <v>440</v>
      </c>
      <c r="S28" s="16">
        <v>310</v>
      </c>
      <c r="T28" s="16">
        <v>175</v>
      </c>
      <c r="U28" s="16"/>
      <c r="V28" s="16"/>
    </row>
    <row r="29" spans="1:22" x14ac:dyDescent="0.2">
      <c r="E29" s="51"/>
      <c r="F29" s="16" t="s">
        <v>451</v>
      </c>
      <c r="G29" s="24">
        <v>11292</v>
      </c>
      <c r="H29" s="16">
        <v>127</v>
      </c>
      <c r="I29" s="16">
        <v>922</v>
      </c>
      <c r="J29" s="16">
        <v>819</v>
      </c>
      <c r="K29" s="16">
        <v>262</v>
      </c>
      <c r="L29" s="24">
        <v>1205</v>
      </c>
      <c r="M29" s="24">
        <v>1071</v>
      </c>
      <c r="N29" s="16">
        <v>214</v>
      </c>
      <c r="O29" s="16">
        <v>579</v>
      </c>
      <c r="P29" s="16">
        <v>859</v>
      </c>
      <c r="Q29" s="24">
        <v>2911</v>
      </c>
      <c r="R29" s="16">
        <v>865</v>
      </c>
      <c r="S29" s="16">
        <v>933</v>
      </c>
      <c r="T29" s="16">
        <v>525</v>
      </c>
      <c r="U29" s="16"/>
      <c r="V29" s="16"/>
    </row>
    <row r="30" spans="1:22" x14ac:dyDescent="0.2">
      <c r="E30" s="51"/>
      <c r="F30" s="16" t="s">
        <v>453</v>
      </c>
      <c r="G30" s="24">
        <v>1807</v>
      </c>
      <c r="H30" s="16">
        <v>0</v>
      </c>
      <c r="I30" s="16">
        <v>88</v>
      </c>
      <c r="J30" s="16">
        <v>126</v>
      </c>
      <c r="K30" s="16">
        <v>32</v>
      </c>
      <c r="L30" s="16">
        <v>193</v>
      </c>
      <c r="M30" s="16">
        <v>367</v>
      </c>
      <c r="N30" s="16">
        <v>13</v>
      </c>
      <c r="O30" s="16">
        <v>119</v>
      </c>
      <c r="P30" s="16">
        <v>70</v>
      </c>
      <c r="Q30" s="16">
        <v>359</v>
      </c>
      <c r="R30" s="16">
        <v>187</v>
      </c>
      <c r="S30" s="16">
        <v>168</v>
      </c>
      <c r="T30" s="16">
        <v>85</v>
      </c>
      <c r="U30" s="16"/>
      <c r="V30" s="16"/>
    </row>
    <row r="31" spans="1:22" x14ac:dyDescent="0.2">
      <c r="E31" s="51"/>
      <c r="F31" s="16" t="s">
        <v>455</v>
      </c>
      <c r="G31" s="24">
        <v>1871</v>
      </c>
      <c r="H31" s="16">
        <v>0</v>
      </c>
      <c r="I31" s="16">
        <v>155</v>
      </c>
      <c r="J31" s="16">
        <v>130</v>
      </c>
      <c r="K31" s="16">
        <v>76</v>
      </c>
      <c r="L31" s="16">
        <v>190</v>
      </c>
      <c r="M31" s="16">
        <v>101</v>
      </c>
      <c r="N31" s="16">
        <v>29</v>
      </c>
      <c r="O31" s="16">
        <v>110</v>
      </c>
      <c r="P31" s="16">
        <v>146</v>
      </c>
      <c r="Q31" s="16">
        <v>462</v>
      </c>
      <c r="R31" s="16">
        <v>180</v>
      </c>
      <c r="S31" s="16">
        <v>263</v>
      </c>
      <c r="T31" s="16">
        <v>29</v>
      </c>
      <c r="U31" s="16"/>
      <c r="V31" s="16"/>
    </row>
    <row r="32" spans="1:22" x14ac:dyDescent="0.2">
      <c r="E32" s="51"/>
      <c r="F32" t="s">
        <v>457</v>
      </c>
      <c r="G32" s="24">
        <v>3220</v>
      </c>
      <c r="H32" s="16">
        <v>15</v>
      </c>
      <c r="I32" s="16">
        <v>208</v>
      </c>
      <c r="J32" s="16">
        <v>202</v>
      </c>
      <c r="K32" s="16">
        <v>84</v>
      </c>
      <c r="L32" s="16">
        <v>228</v>
      </c>
      <c r="M32" s="16">
        <v>422</v>
      </c>
      <c r="N32" s="16">
        <v>73</v>
      </c>
      <c r="O32" s="16">
        <v>152</v>
      </c>
      <c r="P32" s="16">
        <v>365</v>
      </c>
      <c r="Q32" s="24">
        <v>1031</v>
      </c>
      <c r="R32" s="16">
        <v>216</v>
      </c>
      <c r="S32" s="16">
        <v>99</v>
      </c>
      <c r="T32" s="16">
        <v>125</v>
      </c>
      <c r="U32" s="16"/>
      <c r="V32" s="16"/>
    </row>
    <row r="33" spans="5:22" x14ac:dyDescent="0.2">
      <c r="E33" s="51"/>
      <c r="F33" s="16" t="s">
        <v>459</v>
      </c>
      <c r="G33" s="24">
        <v>2690</v>
      </c>
      <c r="H33" s="16">
        <v>3</v>
      </c>
      <c r="I33" s="16">
        <v>292</v>
      </c>
      <c r="J33" s="16">
        <v>123</v>
      </c>
      <c r="K33" s="16">
        <v>63</v>
      </c>
      <c r="L33" s="16">
        <v>350</v>
      </c>
      <c r="M33" s="16">
        <v>212</v>
      </c>
      <c r="N33" s="16">
        <v>35</v>
      </c>
      <c r="O33" s="16">
        <v>88</v>
      </c>
      <c r="P33" s="16">
        <v>235</v>
      </c>
      <c r="Q33" s="16">
        <v>823</v>
      </c>
      <c r="R33" s="16">
        <v>178</v>
      </c>
      <c r="S33" s="16">
        <v>162</v>
      </c>
      <c r="T33" s="16">
        <v>126</v>
      </c>
      <c r="U33" s="16"/>
      <c r="V33" s="16"/>
    </row>
    <row r="34" spans="5:22" x14ac:dyDescent="0.2">
      <c r="E34" s="51"/>
      <c r="F34" s="16" t="s">
        <v>463</v>
      </c>
      <c r="G34" s="16">
        <v>500</v>
      </c>
      <c r="H34" s="16">
        <v>0</v>
      </c>
      <c r="I34" s="18">
        <v>97</v>
      </c>
      <c r="J34" s="16">
        <v>25</v>
      </c>
      <c r="K34" s="16">
        <v>6</v>
      </c>
      <c r="L34" s="16">
        <v>35</v>
      </c>
      <c r="M34" s="16">
        <v>45</v>
      </c>
      <c r="N34" s="16">
        <v>0</v>
      </c>
      <c r="O34" s="16">
        <v>17</v>
      </c>
      <c r="P34" s="16">
        <v>36</v>
      </c>
      <c r="Q34" s="16">
        <v>142</v>
      </c>
      <c r="R34" s="16">
        <v>52</v>
      </c>
      <c r="S34" s="16">
        <v>27</v>
      </c>
      <c r="T34" s="16">
        <v>18</v>
      </c>
      <c r="U34" s="16"/>
      <c r="V34" s="16"/>
    </row>
    <row r="35" spans="5:22" x14ac:dyDescent="0.2">
      <c r="E35" s="51"/>
      <c r="F35" s="16" t="s">
        <v>465</v>
      </c>
      <c r="G35" s="24">
        <v>12879</v>
      </c>
      <c r="H35" s="16">
        <v>83</v>
      </c>
      <c r="I35" s="18">
        <v>833</v>
      </c>
      <c r="J35" s="16">
        <v>848</v>
      </c>
      <c r="K35" s="16">
        <v>621</v>
      </c>
      <c r="L35" s="24">
        <v>2230</v>
      </c>
      <c r="M35" s="24">
        <v>1065</v>
      </c>
      <c r="N35" s="16">
        <v>169</v>
      </c>
      <c r="O35" s="16">
        <v>467</v>
      </c>
      <c r="P35" s="16">
        <v>947</v>
      </c>
      <c r="Q35" s="24">
        <v>3036</v>
      </c>
      <c r="R35" s="24">
        <v>1223</v>
      </c>
      <c r="S35" s="16">
        <v>476</v>
      </c>
      <c r="T35" s="16">
        <v>881</v>
      </c>
      <c r="U35" s="16"/>
      <c r="V35" s="16"/>
    </row>
    <row r="36" spans="5:22" x14ac:dyDescent="0.2">
      <c r="E36" s="51"/>
      <c r="F36" s="16" t="s">
        <v>467</v>
      </c>
      <c r="G36" s="24">
        <v>15856</v>
      </c>
      <c r="H36" s="16">
        <v>104</v>
      </c>
      <c r="I36" s="30">
        <v>1317</v>
      </c>
      <c r="J36" s="16">
        <v>684</v>
      </c>
      <c r="K36" s="16">
        <v>352</v>
      </c>
      <c r="L36" s="24">
        <v>1932</v>
      </c>
      <c r="M36" s="16">
        <v>930</v>
      </c>
      <c r="N36" s="16">
        <v>242</v>
      </c>
      <c r="O36" s="16">
        <v>871</v>
      </c>
      <c r="P36" s="24">
        <v>1593</v>
      </c>
      <c r="Q36" s="24">
        <v>4907</v>
      </c>
      <c r="R36" s="24">
        <v>1191</v>
      </c>
      <c r="S36" s="16">
        <v>817</v>
      </c>
      <c r="T36" s="16">
        <v>916</v>
      </c>
      <c r="U36" s="16"/>
      <c r="V36" s="16"/>
    </row>
    <row r="37" spans="5:22" x14ac:dyDescent="0.2">
      <c r="E37" s="51"/>
      <c r="F37" s="16" t="s">
        <v>469</v>
      </c>
      <c r="G37" s="24">
        <v>13668</v>
      </c>
      <c r="H37" s="16">
        <v>129</v>
      </c>
      <c r="I37" s="18">
        <v>746</v>
      </c>
      <c r="J37" s="16">
        <v>666</v>
      </c>
      <c r="K37" s="16">
        <v>438</v>
      </c>
      <c r="L37" s="24">
        <v>1508</v>
      </c>
      <c r="M37" s="24">
        <v>1103</v>
      </c>
      <c r="N37" s="16">
        <v>391</v>
      </c>
      <c r="O37" s="24">
        <v>1163</v>
      </c>
      <c r="P37" s="24">
        <v>1120</v>
      </c>
      <c r="Q37" s="24">
        <v>3727</v>
      </c>
      <c r="R37" s="16">
        <v>672</v>
      </c>
      <c r="S37" s="24">
        <v>1092</v>
      </c>
      <c r="T37" s="16">
        <v>913</v>
      </c>
      <c r="U37" s="16"/>
      <c r="V37" s="16"/>
    </row>
    <row r="38" spans="5:22" x14ac:dyDescent="0.2">
      <c r="E38" s="51"/>
      <c r="F38" t="s">
        <v>471</v>
      </c>
      <c r="G38" s="24">
        <v>8525</v>
      </c>
      <c r="H38" s="16">
        <v>43</v>
      </c>
      <c r="I38" s="16">
        <v>652</v>
      </c>
      <c r="J38" s="24">
        <v>1012</v>
      </c>
      <c r="K38" s="16">
        <v>506</v>
      </c>
      <c r="L38" s="24">
        <v>1314</v>
      </c>
      <c r="M38" s="16">
        <v>168</v>
      </c>
      <c r="N38" s="16">
        <v>37</v>
      </c>
      <c r="O38" s="16">
        <v>757</v>
      </c>
      <c r="P38" s="24">
        <v>1083</v>
      </c>
      <c r="Q38" s="24">
        <v>2531</v>
      </c>
      <c r="R38" s="16">
        <v>171</v>
      </c>
      <c r="S38" s="16">
        <v>68</v>
      </c>
      <c r="T38" s="16">
        <v>183</v>
      </c>
      <c r="U38" s="16"/>
      <c r="V38" s="16"/>
    </row>
    <row r="39" spans="5:22" x14ac:dyDescent="0.2">
      <c r="E39" s="51"/>
      <c r="F39" t="s">
        <v>473</v>
      </c>
      <c r="G39" s="24">
        <v>8525</v>
      </c>
      <c r="H39" s="16">
        <v>43</v>
      </c>
      <c r="I39" s="16">
        <v>652</v>
      </c>
      <c r="J39" s="24">
        <v>1012</v>
      </c>
      <c r="K39" s="16">
        <v>506</v>
      </c>
      <c r="L39" s="24">
        <v>1314</v>
      </c>
      <c r="M39" s="16">
        <v>168</v>
      </c>
      <c r="N39" s="16">
        <v>37</v>
      </c>
      <c r="O39" s="16">
        <v>757</v>
      </c>
      <c r="P39" s="24">
        <v>1083</v>
      </c>
      <c r="Q39" s="24">
        <v>2531</v>
      </c>
      <c r="R39" s="16">
        <v>171</v>
      </c>
      <c r="S39" s="16">
        <v>68</v>
      </c>
      <c r="T39" s="16">
        <v>183</v>
      </c>
      <c r="U39" s="16"/>
      <c r="V39" s="16"/>
    </row>
    <row r="40" spans="5:22" x14ac:dyDescent="0.2">
      <c r="E40" s="51"/>
      <c r="F40" t="s">
        <v>476</v>
      </c>
      <c r="G40" s="24">
        <v>3697</v>
      </c>
      <c r="H40" s="16">
        <v>0</v>
      </c>
      <c r="I40" s="16">
        <v>454</v>
      </c>
      <c r="J40" s="16">
        <v>675</v>
      </c>
      <c r="K40" s="16">
        <v>59</v>
      </c>
      <c r="L40" s="16">
        <v>555</v>
      </c>
      <c r="M40" s="16">
        <v>174</v>
      </c>
      <c r="N40" s="16">
        <v>32</v>
      </c>
      <c r="O40" s="16">
        <v>81</v>
      </c>
      <c r="P40" s="16">
        <v>314</v>
      </c>
      <c r="Q40" s="16">
        <v>842</v>
      </c>
      <c r="R40" s="16">
        <v>310</v>
      </c>
      <c r="S40" s="16">
        <v>93</v>
      </c>
      <c r="T40" s="16">
        <v>108</v>
      </c>
      <c r="U40" s="16"/>
      <c r="V40" s="16"/>
    </row>
    <row r="41" spans="5:22" x14ac:dyDescent="0.2">
      <c r="E41" s="51"/>
      <c r="F41" t="s">
        <v>497</v>
      </c>
      <c r="G41" s="24">
        <v>1883</v>
      </c>
      <c r="H41" s="16">
        <v>0</v>
      </c>
      <c r="I41" s="16">
        <v>78</v>
      </c>
      <c r="J41" s="16">
        <v>82</v>
      </c>
      <c r="K41" s="16">
        <v>66</v>
      </c>
      <c r="L41" s="16">
        <v>238</v>
      </c>
      <c r="M41" s="16">
        <v>53</v>
      </c>
      <c r="N41" s="16">
        <v>54</v>
      </c>
      <c r="O41" s="16">
        <v>265</v>
      </c>
      <c r="P41" s="16">
        <v>284</v>
      </c>
      <c r="Q41" s="16">
        <v>422</v>
      </c>
      <c r="R41" s="16">
        <v>113</v>
      </c>
      <c r="S41" s="16">
        <v>138</v>
      </c>
      <c r="T41" s="16">
        <v>90</v>
      </c>
      <c r="U41" s="16"/>
      <c r="V41" s="16"/>
    </row>
    <row r="42" spans="5:22" x14ac:dyDescent="0.2">
      <c r="E42" s="51"/>
      <c r="F42" t="s">
        <v>501</v>
      </c>
      <c r="G42" s="24">
        <v>1494</v>
      </c>
      <c r="H42" s="16">
        <v>0</v>
      </c>
      <c r="I42" s="16">
        <v>69</v>
      </c>
      <c r="J42" s="16">
        <v>76</v>
      </c>
      <c r="K42" s="16">
        <v>60</v>
      </c>
      <c r="L42" s="16">
        <v>223</v>
      </c>
      <c r="M42" s="16">
        <v>49</v>
      </c>
      <c r="N42" s="16">
        <v>49</v>
      </c>
      <c r="O42" s="16">
        <v>73</v>
      </c>
      <c r="P42" s="16">
        <v>229</v>
      </c>
      <c r="Q42" s="16">
        <v>348</v>
      </c>
      <c r="R42" s="16">
        <v>93</v>
      </c>
      <c r="S42" s="16">
        <v>135</v>
      </c>
      <c r="T42" s="16">
        <v>90</v>
      </c>
      <c r="U42" s="16"/>
      <c r="V42" s="16"/>
    </row>
    <row r="43" spans="5:22" x14ac:dyDescent="0.2">
      <c r="E43" s="51"/>
      <c r="F43" t="s">
        <v>502</v>
      </c>
      <c r="G43" s="16">
        <v>389</v>
      </c>
      <c r="H43" s="16">
        <v>0</v>
      </c>
      <c r="I43" s="16">
        <v>9</v>
      </c>
      <c r="J43" s="16">
        <v>6</v>
      </c>
      <c r="K43" s="16">
        <v>6</v>
      </c>
      <c r="L43" s="16">
        <v>15</v>
      </c>
      <c r="M43" s="16">
        <v>4</v>
      </c>
      <c r="N43" s="16">
        <v>5</v>
      </c>
      <c r="O43" s="16">
        <v>192</v>
      </c>
      <c r="P43" s="16">
        <v>55</v>
      </c>
      <c r="Q43" s="16">
        <v>74</v>
      </c>
      <c r="R43" s="16">
        <v>20</v>
      </c>
      <c r="S43" s="16">
        <v>3</v>
      </c>
      <c r="T43" s="16">
        <v>0</v>
      </c>
      <c r="U43" s="16"/>
      <c r="V43" s="16"/>
    </row>
    <row r="44" spans="5:22" x14ac:dyDescent="0.2">
      <c r="E44" s="51"/>
      <c r="F44" t="s">
        <v>503</v>
      </c>
      <c r="G44" s="24">
        <v>15847</v>
      </c>
      <c r="H44" s="16">
        <v>59</v>
      </c>
      <c r="I44" s="16">
        <v>968</v>
      </c>
      <c r="J44" s="16">
        <v>874</v>
      </c>
      <c r="K44" s="16">
        <v>623</v>
      </c>
      <c r="L44" s="24">
        <v>2389</v>
      </c>
      <c r="M44" s="24">
        <v>1335</v>
      </c>
      <c r="N44" s="16">
        <v>456</v>
      </c>
      <c r="O44" s="16">
        <v>808</v>
      </c>
      <c r="P44" s="24">
        <v>1406</v>
      </c>
      <c r="Q44" s="24">
        <v>4245</v>
      </c>
      <c r="R44" s="24">
        <v>1230</v>
      </c>
      <c r="S44" s="16">
        <v>830</v>
      </c>
      <c r="T44" s="16">
        <v>624</v>
      </c>
      <c r="U44" s="16"/>
      <c r="V44" s="16"/>
    </row>
    <row r="45" spans="5:22" x14ac:dyDescent="0.2">
      <c r="E45" s="51"/>
      <c r="F45" t="s">
        <v>504</v>
      </c>
      <c r="G45" s="24">
        <v>16321</v>
      </c>
      <c r="H45" s="16">
        <v>167</v>
      </c>
      <c r="I45" s="24">
        <v>1590</v>
      </c>
      <c r="J45" s="24">
        <v>1203</v>
      </c>
      <c r="K45" s="16">
        <v>456</v>
      </c>
      <c r="L45" s="24">
        <v>1586</v>
      </c>
      <c r="M45" s="16">
        <v>758</v>
      </c>
      <c r="N45" s="16">
        <v>445</v>
      </c>
      <c r="O45" s="24">
        <v>1228</v>
      </c>
      <c r="P45" s="24">
        <v>1858</v>
      </c>
      <c r="Q45" s="24">
        <v>4420</v>
      </c>
      <c r="R45" s="24">
        <v>1086</v>
      </c>
      <c r="S45" s="24">
        <v>1009</v>
      </c>
      <c r="T45" s="16">
        <v>515</v>
      </c>
      <c r="U45" s="16"/>
      <c r="V45" s="16"/>
    </row>
    <row r="46" spans="5:22" x14ac:dyDescent="0.2">
      <c r="E46" s="51"/>
      <c r="F46" t="s">
        <v>505</v>
      </c>
      <c r="G46" s="24">
        <v>1510</v>
      </c>
      <c r="H46" s="16">
        <v>7</v>
      </c>
      <c r="I46" s="16">
        <v>172</v>
      </c>
      <c r="J46" s="16">
        <v>145</v>
      </c>
      <c r="K46" s="16">
        <v>33</v>
      </c>
      <c r="L46" s="16">
        <v>208</v>
      </c>
      <c r="M46" s="16">
        <v>115</v>
      </c>
      <c r="N46" s="16">
        <v>28</v>
      </c>
      <c r="O46" s="16">
        <v>98</v>
      </c>
      <c r="P46" s="16">
        <v>85</v>
      </c>
      <c r="Q46" s="16">
        <v>308</v>
      </c>
      <c r="R46" s="16">
        <v>104</v>
      </c>
      <c r="S46" s="16">
        <v>105</v>
      </c>
      <c r="T46" s="16">
        <v>102</v>
      </c>
      <c r="U46" s="16"/>
      <c r="V46" s="16"/>
    </row>
    <row r="47" spans="5:22" x14ac:dyDescent="0.2">
      <c r="E47" s="51"/>
      <c r="F47" t="s">
        <v>506</v>
      </c>
      <c r="G47" s="24">
        <v>1398</v>
      </c>
      <c r="H47" s="16">
        <v>0</v>
      </c>
      <c r="I47" s="16">
        <v>118</v>
      </c>
      <c r="J47" s="16">
        <v>108</v>
      </c>
      <c r="K47" s="16">
        <v>16</v>
      </c>
      <c r="L47" s="16">
        <v>163</v>
      </c>
      <c r="M47" s="16">
        <v>63</v>
      </c>
      <c r="N47" s="16">
        <v>57</v>
      </c>
      <c r="O47" s="16">
        <v>47</v>
      </c>
      <c r="P47" s="16">
        <v>244</v>
      </c>
      <c r="Q47" s="16">
        <v>305</v>
      </c>
      <c r="R47" s="16">
        <v>79</v>
      </c>
      <c r="S47" s="16">
        <v>125</v>
      </c>
      <c r="T47" s="16">
        <v>73</v>
      </c>
      <c r="U47" s="16"/>
      <c r="V47" s="16"/>
    </row>
    <row r="48" spans="5:22" x14ac:dyDescent="0.2">
      <c r="E48" s="51"/>
      <c r="F48" t="s">
        <v>507</v>
      </c>
      <c r="G48" s="24">
        <v>3121</v>
      </c>
      <c r="H48" s="16">
        <v>32</v>
      </c>
      <c r="I48" s="16">
        <v>201</v>
      </c>
      <c r="J48" s="16">
        <v>132</v>
      </c>
      <c r="K48" s="16">
        <v>55</v>
      </c>
      <c r="L48" s="16">
        <v>184</v>
      </c>
      <c r="M48" s="16">
        <v>113</v>
      </c>
      <c r="N48" s="16">
        <v>53</v>
      </c>
      <c r="O48" s="16">
        <v>281</v>
      </c>
      <c r="P48" s="16">
        <v>452</v>
      </c>
      <c r="Q48" s="24">
        <v>1254</v>
      </c>
      <c r="R48" s="16">
        <v>212</v>
      </c>
      <c r="S48" s="16">
        <v>101</v>
      </c>
      <c r="T48" s="16">
        <v>51</v>
      </c>
      <c r="U48" s="16"/>
      <c r="V48" s="16"/>
    </row>
    <row r="49" spans="5:22" x14ac:dyDescent="0.2">
      <c r="E49" s="51"/>
      <c r="F49" t="s">
        <v>508</v>
      </c>
      <c r="G49" s="24">
        <v>3790</v>
      </c>
      <c r="H49" s="16">
        <v>12</v>
      </c>
      <c r="I49" s="16">
        <v>183</v>
      </c>
      <c r="J49" s="16">
        <v>409</v>
      </c>
      <c r="K49" s="16">
        <v>123</v>
      </c>
      <c r="L49" s="16">
        <v>398</v>
      </c>
      <c r="M49" s="16">
        <v>210</v>
      </c>
      <c r="N49" s="16">
        <v>85</v>
      </c>
      <c r="O49" s="16">
        <v>203</v>
      </c>
      <c r="P49" s="16">
        <v>330</v>
      </c>
      <c r="Q49" s="24">
        <v>1361</v>
      </c>
      <c r="R49" s="16">
        <v>122</v>
      </c>
      <c r="S49" s="16">
        <v>260</v>
      </c>
      <c r="T49" s="16">
        <v>94</v>
      </c>
      <c r="U49" s="16"/>
      <c r="V49" s="16"/>
    </row>
    <row r="50" spans="5:22" x14ac:dyDescent="0.2">
      <c r="E50" s="51"/>
      <c r="F50" t="s">
        <v>509</v>
      </c>
      <c r="G50" s="24">
        <v>5754</v>
      </c>
      <c r="H50" s="16">
        <v>0</v>
      </c>
      <c r="I50" s="16">
        <v>393</v>
      </c>
      <c r="J50" s="16">
        <v>192</v>
      </c>
      <c r="K50" s="16">
        <v>107</v>
      </c>
      <c r="L50" s="16">
        <v>800</v>
      </c>
      <c r="M50" s="16">
        <v>490</v>
      </c>
      <c r="N50" s="16">
        <v>211</v>
      </c>
      <c r="O50" s="16">
        <v>384</v>
      </c>
      <c r="P50" s="16">
        <v>876</v>
      </c>
      <c r="Q50" s="24">
        <v>1536</v>
      </c>
      <c r="R50" s="16">
        <v>296</v>
      </c>
      <c r="S50" s="16">
        <v>282</v>
      </c>
      <c r="T50" s="16">
        <v>187</v>
      </c>
      <c r="U50" s="16"/>
      <c r="V50" s="16"/>
    </row>
    <row r="51" spans="5:22" x14ac:dyDescent="0.2">
      <c r="E51" s="51"/>
      <c r="F51" t="s">
        <v>1248</v>
      </c>
      <c r="G51" s="16">
        <v>466</v>
      </c>
      <c r="H51" s="16">
        <v>0</v>
      </c>
      <c r="I51" s="16">
        <v>0</v>
      </c>
      <c r="J51" s="16">
        <v>22</v>
      </c>
      <c r="K51" s="16">
        <v>9</v>
      </c>
      <c r="L51" s="16">
        <v>173</v>
      </c>
      <c r="M51" s="16">
        <v>46</v>
      </c>
      <c r="N51" s="16">
        <v>29</v>
      </c>
      <c r="O51" s="16">
        <v>35</v>
      </c>
      <c r="P51" s="16">
        <v>47</v>
      </c>
      <c r="Q51" s="16">
        <v>72</v>
      </c>
      <c r="R51" s="16">
        <v>7</v>
      </c>
      <c r="S51" s="16">
        <v>13</v>
      </c>
      <c r="T51" s="16">
        <v>13</v>
      </c>
      <c r="U51" s="16"/>
      <c r="V51" s="16"/>
    </row>
    <row r="52" spans="5:22" x14ac:dyDescent="0.2">
      <c r="E52" s="51"/>
      <c r="F52" t="s">
        <v>510</v>
      </c>
      <c r="G52" s="24">
        <v>5288</v>
      </c>
      <c r="H52" s="16">
        <v>0</v>
      </c>
      <c r="I52" s="16">
        <v>393</v>
      </c>
      <c r="J52" s="16">
        <v>170</v>
      </c>
      <c r="K52" s="16">
        <v>98</v>
      </c>
      <c r="L52" s="16">
        <v>627</v>
      </c>
      <c r="M52" s="16">
        <v>444</v>
      </c>
      <c r="N52" s="16">
        <v>182</v>
      </c>
      <c r="O52" s="16">
        <v>349</v>
      </c>
      <c r="P52" s="16">
        <v>829</v>
      </c>
      <c r="Q52" s="24">
        <v>1464</v>
      </c>
      <c r="R52" s="16">
        <v>289</v>
      </c>
      <c r="S52" s="16">
        <v>269</v>
      </c>
      <c r="T52" s="16">
        <v>174</v>
      </c>
      <c r="U52" s="16"/>
      <c r="V52" s="16"/>
    </row>
    <row r="53" spans="5:22" x14ac:dyDescent="0.2">
      <c r="E53" s="51"/>
    </row>
    <row r="54" spans="5:22" x14ac:dyDescent="0.2">
      <c r="E54" s="51"/>
    </row>
    <row r="55" spans="5:22" x14ac:dyDescent="0.2">
      <c r="E55" s="51"/>
    </row>
    <row r="56" spans="5:22" x14ac:dyDescent="0.2">
      <c r="E56" s="51"/>
    </row>
    <row r="57" spans="5:22" x14ac:dyDescent="0.2">
      <c r="E57" s="51"/>
    </row>
  </sheetData>
  <mergeCells count="9">
    <mergeCell ref="B1:O1"/>
    <mergeCell ref="A5:B5"/>
    <mergeCell ref="E5:E57"/>
    <mergeCell ref="A9:B9"/>
    <mergeCell ref="A18:B18"/>
    <mergeCell ref="A21:B21"/>
    <mergeCell ref="H5:V5"/>
    <mergeCell ref="G5:G6"/>
    <mergeCell ref="F5:F6"/>
  </mergeCells>
  <dataValidations count="3">
    <dataValidation type="list" allowBlank="1" showInputMessage="1" showErrorMessage="1" sqref="B10" xr:uid="{3F513628-5227-405E-A022-838AD08979F7}">
      <formula1>"Line,Clustered Bar,Stacked Bar,Bar,Horizontal Stacked Bar"</formula1>
    </dataValidation>
    <dataValidation type="list" allowBlank="1" showInputMessage="1" showErrorMessage="1" sqref="B2" xr:uid="{E2EA69CA-36FE-4A48-A32D-DC8EFDAD609D}">
      <formula1>"Table,Figure,Both"</formula1>
    </dataValidation>
    <dataValidation type="list" allowBlank="1" showInputMessage="1" showErrorMessage="1" sqref="B6 B15:B16" xr:uid="{A923B98A-9920-43B6-B63E-19F83138111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E843FE1-4588-4DDD-801F-255FEF3D4D8F}">
          <x14:formula1>
            <xm:f>Dropdowns!$A$1:$A$8</xm:f>
          </x14:formula1>
          <xm:sqref>F4:T4</xm:sqref>
        </x14:dataValidation>
        <x14:dataValidation type="list" allowBlank="1" showInputMessage="1" showErrorMessage="1" xr:uid="{3E73B13D-10DC-4C81-BB2C-0928AA1CE353}">
          <x14:formula1>
            <xm:f>Master!$F$2:$F$401</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00D9-81F9-414D-9D0C-FB98724603D9}">
  <dimension ref="A1:Q57"/>
  <sheetViews>
    <sheetView zoomScale="85" zoomScaleNormal="85" workbookViewId="0">
      <selection activeCell="G25" sqref="G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7" t="s">
        <v>252</v>
      </c>
      <c r="B1" s="48" t="s">
        <v>291</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tbl-employed-civilian-occupations</v>
      </c>
    </row>
    <row r="4" spans="1:17" x14ac:dyDescent="0.2">
      <c r="A4" s="17" t="s">
        <v>5</v>
      </c>
      <c r="B4" t="str">
        <f>IF($B$1="","",_xlfn.XLOOKUP($B$1,Master!$E$2:$E$320,Master!$G$2:$G$320,""))</f>
        <v>fig-employed-civilian-occupations</v>
      </c>
      <c r="E4" s="8"/>
      <c r="F4" s="10" t="s">
        <v>144</v>
      </c>
      <c r="G4" s="10" t="s">
        <v>149</v>
      </c>
      <c r="H4" s="10" t="s">
        <v>149</v>
      </c>
      <c r="I4" s="10" t="s">
        <v>149</v>
      </c>
      <c r="J4" s="10" t="s">
        <v>149</v>
      </c>
      <c r="K4" s="10" t="s">
        <v>149</v>
      </c>
      <c r="L4" s="10" t="s">
        <v>149</v>
      </c>
      <c r="M4" s="10"/>
      <c r="N4" s="10"/>
      <c r="O4" s="10"/>
      <c r="P4" s="10"/>
      <c r="Q4" s="10"/>
    </row>
    <row r="5" spans="1:17" x14ac:dyDescent="0.2">
      <c r="A5" s="50" t="s">
        <v>255</v>
      </c>
      <c r="B5" s="51"/>
      <c r="E5" s="52" t="s">
        <v>256</v>
      </c>
      <c r="F5" s="54" t="s">
        <v>394</v>
      </c>
      <c r="G5" s="54" t="s">
        <v>1233</v>
      </c>
      <c r="H5" s="54" t="s">
        <v>1258</v>
      </c>
      <c r="I5" s="54"/>
      <c r="J5" s="54"/>
      <c r="K5" s="54"/>
      <c r="L5" s="54"/>
    </row>
    <row r="6" spans="1:17" ht="15" customHeight="1" x14ac:dyDescent="0.2">
      <c r="A6" t="s">
        <v>259</v>
      </c>
      <c r="B6" t="b">
        <v>1</v>
      </c>
      <c r="E6" s="51"/>
      <c r="F6" s="54"/>
      <c r="G6" s="54"/>
      <c r="H6" s="18" t="s">
        <v>1253</v>
      </c>
      <c r="I6" s="18" t="s">
        <v>1254</v>
      </c>
      <c r="J6" s="18" t="s">
        <v>1255</v>
      </c>
      <c r="K6" s="18" t="s">
        <v>1256</v>
      </c>
      <c r="L6" s="18" t="s">
        <v>1257</v>
      </c>
    </row>
    <row r="7" spans="1:17" ht="15.75" customHeight="1" x14ac:dyDescent="0.2">
      <c r="E7" s="51"/>
      <c r="F7" t="s">
        <v>396</v>
      </c>
      <c r="G7" s="30">
        <v>184167</v>
      </c>
      <c r="H7" s="30">
        <v>74036</v>
      </c>
      <c r="I7" s="30">
        <v>32806</v>
      </c>
      <c r="J7" s="30">
        <v>40121</v>
      </c>
      <c r="K7" s="30">
        <v>16708</v>
      </c>
      <c r="L7" s="30">
        <v>20496</v>
      </c>
      <c r="M7" s="16"/>
      <c r="N7" s="16"/>
      <c r="O7" s="16"/>
    </row>
    <row r="8" spans="1:17" x14ac:dyDescent="0.2">
      <c r="E8" s="51"/>
      <c r="F8" t="s">
        <v>397</v>
      </c>
      <c r="G8" s="30">
        <v>8167</v>
      </c>
      <c r="H8" s="30">
        <v>3370</v>
      </c>
      <c r="I8" s="30">
        <v>1503</v>
      </c>
      <c r="J8" s="30">
        <v>1872</v>
      </c>
      <c r="K8" s="18">
        <v>950</v>
      </c>
      <c r="L8" s="18">
        <v>472</v>
      </c>
      <c r="M8" s="16"/>
      <c r="N8" s="16"/>
      <c r="O8" s="16"/>
    </row>
    <row r="9" spans="1:17" x14ac:dyDescent="0.2">
      <c r="A9" s="50" t="s">
        <v>260</v>
      </c>
      <c r="B9" s="51"/>
      <c r="E9" s="51"/>
      <c r="F9" t="s">
        <v>398</v>
      </c>
      <c r="G9" s="30">
        <v>1268</v>
      </c>
      <c r="H9" s="18">
        <v>550</v>
      </c>
      <c r="I9" s="18">
        <v>194</v>
      </c>
      <c r="J9" s="18">
        <v>339</v>
      </c>
      <c r="K9" s="18">
        <v>118</v>
      </c>
      <c r="L9" s="18">
        <v>67</v>
      </c>
      <c r="M9" s="16"/>
      <c r="N9" s="16"/>
      <c r="O9" s="16"/>
    </row>
    <row r="10" spans="1:17" x14ac:dyDescent="0.2">
      <c r="A10" t="s">
        <v>261</v>
      </c>
      <c r="E10" s="51"/>
      <c r="F10" t="s">
        <v>399</v>
      </c>
      <c r="G10" s="30">
        <v>2827</v>
      </c>
      <c r="H10" s="30">
        <v>1117</v>
      </c>
      <c r="I10" s="18">
        <v>695</v>
      </c>
      <c r="J10" s="18">
        <v>695</v>
      </c>
      <c r="K10" s="18">
        <v>195</v>
      </c>
      <c r="L10" s="18">
        <v>125</v>
      </c>
    </row>
    <row r="11" spans="1:17" x14ac:dyDescent="0.2">
      <c r="A11" t="s">
        <v>262</v>
      </c>
      <c r="E11" s="51"/>
      <c r="F11" t="s">
        <v>400</v>
      </c>
      <c r="G11" s="30">
        <v>6888</v>
      </c>
      <c r="H11" s="30">
        <v>3206</v>
      </c>
      <c r="I11" s="18">
        <v>741</v>
      </c>
      <c r="J11" s="30">
        <v>1792</v>
      </c>
      <c r="K11" s="18">
        <v>447</v>
      </c>
      <c r="L11" s="18">
        <v>702</v>
      </c>
      <c r="M11" s="18"/>
      <c r="N11" s="18"/>
    </row>
    <row r="12" spans="1:17" x14ac:dyDescent="0.2">
      <c r="A12" t="s">
        <v>263</v>
      </c>
      <c r="E12" s="51"/>
      <c r="F12" s="22" t="s">
        <v>401</v>
      </c>
      <c r="G12" s="30">
        <v>2488</v>
      </c>
      <c r="H12" s="18">
        <v>927</v>
      </c>
      <c r="I12" s="18">
        <v>295</v>
      </c>
      <c r="J12" s="18">
        <v>824</v>
      </c>
      <c r="K12" s="18">
        <v>125</v>
      </c>
      <c r="L12" s="18">
        <v>317</v>
      </c>
    </row>
    <row r="13" spans="1:17" x14ac:dyDescent="0.2">
      <c r="A13" t="s">
        <v>264</v>
      </c>
      <c r="E13" s="51"/>
      <c r="F13" t="s">
        <v>404</v>
      </c>
      <c r="G13" s="30">
        <v>6425</v>
      </c>
      <c r="H13" s="30">
        <v>3459</v>
      </c>
      <c r="I13" s="18">
        <v>930</v>
      </c>
      <c r="J13" s="30">
        <v>1116</v>
      </c>
      <c r="K13" s="18">
        <v>522</v>
      </c>
      <c r="L13" s="18">
        <v>398</v>
      </c>
    </row>
    <row r="14" spans="1:17" x14ac:dyDescent="0.2">
      <c r="A14" t="s">
        <v>265</v>
      </c>
      <c r="E14" s="51"/>
      <c r="F14" t="s">
        <v>407</v>
      </c>
      <c r="G14" s="30">
        <v>1656</v>
      </c>
      <c r="H14" s="18">
        <v>885</v>
      </c>
      <c r="I14" s="18">
        <v>259</v>
      </c>
      <c r="J14" s="18">
        <v>276</v>
      </c>
      <c r="K14" s="18">
        <v>83</v>
      </c>
      <c r="L14" s="18">
        <v>153</v>
      </c>
    </row>
    <row r="15" spans="1:17" x14ac:dyDescent="0.2">
      <c r="A15" t="s">
        <v>267</v>
      </c>
      <c r="E15" s="51"/>
      <c r="F15" t="s">
        <v>408</v>
      </c>
      <c r="G15" s="30">
        <v>5000</v>
      </c>
      <c r="H15" s="30">
        <v>2041</v>
      </c>
      <c r="I15" s="18">
        <v>842</v>
      </c>
      <c r="J15" s="30">
        <v>1090</v>
      </c>
      <c r="K15" s="18">
        <v>588</v>
      </c>
      <c r="L15" s="18">
        <v>439</v>
      </c>
    </row>
    <row r="16" spans="1:17" x14ac:dyDescent="0.2">
      <c r="A16" t="s">
        <v>274</v>
      </c>
      <c r="E16" s="51"/>
      <c r="F16" t="s">
        <v>409</v>
      </c>
      <c r="G16" s="30">
        <v>3207</v>
      </c>
      <c r="H16" s="18">
        <v>915</v>
      </c>
      <c r="I16" s="18">
        <v>505</v>
      </c>
      <c r="J16" s="30">
        <v>1094</v>
      </c>
      <c r="K16" s="18">
        <v>267</v>
      </c>
      <c r="L16" s="18">
        <v>426</v>
      </c>
    </row>
    <row r="17" spans="1:12" x14ac:dyDescent="0.2">
      <c r="E17" s="51"/>
      <c r="F17" t="s">
        <v>410</v>
      </c>
      <c r="G17" s="30">
        <v>6373</v>
      </c>
      <c r="H17" s="30">
        <v>3107</v>
      </c>
      <c r="I17" s="18">
        <v>948</v>
      </c>
      <c r="J17" s="30">
        <v>1322</v>
      </c>
      <c r="K17" s="18">
        <v>558</v>
      </c>
      <c r="L17" s="18">
        <v>438</v>
      </c>
    </row>
    <row r="18" spans="1:12" x14ac:dyDescent="0.2">
      <c r="A18" s="50" t="s">
        <v>268</v>
      </c>
      <c r="B18" s="51"/>
      <c r="E18" s="51"/>
      <c r="F18" t="s">
        <v>411</v>
      </c>
      <c r="G18" s="30">
        <v>2703</v>
      </c>
      <c r="H18" s="30">
        <v>1151</v>
      </c>
      <c r="I18" s="18">
        <v>600</v>
      </c>
      <c r="J18" s="18">
        <v>486</v>
      </c>
      <c r="K18" s="18">
        <v>199</v>
      </c>
      <c r="L18" s="18">
        <v>267</v>
      </c>
    </row>
    <row r="19" spans="1:12" x14ac:dyDescent="0.2">
      <c r="A19" t="s">
        <v>1250</v>
      </c>
      <c r="B19" t="s">
        <v>1260</v>
      </c>
      <c r="E19" s="51"/>
      <c r="F19" t="s">
        <v>412</v>
      </c>
      <c r="G19" s="30">
        <v>2563</v>
      </c>
      <c r="H19" s="30">
        <v>1131</v>
      </c>
      <c r="I19" s="18">
        <v>450</v>
      </c>
      <c r="J19" s="18">
        <v>410</v>
      </c>
      <c r="K19" s="18">
        <v>182</v>
      </c>
      <c r="L19" s="18">
        <v>390</v>
      </c>
    </row>
    <row r="20" spans="1:12" x14ac:dyDescent="0.2">
      <c r="E20" s="51"/>
      <c r="F20" s="16" t="s">
        <v>413</v>
      </c>
      <c r="G20" s="30">
        <v>2495</v>
      </c>
      <c r="H20" s="18">
        <v>998</v>
      </c>
      <c r="I20" s="18">
        <v>421</v>
      </c>
      <c r="J20" s="18">
        <v>408</v>
      </c>
      <c r="K20" s="18">
        <v>450</v>
      </c>
      <c r="L20" s="18">
        <v>218</v>
      </c>
    </row>
    <row r="21" spans="1:12" x14ac:dyDescent="0.2">
      <c r="A21" s="53" t="s">
        <v>269</v>
      </c>
      <c r="B21" s="51"/>
      <c r="E21" s="51"/>
      <c r="F21" s="16" t="s">
        <v>414</v>
      </c>
      <c r="G21" s="30">
        <v>4373</v>
      </c>
      <c r="H21" s="30">
        <v>1906</v>
      </c>
      <c r="I21" s="18">
        <v>661</v>
      </c>
      <c r="J21" s="18">
        <v>934</v>
      </c>
      <c r="K21" s="18">
        <v>325</v>
      </c>
      <c r="L21" s="18">
        <v>547</v>
      </c>
    </row>
    <row r="22" spans="1:12" x14ac:dyDescent="0.2">
      <c r="A22" t="s">
        <v>1249</v>
      </c>
      <c r="B22" t="s">
        <v>1259</v>
      </c>
      <c r="E22" s="51"/>
      <c r="F22" s="16" t="s">
        <v>423</v>
      </c>
      <c r="G22" s="30">
        <v>1770</v>
      </c>
      <c r="H22" s="18">
        <v>809</v>
      </c>
      <c r="I22" s="18">
        <v>321</v>
      </c>
      <c r="J22" s="18">
        <v>245</v>
      </c>
      <c r="K22" s="18">
        <v>146</v>
      </c>
      <c r="L22" s="18">
        <v>249</v>
      </c>
    </row>
    <row r="23" spans="1:12" x14ac:dyDescent="0.2">
      <c r="E23" s="51"/>
      <c r="F23" s="16" t="s">
        <v>432</v>
      </c>
      <c r="G23" s="30">
        <v>13664</v>
      </c>
      <c r="H23" s="30">
        <v>4662</v>
      </c>
      <c r="I23" s="30">
        <v>2868</v>
      </c>
      <c r="J23" s="30">
        <v>3059</v>
      </c>
      <c r="K23" s="30">
        <v>1397</v>
      </c>
      <c r="L23" s="30">
        <v>1678</v>
      </c>
    </row>
    <row r="24" spans="1:12" x14ac:dyDescent="0.2">
      <c r="E24" s="51"/>
      <c r="F24" t="s">
        <v>436</v>
      </c>
      <c r="G24" s="30">
        <v>2456</v>
      </c>
      <c r="H24" s="30">
        <v>1153</v>
      </c>
      <c r="I24" s="18">
        <v>384</v>
      </c>
      <c r="J24" s="18">
        <v>617</v>
      </c>
      <c r="K24" s="18">
        <v>110</v>
      </c>
      <c r="L24" s="18">
        <v>192</v>
      </c>
    </row>
    <row r="25" spans="1:12" x14ac:dyDescent="0.2">
      <c r="E25" s="51"/>
      <c r="F25" s="16" t="s">
        <v>440</v>
      </c>
      <c r="G25" s="18">
        <v>368</v>
      </c>
      <c r="H25" s="18">
        <v>180</v>
      </c>
      <c r="I25" s="18">
        <v>15</v>
      </c>
      <c r="J25" s="18">
        <v>84</v>
      </c>
      <c r="K25" s="18">
        <v>38</v>
      </c>
      <c r="L25" s="18">
        <v>51</v>
      </c>
    </row>
    <row r="26" spans="1:12" x14ac:dyDescent="0.2">
      <c r="E26" s="51"/>
      <c r="F26" s="16" t="s">
        <v>443</v>
      </c>
      <c r="G26" s="30">
        <v>10354</v>
      </c>
      <c r="H26" s="30">
        <v>4355</v>
      </c>
      <c r="I26" s="30">
        <v>2184</v>
      </c>
      <c r="J26" s="30">
        <v>1856</v>
      </c>
      <c r="K26" s="18">
        <v>932</v>
      </c>
      <c r="L26" s="30">
        <v>1027</v>
      </c>
    </row>
    <row r="27" spans="1:12" x14ac:dyDescent="0.2">
      <c r="A27" s="53"/>
      <c r="B27" s="53"/>
      <c r="E27" s="51"/>
      <c r="F27" s="16" t="s">
        <v>1248</v>
      </c>
      <c r="G27" s="30">
        <v>1052</v>
      </c>
      <c r="H27" s="18">
        <v>517</v>
      </c>
      <c r="I27" s="18">
        <v>198</v>
      </c>
      <c r="J27" s="18">
        <v>154</v>
      </c>
      <c r="K27" s="18">
        <v>103</v>
      </c>
      <c r="L27" s="18">
        <v>80</v>
      </c>
    </row>
    <row r="28" spans="1:12" x14ac:dyDescent="0.2">
      <c r="E28" s="51"/>
      <c r="F28" s="16" t="s">
        <v>449</v>
      </c>
      <c r="G28" s="30">
        <v>4852</v>
      </c>
      <c r="H28" s="30">
        <v>1998</v>
      </c>
      <c r="I28" s="30">
        <v>1004</v>
      </c>
      <c r="J28" s="18">
        <v>862</v>
      </c>
      <c r="K28" s="18">
        <v>421</v>
      </c>
      <c r="L28" s="18">
        <v>567</v>
      </c>
    </row>
    <row r="29" spans="1:12" x14ac:dyDescent="0.2">
      <c r="E29" s="51"/>
      <c r="F29" s="16" t="s">
        <v>451</v>
      </c>
      <c r="G29" s="30">
        <v>11292</v>
      </c>
      <c r="H29" s="30">
        <v>4115</v>
      </c>
      <c r="I29" s="30">
        <v>1900</v>
      </c>
      <c r="J29" s="30">
        <v>2529</v>
      </c>
      <c r="K29" s="30">
        <v>1318</v>
      </c>
      <c r="L29" s="30">
        <v>1430</v>
      </c>
    </row>
    <row r="30" spans="1:12" x14ac:dyDescent="0.2">
      <c r="E30" s="51"/>
      <c r="F30" s="16" t="s">
        <v>453</v>
      </c>
      <c r="G30" s="30">
        <v>1807</v>
      </c>
      <c r="H30" s="18">
        <v>474</v>
      </c>
      <c r="I30" s="18">
        <v>342</v>
      </c>
      <c r="J30" s="18">
        <v>527</v>
      </c>
      <c r="K30" s="18">
        <v>144</v>
      </c>
      <c r="L30" s="18">
        <v>320</v>
      </c>
    </row>
    <row r="31" spans="1:12" x14ac:dyDescent="0.2">
      <c r="E31" s="51"/>
      <c r="F31" s="16" t="s">
        <v>455</v>
      </c>
      <c r="G31" s="30">
        <v>1871</v>
      </c>
      <c r="H31" s="18">
        <v>759</v>
      </c>
      <c r="I31" s="18">
        <v>309</v>
      </c>
      <c r="J31" s="18">
        <v>423</v>
      </c>
      <c r="K31" s="18">
        <v>163</v>
      </c>
      <c r="L31" s="18">
        <v>217</v>
      </c>
    </row>
    <row r="32" spans="1:12" x14ac:dyDescent="0.2">
      <c r="E32" s="51"/>
      <c r="F32" t="s">
        <v>457</v>
      </c>
      <c r="G32" s="30">
        <v>3220</v>
      </c>
      <c r="H32" s="30">
        <v>1261</v>
      </c>
      <c r="I32" s="18">
        <v>513</v>
      </c>
      <c r="J32" s="18">
        <v>676</v>
      </c>
      <c r="K32" s="18">
        <v>460</v>
      </c>
      <c r="L32" s="18">
        <v>310</v>
      </c>
    </row>
    <row r="33" spans="5:12" x14ac:dyDescent="0.2">
      <c r="E33" s="51"/>
      <c r="F33" s="16" t="s">
        <v>459</v>
      </c>
      <c r="G33" s="30">
        <v>2690</v>
      </c>
      <c r="H33" s="30">
        <v>1109</v>
      </c>
      <c r="I33" s="18">
        <v>454</v>
      </c>
      <c r="J33" s="18">
        <v>467</v>
      </c>
      <c r="K33" s="18">
        <v>264</v>
      </c>
      <c r="L33" s="18">
        <v>396</v>
      </c>
    </row>
    <row r="34" spans="5:12" x14ac:dyDescent="0.2">
      <c r="E34" s="51"/>
      <c r="F34" s="16" t="s">
        <v>463</v>
      </c>
      <c r="G34" s="18">
        <v>500</v>
      </c>
      <c r="H34" s="18">
        <v>183</v>
      </c>
      <c r="I34" s="18">
        <v>69</v>
      </c>
      <c r="J34" s="18">
        <v>78</v>
      </c>
      <c r="K34" s="18">
        <v>114</v>
      </c>
      <c r="L34" s="18">
        <v>56</v>
      </c>
    </row>
    <row r="35" spans="5:12" x14ac:dyDescent="0.2">
      <c r="E35" s="51"/>
      <c r="F35" s="16" t="s">
        <v>465</v>
      </c>
      <c r="G35" s="30">
        <v>12879</v>
      </c>
      <c r="H35" s="30">
        <v>3048</v>
      </c>
      <c r="I35" s="30">
        <v>3600</v>
      </c>
      <c r="J35" s="30">
        <v>2910</v>
      </c>
      <c r="K35" s="30">
        <v>1068</v>
      </c>
      <c r="L35" s="30">
        <v>2253</v>
      </c>
    </row>
    <row r="36" spans="5:12" x14ac:dyDescent="0.2">
      <c r="E36" s="51"/>
      <c r="F36" s="16" t="s">
        <v>467</v>
      </c>
      <c r="G36" s="30">
        <v>15856</v>
      </c>
      <c r="H36" s="30">
        <v>6887</v>
      </c>
      <c r="I36" s="30">
        <v>3067</v>
      </c>
      <c r="J36" s="30">
        <v>2789</v>
      </c>
      <c r="K36" s="30">
        <v>1373</v>
      </c>
      <c r="L36" s="30">
        <v>1740</v>
      </c>
    </row>
    <row r="37" spans="5:12" x14ac:dyDescent="0.2">
      <c r="E37" s="51"/>
      <c r="F37" s="16" t="s">
        <v>469</v>
      </c>
      <c r="G37" s="30">
        <v>13668</v>
      </c>
      <c r="H37" s="30">
        <v>5591</v>
      </c>
      <c r="I37" s="30">
        <v>2204</v>
      </c>
      <c r="J37" s="30">
        <v>3232</v>
      </c>
      <c r="K37" s="30">
        <v>1162</v>
      </c>
      <c r="L37" s="30">
        <v>1479</v>
      </c>
    </row>
    <row r="38" spans="5:12" x14ac:dyDescent="0.2">
      <c r="E38" s="51"/>
      <c r="F38" t="s">
        <v>471</v>
      </c>
      <c r="G38" s="30">
        <v>8525</v>
      </c>
      <c r="H38" s="30">
        <v>3441</v>
      </c>
      <c r="I38" s="18">
        <v>711</v>
      </c>
      <c r="J38" s="30">
        <v>3170</v>
      </c>
      <c r="K38" s="18">
        <v>569</v>
      </c>
      <c r="L38" s="18">
        <v>634</v>
      </c>
    </row>
    <row r="39" spans="5:12" x14ac:dyDescent="0.2">
      <c r="E39" s="51"/>
      <c r="F39" t="s">
        <v>473</v>
      </c>
      <c r="G39" s="30">
        <v>8525</v>
      </c>
      <c r="H39" s="30">
        <v>3441</v>
      </c>
      <c r="I39" s="18">
        <v>711</v>
      </c>
      <c r="J39" s="30">
        <v>3170</v>
      </c>
      <c r="K39" s="18">
        <v>569</v>
      </c>
      <c r="L39" s="18">
        <v>634</v>
      </c>
    </row>
    <row r="40" spans="5:12" x14ac:dyDescent="0.2">
      <c r="E40" s="51"/>
      <c r="F40" t="s">
        <v>476</v>
      </c>
      <c r="G40" s="30">
        <v>3697</v>
      </c>
      <c r="H40" s="18">
        <v>796</v>
      </c>
      <c r="I40" s="18">
        <v>609</v>
      </c>
      <c r="J40" s="18">
        <v>938</v>
      </c>
      <c r="K40" s="18">
        <v>586</v>
      </c>
      <c r="L40" s="18">
        <v>768</v>
      </c>
    </row>
    <row r="41" spans="5:12" x14ac:dyDescent="0.2">
      <c r="E41" s="51"/>
      <c r="F41" t="s">
        <v>497</v>
      </c>
      <c r="G41" s="30">
        <v>1883</v>
      </c>
      <c r="H41" s="18">
        <v>981</v>
      </c>
      <c r="I41" s="18">
        <v>348</v>
      </c>
      <c r="J41" s="18">
        <v>383</v>
      </c>
      <c r="K41" s="18">
        <v>125</v>
      </c>
      <c r="L41" s="18">
        <v>46</v>
      </c>
    </row>
    <row r="42" spans="5:12" x14ac:dyDescent="0.2">
      <c r="E42" s="51"/>
      <c r="F42" t="s">
        <v>501</v>
      </c>
      <c r="G42" s="30">
        <v>1494</v>
      </c>
      <c r="H42" s="18">
        <v>687</v>
      </c>
      <c r="I42" s="18">
        <v>332</v>
      </c>
      <c r="J42" s="18">
        <v>311</v>
      </c>
      <c r="K42" s="18">
        <v>121</v>
      </c>
      <c r="L42" s="18">
        <v>43</v>
      </c>
    </row>
    <row r="43" spans="5:12" x14ac:dyDescent="0.2">
      <c r="E43" s="51"/>
      <c r="F43" t="s">
        <v>502</v>
      </c>
      <c r="G43" s="18">
        <v>389</v>
      </c>
      <c r="H43" s="18">
        <v>294</v>
      </c>
      <c r="I43" s="18">
        <v>16</v>
      </c>
      <c r="J43" s="18">
        <v>72</v>
      </c>
      <c r="K43" s="18">
        <v>4</v>
      </c>
      <c r="L43" s="18">
        <v>3</v>
      </c>
    </row>
    <row r="44" spans="5:12" x14ac:dyDescent="0.2">
      <c r="E44" s="51"/>
      <c r="F44" t="s">
        <v>503</v>
      </c>
      <c r="G44" s="30">
        <v>15847</v>
      </c>
      <c r="H44" s="30">
        <v>5564</v>
      </c>
      <c r="I44" s="30">
        <v>3392</v>
      </c>
      <c r="J44" s="30">
        <v>3384</v>
      </c>
      <c r="K44" s="30">
        <v>1248</v>
      </c>
      <c r="L44" s="30">
        <v>2259</v>
      </c>
    </row>
    <row r="45" spans="5:12" x14ac:dyDescent="0.2">
      <c r="E45" s="51"/>
      <c r="F45" t="s">
        <v>504</v>
      </c>
      <c r="G45" s="30">
        <v>16321</v>
      </c>
      <c r="H45" s="30">
        <v>7489</v>
      </c>
      <c r="I45" s="30">
        <v>2753</v>
      </c>
      <c r="J45" s="30">
        <v>2990</v>
      </c>
      <c r="K45" s="30">
        <v>1566</v>
      </c>
      <c r="L45" s="30">
        <v>1523</v>
      </c>
    </row>
    <row r="46" spans="5:12" x14ac:dyDescent="0.2">
      <c r="E46" s="51"/>
      <c r="F46" t="s">
        <v>505</v>
      </c>
      <c r="G46" s="30">
        <v>1510</v>
      </c>
      <c r="H46" s="18">
        <v>542</v>
      </c>
      <c r="I46" s="18">
        <v>201</v>
      </c>
      <c r="J46" s="18">
        <v>342</v>
      </c>
      <c r="K46" s="18">
        <v>215</v>
      </c>
      <c r="L46" s="18">
        <v>210</v>
      </c>
    </row>
    <row r="47" spans="5:12" x14ac:dyDescent="0.2">
      <c r="E47" s="51"/>
      <c r="F47" t="s">
        <v>506</v>
      </c>
      <c r="G47" s="30">
        <v>1398</v>
      </c>
      <c r="H47" s="18">
        <v>526</v>
      </c>
      <c r="I47" s="18">
        <v>297</v>
      </c>
      <c r="J47" s="18">
        <v>201</v>
      </c>
      <c r="K47" s="18">
        <v>219</v>
      </c>
      <c r="L47" s="18">
        <v>155</v>
      </c>
    </row>
    <row r="48" spans="5:12" x14ac:dyDescent="0.2">
      <c r="E48" s="51"/>
      <c r="F48" t="s">
        <v>507</v>
      </c>
      <c r="G48" s="30">
        <v>3121</v>
      </c>
      <c r="H48" s="30">
        <v>1566</v>
      </c>
      <c r="I48" s="18">
        <v>557</v>
      </c>
      <c r="J48" s="18">
        <v>490</v>
      </c>
      <c r="K48" s="18">
        <v>313</v>
      </c>
      <c r="L48" s="18">
        <v>195</v>
      </c>
    </row>
    <row r="49" spans="5:12" x14ac:dyDescent="0.2">
      <c r="E49" s="51"/>
      <c r="F49" t="s">
        <v>508</v>
      </c>
      <c r="G49" s="30">
        <v>3790</v>
      </c>
      <c r="H49" s="30">
        <v>1747</v>
      </c>
      <c r="I49" s="18">
        <v>574</v>
      </c>
      <c r="J49" s="18">
        <v>749</v>
      </c>
      <c r="K49" s="18">
        <v>308</v>
      </c>
      <c r="L49" s="18">
        <v>412</v>
      </c>
    </row>
    <row r="50" spans="5:12" x14ac:dyDescent="0.2">
      <c r="E50" s="51"/>
      <c r="F50" t="s">
        <v>509</v>
      </c>
      <c r="G50" s="30">
        <v>5754</v>
      </c>
      <c r="H50" s="30">
        <v>2965</v>
      </c>
      <c r="I50" s="18">
        <v>757</v>
      </c>
      <c r="J50" s="30">
        <v>1010</v>
      </c>
      <c r="K50" s="18">
        <v>393</v>
      </c>
      <c r="L50" s="18">
        <v>629</v>
      </c>
    </row>
    <row r="51" spans="5:12" x14ac:dyDescent="0.2">
      <c r="E51" s="51"/>
      <c r="F51" t="s">
        <v>1248</v>
      </c>
      <c r="G51" s="18">
        <v>466</v>
      </c>
      <c r="H51" s="18">
        <v>114</v>
      </c>
      <c r="I51" s="18">
        <v>65</v>
      </c>
      <c r="J51" s="18">
        <v>262</v>
      </c>
      <c r="K51" s="18">
        <v>0</v>
      </c>
      <c r="L51" s="18">
        <v>25</v>
      </c>
    </row>
    <row r="52" spans="5:12" x14ac:dyDescent="0.2">
      <c r="E52" s="51"/>
      <c r="F52" t="s">
        <v>510</v>
      </c>
      <c r="G52" s="30">
        <v>5288</v>
      </c>
      <c r="H52" s="30">
        <v>2851</v>
      </c>
      <c r="I52" s="18">
        <v>692</v>
      </c>
      <c r="J52" s="18">
        <v>748</v>
      </c>
      <c r="K52" s="18">
        <v>393</v>
      </c>
      <c r="L52" s="18">
        <v>604</v>
      </c>
    </row>
    <row r="53" spans="5:12" x14ac:dyDescent="0.2">
      <c r="E53" s="51"/>
    </row>
    <row r="54" spans="5:12" x14ac:dyDescent="0.2">
      <c r="E54" s="51"/>
    </row>
    <row r="55" spans="5:12" x14ac:dyDescent="0.2">
      <c r="E55" s="51"/>
    </row>
    <row r="56" spans="5:12" x14ac:dyDescent="0.2">
      <c r="E56" s="51"/>
    </row>
    <row r="57" spans="5:12" x14ac:dyDescent="0.2">
      <c r="E57" s="51"/>
    </row>
  </sheetData>
  <mergeCells count="10">
    <mergeCell ref="F5:F6"/>
    <mergeCell ref="B1:O1"/>
    <mergeCell ref="A5:B5"/>
    <mergeCell ref="E5:E57"/>
    <mergeCell ref="A9:B9"/>
    <mergeCell ref="A18:B18"/>
    <mergeCell ref="A21:B21"/>
    <mergeCell ref="A27:B27"/>
    <mergeCell ref="G5:G6"/>
    <mergeCell ref="H5:L5"/>
  </mergeCells>
  <dataValidations count="4">
    <dataValidation type="list" allowBlank="1" showInputMessage="1" showErrorMessage="1" sqref="P4:Q4" xr:uid="{AE248D3B-E8BF-4870-B8CB-A5A449AC5F86}">
      <formula1>"integer, number, percent1"</formula1>
    </dataValidation>
    <dataValidation type="list" allowBlank="1" showInputMessage="1" showErrorMessage="1" sqref="B10" xr:uid="{F8D89B3B-813E-4B52-8CFA-731AE932CCFC}">
      <formula1>"Line,Clustered Bar,Stacked Bar,Bar,Horizontal Stacked Bar"</formula1>
    </dataValidation>
    <dataValidation type="list" allowBlank="1" showInputMessage="1" showErrorMessage="1" sqref="B2" xr:uid="{7071392D-FD56-4AB8-8D3C-C8F633B95505}">
      <formula1>"Table,Figure,Both"</formula1>
    </dataValidation>
    <dataValidation type="list" allowBlank="1" showInputMessage="1" showErrorMessage="1" sqref="B6 B15:B16" xr:uid="{E114310A-6D7B-4D30-86BE-528E44C0E1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2E3B70-D7A4-4AFA-B16A-0E569A1CA286}">
          <x14:formula1>
            <xm:f>Dropdowns!$A$1:$A$8</xm:f>
          </x14:formula1>
          <xm:sqref>F4:O4</xm:sqref>
        </x14:dataValidation>
        <x14:dataValidation type="list" allowBlank="1" showInputMessage="1" showErrorMessage="1" xr:uid="{BD6ED47E-A1CD-4A84-8E0B-2A42B26A7C54}">
          <x14:formula1>
            <xm:f>Master!$F$2:$F$401</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22C0-5F31-4571-82B2-FAEA92DF096C}">
  <dimension ref="A1:Q57"/>
  <sheetViews>
    <sheetView workbookViewId="0">
      <selection activeCell="N35" sqref="N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292</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tbl-all-cause-mortal-rate-age-zip-code-rande</v>
      </c>
    </row>
    <row r="4" spans="1:17" x14ac:dyDescent="0.2">
      <c r="A4" s="17" t="s">
        <v>5</v>
      </c>
      <c r="B4" t="str">
        <f>IF($B$1="","",_xlfn.XLOOKUP($B$1,Master!$E$2:$E$320,Master!$G$2:$G$320,""))</f>
        <v>fig-all-cause-mortal-rate-age-zip-code-rande</v>
      </c>
      <c r="E4" s="8"/>
      <c r="F4" s="10" t="s">
        <v>144</v>
      </c>
      <c r="G4" s="10" t="s">
        <v>149</v>
      </c>
      <c r="H4" s="10" t="s">
        <v>155</v>
      </c>
      <c r="I4" s="10" t="s">
        <v>149</v>
      </c>
      <c r="J4" s="10" t="s">
        <v>155</v>
      </c>
      <c r="K4" s="10" t="s">
        <v>149</v>
      </c>
      <c r="L4" s="10" t="s">
        <v>155</v>
      </c>
      <c r="M4" s="10" t="s">
        <v>149</v>
      </c>
      <c r="N4" s="10" t="s">
        <v>155</v>
      </c>
      <c r="O4" s="10" t="s">
        <v>149</v>
      </c>
      <c r="P4" s="10" t="s">
        <v>155</v>
      </c>
      <c r="Q4" s="10"/>
    </row>
    <row r="5" spans="1:17" x14ac:dyDescent="0.2">
      <c r="A5" s="50" t="s">
        <v>255</v>
      </c>
      <c r="B5" s="51"/>
      <c r="E5" s="52" t="s">
        <v>256</v>
      </c>
      <c r="F5" s="53"/>
      <c r="G5" s="53">
        <v>2020</v>
      </c>
      <c r="H5" s="53"/>
      <c r="I5" s="53">
        <v>2021</v>
      </c>
      <c r="J5" s="53"/>
      <c r="K5" s="53">
        <v>2022</v>
      </c>
      <c r="L5" s="53"/>
      <c r="M5" s="53">
        <v>2023</v>
      </c>
      <c r="N5" s="53"/>
      <c r="O5" s="53" t="s">
        <v>1272</v>
      </c>
      <c r="P5" s="53"/>
    </row>
    <row r="6" spans="1:17" ht="15" customHeight="1" x14ac:dyDescent="0.2">
      <c r="A6" t="s">
        <v>259</v>
      </c>
      <c r="B6" t="b">
        <v>1</v>
      </c>
      <c r="E6" s="51"/>
      <c r="F6" s="53"/>
      <c r="G6" s="16" t="s">
        <v>1273</v>
      </c>
      <c r="H6" s="16" t="s">
        <v>1274</v>
      </c>
      <c r="I6" s="16" t="s">
        <v>1273</v>
      </c>
      <c r="J6" s="16" t="s">
        <v>1274</v>
      </c>
      <c r="K6" s="16" t="s">
        <v>1273</v>
      </c>
      <c r="L6" s="16" t="s">
        <v>1274</v>
      </c>
      <c r="M6" s="16" t="s">
        <v>1273</v>
      </c>
      <c r="N6" s="16" t="s">
        <v>1274</v>
      </c>
      <c r="O6" t="s">
        <v>1275</v>
      </c>
      <c r="P6" t="s">
        <v>1276</v>
      </c>
    </row>
    <row r="7" spans="1:17" ht="15.75" customHeight="1" x14ac:dyDescent="0.2">
      <c r="E7" s="51"/>
      <c r="F7" t="s">
        <v>275</v>
      </c>
      <c r="G7" s="24">
        <v>3392</v>
      </c>
      <c r="H7" s="16">
        <v>887.8</v>
      </c>
      <c r="I7" s="24">
        <v>3020</v>
      </c>
      <c r="J7" s="16">
        <v>758.3</v>
      </c>
      <c r="K7" s="24">
        <v>3077</v>
      </c>
      <c r="L7" s="16">
        <v>766.9</v>
      </c>
      <c r="M7" s="24">
        <v>2860</v>
      </c>
      <c r="N7" s="16">
        <v>708.2</v>
      </c>
      <c r="O7" s="24">
        <v>12349</v>
      </c>
      <c r="P7">
        <v>780.3</v>
      </c>
    </row>
    <row r="8" spans="1:17" x14ac:dyDescent="0.2">
      <c r="E8" s="51"/>
      <c r="F8" t="s">
        <v>1277</v>
      </c>
      <c r="G8" s="53"/>
      <c r="H8" s="53"/>
      <c r="I8" s="53"/>
      <c r="J8" s="53"/>
      <c r="K8" s="53"/>
      <c r="L8" s="53"/>
      <c r="M8" s="53"/>
      <c r="N8" s="53"/>
      <c r="O8" s="53"/>
      <c r="P8" s="53"/>
    </row>
    <row r="9" spans="1:17" x14ac:dyDescent="0.2">
      <c r="A9" s="50" t="s">
        <v>260</v>
      </c>
      <c r="B9" s="51"/>
      <c r="E9" s="51"/>
      <c r="F9" s="16" t="s">
        <v>1278</v>
      </c>
      <c r="G9" s="16">
        <v>16</v>
      </c>
      <c r="H9">
        <v>332.8</v>
      </c>
      <c r="I9">
        <v>18</v>
      </c>
      <c r="J9">
        <v>351.2</v>
      </c>
      <c r="K9">
        <v>15</v>
      </c>
      <c r="L9">
        <v>302.10000000000002</v>
      </c>
      <c r="M9">
        <v>17</v>
      </c>
      <c r="N9">
        <v>323.60000000000002</v>
      </c>
      <c r="O9">
        <v>66</v>
      </c>
      <c r="P9">
        <v>327.39999999999998</v>
      </c>
    </row>
    <row r="10" spans="1:17" x14ac:dyDescent="0.2">
      <c r="A10" t="s">
        <v>261</v>
      </c>
      <c r="E10" s="51"/>
      <c r="F10" s="40" t="s">
        <v>1292</v>
      </c>
      <c r="G10" s="16">
        <v>9</v>
      </c>
      <c r="H10" s="16">
        <v>19.2</v>
      </c>
      <c r="I10" s="16">
        <v>8</v>
      </c>
      <c r="J10" s="18">
        <v>16.3</v>
      </c>
      <c r="K10" s="18">
        <v>7</v>
      </c>
      <c r="L10" s="18">
        <v>14.5</v>
      </c>
      <c r="M10" s="18">
        <v>13</v>
      </c>
      <c r="N10" s="18">
        <v>26.2</v>
      </c>
      <c r="O10">
        <v>37</v>
      </c>
      <c r="P10">
        <v>19.100000000000001</v>
      </c>
    </row>
    <row r="11" spans="1:17" x14ac:dyDescent="0.2">
      <c r="A11" t="s">
        <v>262</v>
      </c>
      <c r="E11" s="51"/>
      <c r="F11" s="14" t="s">
        <v>1293</v>
      </c>
      <c r="G11" s="18">
        <v>13</v>
      </c>
      <c r="H11" s="18">
        <v>22.7</v>
      </c>
      <c r="I11" s="16">
        <v>8</v>
      </c>
      <c r="J11" s="16">
        <v>13.3</v>
      </c>
      <c r="K11" s="16">
        <v>9</v>
      </c>
      <c r="L11" s="16">
        <v>14.5</v>
      </c>
      <c r="M11">
        <v>6</v>
      </c>
      <c r="N11">
        <v>9.6999999999999993</v>
      </c>
      <c r="O11">
        <v>36</v>
      </c>
      <c r="P11">
        <v>15.1</v>
      </c>
    </row>
    <row r="12" spans="1:17" x14ac:dyDescent="0.2">
      <c r="A12" t="s">
        <v>263</v>
      </c>
      <c r="E12" s="51"/>
      <c r="F12" s="16" t="s">
        <v>1279</v>
      </c>
      <c r="G12">
        <v>28</v>
      </c>
      <c r="H12">
        <v>98.2</v>
      </c>
      <c r="I12">
        <v>21</v>
      </c>
      <c r="J12">
        <v>72</v>
      </c>
      <c r="K12">
        <v>26</v>
      </c>
      <c r="L12">
        <v>87.7</v>
      </c>
      <c r="M12">
        <v>11</v>
      </c>
      <c r="N12">
        <v>38.4</v>
      </c>
      <c r="O12">
        <v>86</v>
      </c>
      <c r="P12">
        <v>74.099999999999994</v>
      </c>
    </row>
    <row r="13" spans="1:17" x14ac:dyDescent="0.2">
      <c r="A13" t="s">
        <v>264</v>
      </c>
      <c r="E13" s="51"/>
      <c r="F13" s="16" t="s">
        <v>1280</v>
      </c>
      <c r="G13">
        <v>73</v>
      </c>
      <c r="H13">
        <v>162.6</v>
      </c>
      <c r="I13">
        <v>57</v>
      </c>
      <c r="J13">
        <v>122.3</v>
      </c>
      <c r="K13">
        <v>56</v>
      </c>
      <c r="L13">
        <v>118.2</v>
      </c>
      <c r="M13">
        <v>48</v>
      </c>
      <c r="N13">
        <v>100.2</v>
      </c>
      <c r="O13">
        <v>234</v>
      </c>
      <c r="P13">
        <v>125.8</v>
      </c>
    </row>
    <row r="14" spans="1:17" x14ac:dyDescent="0.2">
      <c r="A14" t="s">
        <v>265</v>
      </c>
      <c r="E14" s="51"/>
      <c r="F14" s="16" t="s">
        <v>1281</v>
      </c>
      <c r="G14">
        <v>98</v>
      </c>
      <c r="H14">
        <v>216.7</v>
      </c>
      <c r="I14">
        <v>101</v>
      </c>
      <c r="J14">
        <v>211.6</v>
      </c>
      <c r="K14">
        <v>87</v>
      </c>
      <c r="L14">
        <v>178.6</v>
      </c>
      <c r="M14">
        <v>87</v>
      </c>
      <c r="N14">
        <v>174.9</v>
      </c>
      <c r="O14">
        <v>373</v>
      </c>
      <c r="P14">
        <v>195.5</v>
      </c>
    </row>
    <row r="15" spans="1:17" x14ac:dyDescent="0.2">
      <c r="A15" t="s">
        <v>267</v>
      </c>
      <c r="E15" s="51"/>
      <c r="F15" s="16" t="s">
        <v>1282</v>
      </c>
      <c r="G15">
        <v>174</v>
      </c>
      <c r="H15">
        <v>332.3</v>
      </c>
      <c r="I15">
        <v>192</v>
      </c>
      <c r="J15">
        <v>359.8</v>
      </c>
      <c r="K15">
        <v>159</v>
      </c>
      <c r="L15">
        <v>303.7</v>
      </c>
      <c r="M15">
        <v>150</v>
      </c>
      <c r="N15">
        <v>291.2</v>
      </c>
      <c r="O15">
        <v>675</v>
      </c>
      <c r="P15">
        <v>321.7</v>
      </c>
    </row>
    <row r="16" spans="1:17" x14ac:dyDescent="0.2">
      <c r="A16" t="s">
        <v>274</v>
      </c>
      <c r="E16" s="51"/>
      <c r="F16" s="16" t="s">
        <v>1283</v>
      </c>
      <c r="G16">
        <v>395</v>
      </c>
      <c r="H16">
        <v>811.1</v>
      </c>
      <c r="I16">
        <v>392</v>
      </c>
      <c r="J16">
        <v>762.7</v>
      </c>
      <c r="K16">
        <v>392</v>
      </c>
      <c r="L16">
        <v>765.9</v>
      </c>
      <c r="M16">
        <v>344</v>
      </c>
      <c r="N16">
        <v>667.8</v>
      </c>
      <c r="O16" s="15">
        <v>1523</v>
      </c>
      <c r="P16">
        <v>751.9</v>
      </c>
    </row>
    <row r="17" spans="1:16" x14ac:dyDescent="0.2">
      <c r="E17" s="51"/>
      <c r="F17" s="16" t="s">
        <v>1284</v>
      </c>
      <c r="G17">
        <v>663</v>
      </c>
      <c r="H17" s="38">
        <v>2102.6</v>
      </c>
      <c r="I17">
        <v>599</v>
      </c>
      <c r="J17" s="38">
        <v>1789.7</v>
      </c>
      <c r="K17">
        <v>620</v>
      </c>
      <c r="L17" s="38">
        <v>1831.6</v>
      </c>
      <c r="M17">
        <v>546</v>
      </c>
      <c r="N17" s="38">
        <v>1567.2</v>
      </c>
      <c r="O17" s="15">
        <v>2428</v>
      </c>
      <c r="P17" s="38">
        <v>1822.7</v>
      </c>
    </row>
    <row r="18" spans="1:16" x14ac:dyDescent="0.2">
      <c r="A18" s="50" t="s">
        <v>268</v>
      </c>
      <c r="B18" s="51"/>
      <c r="E18" s="51"/>
      <c r="F18" s="16" t="s">
        <v>1285</v>
      </c>
      <c r="G18">
        <v>788</v>
      </c>
      <c r="H18" s="38">
        <v>5344.2</v>
      </c>
      <c r="I18">
        <v>728</v>
      </c>
      <c r="J18" s="38">
        <v>4770.6000000000004</v>
      </c>
      <c r="K18">
        <v>790</v>
      </c>
      <c r="L18" s="38">
        <v>4986.1000000000004</v>
      </c>
      <c r="M18">
        <v>752</v>
      </c>
      <c r="N18" s="38">
        <v>4586.2</v>
      </c>
      <c r="O18" s="15">
        <v>3058</v>
      </c>
      <c r="P18" s="38">
        <v>4921.8</v>
      </c>
    </row>
    <row r="19" spans="1:16" x14ac:dyDescent="0.2">
      <c r="A19" t="s">
        <v>1250</v>
      </c>
      <c r="B19" t="s">
        <v>1295</v>
      </c>
      <c r="E19" s="51"/>
      <c r="F19" s="16" t="s">
        <v>1286</v>
      </c>
      <c r="G19" s="24">
        <v>1135</v>
      </c>
      <c r="H19" s="32">
        <v>15876.3</v>
      </c>
      <c r="I19">
        <v>896</v>
      </c>
      <c r="J19" s="38">
        <v>13151.3</v>
      </c>
      <c r="K19">
        <v>916</v>
      </c>
      <c r="L19" s="38">
        <v>13048.4</v>
      </c>
      <c r="M19">
        <v>886</v>
      </c>
      <c r="N19" s="38">
        <v>13206.1</v>
      </c>
      <c r="O19" s="15">
        <v>3833</v>
      </c>
      <c r="P19" s="38">
        <v>13820.6</v>
      </c>
    </row>
    <row r="20" spans="1:16" x14ac:dyDescent="0.2">
      <c r="E20" s="51"/>
      <c r="F20" t="s">
        <v>1287</v>
      </c>
      <c r="G20" s="53"/>
      <c r="H20" s="53"/>
      <c r="I20" s="53"/>
      <c r="J20" s="53"/>
      <c r="K20" s="53"/>
      <c r="L20" s="53"/>
      <c r="M20" s="53"/>
      <c r="N20" s="53"/>
      <c r="O20" s="53"/>
      <c r="P20" s="53"/>
    </row>
    <row r="21" spans="1:16" x14ac:dyDescent="0.2">
      <c r="A21" s="53" t="s">
        <v>269</v>
      </c>
      <c r="B21" s="51"/>
      <c r="E21" s="51"/>
      <c r="F21" s="16" t="s">
        <v>1288</v>
      </c>
      <c r="G21" s="24">
        <v>2626</v>
      </c>
      <c r="H21" s="32">
        <v>1088.8</v>
      </c>
      <c r="I21" s="15">
        <v>2347</v>
      </c>
      <c r="J21">
        <v>946.8</v>
      </c>
      <c r="K21" s="15">
        <v>2393</v>
      </c>
      <c r="L21">
        <v>986.2</v>
      </c>
      <c r="M21" s="15">
        <v>2255</v>
      </c>
      <c r="N21" s="38">
        <v>2249</v>
      </c>
      <c r="O21" s="15">
        <v>9621</v>
      </c>
      <c r="P21" s="38">
        <v>1317.7</v>
      </c>
    </row>
    <row r="22" spans="1:16" x14ac:dyDescent="0.2">
      <c r="A22" t="s">
        <v>1249</v>
      </c>
      <c r="B22" t="s">
        <v>1294</v>
      </c>
      <c r="E22" s="51"/>
      <c r="F22" s="16" t="s">
        <v>1289</v>
      </c>
      <c r="G22" s="16">
        <v>310</v>
      </c>
      <c r="H22" s="16">
        <v>806.2</v>
      </c>
      <c r="I22">
        <v>277</v>
      </c>
      <c r="J22">
        <v>697.2</v>
      </c>
      <c r="K22">
        <v>290</v>
      </c>
      <c r="L22">
        <v>691.4</v>
      </c>
      <c r="M22">
        <v>265</v>
      </c>
      <c r="N22">
        <v>259</v>
      </c>
      <c r="O22" s="15">
        <v>1142</v>
      </c>
      <c r="P22">
        <v>613.4</v>
      </c>
    </row>
    <row r="23" spans="1:16" x14ac:dyDescent="0.2">
      <c r="E23" s="51"/>
      <c r="F23" t="s">
        <v>1290</v>
      </c>
      <c r="G23">
        <v>376</v>
      </c>
      <c r="H23">
        <v>468.5</v>
      </c>
      <c r="I23">
        <v>310</v>
      </c>
      <c r="J23">
        <v>363.2</v>
      </c>
      <c r="K23">
        <v>305</v>
      </c>
      <c r="L23">
        <v>340.8</v>
      </c>
      <c r="M23">
        <v>267</v>
      </c>
      <c r="N23">
        <v>267</v>
      </c>
      <c r="O23" s="15">
        <v>1258</v>
      </c>
      <c r="P23">
        <v>359.9</v>
      </c>
    </row>
    <row r="24" spans="1:16" x14ac:dyDescent="0.2">
      <c r="E24" s="51"/>
      <c r="F24" s="16" t="s">
        <v>190</v>
      </c>
      <c r="G24" s="16">
        <v>80</v>
      </c>
      <c r="H24" s="16">
        <v>360.6</v>
      </c>
      <c r="I24">
        <v>86</v>
      </c>
      <c r="J24">
        <v>339.7</v>
      </c>
      <c r="K24">
        <v>89</v>
      </c>
      <c r="L24">
        <v>327.7</v>
      </c>
      <c r="M24">
        <v>73</v>
      </c>
      <c r="N24">
        <v>85</v>
      </c>
      <c r="O24">
        <v>328</v>
      </c>
      <c r="P24">
        <v>278.3</v>
      </c>
    </row>
    <row r="25" spans="1:16" x14ac:dyDescent="0.2">
      <c r="E25" s="51"/>
      <c r="F25" s="39" t="s">
        <v>1291</v>
      </c>
      <c r="G25" s="16"/>
      <c r="H25" s="16"/>
    </row>
    <row r="26" spans="1:16" x14ac:dyDescent="0.2">
      <c r="E26" s="51"/>
      <c r="F26" s="16">
        <v>10940</v>
      </c>
      <c r="G26" s="16">
        <v>512</v>
      </c>
      <c r="H26" s="32">
        <v>1035.8</v>
      </c>
      <c r="I26">
        <v>496</v>
      </c>
      <c r="J26">
        <v>973.8</v>
      </c>
      <c r="K26">
        <v>480</v>
      </c>
      <c r="L26">
        <v>925.7</v>
      </c>
      <c r="M26">
        <v>430</v>
      </c>
      <c r="N26">
        <v>809.8</v>
      </c>
      <c r="O26" s="15">
        <v>1918</v>
      </c>
      <c r="P26">
        <v>936.3</v>
      </c>
    </row>
    <row r="27" spans="1:16" x14ac:dyDescent="0.2">
      <c r="A27" s="53"/>
      <c r="B27" s="53"/>
      <c r="E27" s="51"/>
      <c r="F27" s="16">
        <v>10950</v>
      </c>
      <c r="G27" s="16">
        <v>226</v>
      </c>
      <c r="H27" s="32">
        <v>1688.6</v>
      </c>
      <c r="I27">
        <v>167</v>
      </c>
      <c r="J27" s="38">
        <v>1158.5</v>
      </c>
      <c r="K27">
        <v>194</v>
      </c>
      <c r="L27" s="38">
        <v>1337.7</v>
      </c>
      <c r="M27">
        <v>163</v>
      </c>
      <c r="N27" s="38">
        <v>1104.3</v>
      </c>
      <c r="O27">
        <v>750</v>
      </c>
      <c r="P27" s="38">
        <v>1322.3</v>
      </c>
    </row>
    <row r="28" spans="1:16" x14ac:dyDescent="0.2">
      <c r="E28" s="51"/>
      <c r="F28" s="16">
        <v>12550</v>
      </c>
      <c r="G28" s="16">
        <v>561</v>
      </c>
      <c r="H28" s="32">
        <v>2103.9</v>
      </c>
      <c r="I28">
        <v>459</v>
      </c>
      <c r="J28" s="38">
        <v>1712.3</v>
      </c>
      <c r="K28">
        <v>468</v>
      </c>
      <c r="L28" s="38">
        <v>1707.5</v>
      </c>
      <c r="M28">
        <v>406</v>
      </c>
      <c r="N28" s="38">
        <v>1487.2</v>
      </c>
      <c r="O28" s="15">
        <v>1894</v>
      </c>
      <c r="P28" s="38">
        <v>1752.7</v>
      </c>
    </row>
    <row r="29" spans="1:16" x14ac:dyDescent="0.2">
      <c r="E29" s="51"/>
      <c r="F29" s="16">
        <v>12771</v>
      </c>
      <c r="G29" s="16">
        <v>139</v>
      </c>
      <c r="H29" s="16">
        <v>964.7</v>
      </c>
      <c r="I29">
        <v>169</v>
      </c>
      <c r="J29" s="38">
        <v>1138.8</v>
      </c>
      <c r="K29">
        <v>166</v>
      </c>
      <c r="L29" s="38">
        <v>1148.5</v>
      </c>
      <c r="M29">
        <v>157</v>
      </c>
      <c r="N29" s="38">
        <v>1094.5</v>
      </c>
      <c r="O29">
        <v>631</v>
      </c>
      <c r="P29" s="15">
        <v>1086</v>
      </c>
    </row>
    <row r="30" spans="1:16" x14ac:dyDescent="0.2">
      <c r="E30" s="51"/>
    </row>
    <row r="31" spans="1:16" x14ac:dyDescent="0.2">
      <c r="E31" s="51"/>
      <c r="F31" s="16"/>
      <c r="G31" s="16"/>
      <c r="H31" s="16"/>
      <c r="K31" t="s">
        <v>280</v>
      </c>
    </row>
    <row r="32" spans="1:16"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5">
    <mergeCell ref="B1:O1"/>
    <mergeCell ref="A5:B5"/>
    <mergeCell ref="E5:E57"/>
    <mergeCell ref="A9:B9"/>
    <mergeCell ref="A18:B18"/>
    <mergeCell ref="A21:B21"/>
    <mergeCell ref="A27:B27"/>
    <mergeCell ref="G5:H5"/>
    <mergeCell ref="I5:J5"/>
    <mergeCell ref="K5:L5"/>
    <mergeCell ref="M5:N5"/>
    <mergeCell ref="O5:P5"/>
    <mergeCell ref="F5:F6"/>
    <mergeCell ref="G8:P8"/>
    <mergeCell ref="G20:P20"/>
  </mergeCells>
  <dataValidations count="4">
    <dataValidation type="list" allowBlank="1" showInputMessage="1" showErrorMessage="1" sqref="P4:Q4" xr:uid="{D56AE854-391E-4C28-A012-C65985ADE817}">
      <formula1>"integer, number, percent1"</formula1>
    </dataValidation>
    <dataValidation type="list" allowBlank="1" showInputMessage="1" showErrorMessage="1" sqref="B10" xr:uid="{75C92E66-DFCF-41D0-8DBE-494580E8B9E8}">
      <formula1>"Line,Clustered Bar,Stacked Bar,Bar,Horizontal Stacked Bar"</formula1>
    </dataValidation>
    <dataValidation type="list" allowBlank="1" showInputMessage="1" showErrorMessage="1" sqref="B2" xr:uid="{E6E0DBCF-62C8-45A1-A674-8651575EB043}">
      <formula1>"Table,Figure,Both"</formula1>
    </dataValidation>
    <dataValidation type="list" allowBlank="1" showInputMessage="1" showErrorMessage="1" sqref="B6 B15:B16" xr:uid="{24108364-79B8-45DF-A4C7-1D2767DFE60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31AD47B-6AC3-4FC0-B516-A934FF083FD1}">
          <x14:formula1>
            <xm:f>Dropdowns!$A$1:$A$8</xm:f>
          </x14:formula1>
          <xm:sqref>F4:O4</xm:sqref>
        </x14:dataValidation>
        <x14:dataValidation type="list" allowBlank="1" showInputMessage="1" showErrorMessage="1" xr:uid="{0D158EDE-3419-4CC5-B456-BBA9CB5A0B7C}">
          <x14:formula1>
            <xm:f>Master!$F$2:$F$401</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2BB60-C01F-4F43-944A-F025CA851D9F}">
  <dimension ref="A1:Q57"/>
  <sheetViews>
    <sheetView workbookViewId="0">
      <selection activeCell="J17" sqref="J16:J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293</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tbl-all-cause-mortal-aar-rande</v>
      </c>
    </row>
    <row r="4" spans="1:17" x14ac:dyDescent="0.2">
      <c r="A4" s="17" t="s">
        <v>5</v>
      </c>
      <c r="B4" t="str">
        <f>IF($B$1="","",_xlfn.XLOOKUP($B$1,Master!$E$2:$E$320,Master!$G$2:$G$320,""))</f>
        <v>fig-all-cause-mortal-aar-rande</v>
      </c>
      <c r="E4" s="8"/>
      <c r="F4" s="10" t="s">
        <v>144</v>
      </c>
      <c r="G4" s="10" t="s">
        <v>155</v>
      </c>
      <c r="H4" s="10" t="s">
        <v>155</v>
      </c>
      <c r="I4" s="10" t="s">
        <v>155</v>
      </c>
      <c r="J4" s="10" t="s">
        <v>155</v>
      </c>
      <c r="K4" s="10" t="s">
        <v>155</v>
      </c>
      <c r="L4" s="10"/>
      <c r="M4" s="10"/>
      <c r="N4" s="10"/>
      <c r="O4" s="10"/>
      <c r="P4" s="10"/>
      <c r="Q4" s="10"/>
    </row>
    <row r="5" spans="1:17" x14ac:dyDescent="0.2">
      <c r="A5" s="50" t="s">
        <v>255</v>
      </c>
      <c r="B5" s="51"/>
      <c r="E5" s="52" t="s">
        <v>256</v>
      </c>
      <c r="F5" t="s">
        <v>1301</v>
      </c>
      <c r="G5" t="s">
        <v>275</v>
      </c>
      <c r="H5" t="s">
        <v>1288</v>
      </c>
      <c r="I5" t="s">
        <v>1289</v>
      </c>
      <c r="J5" t="s">
        <v>1297</v>
      </c>
      <c r="K5" t="s">
        <v>1290</v>
      </c>
    </row>
    <row r="6" spans="1:17" ht="15" customHeight="1" x14ac:dyDescent="0.2">
      <c r="A6" t="s">
        <v>259</v>
      </c>
      <c r="B6" t="b">
        <v>0</v>
      </c>
      <c r="E6" s="51"/>
      <c r="F6" t="s">
        <v>1298</v>
      </c>
      <c r="G6" s="16">
        <v>781</v>
      </c>
      <c r="H6" s="16">
        <v>790.7</v>
      </c>
      <c r="I6" s="16">
        <v>820.7</v>
      </c>
      <c r="J6" s="16">
        <v>487.8</v>
      </c>
      <c r="K6" s="16">
        <v>654.70000000000005</v>
      </c>
      <c r="L6" s="16"/>
      <c r="M6" s="16"/>
      <c r="N6" s="16"/>
      <c r="O6" s="16"/>
    </row>
    <row r="7" spans="1:17" ht="15.75" customHeight="1" x14ac:dyDescent="0.2">
      <c r="E7" s="51"/>
      <c r="F7" t="s">
        <v>1299</v>
      </c>
      <c r="G7" s="16">
        <v>773</v>
      </c>
      <c r="H7" s="16">
        <v>772.2</v>
      </c>
      <c r="I7" s="16">
        <v>945</v>
      </c>
      <c r="J7" s="16">
        <v>413.7</v>
      </c>
      <c r="K7" s="16">
        <v>594.1</v>
      </c>
      <c r="L7" s="16"/>
      <c r="M7" s="16"/>
      <c r="N7" s="16"/>
      <c r="O7" s="16"/>
    </row>
    <row r="8" spans="1:17" x14ac:dyDescent="0.2">
      <c r="E8" s="51"/>
      <c r="F8" t="s">
        <v>1300</v>
      </c>
      <c r="G8" s="16">
        <v>735</v>
      </c>
      <c r="H8" s="16">
        <v>728.3</v>
      </c>
      <c r="I8" s="16">
        <v>871.2</v>
      </c>
      <c r="J8" s="16">
        <v>436.7</v>
      </c>
      <c r="K8" s="16">
        <v>649.29999999999995</v>
      </c>
      <c r="L8" s="16"/>
      <c r="M8" s="16"/>
      <c r="N8" s="16"/>
      <c r="O8" s="16"/>
    </row>
    <row r="9" spans="1:17" x14ac:dyDescent="0.2">
      <c r="A9" s="50" t="s">
        <v>260</v>
      </c>
      <c r="B9" s="51"/>
      <c r="E9" s="51"/>
      <c r="G9" s="16"/>
      <c r="H9" s="16"/>
      <c r="I9" s="16"/>
      <c r="J9" s="16"/>
      <c r="K9" s="16"/>
      <c r="L9" s="16"/>
      <c r="M9" s="16"/>
      <c r="N9" s="16"/>
      <c r="O9" s="16"/>
    </row>
    <row r="10" spans="1:17" x14ac:dyDescent="0.2">
      <c r="A10" t="s">
        <v>261</v>
      </c>
      <c r="B10" t="s">
        <v>1296</v>
      </c>
      <c r="E10" s="51"/>
      <c r="G10" s="16"/>
    </row>
    <row r="11" spans="1:17" x14ac:dyDescent="0.2">
      <c r="A11" t="s">
        <v>262</v>
      </c>
      <c r="B11" t="s">
        <v>1301</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1301</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1303</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1302</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1546111-B7EF-4E46-923A-219732D602D8}">
      <formula1>"integer, number, percent1"</formula1>
    </dataValidation>
    <dataValidation type="list" allowBlank="1" showInputMessage="1" showErrorMessage="1" sqref="B10" xr:uid="{1349E8E8-2D11-480D-A67D-B3D7579B60FC}">
      <formula1>"Line,Clustered Bar,Stacked Bar,Bar,Horizontal Stacked Bar"</formula1>
    </dataValidation>
    <dataValidation type="list" allowBlank="1" showInputMessage="1" showErrorMessage="1" sqref="B2" xr:uid="{12D42BBF-1427-40AE-B6EA-2757BC0B7B95}">
      <formula1>"Table,Figure,Both"</formula1>
    </dataValidation>
    <dataValidation type="list" allowBlank="1" showInputMessage="1" showErrorMessage="1" sqref="B6 B15:B16" xr:uid="{52706CDA-C8B2-4203-9F87-1FD72549776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66648211-FC6F-4A06-B024-6C3B1BBCA867}">
          <x14:formula1>
            <xm:f>Dropdowns!$A$1:$A$8</xm:f>
          </x14:formula1>
          <xm:sqref>F4:O4</xm:sqref>
        </x14:dataValidation>
        <x14:dataValidation type="list" allowBlank="1" showInputMessage="1" showErrorMessage="1" xr:uid="{FE44FA64-F355-48AF-9722-FCA1DCBF60A6}">
          <x14:formula1>
            <xm:f>Dropdowns!$B$2:$B$9</xm:f>
          </x14:formula1>
          <xm:sqref>B14</xm:sqref>
        </x14:dataValidation>
        <x14:dataValidation type="list" allowBlank="1" showInputMessage="1" showErrorMessage="1" xr:uid="{51CD975E-715A-4DF4-8201-2084369172A6}">
          <x14:formula1>
            <xm:f>Master!$F$2:$F$401</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AEAEA-3576-44D7-A22D-1D8857036BBE}">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294</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tbl-all-cause-mortal-rate-ZIP</v>
      </c>
    </row>
    <row r="4" spans="1:17" x14ac:dyDescent="0.2">
      <c r="A4" s="17" t="s">
        <v>5</v>
      </c>
      <c r="B4" t="str">
        <f>IF($B$1="","",_xlfn.XLOOKUP($B$1,Master!$E$2:$E$320,Master!$G$2:$G$320,""))</f>
        <v>fig-all-cause-mortal-rate-ZIP</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1304</v>
      </c>
      <c r="G5">
        <v>10940</v>
      </c>
      <c r="H5">
        <v>10950</v>
      </c>
      <c r="I5">
        <v>12550</v>
      </c>
      <c r="J5">
        <v>12771</v>
      </c>
    </row>
    <row r="6" spans="1:17" ht="15" customHeight="1" x14ac:dyDescent="0.2">
      <c r="A6" t="s">
        <v>259</v>
      </c>
      <c r="B6" t="b">
        <v>0</v>
      </c>
      <c r="E6" s="51"/>
      <c r="F6">
        <v>2020</v>
      </c>
      <c r="G6" s="32">
        <v>1035.8</v>
      </c>
      <c r="H6" s="32">
        <v>1688.6</v>
      </c>
      <c r="I6" s="32">
        <v>2103.9</v>
      </c>
      <c r="J6" s="16">
        <v>964.7</v>
      </c>
      <c r="K6" s="16"/>
      <c r="L6" s="16"/>
      <c r="M6" s="16"/>
      <c r="N6" s="16"/>
      <c r="O6" s="16"/>
    </row>
    <row r="7" spans="1:17" ht="15.75" customHeight="1" x14ac:dyDescent="0.2">
      <c r="E7" s="51"/>
      <c r="F7">
        <v>2021</v>
      </c>
      <c r="G7" s="16">
        <v>973.8</v>
      </c>
      <c r="H7" s="32">
        <v>1158.5</v>
      </c>
      <c r="I7" s="32">
        <v>1712.3</v>
      </c>
      <c r="J7" s="32">
        <v>1138.8</v>
      </c>
      <c r="K7" s="16"/>
      <c r="L7" s="16"/>
      <c r="M7" s="16"/>
      <c r="N7" s="16"/>
      <c r="O7" s="16"/>
    </row>
    <row r="8" spans="1:17" x14ac:dyDescent="0.2">
      <c r="E8" s="51"/>
      <c r="F8">
        <v>2022</v>
      </c>
      <c r="G8" s="16">
        <v>925.7</v>
      </c>
      <c r="H8" s="32">
        <v>1337.7</v>
      </c>
      <c r="I8" s="32">
        <v>1707.5</v>
      </c>
      <c r="J8" s="32">
        <v>1148.5</v>
      </c>
      <c r="K8" s="16"/>
      <c r="L8" s="16"/>
      <c r="M8" s="16"/>
      <c r="N8" s="16"/>
      <c r="O8" s="16"/>
    </row>
    <row r="9" spans="1:17" x14ac:dyDescent="0.2">
      <c r="A9" s="50" t="s">
        <v>260</v>
      </c>
      <c r="B9" s="51"/>
      <c r="E9" s="51"/>
      <c r="F9">
        <v>2023</v>
      </c>
      <c r="G9" s="16">
        <v>809.8</v>
      </c>
      <c r="H9" s="32">
        <v>1104.3</v>
      </c>
      <c r="I9" s="32">
        <v>1487.2</v>
      </c>
      <c r="J9" s="32">
        <v>1094.5</v>
      </c>
      <c r="K9" s="16"/>
      <c r="L9" s="16"/>
      <c r="M9" s="16"/>
      <c r="N9" s="16"/>
      <c r="O9" s="16"/>
    </row>
    <row r="10" spans="1:17" x14ac:dyDescent="0.2">
      <c r="A10" t="s">
        <v>261</v>
      </c>
      <c r="B10" t="s">
        <v>272</v>
      </c>
      <c r="E10" s="51"/>
      <c r="G10" s="16"/>
    </row>
    <row r="11" spans="1:17" x14ac:dyDescent="0.2">
      <c r="A11" t="s">
        <v>262</v>
      </c>
      <c r="B11" t="s">
        <v>1304</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1304</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1294</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F5F03619-17F8-4431-B4CD-B2F2BB9CBE26}">
      <formula1>"integer, number, percent1"</formula1>
    </dataValidation>
    <dataValidation type="list" allowBlank="1" showInputMessage="1" showErrorMessage="1" sqref="B10" xr:uid="{43EB53E7-9E4F-4706-957E-D55C36B134D5}">
      <formula1>"Line,Clustered Bar,Stacked Bar,Bar,Horizontal Stacked Bar"</formula1>
    </dataValidation>
    <dataValidation type="list" allowBlank="1" showInputMessage="1" showErrorMessage="1" sqref="B2" xr:uid="{F61DB757-E2F3-4C4F-8D60-73B1CD16706D}">
      <formula1>"Table,Figure,Both"</formula1>
    </dataValidation>
    <dataValidation type="list" allowBlank="1" showInputMessage="1" showErrorMessage="1" sqref="B6 B15:B16" xr:uid="{44F3E8B1-C227-479A-81EA-878DF71EDC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9EE8A61-66CB-45E0-9535-8A23AF9D52D7}">
          <x14:formula1>
            <xm:f>Dropdowns!$B$2:$B$9</xm:f>
          </x14:formula1>
          <xm:sqref>B14</xm:sqref>
        </x14:dataValidation>
        <x14:dataValidation type="list" allowBlank="1" showInputMessage="1" showErrorMessage="1" xr:uid="{5D884D73-A34E-4393-A885-BF32B390FC05}">
          <x14:formula1>
            <xm:f>Dropdowns!$A$1:$A$8</xm:f>
          </x14:formula1>
          <xm:sqref>F4:O4</xm:sqref>
        </x14:dataValidation>
        <x14:dataValidation type="list" allowBlank="1" showInputMessage="1" showErrorMessage="1" xr:uid="{2BAAE6A0-26A6-4849-A3A5-EA4CD73F67BD}">
          <x14:formula1>
            <xm:f>Master!$F$2:$F$401</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12BDE-C07D-4198-B3A7-263F8CF0017B}">
  <dimension ref="A1:Q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295</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tbl-all-cause-mortal-aar-sex</v>
      </c>
    </row>
    <row r="4" spans="1:17" x14ac:dyDescent="0.2">
      <c r="A4" s="17" t="s">
        <v>5</v>
      </c>
      <c r="B4" t="str">
        <f>IF($B$1="","",_xlfn.XLOOKUP($B$1,Master!$E$2:$E$320,Master!$G$2:$G$320,""))</f>
        <v>fig-all-cause-mortal-aar-sex</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276</v>
      </c>
      <c r="G5">
        <v>2020</v>
      </c>
      <c r="H5">
        <v>2021</v>
      </c>
      <c r="I5">
        <v>2022</v>
      </c>
      <c r="J5">
        <v>2023</v>
      </c>
    </row>
    <row r="6" spans="1:17" ht="15" customHeight="1" x14ac:dyDescent="0.2">
      <c r="A6" t="s">
        <v>259</v>
      </c>
      <c r="B6" t="b">
        <v>0</v>
      </c>
      <c r="E6" s="51"/>
      <c r="F6" t="s">
        <v>1305</v>
      </c>
      <c r="G6" s="16">
        <v>982.2</v>
      </c>
      <c r="H6" s="16">
        <v>842.9</v>
      </c>
      <c r="I6" s="16">
        <v>827.9</v>
      </c>
      <c r="J6" s="16">
        <v>767.5</v>
      </c>
      <c r="K6" s="16"/>
      <c r="L6" s="16"/>
      <c r="M6" s="16"/>
      <c r="N6" s="16"/>
      <c r="O6" s="16"/>
    </row>
    <row r="7" spans="1:17" ht="15.75" customHeight="1" x14ac:dyDescent="0.2">
      <c r="E7" s="51"/>
      <c r="F7" t="s">
        <v>1306</v>
      </c>
      <c r="G7" s="16">
        <v>680.7</v>
      </c>
      <c r="H7" s="16">
        <v>609.20000000000005</v>
      </c>
      <c r="I7" s="16">
        <v>616.29999999999995</v>
      </c>
      <c r="J7" s="16">
        <v>582.79999999999995</v>
      </c>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276</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276</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1307</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1294</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2C40344-80C9-4DB0-A6FD-E2DD92F39036}">
      <formula1>"integer, number, percent1"</formula1>
    </dataValidation>
    <dataValidation type="list" allowBlank="1" showInputMessage="1" showErrorMessage="1" sqref="B10" xr:uid="{A5574480-675D-44E1-8E1C-C5E191FE5557}">
      <formula1>"Line,Clustered Bar,Stacked Bar,Bar,Horizontal Stacked Bar"</formula1>
    </dataValidation>
    <dataValidation type="list" allowBlank="1" showInputMessage="1" showErrorMessage="1" sqref="B2" xr:uid="{3BDCBA90-6637-4BE7-87F7-6142C815EF2D}">
      <formula1>"Table,Figure,Both"</formula1>
    </dataValidation>
    <dataValidation type="list" allowBlank="1" showInputMessage="1" showErrorMessage="1" sqref="B6 B15:B16" xr:uid="{AD86D9C5-556D-46FC-8140-81D2D2E3624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978D16E-67E9-4E1B-AFB9-69E8E1B43C86}">
          <x14:formula1>
            <xm:f>Dropdowns!$B$2:$B$9</xm:f>
          </x14:formula1>
          <xm:sqref>B14</xm:sqref>
        </x14:dataValidation>
        <x14:dataValidation type="list" allowBlank="1" showInputMessage="1" showErrorMessage="1" xr:uid="{3C10EF1D-2FDF-46C2-8552-AD0EB168810D}">
          <x14:formula1>
            <xm:f>Dropdowns!$A$1:$A$8</xm:f>
          </x14:formula1>
          <xm:sqref>F4:O4</xm:sqref>
        </x14:dataValidation>
        <x14:dataValidation type="list" allowBlank="1" showInputMessage="1" showErrorMessage="1" xr:uid="{03EAAA9D-B9A3-4205-8C95-35B692B6B881}">
          <x14:formula1>
            <xm:f>Master!$F$2:$F$401</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CC88-3AED-4BAD-B99A-B83133B02FDA}">
  <dimension ref="A1:Q57"/>
  <sheetViews>
    <sheetView workbookViewId="0">
      <selection activeCell="M31" sqref="M31"/>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7" t="s">
        <v>252</v>
      </c>
      <c r="B1" s="48" t="s">
        <v>296</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tbl-top-five-leading-death-count-aar</v>
      </c>
    </row>
    <row r="4" spans="1:17" x14ac:dyDescent="0.2">
      <c r="A4" s="17" t="s">
        <v>5</v>
      </c>
      <c r="B4" t="str">
        <f>IF($B$1="","",_xlfn.XLOOKUP($B$1,Master!$E$2:$E$320,Master!$G$2:$G$320,""))</f>
        <v>fig-top-five-leading-death-count-aar</v>
      </c>
      <c r="E4" s="8"/>
      <c r="F4" s="10" t="s">
        <v>144</v>
      </c>
      <c r="G4" s="10" t="s">
        <v>155</v>
      </c>
      <c r="H4" s="10" t="s">
        <v>155</v>
      </c>
      <c r="I4" s="10" t="s">
        <v>155</v>
      </c>
      <c r="J4" s="10" t="s">
        <v>155</v>
      </c>
      <c r="K4" s="10" t="s">
        <v>155</v>
      </c>
      <c r="L4" s="10" t="s">
        <v>155</v>
      </c>
      <c r="M4" s="10" t="s">
        <v>155</v>
      </c>
      <c r="N4" s="10" t="s">
        <v>155</v>
      </c>
      <c r="O4" s="10" t="s">
        <v>155</v>
      </c>
      <c r="P4" s="10" t="s">
        <v>155</v>
      </c>
      <c r="Q4" s="10" t="s">
        <v>155</v>
      </c>
    </row>
    <row r="5" spans="1:17" x14ac:dyDescent="0.2">
      <c r="A5" s="50" t="s">
        <v>255</v>
      </c>
      <c r="B5" s="51"/>
      <c r="E5" s="52" t="s">
        <v>256</v>
      </c>
      <c r="F5" s="53" t="s">
        <v>1308</v>
      </c>
      <c r="G5" s="53"/>
      <c r="H5" s="53" t="s">
        <v>1316</v>
      </c>
      <c r="I5" s="53"/>
      <c r="J5" s="53" t="s">
        <v>1317</v>
      </c>
      <c r="K5" s="53"/>
      <c r="L5" s="53" t="s">
        <v>1318</v>
      </c>
      <c r="M5" s="53"/>
      <c r="N5" s="53" t="s">
        <v>1319</v>
      </c>
      <c r="O5" s="53"/>
      <c r="P5" s="53" t="s">
        <v>1320</v>
      </c>
      <c r="Q5" s="53"/>
    </row>
    <row r="6" spans="1:17" ht="15" customHeight="1" x14ac:dyDescent="0.2">
      <c r="A6" t="s">
        <v>259</v>
      </c>
      <c r="B6" t="b">
        <v>1</v>
      </c>
      <c r="E6" s="51"/>
      <c r="F6" s="53" t="s">
        <v>396</v>
      </c>
      <c r="G6" s="53"/>
      <c r="H6" s="53" t="s">
        <v>1309</v>
      </c>
      <c r="I6" s="53"/>
      <c r="J6" s="53" t="s">
        <v>1310</v>
      </c>
      <c r="K6" s="53"/>
      <c r="L6" s="53" t="s">
        <v>1311</v>
      </c>
      <c r="M6" s="53"/>
      <c r="N6" s="53" t="s">
        <v>1312</v>
      </c>
      <c r="O6" s="53"/>
      <c r="P6" s="53" t="s">
        <v>1313</v>
      </c>
      <c r="Q6" s="53"/>
    </row>
    <row r="7" spans="1:17" ht="15.75" customHeight="1" x14ac:dyDescent="0.2">
      <c r="E7" s="51"/>
      <c r="F7" t="s">
        <v>1</v>
      </c>
      <c r="G7" s="24">
        <v>3222</v>
      </c>
      <c r="H7" s="53">
        <v>653</v>
      </c>
      <c r="I7" s="53"/>
      <c r="J7" s="53">
        <v>609</v>
      </c>
      <c r="K7" s="53"/>
      <c r="L7" s="53">
        <v>253</v>
      </c>
      <c r="M7" s="53"/>
      <c r="N7" s="53">
        <v>231</v>
      </c>
      <c r="O7" s="53"/>
      <c r="P7" s="53">
        <v>125</v>
      </c>
      <c r="Q7" s="53"/>
    </row>
    <row r="8" spans="1:17" x14ac:dyDescent="0.2">
      <c r="E8" s="51"/>
      <c r="F8" t="s">
        <v>1274</v>
      </c>
      <c r="G8" s="16">
        <v>745.2</v>
      </c>
      <c r="H8" s="53">
        <v>150.6</v>
      </c>
      <c r="I8" s="53"/>
      <c r="J8" s="53">
        <v>132.4</v>
      </c>
      <c r="K8" s="53"/>
      <c r="L8" s="53">
        <v>62.2</v>
      </c>
      <c r="M8" s="53"/>
      <c r="N8" s="53">
        <v>53.4</v>
      </c>
      <c r="O8" s="53"/>
      <c r="P8" s="53">
        <v>29.6</v>
      </c>
      <c r="Q8" s="53"/>
    </row>
    <row r="9" spans="1:17" x14ac:dyDescent="0.2">
      <c r="A9" s="50" t="s">
        <v>260</v>
      </c>
      <c r="B9" s="51"/>
      <c r="E9" s="51"/>
      <c r="F9" s="53" t="s">
        <v>1314</v>
      </c>
      <c r="G9" s="53"/>
      <c r="H9" s="53" t="s">
        <v>1309</v>
      </c>
      <c r="I9" s="53"/>
      <c r="J9" s="53" t="s">
        <v>1310</v>
      </c>
      <c r="K9" s="53"/>
      <c r="L9" s="53" t="s">
        <v>1312</v>
      </c>
      <c r="M9" s="53"/>
      <c r="N9" s="53" t="s">
        <v>1311</v>
      </c>
      <c r="O9" s="53"/>
      <c r="P9" s="53" t="s">
        <v>1313</v>
      </c>
      <c r="Q9" s="53"/>
    </row>
    <row r="10" spans="1:17" x14ac:dyDescent="0.2">
      <c r="A10" t="s">
        <v>261</v>
      </c>
      <c r="E10" s="51"/>
      <c r="F10" t="s">
        <v>1</v>
      </c>
      <c r="G10" s="24">
        <v>113465</v>
      </c>
      <c r="H10" s="59">
        <v>26215</v>
      </c>
      <c r="I10" s="59"/>
      <c r="J10" s="59">
        <v>21762</v>
      </c>
      <c r="K10" s="59"/>
      <c r="L10" s="59">
        <v>6666</v>
      </c>
      <c r="M10" s="59"/>
      <c r="N10" s="59">
        <v>6666</v>
      </c>
      <c r="O10" s="59"/>
      <c r="P10" s="59">
        <v>4602</v>
      </c>
      <c r="Q10" s="59"/>
    </row>
    <row r="11" spans="1:17" x14ac:dyDescent="0.2">
      <c r="A11" t="s">
        <v>262</v>
      </c>
      <c r="E11" s="51"/>
      <c r="F11" t="s">
        <v>1274</v>
      </c>
      <c r="G11" s="16">
        <v>744</v>
      </c>
      <c r="H11" s="53">
        <v>166.4</v>
      </c>
      <c r="I11" s="53"/>
      <c r="J11" s="53">
        <v>137.30000000000001</v>
      </c>
      <c r="K11" s="53"/>
      <c r="L11" s="54">
        <v>54.8</v>
      </c>
      <c r="M11" s="54"/>
      <c r="N11" s="54">
        <v>42.3</v>
      </c>
      <c r="O11" s="54"/>
      <c r="P11" s="54">
        <v>28.8</v>
      </c>
      <c r="Q11" s="54"/>
    </row>
    <row r="12" spans="1:17" x14ac:dyDescent="0.2">
      <c r="A12" t="s">
        <v>263</v>
      </c>
      <c r="E12" s="51"/>
      <c r="F12" s="53" t="s">
        <v>1300</v>
      </c>
      <c r="G12" s="53"/>
      <c r="H12" s="53" t="s">
        <v>1309</v>
      </c>
      <c r="I12" s="53"/>
      <c r="J12" s="53" t="s">
        <v>1310</v>
      </c>
      <c r="K12" s="53"/>
      <c r="L12" s="53" t="s">
        <v>1312</v>
      </c>
      <c r="M12" s="53"/>
      <c r="N12" s="53" t="s">
        <v>1311</v>
      </c>
      <c r="O12" s="53"/>
      <c r="P12" s="58" t="s">
        <v>1321</v>
      </c>
      <c r="Q12" s="53"/>
    </row>
    <row r="13" spans="1:17" x14ac:dyDescent="0.2">
      <c r="A13" t="s">
        <v>264</v>
      </c>
      <c r="E13" s="51"/>
      <c r="F13" t="s">
        <v>1</v>
      </c>
      <c r="G13" s="15">
        <v>173986</v>
      </c>
      <c r="H13" s="59">
        <v>43166</v>
      </c>
      <c r="I13" s="59"/>
      <c r="J13" s="59">
        <v>32584</v>
      </c>
      <c r="K13" s="59"/>
      <c r="L13" s="59">
        <v>11174</v>
      </c>
      <c r="M13" s="59"/>
      <c r="N13" s="59">
        <v>10820</v>
      </c>
      <c r="O13" s="59"/>
      <c r="P13" s="59">
        <v>6574</v>
      </c>
      <c r="Q13" s="59"/>
    </row>
    <row r="14" spans="1:17" x14ac:dyDescent="0.2">
      <c r="A14" t="s">
        <v>265</v>
      </c>
      <c r="E14" s="51"/>
      <c r="F14" t="s">
        <v>1274</v>
      </c>
      <c r="G14">
        <v>679.6</v>
      </c>
      <c r="H14" s="53">
        <v>163.69999999999999</v>
      </c>
      <c r="I14" s="53"/>
      <c r="J14" s="53">
        <v>123.7</v>
      </c>
      <c r="K14" s="53"/>
      <c r="L14" s="53">
        <v>42.7</v>
      </c>
      <c r="M14" s="53"/>
      <c r="N14" s="53">
        <v>50.6</v>
      </c>
      <c r="O14" s="53"/>
      <c r="P14" s="53">
        <v>25.1</v>
      </c>
      <c r="Q14" s="53"/>
    </row>
    <row r="15" spans="1:17" x14ac:dyDescent="0.2">
      <c r="A15" t="s">
        <v>267</v>
      </c>
      <c r="E15" s="51"/>
    </row>
    <row r="16" spans="1:17" x14ac:dyDescent="0.2">
      <c r="A16" t="s">
        <v>274</v>
      </c>
      <c r="E16" s="51"/>
    </row>
    <row r="17" spans="1:11" x14ac:dyDescent="0.2">
      <c r="E17" s="51"/>
    </row>
    <row r="18" spans="1:11" x14ac:dyDescent="0.2">
      <c r="A18" s="50" t="s">
        <v>268</v>
      </c>
      <c r="B18" s="51"/>
      <c r="E18" s="51"/>
    </row>
    <row r="19" spans="1:11" x14ac:dyDescent="0.2">
      <c r="A19" t="s">
        <v>1250</v>
      </c>
      <c r="B19" t="s">
        <v>1323</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1322</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61">
    <mergeCell ref="N13:O13"/>
    <mergeCell ref="N14:O14"/>
    <mergeCell ref="P13:Q13"/>
    <mergeCell ref="P14:Q14"/>
    <mergeCell ref="N10:O10"/>
    <mergeCell ref="N11:O11"/>
    <mergeCell ref="P10:Q10"/>
    <mergeCell ref="P11:Q11"/>
    <mergeCell ref="H13:I13"/>
    <mergeCell ref="H14:I14"/>
    <mergeCell ref="J13:K13"/>
    <mergeCell ref="J14:K14"/>
    <mergeCell ref="L14:M14"/>
    <mergeCell ref="L13:M13"/>
    <mergeCell ref="H10:I10"/>
    <mergeCell ref="H11:I11"/>
    <mergeCell ref="J10:K10"/>
    <mergeCell ref="J11:K11"/>
    <mergeCell ref="L10:M10"/>
    <mergeCell ref="L11:M11"/>
    <mergeCell ref="H12:I12"/>
    <mergeCell ref="J12:K12"/>
    <mergeCell ref="L12:M12"/>
    <mergeCell ref="N12:O12"/>
    <mergeCell ref="P12:Q12"/>
    <mergeCell ref="P7:Q7"/>
    <mergeCell ref="P8:Q8"/>
    <mergeCell ref="F9:G9"/>
    <mergeCell ref="H9:I9"/>
    <mergeCell ref="J9:K9"/>
    <mergeCell ref="N9:O9"/>
    <mergeCell ref="L9:M9"/>
    <mergeCell ref="P9:Q9"/>
    <mergeCell ref="H7:I7"/>
    <mergeCell ref="H8:I8"/>
    <mergeCell ref="J7:K7"/>
    <mergeCell ref="J8:K8"/>
    <mergeCell ref="L7:M7"/>
    <mergeCell ref="P5:Q5"/>
    <mergeCell ref="F6:G6"/>
    <mergeCell ref="H6:I6"/>
    <mergeCell ref="J6:K6"/>
    <mergeCell ref="L6:M6"/>
    <mergeCell ref="N6:O6"/>
    <mergeCell ref="P6:Q6"/>
    <mergeCell ref="B1:O1"/>
    <mergeCell ref="A5:B5"/>
    <mergeCell ref="E5:E57"/>
    <mergeCell ref="A9:B9"/>
    <mergeCell ref="A18:B18"/>
    <mergeCell ref="A21:B21"/>
    <mergeCell ref="A27:B27"/>
    <mergeCell ref="F5:G5"/>
    <mergeCell ref="H5:I5"/>
    <mergeCell ref="J5:K5"/>
    <mergeCell ref="L8:M8"/>
    <mergeCell ref="L5:M5"/>
    <mergeCell ref="N5:O5"/>
    <mergeCell ref="F12:G12"/>
    <mergeCell ref="N7:O7"/>
    <mergeCell ref="N8:O8"/>
  </mergeCells>
  <dataValidations count="3">
    <dataValidation type="list" allowBlank="1" showInputMessage="1" showErrorMessage="1" sqref="B10" xr:uid="{F82E15B8-D06A-4152-8A77-8AE50325986B}">
      <formula1>"Line,Clustered Bar,Stacked Bar,Bar,Horizontal Stacked Bar"</formula1>
    </dataValidation>
    <dataValidation type="list" allowBlank="1" showInputMessage="1" showErrorMessage="1" sqref="B2" xr:uid="{C81543D6-1C6D-4F62-BA76-C437CDE770A4}">
      <formula1>"Table,Figure,Both"</formula1>
    </dataValidation>
    <dataValidation type="list" allowBlank="1" showInputMessage="1" showErrorMessage="1" sqref="B6 B15:B16" xr:uid="{DA720A27-6FE7-440D-9053-FC77FB58FDE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C3C9758-3DAF-4E27-BBF2-7E5C60CA7692}">
          <x14:formula1>
            <xm:f>Dropdowns!$B$2:$B$9</xm:f>
          </x14:formula1>
          <xm:sqref>B14</xm:sqref>
        </x14:dataValidation>
        <x14:dataValidation type="list" allowBlank="1" showInputMessage="1" showErrorMessage="1" xr:uid="{A27AAB13-B993-4BD5-98A2-6857167CA8AE}">
          <x14:formula1>
            <xm:f>Dropdowns!$A$1:$A$8</xm:f>
          </x14:formula1>
          <xm:sqref>F4:Q4</xm:sqref>
        </x14:dataValidation>
        <x14:dataValidation type="list" allowBlank="1" showInputMessage="1" showErrorMessage="1" xr:uid="{C2E7D1C7-7AA6-4B5B-94AB-DC4E1E0C57B5}">
          <x14:formula1>
            <xm:f>Master!$F$2:$F$401</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7C42-93D2-495E-9E7F-F8C337CCF3C3}">
  <dimension ref="A1:Q57"/>
  <sheetViews>
    <sheetView workbookViewId="0">
      <selection activeCell="M10" sqref="M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297</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tbl-number-deaths-leading-sex</v>
      </c>
    </row>
    <row r="4" spans="1:17" x14ac:dyDescent="0.2">
      <c r="A4" s="17" t="s">
        <v>5</v>
      </c>
      <c r="B4" t="str">
        <f>IF($B$1="","",_xlfn.XLOOKUP($B$1,Master!$E$2:$E$320,Master!$G$2:$G$320,""))</f>
        <v>fig-number-deaths-leading-sex</v>
      </c>
      <c r="E4" s="8"/>
      <c r="F4" s="10" t="s">
        <v>144</v>
      </c>
      <c r="G4" s="10" t="s">
        <v>155</v>
      </c>
      <c r="H4" s="10" t="s">
        <v>155</v>
      </c>
      <c r="I4" s="10" t="s">
        <v>155</v>
      </c>
      <c r="J4" s="10"/>
      <c r="K4" s="10"/>
      <c r="L4" s="10"/>
      <c r="M4" s="10"/>
      <c r="N4" s="10"/>
      <c r="O4" s="10"/>
      <c r="P4" s="10"/>
      <c r="Q4" s="10"/>
    </row>
    <row r="5" spans="1:17" x14ac:dyDescent="0.2">
      <c r="A5" s="50" t="s">
        <v>255</v>
      </c>
      <c r="B5" s="51"/>
      <c r="E5" s="52" t="s">
        <v>256</v>
      </c>
      <c r="F5" s="54" t="s">
        <v>1324</v>
      </c>
      <c r="G5" s="53" t="s">
        <v>1325</v>
      </c>
      <c r="H5" s="53"/>
      <c r="I5" s="53"/>
    </row>
    <row r="6" spans="1:17" ht="15" customHeight="1" x14ac:dyDescent="0.2">
      <c r="A6" t="s">
        <v>259</v>
      </c>
      <c r="B6" t="b">
        <v>1</v>
      </c>
      <c r="E6" s="51"/>
      <c r="F6" s="54"/>
      <c r="G6" t="s">
        <v>270</v>
      </c>
      <c r="H6" t="s">
        <v>271</v>
      </c>
      <c r="I6" t="s">
        <v>275</v>
      </c>
      <c r="J6" s="16"/>
      <c r="K6" s="16"/>
      <c r="L6" s="16"/>
      <c r="M6" s="16"/>
      <c r="N6" s="16"/>
      <c r="O6" s="16"/>
    </row>
    <row r="7" spans="1:17" ht="15.75" customHeight="1" x14ac:dyDescent="0.2">
      <c r="E7" s="51"/>
      <c r="F7" t="s">
        <v>1326</v>
      </c>
      <c r="G7" s="24">
        <v>6235</v>
      </c>
      <c r="H7" s="24">
        <v>6114</v>
      </c>
      <c r="I7" s="24">
        <v>12349</v>
      </c>
      <c r="J7" s="16"/>
      <c r="K7" s="16"/>
      <c r="L7" s="16"/>
      <c r="M7" s="16"/>
      <c r="N7" s="16"/>
      <c r="O7" s="16"/>
    </row>
    <row r="8" spans="1:17" x14ac:dyDescent="0.2">
      <c r="E8" s="51"/>
      <c r="F8" t="s">
        <v>1327</v>
      </c>
      <c r="G8" s="24">
        <v>1409</v>
      </c>
      <c r="H8" s="24">
        <v>1214</v>
      </c>
      <c r="I8" s="24">
        <v>2623</v>
      </c>
      <c r="J8" s="16"/>
      <c r="K8" s="16"/>
      <c r="L8" s="16"/>
      <c r="M8" s="16"/>
      <c r="N8" s="16"/>
      <c r="O8" s="16"/>
    </row>
    <row r="9" spans="1:17" x14ac:dyDescent="0.2">
      <c r="A9" s="50" t="s">
        <v>260</v>
      </c>
      <c r="B9" s="51"/>
      <c r="E9" s="51"/>
      <c r="F9" t="s">
        <v>1328</v>
      </c>
      <c r="G9" s="24">
        <v>1165</v>
      </c>
      <c r="H9" s="15">
        <v>1217</v>
      </c>
      <c r="I9" s="15">
        <v>2382</v>
      </c>
      <c r="J9" s="16"/>
      <c r="K9" s="16"/>
      <c r="L9" s="16"/>
      <c r="M9" s="16"/>
      <c r="N9" s="16"/>
      <c r="O9" s="16"/>
    </row>
    <row r="10" spans="1:17" x14ac:dyDescent="0.2">
      <c r="A10" t="s">
        <v>261</v>
      </c>
      <c r="E10" s="51"/>
      <c r="F10" t="s">
        <v>1311</v>
      </c>
      <c r="G10" s="16">
        <v>793</v>
      </c>
      <c r="H10" s="16">
        <v>366</v>
      </c>
      <c r="I10" s="24">
        <v>1159</v>
      </c>
    </row>
    <row r="11" spans="1:17" x14ac:dyDescent="0.2">
      <c r="A11" t="s">
        <v>262</v>
      </c>
      <c r="E11" s="51"/>
      <c r="F11" s="22" t="s">
        <v>1329</v>
      </c>
      <c r="G11" s="18">
        <v>222</v>
      </c>
      <c r="H11" s="18">
        <v>271</v>
      </c>
      <c r="I11" s="16">
        <v>493</v>
      </c>
      <c r="J11" s="18"/>
      <c r="K11" s="18"/>
      <c r="L11" s="18"/>
      <c r="M11" s="18"/>
      <c r="N11" s="18"/>
    </row>
    <row r="12" spans="1:17" x14ac:dyDescent="0.2">
      <c r="A12" t="s">
        <v>263</v>
      </c>
      <c r="E12" s="51"/>
      <c r="F12" t="s">
        <v>1315</v>
      </c>
      <c r="G12">
        <v>176</v>
      </c>
      <c r="H12">
        <v>236</v>
      </c>
      <c r="I12">
        <v>412</v>
      </c>
      <c r="J12" s="16"/>
      <c r="K12" s="16"/>
      <c r="L12" s="16"/>
    </row>
    <row r="13" spans="1:17" x14ac:dyDescent="0.2">
      <c r="A13" t="s">
        <v>264</v>
      </c>
      <c r="E13" s="51"/>
      <c r="F13" t="s">
        <v>1330</v>
      </c>
      <c r="G13">
        <v>106</v>
      </c>
      <c r="H13">
        <v>292</v>
      </c>
      <c r="I13">
        <v>398</v>
      </c>
    </row>
    <row r="14" spans="1:17" x14ac:dyDescent="0.2">
      <c r="A14" t="s">
        <v>265</v>
      </c>
      <c r="E14" s="51"/>
      <c r="F14" t="s">
        <v>1331</v>
      </c>
      <c r="G14">
        <v>155</v>
      </c>
      <c r="H14">
        <v>146</v>
      </c>
      <c r="I14">
        <v>301</v>
      </c>
    </row>
    <row r="15" spans="1:17" x14ac:dyDescent="0.2">
      <c r="A15" t="s">
        <v>267</v>
      </c>
      <c r="E15" s="51"/>
      <c r="F15" t="s">
        <v>1332</v>
      </c>
      <c r="G15">
        <v>136</v>
      </c>
      <c r="H15">
        <v>109</v>
      </c>
      <c r="I15">
        <v>245</v>
      </c>
    </row>
    <row r="16" spans="1:17" x14ac:dyDescent="0.2">
      <c r="A16" t="s">
        <v>274</v>
      </c>
      <c r="E16" s="51"/>
      <c r="F16" t="s">
        <v>1333</v>
      </c>
      <c r="G16">
        <v>128</v>
      </c>
      <c r="H16">
        <v>135</v>
      </c>
      <c r="I16">
        <v>263</v>
      </c>
    </row>
    <row r="17" spans="1:11" x14ac:dyDescent="0.2">
      <c r="E17" s="51"/>
      <c r="F17" t="s">
        <v>1334</v>
      </c>
      <c r="G17">
        <v>185</v>
      </c>
      <c r="H17">
        <v>42</v>
      </c>
      <c r="I17">
        <v>227</v>
      </c>
    </row>
    <row r="18" spans="1:11" x14ac:dyDescent="0.2">
      <c r="A18" s="50" t="s">
        <v>268</v>
      </c>
      <c r="B18" s="51"/>
      <c r="E18" s="51"/>
      <c r="F18" t="s">
        <v>1335</v>
      </c>
      <c r="G18">
        <v>84</v>
      </c>
      <c r="H18">
        <v>39</v>
      </c>
      <c r="I18">
        <v>123</v>
      </c>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1294</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9">
    <mergeCell ref="B1:O1"/>
    <mergeCell ref="A5:B5"/>
    <mergeCell ref="E5:E57"/>
    <mergeCell ref="A9:B9"/>
    <mergeCell ref="A18:B18"/>
    <mergeCell ref="A21:B21"/>
    <mergeCell ref="A27:B27"/>
    <mergeCell ref="F5:F6"/>
    <mergeCell ref="G5:I5"/>
  </mergeCells>
  <dataValidations count="4">
    <dataValidation type="list" allowBlank="1" showInputMessage="1" showErrorMessage="1" sqref="P4:Q4" xr:uid="{577AAECD-CE1C-4B17-8010-6EA9671451CC}">
      <formula1>"integer, number, percent1"</formula1>
    </dataValidation>
    <dataValidation type="list" allowBlank="1" showInputMessage="1" showErrorMessage="1" sqref="B10" xr:uid="{AD09A86D-7F6C-491C-A613-2557C2710850}">
      <formula1>"Line,Clustered Bar,Stacked Bar,Bar,Horizontal Stacked Bar"</formula1>
    </dataValidation>
    <dataValidation type="list" allowBlank="1" showInputMessage="1" showErrorMessage="1" sqref="B2" xr:uid="{DFF8D7B7-3706-48EC-AE8F-C73CF394125C}">
      <formula1>"Table,Figure,Both"</formula1>
    </dataValidation>
    <dataValidation type="list" allowBlank="1" showInputMessage="1" showErrorMessage="1" sqref="B6 B15:B16" xr:uid="{892EBFA5-BECA-4980-9CB7-3955335FC17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3B48E80-482D-455F-ACB5-F2375519B4A0}">
          <x14:formula1>
            <xm:f>Dropdowns!$B$2:$B$9</xm:f>
          </x14:formula1>
          <xm:sqref>B14</xm:sqref>
        </x14:dataValidation>
        <x14:dataValidation type="list" allowBlank="1" showInputMessage="1" showErrorMessage="1" xr:uid="{F769B9DA-7413-4380-932F-4907905DBC21}">
          <x14:formula1>
            <xm:f>Dropdowns!$A$1:$A$8</xm:f>
          </x14:formula1>
          <xm:sqref>F4:O4</xm:sqref>
        </x14:dataValidation>
        <x14:dataValidation type="list" allowBlank="1" showInputMessage="1" showErrorMessage="1" xr:uid="{99224986-6738-4741-A248-686854816AE8}">
          <x14:formula1>
            <xm:f>Master!$F$2:$F$401</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F93E5-40E8-4EC5-8404-CFAFAA9B15DD}">
  <dimension ref="A1:Q57"/>
  <sheetViews>
    <sheetView workbookViewId="0">
      <selection activeCell="B31" sqref="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299</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tbl-premature-deaths-rande</v>
      </c>
    </row>
    <row r="4" spans="1:17" x14ac:dyDescent="0.2">
      <c r="A4" s="17" t="s">
        <v>5</v>
      </c>
      <c r="B4" t="str">
        <f>IF($B$1="","",_xlfn.XLOOKUP($B$1,Master!$E$2:$E$320,Master!$G$2:$G$320,""))</f>
        <v>fig-premature-deaths-rande</v>
      </c>
      <c r="E4" s="8"/>
      <c r="F4" s="10" t="s">
        <v>144</v>
      </c>
      <c r="G4" s="10" t="s">
        <v>155</v>
      </c>
      <c r="H4" s="10" t="s">
        <v>155</v>
      </c>
      <c r="I4" s="10" t="s">
        <v>155</v>
      </c>
      <c r="J4" s="10" t="s">
        <v>155</v>
      </c>
      <c r="K4" s="10" t="s">
        <v>155</v>
      </c>
      <c r="L4" s="10"/>
      <c r="M4" s="10"/>
      <c r="N4" s="10"/>
      <c r="O4" s="10"/>
      <c r="P4" s="10"/>
      <c r="Q4" s="10"/>
    </row>
    <row r="5" spans="1:17" x14ac:dyDescent="0.2">
      <c r="A5" s="50" t="s">
        <v>255</v>
      </c>
      <c r="B5" s="51"/>
      <c r="E5" s="52" t="s">
        <v>256</v>
      </c>
      <c r="F5" t="s">
        <v>1301</v>
      </c>
      <c r="G5" t="s">
        <v>275</v>
      </c>
      <c r="H5" t="s">
        <v>1288</v>
      </c>
      <c r="I5" t="s">
        <v>1289</v>
      </c>
      <c r="J5" t="s">
        <v>1297</v>
      </c>
      <c r="K5" t="s">
        <v>1290</v>
      </c>
    </row>
    <row r="6" spans="1:17" ht="15" customHeight="1" x14ac:dyDescent="0.2">
      <c r="A6" t="s">
        <v>259</v>
      </c>
      <c r="B6" t="b">
        <v>0</v>
      </c>
      <c r="E6" s="51"/>
      <c r="F6" t="s">
        <v>1298</v>
      </c>
      <c r="G6" s="16">
        <v>45.8</v>
      </c>
      <c r="H6" s="16">
        <v>41.3</v>
      </c>
      <c r="I6" s="16">
        <v>63.4</v>
      </c>
      <c r="J6" s="16">
        <v>61.3</v>
      </c>
      <c r="K6" s="16">
        <v>57.9</v>
      </c>
      <c r="L6" s="16"/>
      <c r="M6" s="16"/>
      <c r="N6" s="16"/>
      <c r="O6" s="16"/>
    </row>
    <row r="7" spans="1:17" ht="15.75" customHeight="1" x14ac:dyDescent="0.2">
      <c r="E7" s="51"/>
      <c r="F7" t="s">
        <v>1299</v>
      </c>
      <c r="G7" s="16">
        <v>40.799999999999997</v>
      </c>
      <c r="H7" s="16">
        <v>37.299999999999997</v>
      </c>
      <c r="I7" s="16">
        <v>61.6</v>
      </c>
      <c r="J7" s="16">
        <v>46.5</v>
      </c>
      <c r="K7" s="16">
        <v>60.8</v>
      </c>
      <c r="L7" s="16"/>
      <c r="M7" s="16"/>
      <c r="N7" s="16"/>
      <c r="O7" s="16"/>
    </row>
    <row r="8" spans="1:17" x14ac:dyDescent="0.2">
      <c r="E8" s="51"/>
      <c r="F8" t="s">
        <v>1300</v>
      </c>
      <c r="G8" s="16">
        <v>42.9</v>
      </c>
      <c r="H8" s="16">
        <v>36.6</v>
      </c>
      <c r="I8" s="16">
        <v>58.6</v>
      </c>
      <c r="J8" s="16">
        <v>42.9</v>
      </c>
      <c r="K8" s="16">
        <v>55</v>
      </c>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1301</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1301</v>
      </c>
      <c r="E13" s="51"/>
    </row>
    <row r="14" spans="1:17" x14ac:dyDescent="0.2">
      <c r="A14" t="s">
        <v>265</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1337</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1336</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091113A-EFF6-479D-B393-50441EEAEC70}">
      <formula1>"integer, number, percent1"</formula1>
    </dataValidation>
    <dataValidation type="list" allowBlank="1" showInputMessage="1" showErrorMessage="1" sqref="B10" xr:uid="{DEBC2FE5-C3A5-44BC-9EF3-52DE59D550C0}">
      <formula1>"Line,Clustered Bar,Stacked Bar,Bar,Horizontal Stacked Bar"</formula1>
    </dataValidation>
    <dataValidation type="list" allowBlank="1" showInputMessage="1" showErrorMessage="1" sqref="B2" xr:uid="{8DE7F0DC-A231-4D27-92A1-925B8F997818}">
      <formula1>"Table,Figure,Both"</formula1>
    </dataValidation>
    <dataValidation type="list" allowBlank="1" showInputMessage="1" showErrorMessage="1" sqref="B6 B15:B16" xr:uid="{47B2799C-8424-469E-9ABE-6BB7E78AE69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EFFDF35-358D-42BA-8DC7-E795F2B4F159}">
          <x14:formula1>
            <xm:f>Dropdowns!$B$2:$B$9</xm:f>
          </x14:formula1>
          <xm:sqref>B14</xm:sqref>
        </x14:dataValidation>
        <x14:dataValidation type="list" allowBlank="1" showInputMessage="1" showErrorMessage="1" xr:uid="{1E896F16-7242-4400-A396-2C9F649F8A3B}">
          <x14:formula1>
            <xm:f>Dropdowns!$A$1:$A$8</xm:f>
          </x14:formula1>
          <xm:sqref>F4:O4</xm:sqref>
        </x14:dataValidation>
        <x14:dataValidation type="list" allowBlank="1" showInputMessage="1" showErrorMessage="1" xr:uid="{7F8FD94F-10F0-47D4-B23B-D8A7E852CEB0}">
          <x14:formula1>
            <xm:f>Master!$F$2:$F$401</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12AAE-76B5-4CD1-882E-16EB54273665}">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7" t="s">
        <v>252</v>
      </c>
      <c r="B1" s="48" t="s">
        <v>300</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tbl-income-poverty-gini</v>
      </c>
    </row>
    <row r="4" spans="1:17" x14ac:dyDescent="0.2">
      <c r="A4" s="17" t="s">
        <v>5</v>
      </c>
      <c r="B4" t="str">
        <f>IF($B$1="","",_xlfn.XLOOKUP($B$1,Master!$E$2:$E$320,Master!$G$2:$G$320,""))</f>
        <v>fig-income-poverty-gini</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50" t="s">
        <v>255</v>
      </c>
      <c r="B5" s="51"/>
      <c r="E5" s="52" t="s">
        <v>256</v>
      </c>
      <c r="F5" s="53" t="s">
        <v>394</v>
      </c>
      <c r="G5" s="53" t="s">
        <v>1338</v>
      </c>
      <c r="H5" s="53" t="s">
        <v>1339</v>
      </c>
      <c r="I5" s="53" t="s">
        <v>1340</v>
      </c>
      <c r="J5" s="53"/>
      <c r="K5" s="53" t="s">
        <v>1341</v>
      </c>
      <c r="L5" s="53"/>
      <c r="M5" s="53" t="s">
        <v>1342</v>
      </c>
      <c r="N5" s="53"/>
      <c r="O5" s="53" t="s">
        <v>1343</v>
      </c>
    </row>
    <row r="6" spans="1:17" ht="15" customHeight="1" x14ac:dyDescent="0.2">
      <c r="A6" t="s">
        <v>259</v>
      </c>
      <c r="B6" t="b">
        <v>1</v>
      </c>
      <c r="E6" s="51"/>
      <c r="F6" s="53"/>
      <c r="G6" s="53"/>
      <c r="H6" s="53"/>
      <c r="I6" s="16" t="s">
        <v>1273</v>
      </c>
      <c r="J6" s="16" t="s">
        <v>1344</v>
      </c>
      <c r="K6" s="16" t="s">
        <v>1273</v>
      </c>
      <c r="L6" s="16" t="s">
        <v>1344</v>
      </c>
      <c r="M6" s="16" t="s">
        <v>1273</v>
      </c>
      <c r="N6" s="16" t="s">
        <v>1344</v>
      </c>
      <c r="O6" s="53"/>
    </row>
    <row r="7" spans="1:17" ht="15.75" customHeight="1" x14ac:dyDescent="0.2">
      <c r="E7" s="51"/>
      <c r="F7" t="s">
        <v>396</v>
      </c>
      <c r="G7" s="30">
        <v>137311</v>
      </c>
      <c r="H7" s="43">
        <v>96497</v>
      </c>
      <c r="I7" s="30">
        <v>21753</v>
      </c>
      <c r="J7" s="18">
        <v>15.8</v>
      </c>
      <c r="K7" s="30">
        <v>35627</v>
      </c>
      <c r="L7" s="18">
        <v>25.9</v>
      </c>
      <c r="M7" s="30">
        <v>39482</v>
      </c>
      <c r="N7" s="18">
        <v>28.8</v>
      </c>
      <c r="O7" s="18">
        <v>0.44</v>
      </c>
    </row>
    <row r="8" spans="1:17" x14ac:dyDescent="0.2">
      <c r="E8" s="51"/>
      <c r="F8" t="s">
        <v>397</v>
      </c>
      <c r="G8" s="30">
        <v>6149</v>
      </c>
      <c r="H8" s="43">
        <v>100763</v>
      </c>
      <c r="I8" s="18">
        <v>805</v>
      </c>
      <c r="J8" s="18">
        <v>13.1</v>
      </c>
      <c r="K8" s="30">
        <v>1399</v>
      </c>
      <c r="L8" s="18">
        <v>22.8</v>
      </c>
      <c r="M8" s="30">
        <v>1825</v>
      </c>
      <c r="N8" s="18">
        <v>29.7</v>
      </c>
      <c r="O8" s="18">
        <v>0.41</v>
      </c>
    </row>
    <row r="9" spans="1:17" x14ac:dyDescent="0.2">
      <c r="A9" s="50" t="s">
        <v>260</v>
      </c>
      <c r="B9" s="51"/>
      <c r="E9" s="51"/>
      <c r="F9" t="s">
        <v>398</v>
      </c>
      <c r="G9" s="30">
        <v>1173</v>
      </c>
      <c r="H9" s="43">
        <v>68958</v>
      </c>
      <c r="I9" s="18">
        <v>158</v>
      </c>
      <c r="J9" s="18">
        <v>13.5</v>
      </c>
      <c r="K9" s="18">
        <v>374</v>
      </c>
      <c r="L9" s="18">
        <v>31.9</v>
      </c>
      <c r="M9" s="18">
        <v>142</v>
      </c>
      <c r="N9" s="18">
        <v>12.1</v>
      </c>
      <c r="O9" s="18">
        <v>0.39</v>
      </c>
    </row>
    <row r="10" spans="1:17" x14ac:dyDescent="0.2">
      <c r="A10" t="s">
        <v>261</v>
      </c>
      <c r="E10" s="51"/>
      <c r="F10" t="s">
        <v>399</v>
      </c>
      <c r="G10" s="30">
        <v>2106</v>
      </c>
      <c r="H10" s="43">
        <v>101080</v>
      </c>
      <c r="I10" s="18">
        <v>370</v>
      </c>
      <c r="J10" s="18">
        <v>17.600000000000001</v>
      </c>
      <c r="K10" s="18">
        <v>553</v>
      </c>
      <c r="L10" s="18">
        <v>26.3</v>
      </c>
      <c r="M10" s="18">
        <v>590</v>
      </c>
      <c r="N10" s="18">
        <v>28</v>
      </c>
      <c r="O10" s="18">
        <v>0.47</v>
      </c>
    </row>
    <row r="11" spans="1:17" x14ac:dyDescent="0.2">
      <c r="A11" t="s">
        <v>262</v>
      </c>
      <c r="E11" s="51"/>
      <c r="F11" t="s">
        <v>400</v>
      </c>
      <c r="G11" s="30">
        <v>4458</v>
      </c>
      <c r="H11" s="43">
        <v>146893</v>
      </c>
      <c r="I11" s="18">
        <v>357</v>
      </c>
      <c r="J11" s="18">
        <v>8</v>
      </c>
      <c r="K11" s="18">
        <v>692</v>
      </c>
      <c r="L11" s="18">
        <v>15.5</v>
      </c>
      <c r="M11" s="30">
        <v>2183</v>
      </c>
      <c r="N11" s="18">
        <v>48.9</v>
      </c>
      <c r="O11" s="18">
        <v>0.38</v>
      </c>
    </row>
    <row r="12" spans="1:17" x14ac:dyDescent="0.2">
      <c r="A12" t="s">
        <v>263</v>
      </c>
      <c r="E12" s="51"/>
      <c r="F12" s="22" t="s">
        <v>401</v>
      </c>
      <c r="G12" s="30">
        <v>1560</v>
      </c>
      <c r="H12" s="43">
        <v>97250</v>
      </c>
      <c r="I12" s="18">
        <v>260</v>
      </c>
      <c r="J12" s="18">
        <v>16.7</v>
      </c>
      <c r="K12" s="18">
        <v>377</v>
      </c>
      <c r="L12" s="18">
        <v>24.2</v>
      </c>
      <c r="M12" s="18">
        <v>563</v>
      </c>
      <c r="N12" s="18">
        <v>36.1</v>
      </c>
      <c r="O12" s="18">
        <v>0.38</v>
      </c>
    </row>
    <row r="13" spans="1:17" x14ac:dyDescent="0.2">
      <c r="A13" t="s">
        <v>264</v>
      </c>
      <c r="E13" s="51"/>
      <c r="F13" t="s">
        <v>404</v>
      </c>
      <c r="G13" s="30">
        <v>5023</v>
      </c>
      <c r="H13" s="43">
        <v>118639</v>
      </c>
      <c r="I13" s="18">
        <v>459</v>
      </c>
      <c r="J13" s="18">
        <v>9.1</v>
      </c>
      <c r="K13" s="18">
        <v>773</v>
      </c>
      <c r="L13" s="18">
        <v>15.4</v>
      </c>
      <c r="M13" s="30">
        <v>1879</v>
      </c>
      <c r="N13" s="18">
        <v>37.4</v>
      </c>
      <c r="O13" s="18">
        <v>0.38</v>
      </c>
    </row>
    <row r="14" spans="1:17" x14ac:dyDescent="0.2">
      <c r="A14" t="s">
        <v>265</v>
      </c>
      <c r="E14" s="51"/>
      <c r="F14" t="s">
        <v>407</v>
      </c>
      <c r="G14" s="30">
        <v>1230</v>
      </c>
      <c r="H14" s="43">
        <v>150288</v>
      </c>
      <c r="I14" s="18">
        <v>79</v>
      </c>
      <c r="J14" s="18">
        <v>6.4</v>
      </c>
      <c r="K14" s="18">
        <v>143</v>
      </c>
      <c r="L14" s="18">
        <v>11.6</v>
      </c>
      <c r="M14" s="18">
        <v>627</v>
      </c>
      <c r="N14" s="18">
        <v>51</v>
      </c>
      <c r="O14" s="18">
        <v>0.36</v>
      </c>
    </row>
    <row r="15" spans="1:17" x14ac:dyDescent="0.2">
      <c r="A15" t="s">
        <v>267</v>
      </c>
      <c r="E15" s="51"/>
      <c r="F15" t="s">
        <v>408</v>
      </c>
      <c r="G15" s="30">
        <v>3001</v>
      </c>
      <c r="H15" s="43">
        <v>130656</v>
      </c>
      <c r="I15" s="18">
        <v>277</v>
      </c>
      <c r="J15" s="18">
        <v>9.1999999999999993</v>
      </c>
      <c r="K15" s="18">
        <v>448</v>
      </c>
      <c r="L15" s="18">
        <v>14.9</v>
      </c>
      <c r="M15" s="30">
        <v>1246</v>
      </c>
      <c r="N15" s="18">
        <v>41.5</v>
      </c>
      <c r="O15" s="18">
        <v>0.43</v>
      </c>
    </row>
    <row r="16" spans="1:17" x14ac:dyDescent="0.2">
      <c r="A16" t="s">
        <v>274</v>
      </c>
      <c r="E16" s="51"/>
      <c r="F16" t="s">
        <v>409</v>
      </c>
      <c r="G16" s="30">
        <v>2993</v>
      </c>
      <c r="H16" s="43">
        <v>72164</v>
      </c>
      <c r="I16" s="18">
        <v>421</v>
      </c>
      <c r="J16" s="18">
        <v>14.1</v>
      </c>
      <c r="K16" s="18">
        <v>834</v>
      </c>
      <c r="L16" s="18">
        <v>27.9</v>
      </c>
      <c r="M16" s="18">
        <v>448</v>
      </c>
      <c r="N16" s="18">
        <v>14.9</v>
      </c>
      <c r="O16" s="18">
        <v>0.4</v>
      </c>
    </row>
    <row r="17" spans="1:15" x14ac:dyDescent="0.2">
      <c r="E17" s="51"/>
      <c r="F17" t="s">
        <v>410</v>
      </c>
      <c r="G17" s="30">
        <v>4861</v>
      </c>
      <c r="H17" s="43">
        <v>117817</v>
      </c>
      <c r="I17" s="18">
        <v>626</v>
      </c>
      <c r="J17" s="18">
        <v>12.9</v>
      </c>
      <c r="K17" s="30">
        <v>1031</v>
      </c>
      <c r="L17" s="18">
        <v>21.2</v>
      </c>
      <c r="M17" s="30">
        <v>1895</v>
      </c>
      <c r="N17" s="18">
        <v>38.9</v>
      </c>
      <c r="O17" s="18">
        <v>0.47</v>
      </c>
    </row>
    <row r="18" spans="1:15" x14ac:dyDescent="0.2">
      <c r="A18" s="50" t="s">
        <v>268</v>
      </c>
      <c r="B18" s="51"/>
      <c r="E18" s="51"/>
      <c r="F18" t="s">
        <v>411</v>
      </c>
      <c r="G18" s="30">
        <v>2350</v>
      </c>
      <c r="H18" s="43">
        <v>99464</v>
      </c>
      <c r="I18" s="18">
        <v>436</v>
      </c>
      <c r="J18" s="18">
        <v>18.600000000000001</v>
      </c>
      <c r="K18" s="18">
        <v>653</v>
      </c>
      <c r="L18" s="18">
        <v>27.8</v>
      </c>
      <c r="M18" s="18">
        <v>730</v>
      </c>
      <c r="N18" s="18">
        <v>31.1</v>
      </c>
      <c r="O18" s="18">
        <v>0.49</v>
      </c>
    </row>
    <row r="19" spans="1:15" x14ac:dyDescent="0.2">
      <c r="A19" t="s">
        <v>1250</v>
      </c>
      <c r="B19" t="s">
        <v>1347</v>
      </c>
      <c r="E19" s="51"/>
      <c r="F19" t="s">
        <v>412</v>
      </c>
      <c r="G19" s="30">
        <v>1645</v>
      </c>
      <c r="H19" s="43">
        <v>130938</v>
      </c>
      <c r="I19" s="18">
        <v>66</v>
      </c>
      <c r="J19" s="18">
        <v>4</v>
      </c>
      <c r="K19" s="18">
        <v>196</v>
      </c>
      <c r="L19" s="18">
        <v>11.9</v>
      </c>
      <c r="M19" s="18">
        <v>594</v>
      </c>
      <c r="N19" s="18">
        <v>36.1</v>
      </c>
      <c r="O19" s="18">
        <v>0.33</v>
      </c>
    </row>
    <row r="20" spans="1:15" x14ac:dyDescent="0.2">
      <c r="E20" s="51"/>
      <c r="F20" s="16" t="s">
        <v>413</v>
      </c>
      <c r="G20" s="30">
        <v>1745</v>
      </c>
      <c r="H20" s="43">
        <v>113267</v>
      </c>
      <c r="I20" s="18">
        <v>171</v>
      </c>
      <c r="J20" s="18">
        <v>9.8000000000000007</v>
      </c>
      <c r="K20" s="18">
        <v>310</v>
      </c>
      <c r="L20" s="18">
        <v>17.8</v>
      </c>
      <c r="M20" s="18">
        <v>632</v>
      </c>
      <c r="N20" s="18">
        <v>36.200000000000003</v>
      </c>
      <c r="O20" s="18">
        <v>0.42</v>
      </c>
    </row>
    <row r="21" spans="1:15" x14ac:dyDescent="0.2">
      <c r="A21" s="53" t="s">
        <v>269</v>
      </c>
      <c r="B21" s="51"/>
      <c r="E21" s="51"/>
      <c r="F21" s="16" t="s">
        <v>414</v>
      </c>
      <c r="G21" s="30">
        <v>3938</v>
      </c>
      <c r="H21" s="43">
        <v>111786</v>
      </c>
      <c r="I21" s="18">
        <v>367</v>
      </c>
      <c r="J21" s="18">
        <v>9.3000000000000007</v>
      </c>
      <c r="K21" s="18">
        <v>833</v>
      </c>
      <c r="L21" s="18">
        <v>21.2</v>
      </c>
      <c r="M21" s="30">
        <v>1218</v>
      </c>
      <c r="N21" s="18">
        <v>30.9</v>
      </c>
      <c r="O21" s="18">
        <v>0.37</v>
      </c>
    </row>
    <row r="22" spans="1:15" x14ac:dyDescent="0.2">
      <c r="A22" t="s">
        <v>1249</v>
      </c>
      <c r="B22" t="s">
        <v>1346</v>
      </c>
      <c r="E22" s="51"/>
      <c r="F22" s="16" t="s">
        <v>423</v>
      </c>
      <c r="G22" s="30">
        <v>1648</v>
      </c>
      <c r="H22" s="43">
        <v>107500</v>
      </c>
      <c r="I22" s="18">
        <v>221</v>
      </c>
      <c r="J22" s="18">
        <v>13.4</v>
      </c>
      <c r="K22" s="18">
        <v>500</v>
      </c>
      <c r="L22" s="18">
        <v>30.3</v>
      </c>
      <c r="M22" s="18">
        <v>393</v>
      </c>
      <c r="N22" s="18">
        <v>23.8</v>
      </c>
      <c r="O22" s="18">
        <v>0.39</v>
      </c>
    </row>
    <row r="23" spans="1:15" x14ac:dyDescent="0.2">
      <c r="E23" s="51"/>
      <c r="F23" s="16" t="s">
        <v>432</v>
      </c>
      <c r="G23" s="30">
        <v>10182</v>
      </c>
      <c r="H23" s="43">
        <v>77174</v>
      </c>
      <c r="I23" s="30">
        <v>2209</v>
      </c>
      <c r="J23" s="18">
        <v>21.7</v>
      </c>
      <c r="K23" s="30">
        <v>3329</v>
      </c>
      <c r="L23" s="18">
        <v>32.700000000000003</v>
      </c>
      <c r="M23" s="30">
        <v>2002</v>
      </c>
      <c r="N23" s="18">
        <v>19.600000000000001</v>
      </c>
      <c r="O23" s="18">
        <v>0.44</v>
      </c>
    </row>
    <row r="24" spans="1:15" x14ac:dyDescent="0.2">
      <c r="E24" s="51"/>
      <c r="F24" t="s">
        <v>436</v>
      </c>
      <c r="G24" s="30">
        <v>1526</v>
      </c>
      <c r="H24" s="43">
        <v>114048</v>
      </c>
      <c r="I24" s="18">
        <v>105</v>
      </c>
      <c r="J24" s="18">
        <v>6.9</v>
      </c>
      <c r="K24" s="18">
        <v>217</v>
      </c>
      <c r="L24" s="18">
        <v>14.2</v>
      </c>
      <c r="M24" s="18">
        <v>464</v>
      </c>
      <c r="N24" s="18">
        <v>30.4</v>
      </c>
      <c r="O24" s="18">
        <v>0.37</v>
      </c>
    </row>
    <row r="25" spans="1:15" x14ac:dyDescent="0.2">
      <c r="E25" s="51"/>
      <c r="F25" s="16" t="s">
        <v>440</v>
      </c>
      <c r="G25" s="18">
        <v>222</v>
      </c>
      <c r="H25" s="43">
        <v>104615</v>
      </c>
      <c r="I25" s="18">
        <v>3</v>
      </c>
      <c r="J25" s="18">
        <v>1.4</v>
      </c>
      <c r="K25" s="18">
        <v>29</v>
      </c>
      <c r="L25" s="18">
        <v>13.1</v>
      </c>
      <c r="M25" s="18">
        <v>59</v>
      </c>
      <c r="N25" s="18">
        <v>26.6</v>
      </c>
      <c r="O25" s="18">
        <v>0.42</v>
      </c>
    </row>
    <row r="26" spans="1:15" x14ac:dyDescent="0.2">
      <c r="E26" s="51"/>
      <c r="F26" s="16" t="s">
        <v>443</v>
      </c>
      <c r="G26" s="30">
        <v>6855</v>
      </c>
      <c r="H26" s="43">
        <v>116019</v>
      </c>
      <c r="I26" s="18">
        <v>625</v>
      </c>
      <c r="J26" s="18">
        <v>9.1</v>
      </c>
      <c r="K26" s="30">
        <v>1105</v>
      </c>
      <c r="L26" s="18">
        <v>16.100000000000001</v>
      </c>
      <c r="M26" s="30">
        <v>2522</v>
      </c>
      <c r="N26" s="18">
        <v>36.799999999999997</v>
      </c>
      <c r="O26" s="18">
        <v>0.39</v>
      </c>
    </row>
    <row r="27" spans="1:15" x14ac:dyDescent="0.2">
      <c r="A27" s="53"/>
      <c r="B27" s="53"/>
      <c r="E27" s="51"/>
      <c r="F27" s="16" t="s">
        <v>447</v>
      </c>
      <c r="G27" s="18">
        <v>792</v>
      </c>
      <c r="H27" s="43">
        <v>95324</v>
      </c>
      <c r="I27" s="18">
        <v>93</v>
      </c>
      <c r="J27" s="18">
        <v>11.7</v>
      </c>
      <c r="K27" s="18">
        <v>209</v>
      </c>
      <c r="L27" s="18">
        <v>26.4</v>
      </c>
      <c r="M27" s="18">
        <v>186</v>
      </c>
      <c r="N27" s="18">
        <v>23.5</v>
      </c>
      <c r="O27" s="18">
        <v>0.38</v>
      </c>
    </row>
    <row r="28" spans="1:15" x14ac:dyDescent="0.2">
      <c r="E28" s="51"/>
      <c r="F28" s="16" t="s">
        <v>449</v>
      </c>
      <c r="G28" s="30">
        <v>2886</v>
      </c>
      <c r="H28" s="43">
        <v>110806</v>
      </c>
      <c r="I28" s="18">
        <v>283</v>
      </c>
      <c r="J28" s="18">
        <v>9.8000000000000007</v>
      </c>
      <c r="K28" s="18">
        <v>487</v>
      </c>
      <c r="L28" s="18">
        <v>16.899999999999999</v>
      </c>
      <c r="M28" s="30">
        <v>1000</v>
      </c>
      <c r="N28" s="18">
        <v>34.700000000000003</v>
      </c>
      <c r="O28" s="18">
        <v>0.36</v>
      </c>
    </row>
    <row r="29" spans="1:15" x14ac:dyDescent="0.2">
      <c r="E29" s="51"/>
      <c r="F29" s="16" t="s">
        <v>451</v>
      </c>
      <c r="G29" s="30">
        <v>8306</v>
      </c>
      <c r="H29" s="43">
        <v>98360</v>
      </c>
      <c r="I29" s="30">
        <v>1411</v>
      </c>
      <c r="J29" s="18">
        <v>17</v>
      </c>
      <c r="K29" s="30">
        <v>2113</v>
      </c>
      <c r="L29" s="18">
        <v>25.4</v>
      </c>
      <c r="M29" s="30">
        <v>2318</v>
      </c>
      <c r="N29" s="18">
        <v>27.9</v>
      </c>
      <c r="O29" s="18">
        <v>0.42</v>
      </c>
    </row>
    <row r="30" spans="1:15" x14ac:dyDescent="0.2">
      <c r="E30" s="51"/>
      <c r="F30" s="16" t="s">
        <v>453</v>
      </c>
      <c r="G30" s="30">
        <v>1401</v>
      </c>
      <c r="H30" s="43">
        <v>89293</v>
      </c>
      <c r="I30" s="18">
        <v>279</v>
      </c>
      <c r="J30" s="18">
        <v>19.899999999999999</v>
      </c>
      <c r="K30" s="18">
        <v>417</v>
      </c>
      <c r="L30" s="18">
        <v>29.8</v>
      </c>
      <c r="M30" s="18">
        <v>225</v>
      </c>
      <c r="N30" s="18">
        <v>16.100000000000001</v>
      </c>
      <c r="O30" s="18">
        <v>0.39</v>
      </c>
    </row>
    <row r="31" spans="1:15" x14ac:dyDescent="0.2">
      <c r="E31" s="51"/>
      <c r="F31" s="16" t="s">
        <v>455</v>
      </c>
      <c r="G31" s="30">
        <v>1535</v>
      </c>
      <c r="H31" s="43">
        <v>88348</v>
      </c>
      <c r="I31" s="18">
        <v>286</v>
      </c>
      <c r="J31" s="18">
        <v>18.600000000000001</v>
      </c>
      <c r="K31" s="18">
        <v>414</v>
      </c>
      <c r="L31" s="18">
        <v>27</v>
      </c>
      <c r="M31" s="18">
        <v>404</v>
      </c>
      <c r="N31" s="18">
        <v>26.3</v>
      </c>
      <c r="O31" s="18">
        <v>0.44</v>
      </c>
    </row>
    <row r="32" spans="1:15" x14ac:dyDescent="0.2">
      <c r="E32" s="51"/>
      <c r="F32" t="s">
        <v>457</v>
      </c>
      <c r="G32" s="30">
        <v>2621</v>
      </c>
      <c r="H32" s="43">
        <v>89652</v>
      </c>
      <c r="I32" s="18">
        <v>650</v>
      </c>
      <c r="J32" s="18">
        <v>24.8</v>
      </c>
      <c r="K32" s="18">
        <v>860</v>
      </c>
      <c r="L32" s="18">
        <v>32.799999999999997</v>
      </c>
      <c r="M32" s="18">
        <v>578</v>
      </c>
      <c r="N32" s="18">
        <v>22.1</v>
      </c>
      <c r="O32" s="18">
        <v>0.44</v>
      </c>
    </row>
    <row r="33" spans="5:15" x14ac:dyDescent="0.2">
      <c r="E33" s="51"/>
      <c r="F33" s="16" t="s">
        <v>459</v>
      </c>
      <c r="G33" s="30">
        <v>2094</v>
      </c>
      <c r="H33" s="43">
        <v>95833</v>
      </c>
      <c r="I33" s="18">
        <v>336</v>
      </c>
      <c r="J33" s="18">
        <v>16</v>
      </c>
      <c r="K33" s="18">
        <v>581</v>
      </c>
      <c r="L33" s="18">
        <v>27.7</v>
      </c>
      <c r="M33" s="18">
        <v>626</v>
      </c>
      <c r="N33" s="18">
        <v>29.9</v>
      </c>
      <c r="O33" s="18">
        <v>0.45</v>
      </c>
    </row>
    <row r="34" spans="5:15" x14ac:dyDescent="0.2">
      <c r="E34" s="51"/>
      <c r="F34" s="16" t="s">
        <v>463</v>
      </c>
      <c r="G34" s="18">
        <v>439</v>
      </c>
      <c r="H34" s="43">
        <v>80625</v>
      </c>
      <c r="I34" s="18">
        <v>46</v>
      </c>
      <c r="J34" s="18">
        <v>10.5</v>
      </c>
      <c r="K34" s="18">
        <v>95</v>
      </c>
      <c r="L34" s="18">
        <v>21.6</v>
      </c>
      <c r="M34" s="18">
        <v>66</v>
      </c>
      <c r="N34" s="18">
        <v>15</v>
      </c>
      <c r="O34" s="18">
        <v>0.42</v>
      </c>
    </row>
    <row r="35" spans="5:15" x14ac:dyDescent="0.2">
      <c r="E35" s="51"/>
      <c r="F35" s="16" t="s">
        <v>465</v>
      </c>
      <c r="G35" s="30">
        <v>10335</v>
      </c>
      <c r="H35" s="43">
        <v>51006</v>
      </c>
      <c r="I35" s="30">
        <v>3526</v>
      </c>
      <c r="J35" s="18">
        <v>34.1</v>
      </c>
      <c r="K35" s="30">
        <v>4991</v>
      </c>
      <c r="L35" s="18">
        <v>48.3</v>
      </c>
      <c r="M35" s="30">
        <v>1271</v>
      </c>
      <c r="N35" s="18">
        <v>12.3</v>
      </c>
      <c r="O35" s="18">
        <v>0.51</v>
      </c>
    </row>
    <row r="36" spans="5:15" x14ac:dyDescent="0.2">
      <c r="E36" s="51"/>
      <c r="F36" s="16" t="s">
        <v>467</v>
      </c>
      <c r="G36" s="30">
        <v>11553</v>
      </c>
      <c r="H36" s="43">
        <v>105892</v>
      </c>
      <c r="I36" s="30">
        <v>1101</v>
      </c>
      <c r="J36" s="18">
        <v>9.5</v>
      </c>
      <c r="K36" s="30">
        <v>2172</v>
      </c>
      <c r="L36" s="18">
        <v>18.8</v>
      </c>
      <c r="M36" s="30">
        <v>3334</v>
      </c>
      <c r="N36" s="18">
        <v>28.9</v>
      </c>
      <c r="O36" s="18">
        <v>0.39</v>
      </c>
    </row>
    <row r="37" spans="5:15" x14ac:dyDescent="0.2">
      <c r="E37" s="51"/>
      <c r="F37" s="16" t="s">
        <v>469</v>
      </c>
      <c r="G37" s="30">
        <v>10763</v>
      </c>
      <c r="H37" s="43">
        <v>95950</v>
      </c>
      <c r="I37" s="30">
        <v>1475</v>
      </c>
      <c r="J37" s="18">
        <v>13.7</v>
      </c>
      <c r="K37" s="30">
        <v>2920</v>
      </c>
      <c r="L37" s="18">
        <v>27.1</v>
      </c>
      <c r="M37" s="30">
        <v>3265</v>
      </c>
      <c r="N37" s="18">
        <v>30.3</v>
      </c>
      <c r="O37" s="18">
        <v>0.44</v>
      </c>
    </row>
    <row r="38" spans="5:15" x14ac:dyDescent="0.2">
      <c r="E38" s="51"/>
      <c r="F38" t="s">
        <v>471</v>
      </c>
      <c r="G38" s="30">
        <v>6869</v>
      </c>
      <c r="H38" s="43">
        <v>43171</v>
      </c>
      <c r="I38" s="30">
        <v>2432</v>
      </c>
      <c r="J38" s="18">
        <v>35.4</v>
      </c>
      <c r="K38" s="30">
        <v>3831</v>
      </c>
      <c r="L38" s="18">
        <v>55.8</v>
      </c>
      <c r="M38" s="18">
        <v>691</v>
      </c>
      <c r="N38" s="18">
        <v>10.1</v>
      </c>
      <c r="O38" s="18">
        <v>0.49</v>
      </c>
    </row>
    <row r="39" spans="5:15" x14ac:dyDescent="0.2">
      <c r="E39" s="51"/>
      <c r="F39" t="s">
        <v>473</v>
      </c>
      <c r="G39" s="30">
        <v>6869</v>
      </c>
      <c r="H39" s="43">
        <v>43171</v>
      </c>
      <c r="I39" s="30">
        <v>2432</v>
      </c>
      <c r="J39" s="18">
        <v>35.4</v>
      </c>
      <c r="K39" s="30">
        <v>3831</v>
      </c>
      <c r="L39" s="18">
        <v>55.8</v>
      </c>
      <c r="M39" s="18">
        <v>691</v>
      </c>
      <c r="N39" s="18">
        <v>10.1</v>
      </c>
      <c r="O39" s="18">
        <v>0.49</v>
      </c>
    </row>
    <row r="40" spans="5:15" x14ac:dyDescent="0.2">
      <c r="E40" s="51"/>
      <c r="F40" t="s">
        <v>476</v>
      </c>
      <c r="G40" s="30">
        <v>3533</v>
      </c>
      <c r="H40" s="43">
        <v>50721</v>
      </c>
      <c r="I40" s="30">
        <v>1254</v>
      </c>
      <c r="J40" s="18">
        <v>35.5</v>
      </c>
      <c r="K40" s="30">
        <v>1729</v>
      </c>
      <c r="L40" s="18">
        <v>48.9</v>
      </c>
      <c r="M40" s="18">
        <v>267</v>
      </c>
      <c r="N40" s="18">
        <v>7.6</v>
      </c>
      <c r="O40" s="18">
        <v>0.45</v>
      </c>
    </row>
    <row r="41" spans="5:15" x14ac:dyDescent="0.2">
      <c r="E41" s="51"/>
      <c r="F41" t="s">
        <v>497</v>
      </c>
      <c r="G41" s="30">
        <v>1539</v>
      </c>
      <c r="H41" s="43">
        <v>140938</v>
      </c>
      <c r="I41" s="18">
        <v>147</v>
      </c>
      <c r="J41" s="18">
        <v>9.6</v>
      </c>
      <c r="K41" s="18">
        <v>281</v>
      </c>
      <c r="L41" s="18">
        <v>18.3</v>
      </c>
      <c r="M41" s="18">
        <v>861</v>
      </c>
      <c r="N41" s="18">
        <v>55.9</v>
      </c>
      <c r="O41" s="18">
        <v>0.56999999999999995</v>
      </c>
    </row>
    <row r="42" spans="5:15" x14ac:dyDescent="0.2">
      <c r="E42" s="51"/>
      <c r="F42" t="s">
        <v>501</v>
      </c>
      <c r="G42" s="30">
        <v>1151</v>
      </c>
      <c r="H42" s="43">
        <v>118317</v>
      </c>
      <c r="I42" s="18">
        <v>130</v>
      </c>
      <c r="J42" s="18">
        <v>11.3</v>
      </c>
      <c r="K42" s="18">
        <v>255</v>
      </c>
      <c r="L42" s="18">
        <v>22.2</v>
      </c>
      <c r="M42" s="18">
        <v>461</v>
      </c>
      <c r="N42" s="18">
        <v>40.1</v>
      </c>
      <c r="O42" s="18">
        <v>0.47</v>
      </c>
    </row>
    <row r="43" spans="5:15" x14ac:dyDescent="0.2">
      <c r="E43" s="51"/>
      <c r="F43" t="s">
        <v>502</v>
      </c>
      <c r="G43" s="18">
        <v>388</v>
      </c>
      <c r="H43" s="18" t="s">
        <v>1345</v>
      </c>
      <c r="I43" s="18">
        <v>15</v>
      </c>
      <c r="J43" s="18">
        <v>3.9</v>
      </c>
      <c r="K43" s="18">
        <v>24</v>
      </c>
      <c r="L43" s="18">
        <v>6.2</v>
      </c>
      <c r="M43" s="18">
        <v>290</v>
      </c>
      <c r="N43" s="18">
        <v>74.7</v>
      </c>
      <c r="O43" s="18">
        <v>0.44</v>
      </c>
    </row>
    <row r="44" spans="5:15" x14ac:dyDescent="0.2">
      <c r="E44" s="51"/>
      <c r="F44" t="s">
        <v>503</v>
      </c>
      <c r="G44" s="30">
        <v>11910</v>
      </c>
      <c r="H44" s="43">
        <v>94002</v>
      </c>
      <c r="I44" s="30">
        <v>1746</v>
      </c>
      <c r="J44" s="18">
        <v>14.7</v>
      </c>
      <c r="K44" s="30">
        <v>2669</v>
      </c>
      <c r="L44" s="18">
        <v>22.4</v>
      </c>
      <c r="M44" s="30">
        <v>2560</v>
      </c>
      <c r="N44" s="18">
        <v>21.5</v>
      </c>
      <c r="O44" s="18">
        <v>0.39</v>
      </c>
    </row>
    <row r="45" spans="5:15" x14ac:dyDescent="0.2">
      <c r="E45" s="51"/>
      <c r="F45" t="s">
        <v>504</v>
      </c>
      <c r="G45" s="30">
        <v>11743</v>
      </c>
      <c r="H45" s="43">
        <v>117680</v>
      </c>
      <c r="I45" s="30">
        <v>1362</v>
      </c>
      <c r="J45" s="18">
        <v>11.6</v>
      </c>
      <c r="K45" s="30">
        <v>2244</v>
      </c>
      <c r="L45" s="18">
        <v>19.100000000000001</v>
      </c>
      <c r="M45" s="30">
        <v>4501</v>
      </c>
      <c r="N45" s="18">
        <v>38.299999999999997</v>
      </c>
      <c r="O45" s="18">
        <v>0.42</v>
      </c>
    </row>
    <row r="46" spans="5:15" x14ac:dyDescent="0.2">
      <c r="E46" s="51"/>
      <c r="F46" t="s">
        <v>505</v>
      </c>
      <c r="G46" s="18">
        <v>936</v>
      </c>
      <c r="H46" s="43">
        <v>117083</v>
      </c>
      <c r="I46" s="18">
        <v>88</v>
      </c>
      <c r="J46" s="18">
        <v>9.4</v>
      </c>
      <c r="K46" s="18">
        <v>127</v>
      </c>
      <c r="L46" s="18">
        <v>13.6</v>
      </c>
      <c r="M46" s="18">
        <v>247</v>
      </c>
      <c r="N46" s="18">
        <v>26.4</v>
      </c>
      <c r="O46" s="18">
        <v>0.34</v>
      </c>
    </row>
    <row r="47" spans="5:15" x14ac:dyDescent="0.2">
      <c r="E47" s="51"/>
      <c r="F47" t="s">
        <v>506</v>
      </c>
      <c r="G47" s="30">
        <v>1181</v>
      </c>
      <c r="H47" s="43">
        <v>80240</v>
      </c>
      <c r="I47" s="18">
        <v>169</v>
      </c>
      <c r="J47" s="18">
        <v>14.3</v>
      </c>
      <c r="K47" s="18">
        <v>275</v>
      </c>
      <c r="L47" s="18">
        <v>23.3</v>
      </c>
      <c r="M47" s="18">
        <v>223</v>
      </c>
      <c r="N47" s="18">
        <v>18.899999999999999</v>
      </c>
      <c r="O47" s="18">
        <v>0.4</v>
      </c>
    </row>
    <row r="48" spans="5:15" x14ac:dyDescent="0.2">
      <c r="E48" s="51"/>
      <c r="F48" t="s">
        <v>507</v>
      </c>
      <c r="G48" s="30">
        <v>2998</v>
      </c>
      <c r="H48" s="43">
        <v>81250</v>
      </c>
      <c r="I48" s="18">
        <v>792</v>
      </c>
      <c r="J48" s="18">
        <v>26.4</v>
      </c>
      <c r="K48" s="30">
        <v>1170</v>
      </c>
      <c r="L48" s="18">
        <v>39</v>
      </c>
      <c r="M48" s="18">
        <v>800</v>
      </c>
      <c r="N48" s="18">
        <v>26.7</v>
      </c>
      <c r="O48" s="18">
        <v>0.48</v>
      </c>
    </row>
    <row r="49" spans="5:15" x14ac:dyDescent="0.2">
      <c r="E49" s="51"/>
      <c r="F49" t="s">
        <v>508</v>
      </c>
      <c r="G49" s="30">
        <v>2468</v>
      </c>
      <c r="H49" s="43">
        <v>150000</v>
      </c>
      <c r="I49" s="18">
        <v>196</v>
      </c>
      <c r="J49" s="18">
        <v>7.9</v>
      </c>
      <c r="K49" s="18">
        <v>429</v>
      </c>
      <c r="L49" s="18">
        <v>17.399999999999999</v>
      </c>
      <c r="M49" s="30">
        <v>1234</v>
      </c>
      <c r="N49" s="18">
        <v>50</v>
      </c>
      <c r="O49" s="18">
        <v>0.38</v>
      </c>
    </row>
    <row r="50" spans="5:15" x14ac:dyDescent="0.2">
      <c r="E50" s="51"/>
      <c r="F50" t="s">
        <v>509</v>
      </c>
      <c r="G50" s="30">
        <v>3822</v>
      </c>
      <c r="H50" s="43">
        <v>133953</v>
      </c>
      <c r="I50" s="18">
        <v>279</v>
      </c>
      <c r="J50" s="18">
        <v>7.3</v>
      </c>
      <c r="K50" s="18">
        <v>498</v>
      </c>
      <c r="L50" s="18">
        <v>13</v>
      </c>
      <c r="M50" s="30">
        <v>1746</v>
      </c>
      <c r="N50" s="18">
        <v>45.6</v>
      </c>
      <c r="O50" s="18">
        <v>0.38</v>
      </c>
    </row>
    <row r="51" spans="5:15" x14ac:dyDescent="0.2">
      <c r="E51" s="51"/>
      <c r="F51" t="s">
        <v>447</v>
      </c>
      <c r="G51" s="18">
        <v>259</v>
      </c>
      <c r="H51" s="43">
        <v>95324</v>
      </c>
      <c r="I51" s="18">
        <v>39</v>
      </c>
      <c r="J51" s="18">
        <v>15.1</v>
      </c>
      <c r="K51" s="18">
        <v>43</v>
      </c>
      <c r="L51" s="18">
        <v>16.600000000000001</v>
      </c>
      <c r="M51" s="18">
        <v>40</v>
      </c>
      <c r="N51" s="18">
        <v>15.4</v>
      </c>
      <c r="O51" s="18">
        <v>0.38</v>
      </c>
    </row>
    <row r="52" spans="5:15" x14ac:dyDescent="0.2">
      <c r="E52" s="51"/>
      <c r="F52" t="s">
        <v>510</v>
      </c>
      <c r="G52" s="30">
        <v>3563</v>
      </c>
      <c r="H52" s="43">
        <v>141607</v>
      </c>
      <c r="I52" s="18">
        <v>240</v>
      </c>
      <c r="J52" s="18">
        <v>6.7</v>
      </c>
      <c r="K52" s="18">
        <v>455</v>
      </c>
      <c r="L52" s="18">
        <v>12.8</v>
      </c>
      <c r="M52" s="30">
        <v>1706</v>
      </c>
      <c r="N52" s="18">
        <v>47.9</v>
      </c>
      <c r="O52" s="18">
        <v>0.37</v>
      </c>
    </row>
    <row r="53" spans="5:15" x14ac:dyDescent="0.2">
      <c r="E53" s="51"/>
    </row>
    <row r="54" spans="5:15" x14ac:dyDescent="0.2">
      <c r="E54" s="51"/>
    </row>
    <row r="55" spans="5:15" x14ac:dyDescent="0.2">
      <c r="E55" s="51"/>
    </row>
    <row r="56" spans="5:15" x14ac:dyDescent="0.2">
      <c r="E56" s="51"/>
    </row>
    <row r="57" spans="5:15" x14ac:dyDescent="0.2">
      <c r="E57" s="51"/>
    </row>
  </sheetData>
  <mergeCells count="14">
    <mergeCell ref="I5:J5"/>
    <mergeCell ref="K5:L5"/>
    <mergeCell ref="M5:N5"/>
    <mergeCell ref="O5:O6"/>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91463FDD-2E4D-4826-866E-4AE32FBD4926}">
      <formula1>"integer, number, percent1"</formula1>
    </dataValidation>
    <dataValidation type="list" allowBlank="1" showInputMessage="1" showErrorMessage="1" sqref="B10" xr:uid="{02E232C4-EB95-4355-8A80-FD6E46B3F161}">
      <formula1>"Line,Clustered Bar,Stacked Bar,Bar,Horizontal Stacked Bar"</formula1>
    </dataValidation>
    <dataValidation type="list" allowBlank="1" showInputMessage="1" showErrorMessage="1" sqref="B2" xr:uid="{DCEE4291-09F4-4216-8CB0-C72686E45D0C}">
      <formula1>"Table,Figure,Both"</formula1>
    </dataValidation>
    <dataValidation type="list" allowBlank="1" showInputMessage="1" showErrorMessage="1" sqref="B6 B15:B16" xr:uid="{2E71D8F0-509F-4420-ACC0-6C0A7C8FA2D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6097B7D-4C06-4F95-91FA-49F943111416}">
          <x14:formula1>
            <xm:f>Dropdowns!$B$2:$B$9</xm:f>
          </x14:formula1>
          <xm:sqref>B14</xm:sqref>
        </x14:dataValidation>
        <x14:dataValidation type="list" allowBlank="1" showInputMessage="1" showErrorMessage="1" xr:uid="{1F5A9BEC-B8B6-4FB5-804B-F616086994C2}">
          <x14:formula1>
            <xm:f>Dropdowns!$A$1:$A$8</xm:f>
          </x14:formula1>
          <xm:sqref>F4:O4</xm:sqref>
        </x14:dataValidation>
        <x14:dataValidation type="list" allowBlank="1" showInputMessage="1" showErrorMessage="1" xr:uid="{0930B39F-CC3C-48F3-B113-3AEB047A677E}">
          <x14:formula1>
            <xm:f>Master!$F$2:$F$401</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69DC8-928B-42CD-9826-E84347DEDB55}">
  <dimension ref="A1:Q57"/>
  <sheetViews>
    <sheetView workbookViewId="0">
      <selection activeCell="F37" sqref="F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301</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tbl-poverty-threshold</v>
      </c>
    </row>
    <row r="4" spans="1:17" x14ac:dyDescent="0.2">
      <c r="A4" s="17" t="s">
        <v>5</v>
      </c>
      <c r="B4" t="str">
        <f>IF($B$1="","",_xlfn.XLOOKUP($B$1,Master!$E$2:$E$320,Master!$G$2:$G$320,""))</f>
        <v>fig-poverty-threshold</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50" t="s">
        <v>255</v>
      </c>
      <c r="B5" s="51"/>
      <c r="E5" s="52" t="s">
        <v>256</v>
      </c>
      <c r="F5" s="53" t="s">
        <v>1348</v>
      </c>
      <c r="G5" s="53" t="s">
        <v>1349</v>
      </c>
      <c r="H5" s="53"/>
      <c r="I5" s="53"/>
      <c r="J5" s="53"/>
      <c r="K5" s="53"/>
      <c r="L5" s="53"/>
      <c r="M5" s="53"/>
      <c r="N5" s="53"/>
      <c r="O5" s="53"/>
    </row>
    <row r="6" spans="1:17" ht="15" customHeight="1" x14ac:dyDescent="0.2">
      <c r="A6" t="s">
        <v>259</v>
      </c>
      <c r="B6" t="b">
        <v>1</v>
      </c>
      <c r="E6" s="51"/>
      <c r="F6" s="53"/>
      <c r="G6" s="16" t="s">
        <v>1350</v>
      </c>
      <c r="H6" s="16" t="s">
        <v>1351</v>
      </c>
      <c r="I6" s="16" t="s">
        <v>1352</v>
      </c>
      <c r="J6" s="16" t="s">
        <v>1353</v>
      </c>
      <c r="K6" s="16" t="s">
        <v>1354</v>
      </c>
      <c r="L6" s="16" t="s">
        <v>1355</v>
      </c>
      <c r="M6" s="16" t="s">
        <v>1356</v>
      </c>
      <c r="N6" s="16" t="s">
        <v>1357</v>
      </c>
      <c r="O6" s="16" t="s">
        <v>1358</v>
      </c>
    </row>
    <row r="7" spans="1:17" ht="15.75" customHeight="1" x14ac:dyDescent="0.2">
      <c r="E7" s="51"/>
      <c r="F7" s="60" t="s">
        <v>1359</v>
      </c>
      <c r="G7" s="60"/>
      <c r="H7" s="60"/>
      <c r="I7" s="60"/>
      <c r="J7" s="60"/>
      <c r="K7" s="60"/>
      <c r="L7" s="60"/>
      <c r="M7" s="60"/>
      <c r="N7" s="60"/>
      <c r="O7" s="60"/>
    </row>
    <row r="8" spans="1:17" x14ac:dyDescent="0.2">
      <c r="E8" s="51"/>
      <c r="F8" t="s">
        <v>1360</v>
      </c>
      <c r="G8" s="41">
        <v>16320</v>
      </c>
      <c r="H8" s="16"/>
      <c r="I8" s="16"/>
      <c r="J8" s="16"/>
      <c r="K8" s="16"/>
      <c r="L8" s="16"/>
      <c r="M8" s="16"/>
      <c r="N8" s="16"/>
      <c r="O8" s="16"/>
    </row>
    <row r="9" spans="1:17" x14ac:dyDescent="0.2">
      <c r="A9" s="50" t="s">
        <v>260</v>
      </c>
      <c r="B9" s="51"/>
      <c r="E9" s="51"/>
      <c r="F9" t="s">
        <v>1361</v>
      </c>
      <c r="G9" s="41">
        <v>15045</v>
      </c>
    </row>
    <row r="10" spans="1:17" x14ac:dyDescent="0.2">
      <c r="A10" t="s">
        <v>261</v>
      </c>
      <c r="E10" s="51"/>
      <c r="F10" s="60" t="s">
        <v>1362</v>
      </c>
      <c r="G10" s="60"/>
      <c r="H10" s="60"/>
      <c r="I10" s="60"/>
      <c r="J10" s="60"/>
      <c r="K10" s="60"/>
      <c r="L10" s="60"/>
      <c r="M10" s="60"/>
      <c r="N10" s="60"/>
      <c r="O10" s="60"/>
    </row>
    <row r="11" spans="1:17" x14ac:dyDescent="0.2">
      <c r="A11" t="s">
        <v>262</v>
      </c>
      <c r="E11" s="51"/>
      <c r="F11" s="22" t="s">
        <v>1363</v>
      </c>
      <c r="G11" s="43">
        <v>21006</v>
      </c>
      <c r="H11" s="43">
        <v>21621</v>
      </c>
      <c r="I11" s="16"/>
      <c r="J11" s="16"/>
      <c r="K11" s="16"/>
      <c r="L11" s="16"/>
    </row>
    <row r="12" spans="1:17" x14ac:dyDescent="0.2">
      <c r="A12" t="s">
        <v>263</v>
      </c>
      <c r="E12" s="51"/>
      <c r="F12" t="s">
        <v>1364</v>
      </c>
      <c r="G12" s="42">
        <v>18961</v>
      </c>
      <c r="H12" s="42">
        <v>21540</v>
      </c>
    </row>
    <row r="13" spans="1:17" x14ac:dyDescent="0.2">
      <c r="A13" t="s">
        <v>264</v>
      </c>
      <c r="E13" s="51"/>
      <c r="F13" t="s">
        <v>1365</v>
      </c>
      <c r="G13" s="42">
        <v>24537</v>
      </c>
      <c r="H13" s="42">
        <v>25249</v>
      </c>
      <c r="I13" s="42">
        <v>25273</v>
      </c>
    </row>
    <row r="14" spans="1:17" x14ac:dyDescent="0.2">
      <c r="A14" t="s">
        <v>265</v>
      </c>
      <c r="E14" s="51"/>
      <c r="F14" t="s">
        <v>1366</v>
      </c>
      <c r="G14" s="42">
        <v>32355</v>
      </c>
      <c r="H14" s="42">
        <v>32884</v>
      </c>
      <c r="I14" s="42">
        <v>31812</v>
      </c>
      <c r="J14" s="42">
        <v>31922</v>
      </c>
    </row>
    <row r="15" spans="1:17" x14ac:dyDescent="0.2">
      <c r="A15" t="s">
        <v>267</v>
      </c>
      <c r="E15" s="51"/>
      <c r="F15" t="s">
        <v>1367</v>
      </c>
      <c r="G15" s="42">
        <v>39019</v>
      </c>
      <c r="H15" s="42">
        <v>39586</v>
      </c>
      <c r="I15" s="42">
        <v>38374</v>
      </c>
      <c r="J15" s="42">
        <v>37436</v>
      </c>
      <c r="K15" s="42">
        <v>36863</v>
      </c>
    </row>
    <row r="16" spans="1:17" x14ac:dyDescent="0.2">
      <c r="A16" t="s">
        <v>274</v>
      </c>
      <c r="E16" s="51"/>
      <c r="F16" t="s">
        <v>1368</v>
      </c>
      <c r="G16" s="42">
        <v>44879</v>
      </c>
      <c r="H16" s="42">
        <v>45057</v>
      </c>
      <c r="I16" s="42">
        <v>44128</v>
      </c>
      <c r="J16" s="42">
        <v>43238</v>
      </c>
      <c r="K16" s="42">
        <v>41915</v>
      </c>
      <c r="L16" s="42">
        <v>41131</v>
      </c>
    </row>
    <row r="17" spans="1:15" x14ac:dyDescent="0.2">
      <c r="E17" s="51"/>
      <c r="F17" t="s">
        <v>1369</v>
      </c>
      <c r="G17" s="42">
        <v>51638</v>
      </c>
      <c r="H17" s="42">
        <v>51961</v>
      </c>
      <c r="I17" s="42">
        <v>50849</v>
      </c>
      <c r="J17" s="42">
        <v>50075</v>
      </c>
      <c r="K17" s="42">
        <v>48631</v>
      </c>
      <c r="L17" s="42">
        <v>46948</v>
      </c>
      <c r="M17" s="42">
        <v>45100</v>
      </c>
    </row>
    <row r="18" spans="1:15" x14ac:dyDescent="0.2">
      <c r="A18" s="50" t="s">
        <v>268</v>
      </c>
      <c r="B18" s="51"/>
      <c r="E18" s="51"/>
      <c r="F18" t="s">
        <v>1370</v>
      </c>
      <c r="G18" s="42">
        <v>57753</v>
      </c>
      <c r="H18" s="42">
        <v>58263</v>
      </c>
      <c r="I18" s="42">
        <v>57215</v>
      </c>
      <c r="J18" s="42">
        <v>56296</v>
      </c>
      <c r="K18" s="42">
        <v>54992</v>
      </c>
      <c r="L18" s="42">
        <v>53337</v>
      </c>
      <c r="M18" s="42">
        <v>51614</v>
      </c>
      <c r="N18" s="42">
        <v>51177</v>
      </c>
    </row>
    <row r="19" spans="1:15" x14ac:dyDescent="0.2">
      <c r="A19" t="s">
        <v>1250</v>
      </c>
      <c r="B19" t="s">
        <v>1373</v>
      </c>
      <c r="E19" s="51"/>
      <c r="F19" s="39" t="s">
        <v>1371</v>
      </c>
      <c r="G19" s="41">
        <v>69473</v>
      </c>
      <c r="H19" s="41">
        <v>69810</v>
      </c>
      <c r="I19" s="42">
        <v>68882</v>
      </c>
      <c r="J19" s="42">
        <v>68102</v>
      </c>
      <c r="K19" s="42">
        <v>66822</v>
      </c>
      <c r="L19" s="42">
        <v>65062</v>
      </c>
      <c r="M19" s="42">
        <v>63469</v>
      </c>
      <c r="N19" s="42">
        <v>63075</v>
      </c>
      <c r="O19" s="42">
        <v>60640</v>
      </c>
    </row>
    <row r="20" spans="1:15" x14ac:dyDescent="0.2">
      <c r="E20" s="51"/>
      <c r="F20" s="16"/>
      <c r="G20" s="16"/>
      <c r="H20" s="16"/>
    </row>
    <row r="21" spans="1:15" x14ac:dyDescent="0.2">
      <c r="A21" s="53" t="s">
        <v>269</v>
      </c>
      <c r="B21" s="51"/>
      <c r="E21" s="51"/>
      <c r="F21" s="16"/>
      <c r="G21" s="16"/>
      <c r="H21" s="16"/>
    </row>
    <row r="22" spans="1:15" x14ac:dyDescent="0.2">
      <c r="A22" t="s">
        <v>1249</v>
      </c>
      <c r="B22" t="s">
        <v>1372</v>
      </c>
      <c r="E22" s="51"/>
      <c r="F22" s="16"/>
      <c r="G22" s="16"/>
      <c r="H22" s="16"/>
    </row>
    <row r="23" spans="1:15" x14ac:dyDescent="0.2">
      <c r="E23" s="51"/>
    </row>
    <row r="24" spans="1:15" x14ac:dyDescent="0.2">
      <c r="E24" s="51"/>
      <c r="F24" s="16"/>
      <c r="G24" s="16"/>
      <c r="H24" s="16"/>
      <c r="K24" t="s">
        <v>28</v>
      </c>
    </row>
    <row r="25" spans="1:15" x14ac:dyDescent="0.2">
      <c r="E25" s="51"/>
      <c r="F25" s="16"/>
      <c r="G25" s="16"/>
      <c r="H25" s="16"/>
    </row>
    <row r="26" spans="1:15" x14ac:dyDescent="0.2">
      <c r="E26" s="51"/>
      <c r="F26" s="16"/>
      <c r="G26" s="16"/>
      <c r="H26" s="16"/>
    </row>
    <row r="27" spans="1:15" x14ac:dyDescent="0.2">
      <c r="A27" s="53"/>
      <c r="B27" s="53"/>
      <c r="E27" s="51"/>
      <c r="F27" s="16"/>
      <c r="G27" s="16"/>
      <c r="H27" s="16"/>
    </row>
    <row r="28" spans="1:15" x14ac:dyDescent="0.2">
      <c r="E28" s="51"/>
      <c r="F28" s="16"/>
      <c r="G28" s="16"/>
      <c r="H28" s="16"/>
    </row>
    <row r="29" spans="1:15" x14ac:dyDescent="0.2">
      <c r="E29" s="51"/>
      <c r="F29" s="16"/>
      <c r="G29" s="16"/>
      <c r="H29" s="16"/>
    </row>
    <row r="30" spans="1:15" x14ac:dyDescent="0.2">
      <c r="E30" s="51"/>
      <c r="F30" s="16"/>
      <c r="G30" s="16"/>
      <c r="H30" s="16"/>
      <c r="K30" t="s">
        <v>280</v>
      </c>
    </row>
    <row r="31" spans="1:15" x14ac:dyDescent="0.2">
      <c r="E31" s="51"/>
    </row>
    <row r="32" spans="1:15" x14ac:dyDescent="0.2">
      <c r="E32" s="51"/>
      <c r="F32" s="16"/>
      <c r="G32" s="16"/>
      <c r="H32" s="16"/>
    </row>
    <row r="33" spans="5:9" x14ac:dyDescent="0.2">
      <c r="E33" s="51"/>
      <c r="F33" s="16"/>
      <c r="G33" s="16"/>
      <c r="H33" s="16"/>
      <c r="I33" s="18"/>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1">
    <mergeCell ref="F10:O10"/>
    <mergeCell ref="B1:O1"/>
    <mergeCell ref="A5:B5"/>
    <mergeCell ref="E5:E57"/>
    <mergeCell ref="A9:B9"/>
    <mergeCell ref="A18:B18"/>
    <mergeCell ref="A21:B21"/>
    <mergeCell ref="A27:B27"/>
    <mergeCell ref="F5:F6"/>
    <mergeCell ref="G5:O5"/>
    <mergeCell ref="F7:O7"/>
  </mergeCells>
  <dataValidations count="4">
    <dataValidation type="list" allowBlank="1" showInputMessage="1" showErrorMessage="1" sqref="P4:Q4" xr:uid="{E2B46493-BF95-42E2-8F10-3C66722B6089}">
      <formula1>"integer, number, percent1"</formula1>
    </dataValidation>
    <dataValidation type="list" allowBlank="1" showInputMessage="1" showErrorMessage="1" sqref="B10" xr:uid="{52ADE86E-1574-4C75-9AF5-45CBAA5157DF}">
      <formula1>"Line,Clustered Bar,Stacked Bar,Bar,Horizontal Stacked Bar"</formula1>
    </dataValidation>
    <dataValidation type="list" allowBlank="1" showInputMessage="1" showErrorMessage="1" sqref="B2" xr:uid="{C7D3FBEB-67DF-4EFF-B93F-9EE96261643B}">
      <formula1>"Table,Figure,Both"</formula1>
    </dataValidation>
    <dataValidation type="list" allowBlank="1" showInputMessage="1" showErrorMessage="1" sqref="B6 B15:B16" xr:uid="{C07B806F-1FD7-4E71-B002-AFF0C7A8886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011933-FE88-4535-9140-C87258000289}">
          <x14:formula1>
            <xm:f>Dropdowns!$B$2:$B$9</xm:f>
          </x14:formula1>
          <xm:sqref>B14</xm:sqref>
        </x14:dataValidation>
        <x14:dataValidation type="list" allowBlank="1" showInputMessage="1" showErrorMessage="1" xr:uid="{5EA4A7E5-06A9-4FC0-A35C-CC17671A700C}">
          <x14:formula1>
            <xm:f>Dropdowns!$A$1:$A$8</xm:f>
          </x14:formula1>
          <xm:sqref>F4:O4</xm:sqref>
        </x14:dataValidation>
        <x14:dataValidation type="list" allowBlank="1" showInputMessage="1" showErrorMessage="1" xr:uid="{0F8AAE87-93BE-4183-985A-70ECBC9576A6}">
          <x14:formula1>
            <xm:f>Master!$F$2:$F$401</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D4ABD-D43C-4920-94C5-2BBDEE2F5708}">
  <dimension ref="A1:Q57"/>
  <sheetViews>
    <sheetView workbookViewId="0">
      <selection activeCell="F24" sqref="F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7" t="s">
        <v>252</v>
      </c>
      <c r="B1" s="48" t="s">
        <v>302</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tbl-poverty-age-rande</v>
      </c>
    </row>
    <row r="4" spans="1:17" x14ac:dyDescent="0.2">
      <c r="A4" s="17" t="s">
        <v>5</v>
      </c>
      <c r="B4" t="str">
        <f>IF($B$1="","",_xlfn.XLOOKUP($B$1,Master!$E$2:$E$320,Master!$G$2:$G$320,""))</f>
        <v>fig-poverty-age-rande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0" t="s">
        <v>255</v>
      </c>
      <c r="B5" s="51"/>
      <c r="E5" s="52" t="s">
        <v>256</v>
      </c>
      <c r="F5" s="54" t="s">
        <v>394</v>
      </c>
      <c r="G5" s="54" t="s">
        <v>1374</v>
      </c>
      <c r="H5" s="54" t="s">
        <v>1375</v>
      </c>
      <c r="I5" s="54" t="s">
        <v>1376</v>
      </c>
      <c r="J5" s="54"/>
      <c r="K5" s="54"/>
      <c r="L5" s="54" t="s">
        <v>1385</v>
      </c>
      <c r="M5" s="54"/>
      <c r="N5" s="54"/>
      <c r="O5" s="54"/>
      <c r="P5" s="54"/>
    </row>
    <row r="6" spans="1:17" ht="15" customHeight="1" x14ac:dyDescent="0.2">
      <c r="A6" t="s">
        <v>259</v>
      </c>
      <c r="B6" t="b">
        <v>1</v>
      </c>
      <c r="E6" s="51"/>
      <c r="F6" s="54"/>
      <c r="G6" s="54"/>
      <c r="H6" s="54"/>
      <c r="I6" s="18" t="s">
        <v>1377</v>
      </c>
      <c r="J6" s="18" t="s">
        <v>1378</v>
      </c>
      <c r="K6" s="18" t="s">
        <v>1379</v>
      </c>
      <c r="L6" s="18" t="s">
        <v>1380</v>
      </c>
      <c r="M6" s="18" t="s">
        <v>1381</v>
      </c>
      <c r="N6" s="18" t="s">
        <v>1382</v>
      </c>
      <c r="O6" s="18" t="s">
        <v>1383</v>
      </c>
      <c r="P6" s="18" t="s">
        <v>1384</v>
      </c>
    </row>
    <row r="7" spans="1:17" ht="15.75" customHeight="1" x14ac:dyDescent="0.2">
      <c r="E7" s="51"/>
      <c r="F7" t="s">
        <v>396</v>
      </c>
      <c r="G7" s="24">
        <v>395402</v>
      </c>
      <c r="H7" s="24">
        <v>51238</v>
      </c>
      <c r="I7" s="24">
        <v>19619</v>
      </c>
      <c r="J7" s="24">
        <v>25992</v>
      </c>
      <c r="K7" s="24">
        <v>5697</v>
      </c>
      <c r="L7" s="24">
        <v>32525</v>
      </c>
      <c r="M7" s="24">
        <v>6471</v>
      </c>
      <c r="N7" s="24">
        <v>1134</v>
      </c>
      <c r="O7" s="24">
        <v>4573</v>
      </c>
      <c r="P7" s="24">
        <v>11485</v>
      </c>
    </row>
    <row r="8" spans="1:17" x14ac:dyDescent="0.2">
      <c r="E8" s="51"/>
      <c r="F8" t="s">
        <v>397</v>
      </c>
      <c r="G8" s="24">
        <v>18639</v>
      </c>
      <c r="H8" s="24">
        <v>2428</v>
      </c>
      <c r="I8" s="24">
        <v>1155</v>
      </c>
      <c r="J8" s="24">
        <v>1025</v>
      </c>
      <c r="K8" s="16">
        <v>248</v>
      </c>
      <c r="L8" s="24">
        <v>1796</v>
      </c>
      <c r="M8" s="16">
        <v>106</v>
      </c>
      <c r="N8" s="16">
        <v>51</v>
      </c>
      <c r="O8" s="16">
        <v>107</v>
      </c>
      <c r="P8" s="16">
        <v>468</v>
      </c>
    </row>
    <row r="9" spans="1:17" x14ac:dyDescent="0.2">
      <c r="A9" s="50" t="s">
        <v>260</v>
      </c>
      <c r="B9" s="51"/>
      <c r="E9" s="51"/>
      <c r="F9" t="s">
        <v>398</v>
      </c>
      <c r="G9" s="24">
        <v>3880</v>
      </c>
      <c r="H9" s="24">
        <v>1524</v>
      </c>
      <c r="I9" s="16">
        <v>954</v>
      </c>
      <c r="J9" s="16">
        <v>564</v>
      </c>
      <c r="K9" s="16">
        <v>6</v>
      </c>
      <c r="L9" s="24">
        <v>1323</v>
      </c>
      <c r="M9" s="16">
        <v>33</v>
      </c>
      <c r="N9" s="16">
        <v>0</v>
      </c>
      <c r="O9" s="16">
        <v>7</v>
      </c>
      <c r="P9" s="16">
        <v>161</v>
      </c>
    </row>
    <row r="10" spans="1:17" x14ac:dyDescent="0.2">
      <c r="A10" t="s">
        <v>261</v>
      </c>
      <c r="E10" s="51"/>
      <c r="F10" t="s">
        <v>399</v>
      </c>
      <c r="G10" s="24">
        <v>5718</v>
      </c>
      <c r="H10" s="16">
        <v>422</v>
      </c>
      <c r="I10" s="16">
        <v>54</v>
      </c>
      <c r="J10" s="16">
        <v>189</v>
      </c>
      <c r="K10" s="16">
        <v>179</v>
      </c>
      <c r="L10" s="16">
        <v>233</v>
      </c>
      <c r="M10" s="16">
        <v>51</v>
      </c>
      <c r="N10" s="16">
        <v>30</v>
      </c>
      <c r="O10" s="16">
        <v>69</v>
      </c>
      <c r="P10" s="16">
        <v>129</v>
      </c>
    </row>
    <row r="11" spans="1:17" x14ac:dyDescent="0.2">
      <c r="A11" t="s">
        <v>262</v>
      </c>
      <c r="E11" s="51"/>
      <c r="F11" t="s">
        <v>400</v>
      </c>
      <c r="G11" s="24">
        <v>12333</v>
      </c>
      <c r="H11" s="16">
        <v>907</v>
      </c>
      <c r="I11" s="16">
        <v>53</v>
      </c>
      <c r="J11" s="18">
        <v>660</v>
      </c>
      <c r="K11" s="18">
        <v>194</v>
      </c>
      <c r="L11" s="18">
        <v>771</v>
      </c>
      <c r="M11" s="18">
        <v>4</v>
      </c>
      <c r="N11" s="18">
        <v>0</v>
      </c>
      <c r="O11" s="16">
        <v>132</v>
      </c>
      <c r="P11" s="16">
        <v>64</v>
      </c>
    </row>
    <row r="12" spans="1:17" x14ac:dyDescent="0.2">
      <c r="A12" t="s">
        <v>263</v>
      </c>
      <c r="E12" s="51"/>
      <c r="F12" s="22" t="s">
        <v>401</v>
      </c>
      <c r="G12" s="30">
        <v>4050</v>
      </c>
      <c r="H12" s="18">
        <v>262</v>
      </c>
      <c r="I12" s="16">
        <v>0</v>
      </c>
      <c r="J12" s="16">
        <v>203</v>
      </c>
      <c r="K12" s="16">
        <v>59</v>
      </c>
      <c r="L12" s="16">
        <v>130</v>
      </c>
      <c r="M12" s="16">
        <v>0</v>
      </c>
      <c r="N12" s="16">
        <v>0</v>
      </c>
      <c r="O12" s="16">
        <v>132</v>
      </c>
      <c r="P12" s="16">
        <v>64</v>
      </c>
    </row>
    <row r="13" spans="1:17" x14ac:dyDescent="0.2">
      <c r="A13" t="s">
        <v>264</v>
      </c>
      <c r="E13" s="51"/>
      <c r="F13" t="s">
        <v>404</v>
      </c>
      <c r="G13" s="24">
        <v>12758</v>
      </c>
      <c r="H13" s="16">
        <v>622</v>
      </c>
      <c r="I13" s="16">
        <v>108</v>
      </c>
      <c r="J13" s="16">
        <v>304</v>
      </c>
      <c r="K13" s="16">
        <v>210</v>
      </c>
      <c r="L13" s="16">
        <v>480</v>
      </c>
      <c r="M13" s="16">
        <v>14</v>
      </c>
      <c r="N13" s="16">
        <v>72</v>
      </c>
      <c r="O13" s="16">
        <v>47</v>
      </c>
      <c r="P13" s="16">
        <v>67</v>
      </c>
    </row>
    <row r="14" spans="1:17" x14ac:dyDescent="0.2">
      <c r="A14" t="s">
        <v>265</v>
      </c>
      <c r="E14" s="51"/>
      <c r="F14" t="s">
        <v>407</v>
      </c>
      <c r="G14" s="24">
        <v>3009</v>
      </c>
      <c r="H14" s="16">
        <v>72</v>
      </c>
      <c r="I14" s="16">
        <v>0</v>
      </c>
      <c r="J14" s="16">
        <v>26</v>
      </c>
      <c r="K14" s="16">
        <v>46</v>
      </c>
      <c r="L14" s="16">
        <v>72</v>
      </c>
      <c r="M14" s="16">
        <v>0</v>
      </c>
      <c r="N14" s="16">
        <v>0</v>
      </c>
      <c r="O14" s="16">
        <v>0</v>
      </c>
      <c r="P14" s="16">
        <v>0</v>
      </c>
    </row>
    <row r="15" spans="1:17" x14ac:dyDescent="0.2">
      <c r="A15" t="s">
        <v>267</v>
      </c>
      <c r="E15" s="51"/>
      <c r="F15" t="s">
        <v>408</v>
      </c>
      <c r="G15" s="24">
        <v>9077</v>
      </c>
      <c r="H15" s="16">
        <v>320</v>
      </c>
      <c r="I15" s="16">
        <v>50</v>
      </c>
      <c r="J15" s="16">
        <v>231</v>
      </c>
      <c r="K15" s="16">
        <v>39</v>
      </c>
      <c r="L15" s="16">
        <v>185</v>
      </c>
      <c r="M15" s="16">
        <v>86</v>
      </c>
      <c r="N15" s="16">
        <v>0</v>
      </c>
      <c r="O15" s="16">
        <v>38</v>
      </c>
      <c r="P15" s="16">
        <v>72</v>
      </c>
    </row>
    <row r="16" spans="1:17" x14ac:dyDescent="0.2">
      <c r="A16" t="s">
        <v>274</v>
      </c>
      <c r="E16" s="51"/>
      <c r="F16" t="s">
        <v>409</v>
      </c>
      <c r="G16" s="24">
        <v>7359</v>
      </c>
      <c r="H16" s="16">
        <v>627</v>
      </c>
      <c r="I16" s="16">
        <v>77</v>
      </c>
      <c r="J16" s="16">
        <v>426</v>
      </c>
      <c r="K16" s="16">
        <v>124</v>
      </c>
      <c r="L16" s="16">
        <v>495</v>
      </c>
      <c r="M16" s="16">
        <v>0</v>
      </c>
      <c r="N16" s="16">
        <v>0</v>
      </c>
      <c r="O16" s="16">
        <v>120</v>
      </c>
      <c r="P16" s="16">
        <v>92</v>
      </c>
    </row>
    <row r="17" spans="1:16" x14ac:dyDescent="0.2">
      <c r="E17" s="51"/>
      <c r="F17" t="s">
        <v>410</v>
      </c>
      <c r="G17" s="24">
        <v>13210</v>
      </c>
      <c r="H17" s="16">
        <v>555</v>
      </c>
      <c r="I17" s="16">
        <v>135</v>
      </c>
      <c r="J17" s="16">
        <v>337</v>
      </c>
      <c r="K17" s="16">
        <v>83</v>
      </c>
      <c r="L17" s="16">
        <v>327</v>
      </c>
      <c r="M17" s="16">
        <v>4</v>
      </c>
      <c r="N17" s="16">
        <v>25</v>
      </c>
      <c r="O17" s="16">
        <v>192</v>
      </c>
      <c r="P17" s="16">
        <v>209</v>
      </c>
    </row>
    <row r="18" spans="1:16" x14ac:dyDescent="0.2">
      <c r="A18" s="50" t="s">
        <v>268</v>
      </c>
      <c r="B18" s="51"/>
      <c r="E18" s="51"/>
      <c r="F18" t="s">
        <v>411</v>
      </c>
      <c r="G18" s="24">
        <v>5598</v>
      </c>
      <c r="H18" s="16">
        <v>101</v>
      </c>
      <c r="I18" s="16">
        <v>9</v>
      </c>
      <c r="J18" s="16">
        <v>64</v>
      </c>
      <c r="K18" s="16">
        <v>28</v>
      </c>
      <c r="L18" s="16">
        <v>101</v>
      </c>
      <c r="M18" s="16">
        <v>0</v>
      </c>
      <c r="N18" s="16">
        <v>0</v>
      </c>
      <c r="O18" s="16">
        <v>0</v>
      </c>
      <c r="P18" s="16">
        <v>0</v>
      </c>
    </row>
    <row r="19" spans="1:16" x14ac:dyDescent="0.2">
      <c r="A19" t="s">
        <v>1250</v>
      </c>
      <c r="B19" t="s">
        <v>1386</v>
      </c>
      <c r="E19" s="51"/>
      <c r="F19" t="s">
        <v>412</v>
      </c>
      <c r="G19" s="24">
        <v>4652</v>
      </c>
      <c r="H19" s="16">
        <v>162</v>
      </c>
      <c r="I19" s="16">
        <v>16</v>
      </c>
      <c r="J19" s="16">
        <v>108</v>
      </c>
      <c r="K19" s="16">
        <v>38</v>
      </c>
      <c r="L19" s="16">
        <v>145</v>
      </c>
      <c r="M19" s="16">
        <v>0</v>
      </c>
      <c r="N19" s="16">
        <v>0</v>
      </c>
      <c r="O19" s="16">
        <v>0</v>
      </c>
      <c r="P19" s="16">
        <v>17</v>
      </c>
    </row>
    <row r="20" spans="1:16" x14ac:dyDescent="0.2">
      <c r="E20" s="51"/>
      <c r="F20" s="16" t="s">
        <v>413</v>
      </c>
      <c r="G20" s="24">
        <v>5407</v>
      </c>
      <c r="H20" s="16">
        <v>316</v>
      </c>
      <c r="I20" s="16">
        <v>96</v>
      </c>
      <c r="J20" s="16">
        <v>206</v>
      </c>
      <c r="K20" s="16">
        <v>14</v>
      </c>
      <c r="L20" s="16">
        <v>158</v>
      </c>
      <c r="M20" s="16">
        <v>0</v>
      </c>
      <c r="N20" s="16">
        <v>148</v>
      </c>
      <c r="O20" s="16">
        <v>10</v>
      </c>
      <c r="P20" s="16">
        <v>10</v>
      </c>
    </row>
    <row r="21" spans="1:16" x14ac:dyDescent="0.2">
      <c r="A21" s="53" t="s">
        <v>269</v>
      </c>
      <c r="B21" s="51"/>
      <c r="E21" s="51"/>
      <c r="F21" s="16" t="s">
        <v>414</v>
      </c>
      <c r="G21" s="24">
        <v>10450</v>
      </c>
      <c r="H21" s="16">
        <v>633</v>
      </c>
      <c r="I21" s="16">
        <v>165</v>
      </c>
      <c r="J21" s="16">
        <v>369</v>
      </c>
      <c r="K21" s="16">
        <v>99</v>
      </c>
      <c r="L21" s="16">
        <v>295</v>
      </c>
      <c r="M21" s="16">
        <v>61</v>
      </c>
      <c r="N21" s="16">
        <v>0</v>
      </c>
      <c r="O21" s="16">
        <v>42</v>
      </c>
      <c r="P21" s="16">
        <v>289</v>
      </c>
    </row>
    <row r="22" spans="1:16" x14ac:dyDescent="0.2">
      <c r="A22" t="s">
        <v>1249</v>
      </c>
      <c r="B22" t="s">
        <v>1269</v>
      </c>
      <c r="E22" s="51"/>
      <c r="F22" s="16" t="s">
        <v>423</v>
      </c>
      <c r="G22" s="24">
        <v>3696</v>
      </c>
      <c r="H22" s="16">
        <v>384</v>
      </c>
      <c r="I22" s="16">
        <v>144</v>
      </c>
      <c r="J22" s="16">
        <v>215</v>
      </c>
      <c r="K22" s="16">
        <v>25</v>
      </c>
      <c r="L22" s="16">
        <v>104</v>
      </c>
      <c r="M22" s="16">
        <v>61</v>
      </c>
      <c r="N22" s="16">
        <v>0</v>
      </c>
      <c r="O22" s="16">
        <v>27</v>
      </c>
      <c r="P22" s="16">
        <v>219</v>
      </c>
    </row>
    <row r="23" spans="1:16" x14ac:dyDescent="0.2">
      <c r="E23" s="51"/>
      <c r="F23" s="16" t="s">
        <v>432</v>
      </c>
      <c r="G23" s="24">
        <v>29921</v>
      </c>
      <c r="H23" s="24">
        <v>4641</v>
      </c>
      <c r="I23" s="24">
        <v>1480</v>
      </c>
      <c r="J23" s="24">
        <v>2631</v>
      </c>
      <c r="K23" s="16">
        <v>530</v>
      </c>
      <c r="L23" s="24">
        <v>1108</v>
      </c>
      <c r="M23" s="16">
        <v>679</v>
      </c>
      <c r="N23" s="16">
        <v>60</v>
      </c>
      <c r="O23" s="16">
        <v>712</v>
      </c>
      <c r="P23" s="24">
        <v>2983</v>
      </c>
    </row>
    <row r="24" spans="1:16" x14ac:dyDescent="0.2">
      <c r="E24" s="51"/>
      <c r="F24" t="s">
        <v>436</v>
      </c>
      <c r="G24" s="24">
        <v>4645</v>
      </c>
      <c r="H24" s="16">
        <v>476</v>
      </c>
      <c r="I24" s="16">
        <v>241</v>
      </c>
      <c r="J24" s="16">
        <v>226</v>
      </c>
      <c r="K24" s="16">
        <v>9</v>
      </c>
      <c r="L24" s="16">
        <v>456</v>
      </c>
      <c r="M24" s="16">
        <v>0</v>
      </c>
      <c r="N24" s="16">
        <v>0</v>
      </c>
      <c r="O24" s="16">
        <v>20</v>
      </c>
      <c r="P24" s="16">
        <v>38</v>
      </c>
    </row>
    <row r="25" spans="1:16" x14ac:dyDescent="0.2">
      <c r="E25" s="51"/>
      <c r="F25" s="16" t="s">
        <v>440</v>
      </c>
      <c r="G25" s="16">
        <v>684</v>
      </c>
      <c r="H25" s="16">
        <v>61</v>
      </c>
      <c r="I25" s="16">
        <v>35</v>
      </c>
      <c r="J25" s="16">
        <v>26</v>
      </c>
      <c r="K25" s="16">
        <v>0</v>
      </c>
      <c r="L25" s="16">
        <v>41</v>
      </c>
      <c r="M25" s="16">
        <v>0</v>
      </c>
      <c r="N25" s="16">
        <v>0</v>
      </c>
      <c r="O25" s="16">
        <v>20</v>
      </c>
      <c r="P25" s="16">
        <v>38</v>
      </c>
    </row>
    <row r="26" spans="1:16" x14ac:dyDescent="0.2">
      <c r="E26" s="51"/>
      <c r="F26" s="16" t="s">
        <v>443</v>
      </c>
      <c r="G26" s="24">
        <v>21255</v>
      </c>
      <c r="H26" s="24">
        <v>1802</v>
      </c>
      <c r="I26" s="16">
        <v>772</v>
      </c>
      <c r="J26" s="16">
        <v>909</v>
      </c>
      <c r="K26" s="16">
        <v>121</v>
      </c>
      <c r="L26" s="24">
        <v>1191</v>
      </c>
      <c r="M26" s="16">
        <v>106</v>
      </c>
      <c r="N26" s="16">
        <v>11</v>
      </c>
      <c r="O26" s="16">
        <v>138</v>
      </c>
      <c r="P26" s="16">
        <v>418</v>
      </c>
    </row>
    <row r="27" spans="1:16" x14ac:dyDescent="0.2">
      <c r="A27" s="53"/>
      <c r="B27" s="53"/>
      <c r="E27" s="51"/>
      <c r="F27" s="16" t="s">
        <v>447</v>
      </c>
      <c r="G27" s="24">
        <v>2081</v>
      </c>
      <c r="H27" s="16">
        <v>79</v>
      </c>
      <c r="I27" s="16">
        <v>16</v>
      </c>
      <c r="J27" s="16">
        <v>34</v>
      </c>
      <c r="K27" s="16">
        <v>2</v>
      </c>
      <c r="L27" s="16">
        <v>43</v>
      </c>
      <c r="M27" s="16">
        <v>0</v>
      </c>
      <c r="N27" s="16">
        <v>0</v>
      </c>
      <c r="O27" s="16">
        <v>21</v>
      </c>
      <c r="P27" s="16">
        <v>36</v>
      </c>
    </row>
    <row r="28" spans="1:16" x14ac:dyDescent="0.2">
      <c r="E28" s="51"/>
      <c r="F28" s="16" t="s">
        <v>449</v>
      </c>
      <c r="G28" s="24">
        <v>9466</v>
      </c>
      <c r="H28" s="16">
        <v>883</v>
      </c>
      <c r="I28" s="16">
        <v>304</v>
      </c>
      <c r="J28" s="16">
        <v>520</v>
      </c>
      <c r="K28" s="16">
        <v>59</v>
      </c>
      <c r="L28" s="16">
        <v>343</v>
      </c>
      <c r="M28" s="16">
        <v>90</v>
      </c>
      <c r="N28" s="16">
        <v>11</v>
      </c>
      <c r="O28" s="16">
        <v>83</v>
      </c>
      <c r="P28" s="16">
        <v>382</v>
      </c>
    </row>
    <row r="29" spans="1:16" x14ac:dyDescent="0.2">
      <c r="E29" s="51"/>
      <c r="F29" s="16" t="s">
        <v>451</v>
      </c>
      <c r="G29" s="24">
        <v>22899</v>
      </c>
      <c r="H29" s="24">
        <v>2399</v>
      </c>
      <c r="I29" s="16">
        <v>474</v>
      </c>
      <c r="J29" s="24">
        <v>1417</v>
      </c>
      <c r="K29" s="16">
        <v>508</v>
      </c>
      <c r="L29" s="24">
        <v>1669</v>
      </c>
      <c r="M29" s="16">
        <v>240</v>
      </c>
      <c r="N29" s="16">
        <v>0</v>
      </c>
      <c r="O29" s="16">
        <v>305</v>
      </c>
      <c r="P29" s="16">
        <v>479</v>
      </c>
    </row>
    <row r="30" spans="1:16" x14ac:dyDescent="0.2">
      <c r="E30" s="51"/>
      <c r="F30" s="16" t="s">
        <v>453</v>
      </c>
      <c r="G30" s="24">
        <v>3147</v>
      </c>
      <c r="H30" s="16">
        <v>231</v>
      </c>
      <c r="I30" s="16">
        <v>0</v>
      </c>
      <c r="J30" s="16">
        <v>61</v>
      </c>
      <c r="K30" s="16">
        <v>170</v>
      </c>
      <c r="L30" s="16">
        <v>216</v>
      </c>
      <c r="M30" s="16">
        <v>5</v>
      </c>
      <c r="N30" s="16">
        <v>0</v>
      </c>
      <c r="O30" s="16">
        <v>0</v>
      </c>
      <c r="P30" s="16">
        <v>27</v>
      </c>
    </row>
    <row r="31" spans="1:16" x14ac:dyDescent="0.2">
      <c r="E31" s="51"/>
      <c r="F31" s="16" t="s">
        <v>455</v>
      </c>
      <c r="G31" s="24">
        <v>3800</v>
      </c>
      <c r="H31" s="16">
        <v>506</v>
      </c>
      <c r="I31" s="16">
        <v>142</v>
      </c>
      <c r="J31" s="16">
        <v>243</v>
      </c>
      <c r="K31" s="16">
        <v>121</v>
      </c>
      <c r="L31" s="16">
        <v>208</v>
      </c>
      <c r="M31" s="16">
        <v>158</v>
      </c>
      <c r="N31" s="16">
        <v>0</v>
      </c>
      <c r="O31" s="16">
        <v>13</v>
      </c>
      <c r="P31" s="16">
        <v>328</v>
      </c>
    </row>
    <row r="32" spans="1:16" x14ac:dyDescent="0.2">
      <c r="E32" s="51"/>
      <c r="F32" t="s">
        <v>457</v>
      </c>
      <c r="G32" s="24">
        <v>6871</v>
      </c>
      <c r="H32" s="16">
        <v>884</v>
      </c>
      <c r="I32" s="16">
        <v>193</v>
      </c>
      <c r="J32" s="16">
        <v>560</v>
      </c>
      <c r="K32" s="16">
        <v>131</v>
      </c>
      <c r="L32" s="16">
        <v>535</v>
      </c>
      <c r="M32" s="16">
        <v>77</v>
      </c>
      <c r="N32" s="16">
        <v>0</v>
      </c>
      <c r="O32" s="16">
        <v>224</v>
      </c>
      <c r="P32" s="16">
        <v>76</v>
      </c>
    </row>
    <row r="33" spans="5:16" x14ac:dyDescent="0.2">
      <c r="E33" s="51"/>
      <c r="F33" s="16" t="s">
        <v>459</v>
      </c>
      <c r="G33" s="24">
        <v>5366</v>
      </c>
      <c r="H33" s="16">
        <v>300</v>
      </c>
      <c r="I33" s="16">
        <v>106</v>
      </c>
      <c r="J33" s="16">
        <v>121</v>
      </c>
      <c r="K33" s="16">
        <v>73</v>
      </c>
      <c r="L33" s="16">
        <v>160</v>
      </c>
      <c r="M33" s="16">
        <v>80</v>
      </c>
      <c r="N33" s="16">
        <v>48</v>
      </c>
      <c r="O33" s="16">
        <v>0</v>
      </c>
      <c r="P33" s="16">
        <v>38</v>
      </c>
    </row>
    <row r="34" spans="5:16" x14ac:dyDescent="0.2">
      <c r="E34" s="51"/>
      <c r="F34" s="16" t="s">
        <v>463</v>
      </c>
      <c r="G34" s="24">
        <v>1210</v>
      </c>
      <c r="H34" s="16">
        <v>118</v>
      </c>
      <c r="I34" s="18">
        <v>64</v>
      </c>
      <c r="J34" s="16">
        <v>45</v>
      </c>
      <c r="K34" s="16">
        <v>9</v>
      </c>
      <c r="L34" s="16">
        <v>50</v>
      </c>
      <c r="M34" s="16">
        <v>44</v>
      </c>
      <c r="N34" s="16">
        <v>12</v>
      </c>
      <c r="O34" s="16">
        <v>0</v>
      </c>
      <c r="P34" s="16">
        <v>38</v>
      </c>
    </row>
    <row r="35" spans="5:16" x14ac:dyDescent="0.2">
      <c r="E35" s="51"/>
      <c r="F35" s="16" t="s">
        <v>465</v>
      </c>
      <c r="G35" s="24">
        <v>27990</v>
      </c>
      <c r="H35" s="24">
        <v>7582</v>
      </c>
      <c r="I35" s="30">
        <v>2573</v>
      </c>
      <c r="J35" s="24">
        <v>3993</v>
      </c>
      <c r="K35" s="24">
        <v>1016</v>
      </c>
      <c r="L35" s="24">
        <v>2211</v>
      </c>
      <c r="M35" s="24">
        <v>2472</v>
      </c>
      <c r="N35" s="16">
        <v>0</v>
      </c>
      <c r="O35" s="16">
        <v>974</v>
      </c>
      <c r="P35" s="24">
        <v>3348</v>
      </c>
    </row>
    <row r="36" spans="5:16" x14ac:dyDescent="0.2">
      <c r="E36" s="51"/>
      <c r="F36" s="16" t="s">
        <v>467</v>
      </c>
      <c r="G36" s="24">
        <v>31660</v>
      </c>
      <c r="H36" s="24">
        <v>2743</v>
      </c>
      <c r="I36" s="18">
        <v>981</v>
      </c>
      <c r="J36" s="24">
        <v>1374</v>
      </c>
      <c r="K36" s="16">
        <v>388</v>
      </c>
      <c r="L36" s="24">
        <v>1545</v>
      </c>
      <c r="M36" s="16">
        <v>280</v>
      </c>
      <c r="N36" s="16">
        <v>172</v>
      </c>
      <c r="O36" s="16">
        <v>577</v>
      </c>
      <c r="P36" s="16">
        <v>372</v>
      </c>
    </row>
    <row r="37" spans="5:16" x14ac:dyDescent="0.2">
      <c r="E37" s="51"/>
      <c r="F37" s="16" t="s">
        <v>469</v>
      </c>
      <c r="G37" s="24">
        <v>27475</v>
      </c>
      <c r="H37" s="24">
        <v>1722</v>
      </c>
      <c r="I37" s="18">
        <v>282</v>
      </c>
      <c r="J37" s="16">
        <v>912</v>
      </c>
      <c r="K37" s="16">
        <v>528</v>
      </c>
      <c r="L37" s="24">
        <v>1000</v>
      </c>
      <c r="M37" s="16">
        <v>426</v>
      </c>
      <c r="N37" s="16">
        <v>36</v>
      </c>
      <c r="O37" s="16">
        <v>23</v>
      </c>
      <c r="P37" s="16">
        <v>350</v>
      </c>
    </row>
    <row r="38" spans="5:16" x14ac:dyDescent="0.2">
      <c r="E38" s="51"/>
      <c r="F38" t="s">
        <v>471</v>
      </c>
      <c r="G38" s="24">
        <v>36129</v>
      </c>
      <c r="H38" s="24">
        <v>14539</v>
      </c>
      <c r="I38" s="24">
        <v>8781</v>
      </c>
      <c r="J38" s="24">
        <v>5629</v>
      </c>
      <c r="K38" s="16">
        <v>129</v>
      </c>
      <c r="L38" s="24">
        <v>14236</v>
      </c>
      <c r="M38" s="16">
        <v>45</v>
      </c>
      <c r="N38" s="16">
        <v>0</v>
      </c>
      <c r="O38" s="16">
        <v>258</v>
      </c>
      <c r="P38" s="16">
        <v>166</v>
      </c>
    </row>
    <row r="39" spans="5:16" x14ac:dyDescent="0.2">
      <c r="E39" s="51"/>
      <c r="F39" t="s">
        <v>473</v>
      </c>
      <c r="G39" s="24">
        <v>36129</v>
      </c>
      <c r="H39" s="24">
        <v>14539</v>
      </c>
      <c r="I39" s="24">
        <v>8781</v>
      </c>
      <c r="J39" s="24">
        <v>5629</v>
      </c>
      <c r="K39" s="16">
        <v>129</v>
      </c>
      <c r="L39" s="24">
        <v>14236</v>
      </c>
      <c r="M39" s="16">
        <v>45</v>
      </c>
      <c r="N39" s="16">
        <v>0</v>
      </c>
      <c r="O39" s="16">
        <v>258</v>
      </c>
      <c r="P39" s="16">
        <v>166</v>
      </c>
    </row>
    <row r="40" spans="5:16" x14ac:dyDescent="0.2">
      <c r="E40" s="51"/>
      <c r="F40" t="s">
        <v>476</v>
      </c>
      <c r="G40" s="24">
        <v>8623</v>
      </c>
      <c r="H40" s="24">
        <v>1789</v>
      </c>
      <c r="I40" s="16">
        <v>456</v>
      </c>
      <c r="J40" s="16">
        <v>913</v>
      </c>
      <c r="K40" s="16">
        <v>420</v>
      </c>
      <c r="L40" s="16">
        <v>973</v>
      </c>
      <c r="M40" s="16">
        <v>281</v>
      </c>
      <c r="N40" s="16">
        <v>276</v>
      </c>
      <c r="O40" s="16">
        <v>176</v>
      </c>
      <c r="P40" s="16">
        <v>409</v>
      </c>
    </row>
    <row r="41" spans="5:16" x14ac:dyDescent="0.2">
      <c r="E41" s="51"/>
      <c r="F41" t="s">
        <v>497</v>
      </c>
      <c r="G41" s="24">
        <v>3750</v>
      </c>
      <c r="H41" s="16">
        <v>236</v>
      </c>
      <c r="I41" s="16">
        <v>1</v>
      </c>
      <c r="J41" s="16">
        <v>174</v>
      </c>
      <c r="K41" s="16">
        <v>61</v>
      </c>
      <c r="L41" s="16">
        <v>194</v>
      </c>
      <c r="M41" s="16">
        <v>29</v>
      </c>
      <c r="N41" s="16">
        <v>7</v>
      </c>
      <c r="O41" s="16">
        <v>0</v>
      </c>
      <c r="P41" s="16">
        <v>52</v>
      </c>
    </row>
    <row r="42" spans="5:16" x14ac:dyDescent="0.2">
      <c r="E42" s="51"/>
      <c r="F42" t="s">
        <v>501</v>
      </c>
      <c r="G42" s="24">
        <v>3068</v>
      </c>
      <c r="H42" s="16">
        <v>227</v>
      </c>
      <c r="I42" s="16">
        <v>0</v>
      </c>
      <c r="J42" s="16">
        <v>171</v>
      </c>
      <c r="K42" s="16">
        <v>56</v>
      </c>
      <c r="L42" s="16">
        <v>187</v>
      </c>
      <c r="M42" s="16">
        <v>29</v>
      </c>
      <c r="N42" s="16">
        <v>5</v>
      </c>
      <c r="O42" s="16">
        <v>0</v>
      </c>
      <c r="P42" s="16">
        <v>52</v>
      </c>
    </row>
    <row r="43" spans="5:16" x14ac:dyDescent="0.2">
      <c r="E43" s="51"/>
      <c r="F43" t="s">
        <v>502</v>
      </c>
      <c r="G43" s="16">
        <v>682</v>
      </c>
      <c r="H43" s="16">
        <v>9</v>
      </c>
      <c r="I43" s="16">
        <v>1</v>
      </c>
      <c r="J43" s="16">
        <v>3</v>
      </c>
      <c r="K43" s="16">
        <v>5</v>
      </c>
      <c r="L43" s="16">
        <v>7</v>
      </c>
      <c r="M43" s="16">
        <v>0</v>
      </c>
      <c r="N43" s="16">
        <v>2</v>
      </c>
      <c r="O43" s="16">
        <v>0</v>
      </c>
      <c r="P43" s="16">
        <v>0</v>
      </c>
    </row>
    <row r="44" spans="5:16" x14ac:dyDescent="0.2">
      <c r="E44" s="51"/>
      <c r="F44" t="s">
        <v>503</v>
      </c>
      <c r="G44" s="24">
        <v>30410</v>
      </c>
      <c r="H44" s="24">
        <v>3225</v>
      </c>
      <c r="I44" s="16">
        <v>935</v>
      </c>
      <c r="J44" s="24">
        <v>1898</v>
      </c>
      <c r="K44" s="16">
        <v>392</v>
      </c>
      <c r="L44" s="16">
        <v>956</v>
      </c>
      <c r="M44" s="24">
        <v>1149</v>
      </c>
      <c r="N44" s="16">
        <v>178</v>
      </c>
      <c r="O44" s="16">
        <v>433</v>
      </c>
      <c r="P44" s="16">
        <v>689</v>
      </c>
    </row>
    <row r="45" spans="5:16" x14ac:dyDescent="0.2">
      <c r="E45" s="51"/>
      <c r="F45" t="s">
        <v>504</v>
      </c>
      <c r="G45" s="24">
        <v>31721</v>
      </c>
      <c r="H45" s="24">
        <v>2125</v>
      </c>
      <c r="I45" s="16">
        <v>343</v>
      </c>
      <c r="J45" s="24">
        <v>1373</v>
      </c>
      <c r="K45" s="16">
        <v>409</v>
      </c>
      <c r="L45" s="24">
        <v>1495</v>
      </c>
      <c r="M45" s="16">
        <v>125</v>
      </c>
      <c r="N45" s="16">
        <v>50</v>
      </c>
      <c r="O45" s="16">
        <v>236</v>
      </c>
      <c r="P45" s="16">
        <v>502</v>
      </c>
    </row>
    <row r="46" spans="5:16" x14ac:dyDescent="0.2">
      <c r="E46" s="51"/>
      <c r="F46" t="s">
        <v>505</v>
      </c>
      <c r="G46" s="24">
        <v>2909</v>
      </c>
      <c r="H46" s="16">
        <v>227</v>
      </c>
      <c r="I46" s="16">
        <v>47</v>
      </c>
      <c r="J46" s="16">
        <v>172</v>
      </c>
      <c r="K46" s="16">
        <v>8</v>
      </c>
      <c r="L46" s="16">
        <v>125</v>
      </c>
      <c r="M46" s="16">
        <v>93</v>
      </c>
      <c r="N46" s="16">
        <v>0</v>
      </c>
      <c r="O46" s="16">
        <v>0</v>
      </c>
      <c r="P46" s="16">
        <v>9</v>
      </c>
    </row>
    <row r="47" spans="5:16" x14ac:dyDescent="0.2">
      <c r="E47" s="51"/>
      <c r="F47" t="s">
        <v>506</v>
      </c>
      <c r="G47" s="24">
        <v>3006</v>
      </c>
      <c r="H47" s="16">
        <v>260</v>
      </c>
      <c r="I47" s="16">
        <v>116</v>
      </c>
      <c r="J47" s="16">
        <v>135</v>
      </c>
      <c r="K47" s="16">
        <v>9</v>
      </c>
      <c r="L47" s="16">
        <v>47</v>
      </c>
      <c r="M47" s="16">
        <v>0</v>
      </c>
      <c r="N47" s="16">
        <v>0</v>
      </c>
      <c r="O47" s="16">
        <v>182</v>
      </c>
      <c r="P47" s="16">
        <v>213</v>
      </c>
    </row>
    <row r="48" spans="5:16" x14ac:dyDescent="0.2">
      <c r="E48" s="51"/>
      <c r="F48" t="s">
        <v>507</v>
      </c>
      <c r="G48" s="24">
        <v>6536</v>
      </c>
      <c r="H48" s="16">
        <v>441</v>
      </c>
      <c r="I48" s="16">
        <v>42</v>
      </c>
      <c r="J48" s="16">
        <v>209</v>
      </c>
      <c r="K48" s="16">
        <v>190</v>
      </c>
      <c r="L48" s="16">
        <v>361</v>
      </c>
      <c r="M48" s="16">
        <v>0</v>
      </c>
      <c r="N48" s="16">
        <v>0</v>
      </c>
      <c r="O48" s="16">
        <v>23</v>
      </c>
      <c r="P48" s="16">
        <v>73</v>
      </c>
    </row>
    <row r="49" spans="5:16" x14ac:dyDescent="0.2">
      <c r="E49" s="51"/>
      <c r="F49" t="s">
        <v>508</v>
      </c>
      <c r="G49" s="24">
        <v>7493</v>
      </c>
      <c r="H49" s="16">
        <v>413</v>
      </c>
      <c r="I49" s="16">
        <v>129</v>
      </c>
      <c r="J49" s="16">
        <v>249</v>
      </c>
      <c r="K49" s="16">
        <v>35</v>
      </c>
      <c r="L49" s="16">
        <v>262</v>
      </c>
      <c r="M49" s="16">
        <v>40</v>
      </c>
      <c r="N49" s="16">
        <v>0</v>
      </c>
      <c r="O49" s="16">
        <v>18</v>
      </c>
      <c r="P49" s="16">
        <v>130</v>
      </c>
    </row>
    <row r="50" spans="5:16" x14ac:dyDescent="0.2">
      <c r="E50" s="51"/>
      <c r="F50" t="s">
        <v>509</v>
      </c>
      <c r="G50" s="24">
        <v>12180</v>
      </c>
      <c r="H50" s="16">
        <v>676</v>
      </c>
      <c r="I50" s="16">
        <v>210</v>
      </c>
      <c r="J50" s="16">
        <v>437</v>
      </c>
      <c r="K50" s="16">
        <v>29</v>
      </c>
      <c r="L50" s="16">
        <v>417</v>
      </c>
      <c r="M50" s="16">
        <v>244</v>
      </c>
      <c r="N50" s="16">
        <v>0</v>
      </c>
      <c r="O50" s="16">
        <v>15</v>
      </c>
      <c r="P50" s="16">
        <v>223</v>
      </c>
    </row>
    <row r="51" spans="5:16" x14ac:dyDescent="0.2">
      <c r="E51" s="51"/>
      <c r="F51" t="s">
        <v>447</v>
      </c>
      <c r="G51" s="16">
        <v>754</v>
      </c>
      <c r="H51" s="16">
        <v>103</v>
      </c>
      <c r="I51" s="16">
        <v>46</v>
      </c>
      <c r="J51" s="16">
        <v>57</v>
      </c>
      <c r="K51" s="16">
        <v>0</v>
      </c>
      <c r="L51" s="16">
        <v>0</v>
      </c>
      <c r="M51" s="16">
        <v>103</v>
      </c>
      <c r="N51" s="16">
        <v>0</v>
      </c>
      <c r="O51" s="16">
        <v>0</v>
      </c>
      <c r="P51" s="16">
        <v>0</v>
      </c>
    </row>
    <row r="52" spans="5:16" x14ac:dyDescent="0.2">
      <c r="E52" s="51"/>
      <c r="F52" t="s">
        <v>510</v>
      </c>
      <c r="G52" s="24">
        <v>11426</v>
      </c>
      <c r="H52" s="16">
        <v>573</v>
      </c>
      <c r="I52" s="16">
        <v>164</v>
      </c>
      <c r="J52" s="16">
        <v>380</v>
      </c>
      <c r="K52" s="16">
        <v>29</v>
      </c>
      <c r="L52" s="16">
        <v>417</v>
      </c>
      <c r="M52" s="16">
        <v>141</v>
      </c>
      <c r="N52" s="16">
        <v>0</v>
      </c>
      <c r="O52" s="16">
        <v>15</v>
      </c>
      <c r="P52" s="16">
        <v>223</v>
      </c>
    </row>
    <row r="53" spans="5:16" x14ac:dyDescent="0.2">
      <c r="E53" s="51"/>
    </row>
    <row r="54" spans="5:16" x14ac:dyDescent="0.2">
      <c r="E54" s="51"/>
    </row>
    <row r="55" spans="5:16" x14ac:dyDescent="0.2">
      <c r="E55" s="51"/>
    </row>
    <row r="56" spans="5:16" x14ac:dyDescent="0.2">
      <c r="E56" s="51"/>
    </row>
    <row r="57" spans="5:16" x14ac:dyDescent="0.2">
      <c r="E57" s="51"/>
    </row>
  </sheetData>
  <mergeCells count="12">
    <mergeCell ref="I5:K5"/>
    <mergeCell ref="L5:P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DBDB1237-B921-4714-9676-D8EAB210A12F}">
      <formula1>"integer, number, percent1"</formula1>
    </dataValidation>
    <dataValidation type="list" allowBlank="1" showInputMessage="1" showErrorMessage="1" sqref="B10" xr:uid="{6FAC0F01-AB9E-4A9E-85E5-920A20868DE4}">
      <formula1>"Line,Clustered Bar,Stacked Bar,Bar,Horizontal Stacked Bar"</formula1>
    </dataValidation>
    <dataValidation type="list" allowBlank="1" showInputMessage="1" showErrorMessage="1" sqref="B2" xr:uid="{827AA5AD-7F76-4C5E-8814-ED04D271875B}">
      <formula1>"Table,Figure,Both"</formula1>
    </dataValidation>
    <dataValidation type="list" allowBlank="1" showInputMessage="1" showErrorMessage="1" sqref="B6 B15:B16" xr:uid="{E070C31D-09BC-4583-BBEF-6F186C7A6B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218D43E-6AE5-429C-A0F4-97B80113BDBA}">
          <x14:formula1>
            <xm:f>Dropdowns!$B$2:$B$9</xm:f>
          </x14:formula1>
          <xm:sqref>B14</xm:sqref>
        </x14:dataValidation>
        <x14:dataValidation type="list" allowBlank="1" showInputMessage="1" showErrorMessage="1" xr:uid="{8D165CDE-B5B5-41A5-A5DB-0C332F170CAF}">
          <x14:formula1>
            <xm:f>Dropdowns!$A$1:$A$8</xm:f>
          </x14:formula1>
          <xm:sqref>F4:O4</xm:sqref>
        </x14:dataValidation>
        <x14:dataValidation type="list" allowBlank="1" showInputMessage="1" showErrorMessage="1" xr:uid="{3CE0BF92-18EF-42A0-97AA-73EAB6C1A377}">
          <x14:formula1>
            <xm:f>Master!$F$2:$F$401</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B0DA1-BD4E-4D01-9DD0-8144E783F703}">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303</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tbl-poverty-pop</v>
      </c>
    </row>
    <row r="4" spans="1:17" x14ac:dyDescent="0.2">
      <c r="A4" s="17" t="s">
        <v>5</v>
      </c>
      <c r="B4" t="str">
        <f>IF($B$1="","",_xlfn.XLOOKUP($B$1,Master!$E$2:$E$320,Master!$G$2:$G$320,""))</f>
        <v>fig-poverty-pop</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1301</v>
      </c>
      <c r="G5">
        <v>2019</v>
      </c>
      <c r="H5">
        <v>2020</v>
      </c>
      <c r="I5">
        <v>2021</v>
      </c>
      <c r="J5">
        <v>2022</v>
      </c>
    </row>
    <row r="6" spans="1:17" ht="15" customHeight="1" x14ac:dyDescent="0.2">
      <c r="A6" t="s">
        <v>259</v>
      </c>
      <c r="B6" t="b">
        <v>0</v>
      </c>
      <c r="E6" s="51"/>
      <c r="F6" t="s">
        <v>1298</v>
      </c>
      <c r="G6" s="16">
        <v>12.3</v>
      </c>
      <c r="H6" s="16">
        <v>10.6</v>
      </c>
      <c r="I6" s="16">
        <v>12.2</v>
      </c>
      <c r="J6" s="16">
        <v>14.4</v>
      </c>
      <c r="K6" s="16"/>
      <c r="L6" s="16"/>
      <c r="M6" s="16"/>
      <c r="N6" s="16"/>
      <c r="O6" s="16"/>
    </row>
    <row r="7" spans="1:17" ht="15.75" customHeight="1" x14ac:dyDescent="0.2">
      <c r="E7" s="51"/>
      <c r="F7" t="s">
        <v>1300</v>
      </c>
      <c r="G7" s="16">
        <v>13.1</v>
      </c>
      <c r="H7" s="16">
        <v>12.7</v>
      </c>
      <c r="I7" s="16">
        <v>14</v>
      </c>
      <c r="J7" s="16">
        <v>14.2</v>
      </c>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1301</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E13" s="51"/>
    </row>
    <row r="14" spans="1:17" x14ac:dyDescent="0.2">
      <c r="A14" t="s">
        <v>265</v>
      </c>
      <c r="B14" t="s">
        <v>166</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1388</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1387</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D63B74A-2E8F-444A-BD34-1DD9A2095F70}">
      <formula1>"integer, number, percent1"</formula1>
    </dataValidation>
    <dataValidation type="list" allowBlank="1" showInputMessage="1" showErrorMessage="1" sqref="B10" xr:uid="{37186A09-A31B-484A-9A82-F84573A004F2}">
      <formula1>"Line,Clustered Bar,Stacked Bar,Bar,Horizontal Stacked Bar"</formula1>
    </dataValidation>
    <dataValidation type="list" allowBlank="1" showInputMessage="1" showErrorMessage="1" sqref="B2" xr:uid="{B7B5F680-1495-4D1E-8F60-197DAB0EA660}">
      <formula1>"Table,Figure,Both"</formula1>
    </dataValidation>
    <dataValidation type="list" allowBlank="1" showInputMessage="1" showErrorMessage="1" sqref="B6 B15:B16" xr:uid="{F0469780-FC91-4CAC-94F6-4241B234FA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8C75A7-418D-4B40-A41A-5B270FDBF5F6}">
          <x14:formula1>
            <xm:f>Dropdowns!$B$2:$B$9</xm:f>
          </x14:formula1>
          <xm:sqref>B14</xm:sqref>
        </x14:dataValidation>
        <x14:dataValidation type="list" allowBlank="1" showInputMessage="1" showErrorMessage="1" xr:uid="{55EAC22A-9166-43A3-BA23-ABE7FAC1CD15}">
          <x14:formula1>
            <xm:f>Dropdowns!$A$1:$A$8</xm:f>
          </x14:formula1>
          <xm:sqref>F4:O4</xm:sqref>
        </x14:dataValidation>
        <x14:dataValidation type="list" allowBlank="1" showInputMessage="1" showErrorMessage="1" xr:uid="{A0162046-D23C-45D6-AD00-569FDFFFF9CB}">
          <x14:formula1>
            <xm:f>Master!$F$2:$F$401</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B0EC7-E62E-4734-9F65-FC98045688B1}">
  <dimension ref="A1:Q57"/>
  <sheetViews>
    <sheetView workbookViewId="0">
      <selection activeCell="P5" sqref="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304</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tbl-poverty-individual-rande</v>
      </c>
    </row>
    <row r="4" spans="1:17" x14ac:dyDescent="0.2">
      <c r="A4" s="17" t="s">
        <v>5</v>
      </c>
      <c r="B4" t="str">
        <f>IF($B$1="","",_xlfn.XLOOKUP($B$1,Master!$E$2:$E$320,Master!$G$2:$G$320,""))</f>
        <v>fig-poverty-individual-rande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0" t="s">
        <v>255</v>
      </c>
      <c r="B5" s="51"/>
      <c r="E5" s="52" t="s">
        <v>256</v>
      </c>
      <c r="G5" t="s">
        <v>275</v>
      </c>
      <c r="H5" t="s">
        <v>688</v>
      </c>
      <c r="I5" t="s">
        <v>1391</v>
      </c>
      <c r="J5" t="s">
        <v>1392</v>
      </c>
      <c r="K5" t="s">
        <v>691</v>
      </c>
      <c r="L5" t="s">
        <v>1393</v>
      </c>
      <c r="M5" t="s">
        <v>693</v>
      </c>
      <c r="N5" t="s">
        <v>694</v>
      </c>
      <c r="O5" t="s">
        <v>1394</v>
      </c>
      <c r="P5" t="s">
        <v>1395</v>
      </c>
    </row>
    <row r="6" spans="1:17" ht="15" customHeight="1" x14ac:dyDescent="0.2">
      <c r="A6" t="s">
        <v>259</v>
      </c>
      <c r="B6" t="b">
        <v>0</v>
      </c>
      <c r="E6" s="51"/>
      <c r="F6" t="s">
        <v>1298</v>
      </c>
      <c r="G6" s="16">
        <v>13</v>
      </c>
      <c r="H6" s="16">
        <v>12.8</v>
      </c>
      <c r="I6" s="16">
        <v>14.6</v>
      </c>
      <c r="J6" s="16">
        <v>20.3</v>
      </c>
      <c r="K6" s="16">
        <v>10.199999999999999</v>
      </c>
      <c r="L6" s="16">
        <v>23.1</v>
      </c>
      <c r="M6" s="16">
        <v>14.9</v>
      </c>
      <c r="N6" s="16">
        <v>10.5</v>
      </c>
      <c r="O6" s="16">
        <v>12.4</v>
      </c>
      <c r="P6">
        <v>13.1</v>
      </c>
    </row>
    <row r="7" spans="1:17" ht="15.75" customHeight="1" x14ac:dyDescent="0.2">
      <c r="E7" s="51"/>
      <c r="F7" t="s">
        <v>1300</v>
      </c>
      <c r="G7" s="16">
        <v>13.7</v>
      </c>
      <c r="H7" s="16">
        <v>10</v>
      </c>
      <c r="I7" s="16">
        <v>20.6</v>
      </c>
      <c r="J7" s="16">
        <v>22.7</v>
      </c>
      <c r="K7" s="16">
        <v>13.9</v>
      </c>
      <c r="L7" s="16">
        <v>22.2</v>
      </c>
      <c r="M7" s="16">
        <v>21.9</v>
      </c>
      <c r="N7" s="16">
        <v>16</v>
      </c>
      <c r="O7" s="16">
        <v>20.100000000000001</v>
      </c>
      <c r="P7">
        <v>9.5</v>
      </c>
    </row>
    <row r="8" spans="1:17" x14ac:dyDescent="0.2">
      <c r="E8" s="51"/>
      <c r="F8" t="s">
        <v>1396</v>
      </c>
      <c r="G8" s="16">
        <v>12.4</v>
      </c>
      <c r="H8" s="16">
        <v>9.9</v>
      </c>
      <c r="I8" s="16">
        <v>21.3</v>
      </c>
      <c r="J8" s="16">
        <v>21.8</v>
      </c>
      <c r="K8" s="16">
        <v>9.9</v>
      </c>
      <c r="L8" s="16">
        <v>17.2</v>
      </c>
      <c r="M8" s="16">
        <v>18.2</v>
      </c>
      <c r="N8" s="16">
        <v>14.7</v>
      </c>
      <c r="O8" s="16">
        <v>16.899999999999999</v>
      </c>
      <c r="P8">
        <v>9.1999999999999993</v>
      </c>
    </row>
    <row r="9" spans="1:17" x14ac:dyDescent="0.2">
      <c r="A9" s="50" t="s">
        <v>260</v>
      </c>
      <c r="B9" s="51"/>
      <c r="E9" s="51"/>
      <c r="G9" s="16"/>
      <c r="H9" s="16"/>
      <c r="I9" s="16"/>
      <c r="J9" s="16"/>
      <c r="K9" s="16"/>
      <c r="L9" s="16"/>
      <c r="M9" s="16"/>
      <c r="N9" s="16"/>
      <c r="O9" s="16"/>
    </row>
    <row r="10" spans="1:17" x14ac:dyDescent="0.2">
      <c r="A10" t="s">
        <v>261</v>
      </c>
      <c r="B10" t="s">
        <v>1296</v>
      </c>
      <c r="E10" s="51"/>
      <c r="G10" s="16"/>
    </row>
    <row r="11" spans="1:17" x14ac:dyDescent="0.2">
      <c r="A11" t="s">
        <v>262</v>
      </c>
      <c r="B11" t="s">
        <v>257</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E13" s="51"/>
    </row>
    <row r="14" spans="1:17" x14ac:dyDescent="0.2">
      <c r="A14" t="s">
        <v>265</v>
      </c>
      <c r="B14" t="s">
        <v>166</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1390</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1389</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C8FFB83-F429-4960-94FB-321CEC3873E7}">
      <formula1>"integer, number, percent1"</formula1>
    </dataValidation>
    <dataValidation type="list" allowBlank="1" showInputMessage="1" showErrorMessage="1" sqref="B10" xr:uid="{BC1B0B43-6506-41DC-94A0-A0FC4F6EAFBB}">
      <formula1>"Line,Clustered Bar,Stacked Bar,Bar,Horizontal Stacked Bar"</formula1>
    </dataValidation>
    <dataValidation type="list" allowBlank="1" showInputMessage="1" showErrorMessage="1" sqref="B2" xr:uid="{1D88310B-0A05-428B-8FC5-A41E6DF1EBA2}">
      <formula1>"Table,Figure,Both"</formula1>
    </dataValidation>
    <dataValidation type="list" allowBlank="1" showInputMessage="1" showErrorMessage="1" sqref="B6 B15:B16" xr:uid="{B21246DC-C283-48E4-A93C-806B5117F8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72B3FB6-610B-4488-B2D3-7547EA9BE4DC}">
          <x14:formula1>
            <xm:f>Dropdowns!$B$2:$B$9</xm:f>
          </x14:formula1>
          <xm:sqref>B14</xm:sqref>
        </x14:dataValidation>
        <x14:dataValidation type="list" allowBlank="1" showInputMessage="1" showErrorMessage="1" xr:uid="{7D99B1C8-4D46-44BB-BAF9-631B9BA2E031}">
          <x14:formula1>
            <xm:f>Dropdowns!$A$1:$A$8</xm:f>
          </x14:formula1>
          <xm:sqref>F4:O4</xm:sqref>
        </x14:dataValidation>
        <x14:dataValidation type="list" allowBlank="1" showInputMessage="1" showErrorMessage="1" xr:uid="{6C1D4FF4-7033-468C-BC43-5FC3EB069930}">
          <x14:formula1>
            <xm:f>Master!$F$2:$F$401</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EA634-6F6A-4D17-9078-792130F931F8}">
  <dimension ref="A1:Q57"/>
  <sheetViews>
    <sheetView workbookViewId="0">
      <selection activeCell="I30" sqref="I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305</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tbl-poverty-family-rande</v>
      </c>
    </row>
    <row r="4" spans="1:17" x14ac:dyDescent="0.2">
      <c r="A4" s="17" t="s">
        <v>5</v>
      </c>
      <c r="B4" t="str">
        <f>IF($B$1="","",_xlfn.XLOOKUP($B$1,Master!$E$2:$E$320,Master!$G$2:$G$320,""))</f>
        <v>fig-poverty-family-rande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0" t="s">
        <v>255</v>
      </c>
      <c r="B5" s="51"/>
      <c r="E5" s="52" t="s">
        <v>256</v>
      </c>
      <c r="G5" t="s">
        <v>275</v>
      </c>
      <c r="H5" t="s">
        <v>688</v>
      </c>
      <c r="I5" t="s">
        <v>1391</v>
      </c>
      <c r="J5" t="s">
        <v>1392</v>
      </c>
      <c r="K5" t="s">
        <v>691</v>
      </c>
      <c r="L5" t="s">
        <v>1393</v>
      </c>
      <c r="M5" t="s">
        <v>693</v>
      </c>
      <c r="N5" t="s">
        <v>694</v>
      </c>
      <c r="O5" t="s">
        <v>1394</v>
      </c>
      <c r="P5" t="s">
        <v>1395</v>
      </c>
    </row>
    <row r="6" spans="1:17" ht="15" customHeight="1" x14ac:dyDescent="0.2">
      <c r="A6" t="s">
        <v>259</v>
      </c>
      <c r="B6" t="b">
        <v>0</v>
      </c>
      <c r="E6" s="51"/>
      <c r="F6" t="s">
        <v>1298</v>
      </c>
      <c r="G6" s="16">
        <v>9.1</v>
      </c>
      <c r="H6" s="16">
        <v>8.1</v>
      </c>
      <c r="I6" s="16">
        <v>12.3</v>
      </c>
      <c r="J6" s="16">
        <v>14.9</v>
      </c>
      <c r="K6" s="16">
        <v>10.3</v>
      </c>
      <c r="L6" s="16">
        <v>0</v>
      </c>
      <c r="M6" s="16">
        <v>10.7</v>
      </c>
      <c r="N6" s="16">
        <v>9.6</v>
      </c>
      <c r="O6" s="16">
        <v>10.199999999999999</v>
      </c>
      <c r="P6">
        <v>8</v>
      </c>
    </row>
    <row r="7" spans="1:17" ht="15.75" customHeight="1" x14ac:dyDescent="0.2">
      <c r="E7" s="51"/>
      <c r="F7" t="s">
        <v>1300</v>
      </c>
      <c r="G7" s="16">
        <v>9.8000000000000007</v>
      </c>
      <c r="H7" s="16">
        <v>6.2</v>
      </c>
      <c r="I7" s="16">
        <v>16.399999999999999</v>
      </c>
      <c r="J7" s="16">
        <v>19.2</v>
      </c>
      <c r="K7" s="16">
        <v>11.3</v>
      </c>
      <c r="L7" s="16">
        <v>11.4</v>
      </c>
      <c r="M7" s="16">
        <v>18.8</v>
      </c>
      <c r="N7" s="16">
        <v>12.8</v>
      </c>
      <c r="O7" s="16">
        <v>16.899999999999999</v>
      </c>
      <c r="P7">
        <v>5.7</v>
      </c>
    </row>
    <row r="8" spans="1:17" x14ac:dyDescent="0.2">
      <c r="E8" s="51"/>
      <c r="F8" t="s">
        <v>1396</v>
      </c>
      <c r="G8" s="16">
        <v>8.6999999999999993</v>
      </c>
      <c r="H8" s="16">
        <v>6.3</v>
      </c>
      <c r="I8" s="16">
        <v>17.399999999999999</v>
      </c>
      <c r="J8" s="16">
        <v>18.100000000000001</v>
      </c>
      <c r="K8" s="16">
        <v>7.1</v>
      </c>
      <c r="L8" s="16">
        <v>12.9</v>
      </c>
      <c r="M8" s="16">
        <v>15.9</v>
      </c>
      <c r="N8" s="16">
        <v>12.1</v>
      </c>
      <c r="O8" s="16">
        <v>14.4</v>
      </c>
      <c r="P8">
        <v>5.7</v>
      </c>
    </row>
    <row r="9" spans="1:17" x14ac:dyDescent="0.2">
      <c r="A9" s="50" t="s">
        <v>260</v>
      </c>
      <c r="B9" s="51"/>
      <c r="E9" s="51"/>
      <c r="G9" s="16"/>
      <c r="H9" s="16"/>
      <c r="I9" s="16"/>
      <c r="J9" s="16"/>
      <c r="K9" s="16"/>
      <c r="L9" s="16"/>
      <c r="M9" s="16"/>
      <c r="N9" s="16"/>
      <c r="O9" s="16"/>
    </row>
    <row r="10" spans="1:17" x14ac:dyDescent="0.2">
      <c r="A10" t="s">
        <v>261</v>
      </c>
      <c r="B10" t="s">
        <v>1296</v>
      </c>
      <c r="E10" s="51"/>
      <c r="G10" s="16"/>
    </row>
    <row r="11" spans="1:17" x14ac:dyDescent="0.2">
      <c r="A11" t="s">
        <v>262</v>
      </c>
      <c r="B11" t="s">
        <v>257</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E13" s="51"/>
    </row>
    <row r="14" spans="1:17" x14ac:dyDescent="0.2">
      <c r="A14" t="s">
        <v>265</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1398</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1397</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89D0CFDF-E17C-4582-B276-5EFB86D701FF}">
      <formula1>"integer, number, percent1"</formula1>
    </dataValidation>
    <dataValidation type="list" allowBlank="1" showInputMessage="1" showErrorMessage="1" sqref="B10" xr:uid="{31918D60-2F86-4AB2-B4D9-853068D27E58}">
      <formula1>"Line,Clustered Bar,Stacked Bar,Bar,Horizontal Stacked Bar"</formula1>
    </dataValidation>
    <dataValidation type="list" allowBlank="1" showInputMessage="1" showErrorMessage="1" sqref="B2" xr:uid="{6DEFB9D7-3B89-4F44-A2B2-778811BEDE4F}">
      <formula1>"Table,Figure,Both"</formula1>
    </dataValidation>
    <dataValidation type="list" allowBlank="1" showInputMessage="1" showErrorMessage="1" sqref="B6 B15:B16" xr:uid="{9AF62F3F-4FCB-4FBE-ABF0-2D699084456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6797F3-BD8D-4B10-ADC0-BAABF2CA9403}">
          <x14:formula1>
            <xm:f>Dropdowns!$B$2:$B$9</xm:f>
          </x14:formula1>
          <xm:sqref>B14</xm:sqref>
        </x14:dataValidation>
        <x14:dataValidation type="list" allowBlank="1" showInputMessage="1" showErrorMessage="1" xr:uid="{E3EC2C6B-8AC5-46BD-9A79-7C806FAFA230}">
          <x14:formula1>
            <xm:f>Dropdowns!$A$1:$A$8</xm:f>
          </x14:formula1>
          <xm:sqref>F4:O4</xm:sqref>
        </x14:dataValidation>
        <x14:dataValidation type="list" allowBlank="1" showInputMessage="1" showErrorMessage="1" xr:uid="{8C2BE767-9D51-4623-A942-29FFBC81697C}">
          <x14:formula1>
            <xm:f>Master!$F$2:$F$401</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EC67C-A76E-448D-AEAC-91195B8DADAB}">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306</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tbl-children-poverty-threshold</v>
      </c>
    </row>
    <row r="4" spans="1:17" x14ac:dyDescent="0.2">
      <c r="A4" s="17" t="s">
        <v>5</v>
      </c>
      <c r="B4" t="str">
        <f>IF($B$1="","",_xlfn.XLOOKUP($B$1,Master!$E$2:$E$320,Master!$G$2:$G$320,""))</f>
        <v>fig-children-poverty-threshold</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1301</v>
      </c>
      <c r="G5">
        <v>2019</v>
      </c>
      <c r="H5">
        <v>2020</v>
      </c>
      <c r="I5">
        <v>2021</v>
      </c>
      <c r="J5">
        <v>2022</v>
      </c>
    </row>
    <row r="6" spans="1:17" ht="15" customHeight="1" x14ac:dyDescent="0.2">
      <c r="A6" t="s">
        <v>259</v>
      </c>
      <c r="B6" t="b">
        <v>0</v>
      </c>
      <c r="E6" s="51"/>
      <c r="F6" t="s">
        <v>1298</v>
      </c>
      <c r="G6" s="16">
        <v>18</v>
      </c>
      <c r="H6" s="16">
        <v>15.7</v>
      </c>
      <c r="I6" s="16">
        <v>18</v>
      </c>
      <c r="J6" s="16">
        <v>21</v>
      </c>
      <c r="K6" s="16"/>
      <c r="L6" s="16"/>
      <c r="M6" s="16"/>
      <c r="N6" s="16"/>
      <c r="O6" s="16"/>
    </row>
    <row r="7" spans="1:17" ht="15.75" customHeight="1" x14ac:dyDescent="0.2">
      <c r="E7" s="51"/>
      <c r="F7" t="s">
        <v>1300</v>
      </c>
      <c r="G7" s="16">
        <v>18.2</v>
      </c>
      <c r="H7" s="16">
        <v>16.7</v>
      </c>
      <c r="I7" s="16">
        <v>18.8</v>
      </c>
      <c r="J7" s="16">
        <v>18.600000000000001</v>
      </c>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1301</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1301</v>
      </c>
      <c r="E13" s="51"/>
    </row>
    <row r="14" spans="1:17" x14ac:dyDescent="0.2">
      <c r="A14" t="s">
        <v>265</v>
      </c>
      <c r="B14" t="s">
        <v>166</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1400</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1399</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E76A0C8-8295-455D-B3C1-428A9B05DF85}">
      <formula1>"integer, number, percent1"</formula1>
    </dataValidation>
    <dataValidation type="list" allowBlank="1" showInputMessage="1" showErrorMessage="1" sqref="B10" xr:uid="{C27845DE-1A90-46A8-9522-519C28E6EE62}">
      <formula1>"Line,Clustered Bar,Stacked Bar,Bar,Horizontal Stacked Bar"</formula1>
    </dataValidation>
    <dataValidation type="list" allowBlank="1" showInputMessage="1" showErrorMessage="1" sqref="B2" xr:uid="{1B459CF2-415D-40DE-BDDB-B73082B14491}">
      <formula1>"Table,Figure,Both"</formula1>
    </dataValidation>
    <dataValidation type="list" allowBlank="1" showInputMessage="1" showErrorMessage="1" sqref="B6 B15:B16" xr:uid="{2839D093-7B99-4D28-A099-4C7DDD1803A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F3057EF3-37B4-47EE-8D70-D82B0D350917}">
          <x14:formula1>
            <xm:f>Dropdowns!$B$2:$B$9</xm:f>
          </x14:formula1>
          <xm:sqref>B14</xm:sqref>
        </x14:dataValidation>
        <x14:dataValidation type="list" allowBlank="1" showInputMessage="1" showErrorMessage="1" xr:uid="{9F4DC0E4-6D94-45D6-B4FC-18FAA6A26C7C}">
          <x14:formula1>
            <xm:f>Dropdowns!$A$1:$A$8</xm:f>
          </x14:formula1>
          <xm:sqref>F4:O4</xm:sqref>
        </x14:dataValidation>
        <x14:dataValidation type="list" allowBlank="1" showInputMessage="1" showErrorMessage="1" xr:uid="{FE8FD7FF-A6FA-4D96-8E4C-93E217C9FB12}">
          <x14:formula1>
            <xm:f>Master!$F$2:$F$401</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039-70DC-417A-AF29-581B6156CEE5}">
  <dimension ref="A1:Q57"/>
  <sheetViews>
    <sheetView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5" bestFit="1" customWidth="1"/>
    <col min="10" max="10" width="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307</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tbl-employment</v>
      </c>
    </row>
    <row r="4" spans="1:17" x14ac:dyDescent="0.2">
      <c r="A4" s="17" t="s">
        <v>5</v>
      </c>
      <c r="B4" t="str">
        <f>IF($B$1="","",_xlfn.XLOOKUP($B$1,Master!$E$2:$E$320,Master!$G$2:$G$320,""))</f>
        <v>fig-employment</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50" t="s">
        <v>255</v>
      </c>
      <c r="B5" s="51"/>
      <c r="E5" s="52" t="s">
        <v>256</v>
      </c>
      <c r="F5" s="53" t="s">
        <v>394</v>
      </c>
      <c r="G5" s="53" t="s">
        <v>1401</v>
      </c>
      <c r="H5" s="53" t="s">
        <v>1402</v>
      </c>
      <c r="I5" s="53" t="s">
        <v>1403</v>
      </c>
      <c r="J5" s="53"/>
      <c r="K5" s="53" t="s">
        <v>1404</v>
      </c>
      <c r="L5" s="53" t="s">
        <v>1405</v>
      </c>
    </row>
    <row r="6" spans="1:17" ht="15" customHeight="1" x14ac:dyDescent="0.2">
      <c r="A6" t="s">
        <v>259</v>
      </c>
      <c r="B6" t="b">
        <v>1</v>
      </c>
      <c r="E6" s="51"/>
      <c r="F6" s="53"/>
      <c r="G6" s="53"/>
      <c r="H6" s="53"/>
      <c r="I6" t="s">
        <v>1406</v>
      </c>
      <c r="J6" t="s">
        <v>1407</v>
      </c>
      <c r="K6" s="53"/>
      <c r="L6" s="53"/>
      <c r="M6" s="16"/>
      <c r="N6" s="16"/>
      <c r="O6" s="16"/>
    </row>
    <row r="7" spans="1:17" ht="15.75" customHeight="1" x14ac:dyDescent="0.2">
      <c r="E7" s="51"/>
      <c r="F7" t="s">
        <v>396</v>
      </c>
      <c r="G7" s="24">
        <v>312794</v>
      </c>
      <c r="H7" s="24">
        <v>198515</v>
      </c>
      <c r="I7" s="24">
        <v>184167</v>
      </c>
      <c r="J7" s="24">
        <v>10556</v>
      </c>
      <c r="K7" s="24">
        <v>3792</v>
      </c>
      <c r="L7" s="24">
        <v>114279</v>
      </c>
      <c r="M7" s="16"/>
      <c r="N7" s="16"/>
      <c r="O7" s="16"/>
    </row>
    <row r="8" spans="1:17" x14ac:dyDescent="0.2">
      <c r="E8" s="51"/>
      <c r="F8" t="s">
        <v>397</v>
      </c>
      <c r="G8" s="24">
        <v>13963</v>
      </c>
      <c r="H8" s="24">
        <v>8841</v>
      </c>
      <c r="I8" s="24">
        <v>8167</v>
      </c>
      <c r="J8" s="16">
        <v>645</v>
      </c>
      <c r="K8" s="16">
        <v>29</v>
      </c>
      <c r="L8" s="24">
        <v>5122</v>
      </c>
      <c r="M8" s="16"/>
      <c r="N8" s="16"/>
      <c r="O8" s="16"/>
    </row>
    <row r="9" spans="1:17" x14ac:dyDescent="0.2">
      <c r="A9" s="50" t="s">
        <v>260</v>
      </c>
      <c r="B9" s="51"/>
      <c r="E9" s="51"/>
      <c r="F9" t="s">
        <v>398</v>
      </c>
      <c r="G9" s="24">
        <v>2303</v>
      </c>
      <c r="H9" s="24">
        <v>1442</v>
      </c>
      <c r="I9" s="24">
        <v>1268</v>
      </c>
      <c r="J9" s="16">
        <v>174</v>
      </c>
      <c r="K9" s="16">
        <v>0</v>
      </c>
      <c r="L9" s="16">
        <v>861</v>
      </c>
      <c r="M9" s="16"/>
      <c r="N9" s="16"/>
      <c r="O9" s="16"/>
    </row>
    <row r="10" spans="1:17" x14ac:dyDescent="0.2">
      <c r="A10" t="s">
        <v>261</v>
      </c>
      <c r="E10" s="51"/>
      <c r="F10" t="s">
        <v>399</v>
      </c>
      <c r="G10" s="24">
        <v>4687</v>
      </c>
      <c r="H10" s="15">
        <v>3056</v>
      </c>
      <c r="I10" s="15">
        <v>2827</v>
      </c>
      <c r="J10">
        <v>200</v>
      </c>
      <c r="K10">
        <v>29</v>
      </c>
      <c r="L10" s="15">
        <v>1631</v>
      </c>
    </row>
    <row r="11" spans="1:17" x14ac:dyDescent="0.2">
      <c r="A11" t="s">
        <v>262</v>
      </c>
      <c r="E11" s="51"/>
      <c r="F11" t="s">
        <v>400</v>
      </c>
      <c r="G11" s="24">
        <v>10311</v>
      </c>
      <c r="H11" s="24">
        <v>7161</v>
      </c>
      <c r="I11" s="24">
        <v>6888</v>
      </c>
      <c r="J11" s="18">
        <v>222</v>
      </c>
      <c r="K11" s="18">
        <v>51</v>
      </c>
      <c r="L11" s="30">
        <v>3150</v>
      </c>
      <c r="M11" s="18"/>
      <c r="N11" s="18"/>
    </row>
    <row r="12" spans="1:17" x14ac:dyDescent="0.2">
      <c r="A12" t="s">
        <v>263</v>
      </c>
      <c r="E12" s="51"/>
      <c r="F12" s="22" t="s">
        <v>401</v>
      </c>
      <c r="G12" s="30">
        <v>3497</v>
      </c>
      <c r="H12" s="30">
        <v>2552</v>
      </c>
      <c r="I12" s="24">
        <v>2488</v>
      </c>
      <c r="J12" s="16">
        <v>44</v>
      </c>
      <c r="K12" s="16">
        <v>20</v>
      </c>
      <c r="L12" s="16">
        <v>945</v>
      </c>
    </row>
    <row r="13" spans="1:17" x14ac:dyDescent="0.2">
      <c r="A13" t="s">
        <v>264</v>
      </c>
      <c r="E13" s="51"/>
      <c r="F13" t="s">
        <v>404</v>
      </c>
      <c r="G13" s="15">
        <v>10454</v>
      </c>
      <c r="H13" s="15">
        <v>6811</v>
      </c>
      <c r="I13" s="15">
        <v>6425</v>
      </c>
      <c r="J13">
        <v>262</v>
      </c>
      <c r="K13">
        <v>124</v>
      </c>
      <c r="L13" s="15">
        <v>3643</v>
      </c>
    </row>
    <row r="14" spans="1:17" x14ac:dyDescent="0.2">
      <c r="A14" t="s">
        <v>265</v>
      </c>
      <c r="E14" s="51"/>
      <c r="F14" t="s">
        <v>407</v>
      </c>
      <c r="G14" s="15">
        <v>2569</v>
      </c>
      <c r="H14" s="15">
        <v>1757</v>
      </c>
      <c r="I14" s="15">
        <v>1656</v>
      </c>
      <c r="J14">
        <v>7</v>
      </c>
      <c r="K14">
        <v>94</v>
      </c>
      <c r="L14">
        <v>812</v>
      </c>
    </row>
    <row r="15" spans="1:17" x14ac:dyDescent="0.2">
      <c r="A15" t="s">
        <v>267</v>
      </c>
      <c r="E15" s="51"/>
      <c r="F15" t="s">
        <v>408</v>
      </c>
      <c r="G15" s="15">
        <v>7403</v>
      </c>
      <c r="H15" s="15">
        <v>5259</v>
      </c>
      <c r="I15" s="15">
        <v>5000</v>
      </c>
      <c r="J15">
        <v>259</v>
      </c>
      <c r="K15">
        <v>0</v>
      </c>
      <c r="L15" s="15">
        <v>2144</v>
      </c>
    </row>
    <row r="16" spans="1:17" x14ac:dyDescent="0.2">
      <c r="A16" t="s">
        <v>274</v>
      </c>
      <c r="E16" s="51"/>
      <c r="F16" t="s">
        <v>409</v>
      </c>
      <c r="G16" s="15">
        <v>6229</v>
      </c>
      <c r="H16" s="15">
        <v>3512</v>
      </c>
      <c r="I16" s="15">
        <v>3207</v>
      </c>
      <c r="J16">
        <v>305</v>
      </c>
      <c r="K16">
        <v>0</v>
      </c>
      <c r="L16" s="15">
        <v>2717</v>
      </c>
    </row>
    <row r="17" spans="1:12" x14ac:dyDescent="0.2">
      <c r="E17" s="51"/>
      <c r="F17" t="s">
        <v>410</v>
      </c>
      <c r="G17" s="15">
        <v>11905</v>
      </c>
      <c r="H17" s="15">
        <v>6893</v>
      </c>
      <c r="I17" s="15">
        <v>6373</v>
      </c>
      <c r="J17">
        <v>505</v>
      </c>
      <c r="K17">
        <v>15</v>
      </c>
      <c r="L17" s="15">
        <v>5012</v>
      </c>
    </row>
    <row r="18" spans="1:12" x14ac:dyDescent="0.2">
      <c r="A18" s="50" t="s">
        <v>268</v>
      </c>
      <c r="B18" s="51"/>
      <c r="E18" s="51"/>
      <c r="F18" t="s">
        <v>411</v>
      </c>
      <c r="G18" s="15">
        <v>4743</v>
      </c>
      <c r="H18" s="15">
        <v>2842</v>
      </c>
      <c r="I18" s="15">
        <v>2703</v>
      </c>
      <c r="J18">
        <v>139</v>
      </c>
      <c r="K18">
        <v>0</v>
      </c>
      <c r="L18" s="15">
        <v>1901</v>
      </c>
    </row>
    <row r="19" spans="1:12" x14ac:dyDescent="0.2">
      <c r="A19" t="s">
        <v>1250</v>
      </c>
      <c r="B19" t="s">
        <v>1409</v>
      </c>
      <c r="E19" s="51"/>
      <c r="F19" t="s">
        <v>412</v>
      </c>
      <c r="G19" s="15">
        <v>3682</v>
      </c>
      <c r="H19" s="15">
        <v>2623</v>
      </c>
      <c r="I19" s="15">
        <v>2563</v>
      </c>
      <c r="J19">
        <v>60</v>
      </c>
      <c r="K19">
        <v>0</v>
      </c>
      <c r="L19" s="15">
        <v>1059</v>
      </c>
    </row>
    <row r="20" spans="1:12" x14ac:dyDescent="0.2">
      <c r="E20" s="51"/>
      <c r="F20" s="16" t="s">
        <v>413</v>
      </c>
      <c r="G20" s="24">
        <v>4418</v>
      </c>
      <c r="H20" s="24">
        <v>2583</v>
      </c>
      <c r="I20" s="15">
        <v>2495</v>
      </c>
      <c r="J20">
        <v>88</v>
      </c>
      <c r="K20">
        <v>0</v>
      </c>
      <c r="L20" s="15">
        <v>1835</v>
      </c>
    </row>
    <row r="21" spans="1:12" x14ac:dyDescent="0.2">
      <c r="A21" s="53" t="s">
        <v>269</v>
      </c>
      <c r="B21" s="51"/>
      <c r="E21" s="51"/>
      <c r="F21" s="16" t="s">
        <v>414</v>
      </c>
      <c r="G21" s="24">
        <v>10077</v>
      </c>
      <c r="H21" s="24">
        <v>7452</v>
      </c>
      <c r="I21" s="15">
        <v>4373</v>
      </c>
      <c r="J21">
        <v>198</v>
      </c>
      <c r="K21" s="15">
        <v>2881</v>
      </c>
      <c r="L21" s="15">
        <v>2625</v>
      </c>
    </row>
    <row r="22" spans="1:12" x14ac:dyDescent="0.2">
      <c r="A22" t="s">
        <v>1249</v>
      </c>
      <c r="B22" t="s">
        <v>1408</v>
      </c>
      <c r="E22" s="51"/>
      <c r="F22" s="16" t="s">
        <v>423</v>
      </c>
      <c r="G22" s="24">
        <v>3007</v>
      </c>
      <c r="H22" s="24">
        <v>2121</v>
      </c>
      <c r="I22" s="15">
        <v>1770</v>
      </c>
      <c r="J22">
        <v>137</v>
      </c>
      <c r="K22">
        <v>214</v>
      </c>
      <c r="L22">
        <v>886</v>
      </c>
    </row>
    <row r="23" spans="1:12" x14ac:dyDescent="0.2">
      <c r="E23" s="51"/>
      <c r="F23" s="16" t="s">
        <v>432</v>
      </c>
      <c r="G23" s="24">
        <v>23291</v>
      </c>
      <c r="H23" s="24">
        <v>14570</v>
      </c>
      <c r="I23" s="15">
        <v>13664</v>
      </c>
      <c r="J23">
        <v>890</v>
      </c>
      <c r="K23">
        <v>16</v>
      </c>
      <c r="L23" s="15">
        <v>8721</v>
      </c>
    </row>
    <row r="24" spans="1:12" x14ac:dyDescent="0.2">
      <c r="E24" s="51"/>
      <c r="F24" t="s">
        <v>436</v>
      </c>
      <c r="G24" s="15">
        <v>3499</v>
      </c>
      <c r="H24" s="15">
        <v>2509</v>
      </c>
      <c r="I24" s="15">
        <v>2456</v>
      </c>
      <c r="J24">
        <v>53</v>
      </c>
      <c r="K24">
        <v>0</v>
      </c>
      <c r="L24">
        <v>990</v>
      </c>
    </row>
    <row r="25" spans="1:12" x14ac:dyDescent="0.2">
      <c r="E25" s="51"/>
      <c r="F25" s="16" t="s">
        <v>440</v>
      </c>
      <c r="G25" s="16">
        <v>493</v>
      </c>
      <c r="H25" s="16">
        <v>368</v>
      </c>
      <c r="I25">
        <v>368</v>
      </c>
      <c r="J25">
        <v>0</v>
      </c>
      <c r="K25">
        <v>0</v>
      </c>
      <c r="L25">
        <v>125</v>
      </c>
    </row>
    <row r="26" spans="1:12" x14ac:dyDescent="0.2">
      <c r="E26" s="51"/>
      <c r="F26" s="16" t="s">
        <v>443</v>
      </c>
      <c r="G26" s="24">
        <v>16348</v>
      </c>
      <c r="H26" s="24">
        <v>11088</v>
      </c>
      <c r="I26" s="15">
        <v>10354</v>
      </c>
      <c r="J26">
        <v>734</v>
      </c>
      <c r="K26">
        <v>0</v>
      </c>
      <c r="L26" s="15">
        <v>5260</v>
      </c>
    </row>
    <row r="27" spans="1:12" x14ac:dyDescent="0.2">
      <c r="A27" s="53"/>
      <c r="B27" s="53"/>
      <c r="E27" s="51"/>
      <c r="F27" s="16" t="s">
        <v>447</v>
      </c>
      <c r="G27" s="24">
        <v>1553</v>
      </c>
      <c r="H27" s="24">
        <v>1085</v>
      </c>
      <c r="I27" s="15">
        <v>1052</v>
      </c>
      <c r="J27">
        <v>33</v>
      </c>
      <c r="K27">
        <v>0</v>
      </c>
      <c r="L27">
        <v>468</v>
      </c>
    </row>
    <row r="28" spans="1:12" x14ac:dyDescent="0.2">
      <c r="E28" s="51"/>
      <c r="F28" s="16" t="s">
        <v>449</v>
      </c>
      <c r="G28" s="24">
        <v>7194</v>
      </c>
      <c r="H28" s="24">
        <v>5047</v>
      </c>
      <c r="I28" s="15">
        <v>4852</v>
      </c>
      <c r="J28">
        <v>195</v>
      </c>
      <c r="K28">
        <v>0</v>
      </c>
      <c r="L28" s="15">
        <v>2147</v>
      </c>
    </row>
    <row r="29" spans="1:12" x14ac:dyDescent="0.2">
      <c r="E29" s="51"/>
      <c r="F29" s="16" t="s">
        <v>451</v>
      </c>
      <c r="G29" s="24">
        <v>18507</v>
      </c>
      <c r="H29" s="24">
        <v>11935</v>
      </c>
      <c r="I29" s="15">
        <v>11292</v>
      </c>
      <c r="J29">
        <v>495</v>
      </c>
      <c r="K29">
        <v>148</v>
      </c>
      <c r="L29" s="15">
        <v>6572</v>
      </c>
    </row>
    <row r="30" spans="1:12" x14ac:dyDescent="0.2">
      <c r="E30" s="51"/>
      <c r="F30" s="16" t="s">
        <v>453</v>
      </c>
      <c r="G30" s="24">
        <v>2698</v>
      </c>
      <c r="H30" s="24">
        <v>1836</v>
      </c>
      <c r="I30" s="15">
        <v>1807</v>
      </c>
      <c r="J30">
        <v>29</v>
      </c>
      <c r="K30">
        <v>0</v>
      </c>
      <c r="L30">
        <v>862</v>
      </c>
    </row>
    <row r="31" spans="1:12" x14ac:dyDescent="0.2">
      <c r="E31" s="51"/>
      <c r="F31" s="16" t="s">
        <v>455</v>
      </c>
      <c r="G31" s="24">
        <v>3071</v>
      </c>
      <c r="H31" s="24">
        <v>1910</v>
      </c>
      <c r="I31" s="15">
        <v>1871</v>
      </c>
      <c r="J31">
        <v>19</v>
      </c>
      <c r="K31">
        <v>20</v>
      </c>
      <c r="L31" s="15">
        <v>1161</v>
      </c>
    </row>
    <row r="32" spans="1:12" x14ac:dyDescent="0.2">
      <c r="E32" s="51"/>
      <c r="F32" t="s">
        <v>457</v>
      </c>
      <c r="G32" s="15">
        <v>5411</v>
      </c>
      <c r="H32" s="15">
        <v>3402</v>
      </c>
      <c r="I32" s="15">
        <v>3220</v>
      </c>
      <c r="J32">
        <v>182</v>
      </c>
      <c r="K32">
        <v>0</v>
      </c>
      <c r="L32" s="15">
        <v>2009</v>
      </c>
    </row>
    <row r="33" spans="5:12" x14ac:dyDescent="0.2">
      <c r="E33" s="51"/>
      <c r="F33" s="16" t="s">
        <v>459</v>
      </c>
      <c r="G33" s="24">
        <v>5594</v>
      </c>
      <c r="H33" s="24">
        <v>2717</v>
      </c>
      <c r="I33" s="15">
        <v>2690</v>
      </c>
      <c r="J33">
        <v>27</v>
      </c>
      <c r="K33">
        <v>0</v>
      </c>
      <c r="L33" s="15">
        <v>2877</v>
      </c>
    </row>
    <row r="34" spans="5:12" x14ac:dyDescent="0.2">
      <c r="E34" s="51"/>
      <c r="F34" s="16" t="s">
        <v>463</v>
      </c>
      <c r="G34" s="16">
        <v>923</v>
      </c>
      <c r="H34" s="16">
        <v>511</v>
      </c>
      <c r="I34" s="18">
        <v>500</v>
      </c>
      <c r="J34">
        <v>11</v>
      </c>
      <c r="K34">
        <v>0</v>
      </c>
      <c r="L34">
        <v>412</v>
      </c>
    </row>
    <row r="35" spans="5:12" x14ac:dyDescent="0.2">
      <c r="E35" s="51"/>
      <c r="F35" s="16" t="s">
        <v>465</v>
      </c>
      <c r="G35" s="24">
        <v>22299</v>
      </c>
      <c r="H35" s="24">
        <v>13631</v>
      </c>
      <c r="I35" s="30">
        <v>12879</v>
      </c>
      <c r="J35">
        <v>752</v>
      </c>
      <c r="K35">
        <v>0</v>
      </c>
      <c r="L35" s="15">
        <v>8668</v>
      </c>
    </row>
    <row r="36" spans="5:12" x14ac:dyDescent="0.2">
      <c r="E36" s="51"/>
      <c r="F36" s="16" t="s">
        <v>467</v>
      </c>
      <c r="G36" s="24">
        <v>26233</v>
      </c>
      <c r="H36" s="24">
        <v>16736</v>
      </c>
      <c r="I36" s="30">
        <v>15856</v>
      </c>
      <c r="J36">
        <v>718</v>
      </c>
      <c r="K36">
        <v>162</v>
      </c>
      <c r="L36" s="15">
        <v>9497</v>
      </c>
    </row>
    <row r="37" spans="5:12" x14ac:dyDescent="0.2">
      <c r="E37" s="51"/>
      <c r="F37" s="16" t="s">
        <v>469</v>
      </c>
      <c r="G37" s="24">
        <v>23333</v>
      </c>
      <c r="H37" s="24">
        <v>15158</v>
      </c>
      <c r="I37" s="30">
        <v>13668</v>
      </c>
      <c r="J37" s="15">
        <v>1221</v>
      </c>
      <c r="K37">
        <v>269</v>
      </c>
      <c r="L37" s="15">
        <v>8175</v>
      </c>
    </row>
    <row r="38" spans="5:12" x14ac:dyDescent="0.2">
      <c r="E38" s="51"/>
      <c r="F38" t="s">
        <v>471</v>
      </c>
      <c r="G38" s="15">
        <v>17392</v>
      </c>
      <c r="H38" s="15">
        <v>8728</v>
      </c>
      <c r="I38" s="15">
        <v>8525</v>
      </c>
      <c r="J38">
        <v>203</v>
      </c>
      <c r="K38">
        <v>0</v>
      </c>
      <c r="L38" s="15">
        <v>8664</v>
      </c>
    </row>
    <row r="39" spans="5:12" x14ac:dyDescent="0.2">
      <c r="E39" s="51"/>
      <c r="F39" t="s">
        <v>473</v>
      </c>
      <c r="G39" s="15">
        <v>17392</v>
      </c>
      <c r="H39" s="15">
        <v>8728</v>
      </c>
      <c r="I39" s="15">
        <v>8525</v>
      </c>
      <c r="J39">
        <v>203</v>
      </c>
      <c r="K39">
        <v>0</v>
      </c>
      <c r="L39" s="15">
        <v>8664</v>
      </c>
    </row>
    <row r="40" spans="5:12" x14ac:dyDescent="0.2">
      <c r="E40" s="51"/>
      <c r="F40" t="s">
        <v>476</v>
      </c>
      <c r="G40" s="15">
        <v>7196</v>
      </c>
      <c r="H40" s="15">
        <v>3968</v>
      </c>
      <c r="I40" s="15">
        <v>3697</v>
      </c>
      <c r="J40">
        <v>271</v>
      </c>
      <c r="K40">
        <v>0</v>
      </c>
      <c r="L40" s="15">
        <v>3228</v>
      </c>
    </row>
    <row r="41" spans="5:12" x14ac:dyDescent="0.2">
      <c r="E41" s="51"/>
      <c r="F41" t="s">
        <v>497</v>
      </c>
      <c r="G41" s="15">
        <v>3132</v>
      </c>
      <c r="H41" s="15">
        <v>1932</v>
      </c>
      <c r="I41" s="15">
        <v>1883</v>
      </c>
      <c r="J41">
        <v>29</v>
      </c>
      <c r="K41">
        <v>20</v>
      </c>
      <c r="L41" s="15">
        <v>1200</v>
      </c>
    </row>
    <row r="42" spans="5:12" x14ac:dyDescent="0.2">
      <c r="E42" s="51"/>
      <c r="F42" t="s">
        <v>501</v>
      </c>
      <c r="G42" s="15">
        <v>2529</v>
      </c>
      <c r="H42" s="15">
        <v>1539</v>
      </c>
      <c r="I42" s="15">
        <v>1494</v>
      </c>
      <c r="J42">
        <v>25</v>
      </c>
      <c r="K42">
        <v>20</v>
      </c>
      <c r="L42">
        <v>990</v>
      </c>
    </row>
    <row r="43" spans="5:12" x14ac:dyDescent="0.2">
      <c r="E43" s="51"/>
      <c r="F43" t="s">
        <v>502</v>
      </c>
      <c r="G43">
        <v>603</v>
      </c>
      <c r="H43">
        <v>393</v>
      </c>
      <c r="I43">
        <v>389</v>
      </c>
      <c r="J43">
        <v>4</v>
      </c>
      <c r="K43">
        <v>0</v>
      </c>
      <c r="L43">
        <v>210</v>
      </c>
    </row>
    <row r="44" spans="5:12" x14ac:dyDescent="0.2">
      <c r="E44" s="51"/>
      <c r="F44" t="s">
        <v>503</v>
      </c>
      <c r="G44" s="15">
        <v>25386</v>
      </c>
      <c r="H44" s="15">
        <v>17029</v>
      </c>
      <c r="I44" s="15">
        <v>15847</v>
      </c>
      <c r="J44" s="15">
        <v>1153</v>
      </c>
      <c r="K44">
        <v>29</v>
      </c>
      <c r="L44" s="15">
        <v>8357</v>
      </c>
    </row>
    <row r="45" spans="5:12" x14ac:dyDescent="0.2">
      <c r="E45" s="51"/>
      <c r="F45" t="s">
        <v>504</v>
      </c>
      <c r="G45" s="15">
        <v>26730</v>
      </c>
      <c r="H45" s="15">
        <v>16925</v>
      </c>
      <c r="I45" s="15">
        <v>16321</v>
      </c>
      <c r="J45">
        <v>578</v>
      </c>
      <c r="K45">
        <v>26</v>
      </c>
      <c r="L45" s="15">
        <v>9805</v>
      </c>
    </row>
    <row r="46" spans="5:12" x14ac:dyDescent="0.2">
      <c r="E46" s="51"/>
      <c r="F46" t="s">
        <v>505</v>
      </c>
      <c r="G46" s="15">
        <v>2419</v>
      </c>
      <c r="H46" s="15">
        <v>1609</v>
      </c>
      <c r="I46" s="15">
        <v>1510</v>
      </c>
      <c r="J46">
        <v>73</v>
      </c>
      <c r="K46">
        <v>26</v>
      </c>
      <c r="L46">
        <v>810</v>
      </c>
    </row>
    <row r="47" spans="5:12" x14ac:dyDescent="0.2">
      <c r="E47" s="51"/>
      <c r="F47" t="s">
        <v>506</v>
      </c>
      <c r="G47" s="15">
        <v>2582</v>
      </c>
      <c r="H47" s="15">
        <v>1486</v>
      </c>
      <c r="I47" s="15">
        <v>1398</v>
      </c>
      <c r="J47">
        <v>88</v>
      </c>
      <c r="K47">
        <v>0</v>
      </c>
      <c r="L47" s="15">
        <v>1096</v>
      </c>
    </row>
    <row r="48" spans="5:12" x14ac:dyDescent="0.2">
      <c r="E48" s="51"/>
      <c r="F48" t="s">
        <v>507</v>
      </c>
      <c r="G48" s="15">
        <v>5488</v>
      </c>
      <c r="H48" s="15">
        <v>3284</v>
      </c>
      <c r="I48" s="15">
        <v>3121</v>
      </c>
      <c r="J48">
        <v>163</v>
      </c>
      <c r="K48">
        <v>0</v>
      </c>
      <c r="L48" s="15">
        <v>2204</v>
      </c>
    </row>
    <row r="49" spans="5:12" x14ac:dyDescent="0.2">
      <c r="E49" s="51"/>
      <c r="F49" t="s">
        <v>508</v>
      </c>
      <c r="G49" s="15">
        <v>5936</v>
      </c>
      <c r="H49" s="15">
        <v>4139</v>
      </c>
      <c r="I49" s="15">
        <v>3790</v>
      </c>
      <c r="J49">
        <v>349</v>
      </c>
      <c r="K49">
        <v>0</v>
      </c>
      <c r="L49" s="15">
        <v>1797</v>
      </c>
    </row>
    <row r="50" spans="5:12" x14ac:dyDescent="0.2">
      <c r="E50" s="51"/>
      <c r="F50" t="s">
        <v>509</v>
      </c>
      <c r="G50" s="15">
        <v>9476</v>
      </c>
      <c r="H50" s="15">
        <v>6315</v>
      </c>
      <c r="I50" s="15">
        <v>5754</v>
      </c>
      <c r="J50">
        <v>539</v>
      </c>
      <c r="K50">
        <v>22</v>
      </c>
      <c r="L50" s="15">
        <v>3161</v>
      </c>
    </row>
    <row r="51" spans="5:12" x14ac:dyDescent="0.2">
      <c r="E51" s="51"/>
      <c r="F51" t="s">
        <v>447</v>
      </c>
      <c r="G51">
        <v>605</v>
      </c>
      <c r="H51">
        <v>489</v>
      </c>
      <c r="I51">
        <v>466</v>
      </c>
      <c r="J51">
        <v>23</v>
      </c>
      <c r="K51">
        <v>0</v>
      </c>
      <c r="L51">
        <v>116</v>
      </c>
    </row>
    <row r="52" spans="5:12" x14ac:dyDescent="0.2">
      <c r="E52" s="51"/>
      <c r="F52" t="s">
        <v>510</v>
      </c>
      <c r="G52" s="15">
        <v>8871</v>
      </c>
      <c r="H52" s="15">
        <v>5826</v>
      </c>
      <c r="I52" s="15">
        <v>5288</v>
      </c>
      <c r="J52">
        <v>516</v>
      </c>
      <c r="K52">
        <v>22</v>
      </c>
      <c r="L52" s="15">
        <v>3045</v>
      </c>
    </row>
    <row r="53" spans="5:12" x14ac:dyDescent="0.2">
      <c r="E53" s="51"/>
    </row>
    <row r="54" spans="5:12" x14ac:dyDescent="0.2">
      <c r="E54" s="51"/>
    </row>
    <row r="55" spans="5:12" x14ac:dyDescent="0.2">
      <c r="E55" s="51"/>
    </row>
    <row r="56" spans="5:12" x14ac:dyDescent="0.2">
      <c r="E56" s="51"/>
    </row>
    <row r="57" spans="5:12" x14ac:dyDescent="0.2">
      <c r="E57" s="51"/>
    </row>
  </sheetData>
  <mergeCells count="13">
    <mergeCell ref="K5:K6"/>
    <mergeCell ref="L5:L6"/>
    <mergeCell ref="I5:J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62B91583-8E16-4E0F-864D-1BBD5C8A50E7}">
      <formula1>"integer, number, percent1"</formula1>
    </dataValidation>
    <dataValidation type="list" allowBlank="1" showInputMessage="1" showErrorMessage="1" sqref="B10" xr:uid="{3C3EE172-EE66-4D9B-8291-93D5D74BACF2}">
      <formula1>"Line,Clustered Bar,Stacked Bar,Bar,Horizontal Stacked Bar"</formula1>
    </dataValidation>
    <dataValidation type="list" allowBlank="1" showInputMessage="1" showErrorMessage="1" sqref="B2" xr:uid="{729C0613-DBA2-42B4-8AD3-8B4E8B0C9EEB}">
      <formula1>"Table,Figure,Both"</formula1>
    </dataValidation>
    <dataValidation type="list" allowBlank="1" showInputMessage="1" showErrorMessage="1" sqref="B6 B15:B16" xr:uid="{43577A7B-C45E-479E-B339-896033B1CB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31021F-0909-4B2C-BE9C-F1ED65AE636D}">
          <x14:formula1>
            <xm:f>Dropdowns!$B$2:$B$9</xm:f>
          </x14:formula1>
          <xm:sqref>B14</xm:sqref>
        </x14:dataValidation>
        <x14:dataValidation type="list" allowBlank="1" showInputMessage="1" showErrorMessage="1" xr:uid="{76946C8B-7C09-417B-AA39-5DEF5493F0A2}">
          <x14:formula1>
            <xm:f>Dropdowns!$A$1:$A$8</xm:f>
          </x14:formula1>
          <xm:sqref>F4:O4</xm:sqref>
        </x14:dataValidation>
        <x14:dataValidation type="list" allowBlank="1" showInputMessage="1" showErrorMessage="1" xr:uid="{E745086E-41C5-4AE6-9032-38A93247452A}">
          <x14:formula1>
            <xm:f>Master!$F$2:$F$401</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22DEE-9559-4A69-8C68-612FD9039BDB}">
  <dimension ref="A1:Q57"/>
  <sheetViews>
    <sheetView workbookViewId="0">
      <selection activeCell="B31" activeCellId="1" sqref="B19 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279</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
      </c>
    </row>
    <row r="4" spans="1:17" x14ac:dyDescent="0.2">
      <c r="A4" s="17" t="s">
        <v>5</v>
      </c>
      <c r="B4" t="str">
        <f>IF($B$1="","",_xlfn.XLOOKUP($B$1,Master!$E$2:$E$320,Master!$G$2:$G$320,""))</f>
        <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50" t="s">
        <v>255</v>
      </c>
      <c r="B5" s="51"/>
      <c r="E5" s="52" t="s">
        <v>256</v>
      </c>
      <c r="F5" t="s">
        <v>1301</v>
      </c>
      <c r="G5">
        <v>2020</v>
      </c>
      <c r="H5">
        <v>2021</v>
      </c>
      <c r="I5">
        <v>2022</v>
      </c>
      <c r="J5">
        <v>2023</v>
      </c>
    </row>
    <row r="6" spans="1:17" ht="15" customHeight="1" x14ac:dyDescent="0.2">
      <c r="A6" t="s">
        <v>259</v>
      </c>
      <c r="B6" t="b">
        <v>0</v>
      </c>
      <c r="E6" s="51"/>
      <c r="F6" t="s">
        <v>1298</v>
      </c>
      <c r="G6" s="16">
        <v>8.4</v>
      </c>
      <c r="H6" s="16">
        <v>4.7</v>
      </c>
      <c r="I6" s="16">
        <v>3.2</v>
      </c>
      <c r="J6" s="16">
        <v>3.4</v>
      </c>
      <c r="K6" s="16"/>
      <c r="L6" s="16"/>
      <c r="M6" s="16"/>
      <c r="N6" s="16"/>
      <c r="O6" s="16"/>
    </row>
    <row r="7" spans="1:17" ht="15.75" customHeight="1" x14ac:dyDescent="0.2">
      <c r="E7" s="51"/>
      <c r="F7" t="s">
        <v>1299</v>
      </c>
      <c r="G7" s="16">
        <v>8.3000000000000007</v>
      </c>
      <c r="H7" s="16">
        <v>4.8</v>
      </c>
      <c r="I7" s="16">
        <v>3.2</v>
      </c>
      <c r="J7" s="16">
        <v>3.5</v>
      </c>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1301</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1301</v>
      </c>
      <c r="E13" s="51"/>
    </row>
    <row r="14" spans="1:17" x14ac:dyDescent="0.2">
      <c r="A14" t="s">
        <v>265</v>
      </c>
      <c r="B14" t="s">
        <v>166</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1411</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1410</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D51E0B-DC40-4C2B-852F-168C13B68EF0}">
      <formula1>"integer, number, percent1"</formula1>
    </dataValidation>
    <dataValidation type="list" allowBlank="1" showInputMessage="1" showErrorMessage="1" sqref="B10" xr:uid="{3678CD8F-0501-434E-84D5-FF3A24B78DC2}">
      <formula1>"Line,Clustered Bar,Stacked Bar,Bar,Horizontal Stacked Bar"</formula1>
    </dataValidation>
    <dataValidation type="list" allowBlank="1" showInputMessage="1" showErrorMessage="1" sqref="B2" xr:uid="{A37277B7-1BFE-4D75-950E-7F193A0440EB}">
      <formula1>"Table,Figure,Both"</formula1>
    </dataValidation>
    <dataValidation type="list" allowBlank="1" showInputMessage="1" showErrorMessage="1" sqref="B6 B15:B16" xr:uid="{0AC38721-CE69-4B35-8971-8AAB4A72FD1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4684EB-867D-4E6F-A720-AB35AF49E5E5}">
          <x14:formula1>
            <xm:f>Dropdowns!$B$2:$B$9</xm:f>
          </x14:formula1>
          <xm:sqref>B14</xm:sqref>
        </x14:dataValidation>
        <x14:dataValidation type="list" allowBlank="1" showInputMessage="1" showErrorMessage="1" xr:uid="{68A3C898-2C16-4D44-A1C2-92173B3423CA}">
          <x14:formula1>
            <xm:f>Dropdowns!$A$1:$A$8</xm:f>
          </x14:formula1>
          <xm:sqref>F4:O4</xm:sqref>
        </x14:dataValidation>
        <x14:dataValidation type="list" allowBlank="1" showInputMessage="1" showErrorMessage="1" xr:uid="{69AFAE24-318E-43FF-A620-56EADF943B5F}">
          <x14:formula1>
            <xm:f>Master!$F$2:$F$401</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71715-FF0C-47C2-A10A-153F4EA39B13}">
  <dimension ref="A1:W57"/>
  <sheetViews>
    <sheetView zoomScale="85" zoomScaleNormal="85"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7" t="s">
        <v>252</v>
      </c>
      <c r="B1" s="48" t="s">
        <v>309</v>
      </c>
      <c r="C1" s="49"/>
      <c r="D1" s="49"/>
      <c r="E1" s="49"/>
      <c r="F1" s="49"/>
      <c r="G1" s="49"/>
      <c r="H1" s="49"/>
      <c r="I1" s="49"/>
      <c r="J1" s="49"/>
      <c r="K1" s="49"/>
      <c r="L1" s="49"/>
      <c r="M1" s="49"/>
      <c r="N1" s="49"/>
      <c r="O1" s="49"/>
    </row>
    <row r="2" spans="1:23" x14ac:dyDescent="0.2">
      <c r="A2" s="17" t="s">
        <v>253</v>
      </c>
      <c r="B2" t="s">
        <v>273</v>
      </c>
    </row>
    <row r="3" spans="1:23" x14ac:dyDescent="0.2">
      <c r="A3" s="17" t="s">
        <v>254</v>
      </c>
      <c r="B3" t="str">
        <f>IF($B$1="","",_xlfn.XLOOKUP($B$1,Master!$E$2:$E$320,Master!$F$2:$F$320,""))</f>
        <v>tbl-graudation-rate-demographic</v>
      </c>
    </row>
    <row r="4" spans="1:23" x14ac:dyDescent="0.2">
      <c r="A4" s="17" t="s">
        <v>5</v>
      </c>
      <c r="B4" t="str">
        <f>IF($B$1="","",_xlfn.XLOOKUP($B$1,Master!$E$2:$E$320,Master!$G$2:$G$320,""))</f>
        <v>fig-graudation-rate-demographic</v>
      </c>
      <c r="E4" s="8"/>
      <c r="F4" s="10" t="s">
        <v>144</v>
      </c>
      <c r="G4" s="10" t="s">
        <v>155</v>
      </c>
      <c r="H4" s="10" t="s">
        <v>155</v>
      </c>
      <c r="I4" s="10" t="s">
        <v>155</v>
      </c>
      <c r="J4" s="10" t="s">
        <v>155</v>
      </c>
      <c r="K4" s="10" t="s">
        <v>155</v>
      </c>
      <c r="L4" s="10" t="s">
        <v>155</v>
      </c>
      <c r="M4" s="10" t="s">
        <v>155</v>
      </c>
      <c r="N4" s="10" t="s">
        <v>155</v>
      </c>
      <c r="O4" s="10"/>
      <c r="P4" s="10"/>
      <c r="Q4" s="10"/>
    </row>
    <row r="5" spans="1:23" x14ac:dyDescent="0.2">
      <c r="A5" s="50" t="s">
        <v>255</v>
      </c>
      <c r="B5" s="51"/>
      <c r="E5" s="52" t="s">
        <v>256</v>
      </c>
      <c r="F5" s="53" t="s">
        <v>1412</v>
      </c>
      <c r="G5" s="53" t="s">
        <v>1420</v>
      </c>
      <c r="H5" s="53"/>
      <c r="I5" s="53"/>
      <c r="J5" s="53"/>
      <c r="K5" s="53"/>
      <c r="L5" s="53"/>
      <c r="M5" s="53" t="s">
        <v>1421</v>
      </c>
      <c r="N5" s="53"/>
    </row>
    <row r="6" spans="1:23" x14ac:dyDescent="0.2">
      <c r="A6" t="s">
        <v>259</v>
      </c>
      <c r="B6" t="b">
        <v>1</v>
      </c>
      <c r="E6" s="51"/>
      <c r="F6" s="53"/>
      <c r="G6" s="16" t="s">
        <v>1413</v>
      </c>
      <c r="H6" s="16" t="s">
        <v>1414</v>
      </c>
      <c r="I6" s="16" t="s">
        <v>1415</v>
      </c>
      <c r="J6" s="16" t="s">
        <v>1416</v>
      </c>
      <c r="K6" s="16" t="s">
        <v>1417</v>
      </c>
      <c r="L6" s="16" t="s">
        <v>1418</v>
      </c>
      <c r="M6" s="16" t="s">
        <v>1419</v>
      </c>
      <c r="N6" s="16" t="s">
        <v>1422</v>
      </c>
      <c r="O6" s="21"/>
      <c r="P6" s="21"/>
      <c r="Q6" s="21"/>
      <c r="R6" s="21"/>
      <c r="S6" s="21"/>
      <c r="T6" s="21"/>
      <c r="U6" s="21"/>
      <c r="V6" s="21"/>
      <c r="W6" s="21"/>
    </row>
    <row r="7" spans="1:23" ht="15.75" customHeight="1" x14ac:dyDescent="0.2">
      <c r="E7" s="51"/>
      <c r="F7" t="s">
        <v>1559</v>
      </c>
      <c r="G7" s="16" t="s">
        <v>1425</v>
      </c>
      <c r="H7" s="16" t="s">
        <v>1426</v>
      </c>
      <c r="I7" s="16" t="s">
        <v>1427</v>
      </c>
      <c r="J7" s="16" t="s">
        <v>1428</v>
      </c>
      <c r="K7" s="16" t="s">
        <v>1429</v>
      </c>
      <c r="L7" s="16" t="s">
        <v>1430</v>
      </c>
      <c r="M7" s="16" t="s">
        <v>1431</v>
      </c>
      <c r="N7" s="16" t="s">
        <v>1432</v>
      </c>
      <c r="O7" s="16"/>
    </row>
    <row r="8" spans="1:23" x14ac:dyDescent="0.2">
      <c r="E8" s="51"/>
      <c r="F8" t="s">
        <v>1433</v>
      </c>
      <c r="G8" s="16" t="s">
        <v>1434</v>
      </c>
      <c r="H8" s="16" t="s">
        <v>1435</v>
      </c>
      <c r="I8" s="16" t="s">
        <v>1436</v>
      </c>
      <c r="J8" s="16" t="s">
        <v>1437</v>
      </c>
      <c r="K8" s="16" t="s">
        <v>1438</v>
      </c>
      <c r="L8" s="16" t="s">
        <v>1439</v>
      </c>
      <c r="M8" s="16" t="s">
        <v>1440</v>
      </c>
      <c r="N8" s="16" t="s">
        <v>1441</v>
      </c>
      <c r="O8" s="16"/>
    </row>
    <row r="9" spans="1:23" x14ac:dyDescent="0.2">
      <c r="A9" s="50" t="s">
        <v>260</v>
      </c>
      <c r="B9" s="51"/>
      <c r="E9" s="51"/>
      <c r="F9" t="s">
        <v>1442</v>
      </c>
      <c r="G9" s="16" t="s">
        <v>1434</v>
      </c>
      <c r="H9" s="16" t="s">
        <v>1443</v>
      </c>
      <c r="I9" s="16" t="s">
        <v>1444</v>
      </c>
      <c r="J9" s="16" t="s">
        <v>1445</v>
      </c>
      <c r="K9" s="16" t="s">
        <v>1446</v>
      </c>
      <c r="L9" s="16" t="s">
        <v>1447</v>
      </c>
      <c r="M9" s="16" t="s">
        <v>1448</v>
      </c>
      <c r="N9" s="16" t="s">
        <v>1449</v>
      </c>
      <c r="O9" s="16"/>
    </row>
    <row r="10" spans="1:23" x14ac:dyDescent="0.2">
      <c r="A10" t="s">
        <v>261</v>
      </c>
      <c r="E10" s="51"/>
      <c r="F10" t="s">
        <v>1450</v>
      </c>
      <c r="G10" s="16" t="s">
        <v>1434</v>
      </c>
      <c r="H10" s="16" t="s">
        <v>1451</v>
      </c>
      <c r="I10" s="16" t="s">
        <v>1452</v>
      </c>
      <c r="J10" s="16" t="s">
        <v>1453</v>
      </c>
      <c r="K10" s="16" t="s">
        <v>1454</v>
      </c>
      <c r="L10" s="16" t="s">
        <v>1455</v>
      </c>
      <c r="M10" s="16" t="s">
        <v>1456</v>
      </c>
      <c r="N10" s="16" t="s">
        <v>1457</v>
      </c>
    </row>
    <row r="11" spans="1:23" x14ac:dyDescent="0.2">
      <c r="A11" t="s">
        <v>262</v>
      </c>
      <c r="E11" s="51"/>
      <c r="F11" t="s">
        <v>1458</v>
      </c>
      <c r="G11" s="16" t="s">
        <v>1459</v>
      </c>
      <c r="H11" s="16" t="s">
        <v>1460</v>
      </c>
      <c r="I11" s="16" t="s">
        <v>1461</v>
      </c>
      <c r="J11" s="18" t="s">
        <v>1462</v>
      </c>
      <c r="K11" s="18" t="s">
        <v>1463</v>
      </c>
      <c r="L11" s="18" t="s">
        <v>1464</v>
      </c>
      <c r="M11" s="18" t="s">
        <v>266</v>
      </c>
      <c r="N11" s="18" t="s">
        <v>266</v>
      </c>
    </row>
    <row r="12" spans="1:23" x14ac:dyDescent="0.2">
      <c r="A12" t="s">
        <v>263</v>
      </c>
      <c r="E12" s="51"/>
      <c r="F12" s="22" t="s">
        <v>1465</v>
      </c>
      <c r="G12" s="18" t="s">
        <v>1434</v>
      </c>
      <c r="H12" s="18" t="s">
        <v>1466</v>
      </c>
      <c r="I12" s="16" t="s">
        <v>1467</v>
      </c>
      <c r="J12" s="16" t="s">
        <v>1468</v>
      </c>
      <c r="K12" s="16" t="s">
        <v>1469</v>
      </c>
      <c r="L12" s="16" t="s">
        <v>1470</v>
      </c>
      <c r="M12" s="16" t="s">
        <v>1471</v>
      </c>
      <c r="N12" s="16" t="s">
        <v>1472</v>
      </c>
    </row>
    <row r="13" spans="1:23" x14ac:dyDescent="0.2">
      <c r="A13" t="s">
        <v>264</v>
      </c>
      <c r="E13" s="51"/>
      <c r="F13" t="s">
        <v>1473</v>
      </c>
      <c r="G13" s="16" t="s">
        <v>266</v>
      </c>
      <c r="H13" s="16" t="s">
        <v>266</v>
      </c>
      <c r="I13" s="16" t="s">
        <v>266</v>
      </c>
      <c r="J13" s="16" t="s">
        <v>266</v>
      </c>
      <c r="K13" s="16" t="s">
        <v>1474</v>
      </c>
      <c r="L13" s="16" t="s">
        <v>266</v>
      </c>
      <c r="M13" s="16" t="s">
        <v>266</v>
      </c>
      <c r="N13" s="16" t="s">
        <v>266</v>
      </c>
    </row>
    <row r="14" spans="1:23" x14ac:dyDescent="0.2">
      <c r="A14" t="s">
        <v>265</v>
      </c>
      <c r="E14" s="51"/>
      <c r="F14" t="s">
        <v>1475</v>
      </c>
      <c r="G14" s="16" t="s">
        <v>1476</v>
      </c>
      <c r="H14" s="16" t="s">
        <v>1477</v>
      </c>
      <c r="I14" s="16" t="s">
        <v>1478</v>
      </c>
      <c r="J14" s="16" t="s">
        <v>1479</v>
      </c>
      <c r="K14" s="16" t="s">
        <v>1480</v>
      </c>
      <c r="L14" s="16" t="s">
        <v>1481</v>
      </c>
      <c r="M14" s="16" t="s">
        <v>1482</v>
      </c>
      <c r="N14" s="16" t="s">
        <v>1483</v>
      </c>
    </row>
    <row r="15" spans="1:23" x14ac:dyDescent="0.2">
      <c r="A15" t="s">
        <v>267</v>
      </c>
      <c r="E15" s="51"/>
      <c r="F15" t="s">
        <v>1484</v>
      </c>
      <c r="G15" s="16" t="s">
        <v>1485</v>
      </c>
      <c r="H15" s="16" t="s">
        <v>1486</v>
      </c>
      <c r="I15" s="16" t="s">
        <v>1487</v>
      </c>
      <c r="J15" s="16" t="s">
        <v>1488</v>
      </c>
      <c r="K15" s="16" t="s">
        <v>1489</v>
      </c>
      <c r="L15" s="16" t="s">
        <v>1490</v>
      </c>
      <c r="M15" s="16" t="s">
        <v>1491</v>
      </c>
      <c r="N15" s="16" t="s">
        <v>1492</v>
      </c>
    </row>
    <row r="16" spans="1:23" x14ac:dyDescent="0.2">
      <c r="A16" t="s">
        <v>274</v>
      </c>
      <c r="E16" s="51"/>
      <c r="F16" t="s">
        <v>1493</v>
      </c>
      <c r="G16" s="16" t="s">
        <v>1494</v>
      </c>
      <c r="H16" s="16" t="s">
        <v>1495</v>
      </c>
      <c r="I16" s="16" t="s">
        <v>1496</v>
      </c>
      <c r="J16" s="16" t="s">
        <v>1497</v>
      </c>
      <c r="K16" s="16" t="s">
        <v>1498</v>
      </c>
      <c r="L16" s="16" t="s">
        <v>1499</v>
      </c>
      <c r="M16" s="16" t="s">
        <v>1500</v>
      </c>
      <c r="N16" s="16" t="s">
        <v>1501</v>
      </c>
    </row>
    <row r="17" spans="1:14" x14ac:dyDescent="0.2">
      <c r="E17" s="51"/>
      <c r="F17" t="s">
        <v>1502</v>
      </c>
      <c r="G17" s="16" t="s">
        <v>1503</v>
      </c>
      <c r="H17" s="16" t="s">
        <v>1504</v>
      </c>
      <c r="I17" s="16" t="s">
        <v>1505</v>
      </c>
      <c r="J17" s="16" t="s">
        <v>1506</v>
      </c>
      <c r="K17" s="16" t="s">
        <v>1507</v>
      </c>
      <c r="L17" s="16" t="s">
        <v>1508</v>
      </c>
      <c r="M17" s="16" t="s">
        <v>1509</v>
      </c>
      <c r="N17" s="16" t="s">
        <v>1510</v>
      </c>
    </row>
    <row r="18" spans="1:14" x14ac:dyDescent="0.2">
      <c r="A18" s="50" t="s">
        <v>268</v>
      </c>
      <c r="B18" s="51"/>
      <c r="E18" s="51"/>
      <c r="F18" t="s">
        <v>1511</v>
      </c>
      <c r="G18" s="16" t="s">
        <v>1512</v>
      </c>
      <c r="H18" s="16" t="s">
        <v>1513</v>
      </c>
      <c r="I18" s="16" t="s">
        <v>1514</v>
      </c>
      <c r="J18" s="16" t="s">
        <v>1515</v>
      </c>
      <c r="K18" s="16" t="s">
        <v>1516</v>
      </c>
      <c r="L18" s="16" t="s">
        <v>1517</v>
      </c>
      <c r="M18" s="16" t="s">
        <v>1518</v>
      </c>
      <c r="N18" s="16" t="s">
        <v>1519</v>
      </c>
    </row>
    <row r="19" spans="1:14" x14ac:dyDescent="0.2">
      <c r="A19" t="s">
        <v>1250</v>
      </c>
      <c r="B19" t="s">
        <v>1424</v>
      </c>
      <c r="E19" s="51"/>
      <c r="F19" t="s">
        <v>476</v>
      </c>
      <c r="G19" s="16" t="s">
        <v>1520</v>
      </c>
      <c r="H19" s="16" t="s">
        <v>1521</v>
      </c>
      <c r="I19" s="16" t="s">
        <v>1522</v>
      </c>
      <c r="J19" s="16" t="s">
        <v>1523</v>
      </c>
      <c r="K19" s="16" t="s">
        <v>1524</v>
      </c>
      <c r="L19" s="16" t="s">
        <v>1525</v>
      </c>
      <c r="M19" s="16" t="s">
        <v>1526</v>
      </c>
      <c r="N19" s="16" t="s">
        <v>1527</v>
      </c>
    </row>
    <row r="20" spans="1:14" x14ac:dyDescent="0.2">
      <c r="E20" s="51"/>
      <c r="F20" s="16" t="s">
        <v>1528</v>
      </c>
      <c r="G20" s="16" t="s">
        <v>266</v>
      </c>
      <c r="H20" s="16" t="s">
        <v>1529</v>
      </c>
      <c r="I20" s="16" t="s">
        <v>1530</v>
      </c>
      <c r="J20" s="16" t="s">
        <v>1531</v>
      </c>
      <c r="K20" s="16" t="s">
        <v>1532</v>
      </c>
      <c r="L20" s="16" t="s">
        <v>266</v>
      </c>
      <c r="M20" s="16" t="s">
        <v>266</v>
      </c>
      <c r="N20" s="16" t="s">
        <v>266</v>
      </c>
    </row>
    <row r="21" spans="1:14" x14ac:dyDescent="0.2">
      <c r="A21" s="53" t="s">
        <v>269</v>
      </c>
      <c r="B21" s="51"/>
      <c r="E21" s="51"/>
      <c r="F21" s="16" t="s">
        <v>1533</v>
      </c>
      <c r="G21" s="16" t="s">
        <v>1534</v>
      </c>
      <c r="H21" s="16" t="s">
        <v>1535</v>
      </c>
      <c r="I21" s="16" t="s">
        <v>1536</v>
      </c>
      <c r="J21" s="16" t="s">
        <v>1537</v>
      </c>
      <c r="K21" s="16" t="s">
        <v>1538</v>
      </c>
      <c r="L21" s="16" t="s">
        <v>1539</v>
      </c>
      <c r="M21" s="16" t="s">
        <v>1540</v>
      </c>
      <c r="N21" s="16" t="s">
        <v>1541</v>
      </c>
    </row>
    <row r="22" spans="1:14" x14ac:dyDescent="0.2">
      <c r="A22" t="s">
        <v>1249</v>
      </c>
      <c r="B22" t="s">
        <v>1423</v>
      </c>
      <c r="E22" s="51"/>
      <c r="F22" s="16" t="s">
        <v>1542</v>
      </c>
      <c r="G22" s="16" t="s">
        <v>1543</v>
      </c>
      <c r="H22" s="16" t="s">
        <v>1544</v>
      </c>
      <c r="I22" s="16" t="s">
        <v>1545</v>
      </c>
      <c r="J22" s="16" t="s">
        <v>1546</v>
      </c>
      <c r="K22" s="16" t="s">
        <v>1547</v>
      </c>
      <c r="L22" s="16" t="s">
        <v>1517</v>
      </c>
      <c r="M22" s="16" t="s">
        <v>1548</v>
      </c>
      <c r="N22" s="16" t="s">
        <v>1549</v>
      </c>
    </row>
    <row r="23" spans="1:14" x14ac:dyDescent="0.2">
      <c r="E23" s="51"/>
      <c r="F23" s="16" t="s">
        <v>1550</v>
      </c>
      <c r="G23" s="16" t="s">
        <v>1551</v>
      </c>
      <c r="H23" s="16" t="s">
        <v>1552</v>
      </c>
      <c r="I23" s="16" t="s">
        <v>1553</v>
      </c>
      <c r="J23" s="16" t="s">
        <v>1554</v>
      </c>
      <c r="K23" s="16" t="s">
        <v>1555</v>
      </c>
      <c r="L23" s="16" t="s">
        <v>1556</v>
      </c>
      <c r="M23" s="16" t="s">
        <v>1557</v>
      </c>
      <c r="N23" s="16" t="s">
        <v>1558</v>
      </c>
    </row>
    <row r="24" spans="1:14" x14ac:dyDescent="0.2">
      <c r="E24" s="51"/>
      <c r="F24" t="s">
        <v>1550</v>
      </c>
      <c r="G24" s="16" t="s">
        <v>1551</v>
      </c>
      <c r="H24" s="16" t="s">
        <v>1552</v>
      </c>
      <c r="I24" s="16" t="s">
        <v>1553</v>
      </c>
      <c r="J24" s="16" t="s">
        <v>1554</v>
      </c>
      <c r="K24" s="16" t="s">
        <v>1555</v>
      </c>
      <c r="L24" s="16" t="s">
        <v>1556</v>
      </c>
      <c r="M24" s="16" t="s">
        <v>1557</v>
      </c>
      <c r="N24" s="16" t="s">
        <v>1558</v>
      </c>
    </row>
    <row r="25" spans="1:14" x14ac:dyDescent="0.2">
      <c r="E25" s="51"/>
      <c r="F25" s="16"/>
      <c r="G25" s="16"/>
      <c r="H25" s="16"/>
      <c r="I25" s="16"/>
      <c r="J25" s="16"/>
      <c r="K25" s="16" t="s">
        <v>28</v>
      </c>
      <c r="L25" s="16"/>
      <c r="M25" s="16"/>
      <c r="N25" s="16"/>
    </row>
    <row r="26" spans="1:14" x14ac:dyDescent="0.2">
      <c r="E26" s="51"/>
      <c r="F26" s="16"/>
      <c r="G26" s="16"/>
      <c r="H26" s="16"/>
    </row>
    <row r="27" spans="1:14" x14ac:dyDescent="0.2">
      <c r="A27" s="53"/>
      <c r="B27" s="53"/>
      <c r="E27" s="51"/>
      <c r="F27" s="16"/>
      <c r="G27" s="16"/>
      <c r="H27" s="16"/>
    </row>
    <row r="28" spans="1:14" x14ac:dyDescent="0.2">
      <c r="E28" s="51"/>
      <c r="F28" s="16"/>
      <c r="G28" s="16"/>
      <c r="H28" s="16"/>
    </row>
    <row r="29" spans="1:14" x14ac:dyDescent="0.2">
      <c r="E29" s="51"/>
      <c r="F29" s="16"/>
      <c r="G29" s="16"/>
      <c r="H29" s="16"/>
    </row>
    <row r="30" spans="1:14" x14ac:dyDescent="0.2">
      <c r="E30" s="51"/>
      <c r="F30" s="16"/>
      <c r="G30" s="16"/>
      <c r="H30" s="16"/>
    </row>
    <row r="31" spans="1:14" x14ac:dyDescent="0.2">
      <c r="E31" s="51"/>
      <c r="F31" s="16"/>
      <c r="G31" s="16"/>
      <c r="H31" s="16"/>
      <c r="K31" t="s">
        <v>280</v>
      </c>
    </row>
    <row r="32" spans="1:14"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0">
    <mergeCell ref="B1:O1"/>
    <mergeCell ref="A5:B5"/>
    <mergeCell ref="E5:E57"/>
    <mergeCell ref="A9:B9"/>
    <mergeCell ref="A18:B18"/>
    <mergeCell ref="A21:B21"/>
    <mergeCell ref="A27:B27"/>
    <mergeCell ref="F5:F6"/>
    <mergeCell ref="G5:L5"/>
    <mergeCell ref="M5:N5"/>
  </mergeCells>
  <dataValidations count="4">
    <dataValidation type="list" allowBlank="1" showInputMessage="1" showErrorMessage="1" sqref="P4:Q4" xr:uid="{CADE72B0-7A38-4994-BB6E-80822EC731FC}">
      <formula1>"integer, number, percent1"</formula1>
    </dataValidation>
    <dataValidation type="list" allowBlank="1" showInputMessage="1" showErrorMessage="1" sqref="B10" xr:uid="{9C263540-2AAA-4BA1-B13B-47D95F5EE017}">
      <formula1>"Line,Clustered Bar,Stacked Bar,Bar,Horizontal Stacked Bar"</formula1>
    </dataValidation>
    <dataValidation type="list" allowBlank="1" showInputMessage="1" showErrorMessage="1" sqref="B2" xr:uid="{779C3F70-74C1-49B5-9A53-C8D47BDA5DE9}">
      <formula1>"Table,Figure,Both"</formula1>
    </dataValidation>
    <dataValidation type="list" allowBlank="1" showInputMessage="1" showErrorMessage="1" sqref="B6 B15:B16" xr:uid="{E62323CE-D2FE-4DEE-B533-A6EBB4C55D9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F5BBDED-544E-44DB-9DD5-7535A3665B2C}">
          <x14:formula1>
            <xm:f>Dropdowns!$B$2:$B$9</xm:f>
          </x14:formula1>
          <xm:sqref>B14</xm:sqref>
        </x14:dataValidation>
        <x14:dataValidation type="list" allowBlank="1" showInputMessage="1" showErrorMessage="1" xr:uid="{07B7F56E-53CF-4F29-B80E-81BB8963C364}">
          <x14:formula1>
            <xm:f>Dropdowns!$A$1:$A$8</xm:f>
          </x14:formula1>
          <xm:sqref>F4:O4</xm:sqref>
        </x14:dataValidation>
        <x14:dataValidation type="list" allowBlank="1" showInputMessage="1" showErrorMessage="1" xr:uid="{DBF927EA-E4F3-4BF6-A29E-36A3D84C696D}">
          <x14:formula1>
            <xm:f>Master!$F$2:$F$401</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A4A60-97A6-4792-B6E5-8AC56849B845}">
  <dimension ref="A1:U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7" t="s">
        <v>252</v>
      </c>
      <c r="B1" s="48" t="s">
        <v>310</v>
      </c>
      <c r="C1" s="49"/>
      <c r="D1" s="49"/>
      <c r="E1" s="49"/>
      <c r="F1" s="49"/>
      <c r="G1" s="49"/>
      <c r="H1" s="49"/>
      <c r="I1" s="49"/>
      <c r="J1" s="49"/>
      <c r="K1" s="49"/>
      <c r="L1" s="49"/>
      <c r="M1" s="49"/>
      <c r="N1" s="49"/>
      <c r="O1" s="49"/>
    </row>
    <row r="2" spans="1:21" x14ac:dyDescent="0.2">
      <c r="A2" s="17" t="s">
        <v>253</v>
      </c>
      <c r="B2" t="s">
        <v>273</v>
      </c>
    </row>
    <row r="3" spans="1:21" x14ac:dyDescent="0.2">
      <c r="A3" s="17" t="s">
        <v>254</v>
      </c>
      <c r="B3" t="str">
        <f>IF($B$1="","",_xlfn.XLOOKUP($B$1,Master!$E$2:$E$320,Master!$F$2:$F$320,""))</f>
        <v>tbl-educational-attain</v>
      </c>
    </row>
    <row r="4" spans="1:21" x14ac:dyDescent="0.2">
      <c r="A4" s="17" t="s">
        <v>5</v>
      </c>
      <c r="B4" t="str">
        <f>IF($B$1="","",_xlfn.XLOOKUP($B$1,Master!$E$2:$E$320,Master!$G$2:$G$320,""))</f>
        <v>fig-educational-attain</v>
      </c>
      <c r="E4" s="8"/>
      <c r="F4" s="10" t="s">
        <v>144</v>
      </c>
      <c r="G4" s="10" t="s">
        <v>149</v>
      </c>
      <c r="H4" s="10" t="s">
        <v>149</v>
      </c>
      <c r="I4" s="10" t="s">
        <v>155</v>
      </c>
      <c r="J4" s="10" t="s">
        <v>149</v>
      </c>
      <c r="K4" s="10" t="s">
        <v>155</v>
      </c>
      <c r="L4" s="10" t="s">
        <v>149</v>
      </c>
      <c r="M4" s="10" t="s">
        <v>155</v>
      </c>
      <c r="N4" s="10" t="s">
        <v>149</v>
      </c>
      <c r="O4" s="10" t="s">
        <v>155</v>
      </c>
      <c r="P4" s="10" t="s">
        <v>149</v>
      </c>
      <c r="Q4" s="10" t="s">
        <v>155</v>
      </c>
      <c r="R4" s="10" t="s">
        <v>149</v>
      </c>
      <c r="S4" s="10" t="s">
        <v>155</v>
      </c>
      <c r="T4" s="10" t="s">
        <v>149</v>
      </c>
      <c r="U4" s="10" t="s">
        <v>155</v>
      </c>
    </row>
    <row r="5" spans="1:21" x14ac:dyDescent="0.2">
      <c r="A5" s="50" t="s">
        <v>255</v>
      </c>
      <c r="B5" s="51"/>
      <c r="E5" s="52" t="s">
        <v>256</v>
      </c>
      <c r="F5" s="53" t="s">
        <v>394</v>
      </c>
      <c r="G5" s="53" t="s">
        <v>1560</v>
      </c>
      <c r="H5" s="53" t="s">
        <v>1561</v>
      </c>
      <c r="I5" s="53"/>
      <c r="J5" s="53"/>
      <c r="K5" s="53"/>
      <c r="L5" s="53"/>
      <c r="M5" s="53"/>
      <c r="N5" s="53"/>
    </row>
    <row r="6" spans="1:21" ht="15" customHeight="1" x14ac:dyDescent="0.2">
      <c r="A6" t="s">
        <v>259</v>
      </c>
      <c r="B6" t="b">
        <v>1</v>
      </c>
      <c r="E6" s="51"/>
      <c r="F6" s="53"/>
      <c r="G6" s="53"/>
      <c r="H6" s="53" t="s">
        <v>1562</v>
      </c>
      <c r="I6" s="53"/>
      <c r="J6" s="53" t="s">
        <v>1563</v>
      </c>
      <c r="K6" s="53"/>
      <c r="L6" s="53" t="s">
        <v>1564</v>
      </c>
      <c r="M6" s="53"/>
      <c r="N6" s="53" t="s">
        <v>1565</v>
      </c>
      <c r="O6" s="53"/>
      <c r="P6" s="53" t="s">
        <v>1566</v>
      </c>
      <c r="Q6" s="53"/>
      <c r="R6" s="53" t="s">
        <v>1567</v>
      </c>
      <c r="S6" s="53"/>
      <c r="T6" s="53" t="s">
        <v>1568</v>
      </c>
      <c r="U6" s="53"/>
    </row>
    <row r="7" spans="1:21" ht="15.75" customHeight="1" x14ac:dyDescent="0.2">
      <c r="E7" s="51"/>
      <c r="F7" s="53"/>
      <c r="G7" s="53"/>
      <c r="H7" s="16" t="s">
        <v>1273</v>
      </c>
      <c r="I7" s="16" t="s">
        <v>1344</v>
      </c>
      <c r="J7" s="16" t="s">
        <v>1273</v>
      </c>
      <c r="K7" s="16" t="s">
        <v>1344</v>
      </c>
      <c r="L7" s="16" t="s">
        <v>1273</v>
      </c>
      <c r="M7" s="16" t="s">
        <v>1344</v>
      </c>
      <c r="N7" s="16" t="s">
        <v>1273</v>
      </c>
      <c r="O7" s="16" t="s">
        <v>1344</v>
      </c>
      <c r="P7" s="16" t="s">
        <v>1273</v>
      </c>
      <c r="Q7" s="16" t="s">
        <v>1344</v>
      </c>
      <c r="R7" s="16" t="s">
        <v>1273</v>
      </c>
      <c r="S7" s="16" t="s">
        <v>1344</v>
      </c>
      <c r="T7" s="16" t="s">
        <v>1273</v>
      </c>
      <c r="U7" s="16" t="s">
        <v>1344</v>
      </c>
    </row>
    <row r="8" spans="1:21" x14ac:dyDescent="0.2">
      <c r="E8" s="51"/>
      <c r="F8" t="s">
        <v>396</v>
      </c>
      <c r="G8" s="24">
        <v>258632</v>
      </c>
      <c r="H8" s="24">
        <v>10091</v>
      </c>
      <c r="I8" s="16">
        <v>390</v>
      </c>
      <c r="J8" s="24">
        <v>16609</v>
      </c>
      <c r="K8" s="16">
        <v>640</v>
      </c>
      <c r="L8" s="24">
        <v>72466</v>
      </c>
      <c r="M8" s="16">
        <v>2800</v>
      </c>
      <c r="N8" s="24">
        <v>49355</v>
      </c>
      <c r="O8" s="16">
        <v>1910</v>
      </c>
      <c r="P8" s="15">
        <v>26722</v>
      </c>
      <c r="Q8">
        <v>1030</v>
      </c>
      <c r="R8" s="15">
        <v>46977</v>
      </c>
      <c r="S8">
        <v>1820</v>
      </c>
      <c r="T8" s="15">
        <v>36412</v>
      </c>
      <c r="U8">
        <v>14.1</v>
      </c>
    </row>
    <row r="9" spans="1:21" x14ac:dyDescent="0.2">
      <c r="A9" s="50" t="s">
        <v>260</v>
      </c>
      <c r="B9" s="51"/>
      <c r="E9" s="51"/>
      <c r="F9" t="s">
        <v>397</v>
      </c>
      <c r="G9" s="24">
        <v>11597</v>
      </c>
      <c r="H9" s="16">
        <v>260</v>
      </c>
      <c r="I9" s="16">
        <v>2.2000000000000002</v>
      </c>
      <c r="J9" s="16">
        <v>591</v>
      </c>
      <c r="K9" s="16">
        <v>5.0999999999999996</v>
      </c>
      <c r="L9" s="24">
        <v>3025</v>
      </c>
      <c r="M9" s="16">
        <v>26.1</v>
      </c>
      <c r="N9" s="24">
        <v>2303</v>
      </c>
      <c r="O9" s="16">
        <v>19.899999999999999</v>
      </c>
      <c r="P9" s="15">
        <v>1728</v>
      </c>
      <c r="Q9">
        <v>14.9</v>
      </c>
      <c r="R9" s="15">
        <v>2143</v>
      </c>
      <c r="S9">
        <v>18.5</v>
      </c>
      <c r="T9" s="15">
        <v>1547</v>
      </c>
      <c r="U9">
        <v>13.3</v>
      </c>
    </row>
    <row r="10" spans="1:21" x14ac:dyDescent="0.2">
      <c r="A10" t="s">
        <v>261</v>
      </c>
      <c r="E10" s="51"/>
      <c r="F10" t="s">
        <v>398</v>
      </c>
      <c r="G10" s="24">
        <v>1959</v>
      </c>
      <c r="H10">
        <v>7</v>
      </c>
      <c r="I10">
        <v>0.4</v>
      </c>
      <c r="J10">
        <v>141</v>
      </c>
      <c r="K10">
        <v>7.2</v>
      </c>
      <c r="L10">
        <v>516</v>
      </c>
      <c r="M10">
        <v>26.3</v>
      </c>
      <c r="N10">
        <v>629</v>
      </c>
      <c r="O10">
        <v>32.1</v>
      </c>
      <c r="P10">
        <v>91</v>
      </c>
      <c r="Q10">
        <v>4.5999999999999996</v>
      </c>
      <c r="R10">
        <v>303</v>
      </c>
      <c r="S10">
        <v>15.5</v>
      </c>
      <c r="T10">
        <v>272</v>
      </c>
      <c r="U10">
        <v>13.9</v>
      </c>
    </row>
    <row r="11" spans="1:21" x14ac:dyDescent="0.2">
      <c r="A11" t="s">
        <v>262</v>
      </c>
      <c r="E11" s="51"/>
      <c r="F11" t="s">
        <v>399</v>
      </c>
      <c r="G11" s="24">
        <v>4006</v>
      </c>
      <c r="H11" s="16">
        <v>82</v>
      </c>
      <c r="I11" s="16">
        <v>2</v>
      </c>
      <c r="J11" s="18">
        <v>253</v>
      </c>
      <c r="K11" s="18">
        <v>6.3</v>
      </c>
      <c r="L11" s="30">
        <v>1111</v>
      </c>
      <c r="M11" s="18">
        <v>27.7</v>
      </c>
      <c r="N11" s="18">
        <v>822</v>
      </c>
      <c r="O11">
        <v>20.5</v>
      </c>
      <c r="P11">
        <v>391</v>
      </c>
      <c r="Q11">
        <v>9.8000000000000007</v>
      </c>
      <c r="R11">
        <v>914</v>
      </c>
      <c r="S11">
        <v>22.8</v>
      </c>
      <c r="T11">
        <v>433</v>
      </c>
      <c r="U11">
        <v>10.8</v>
      </c>
    </row>
    <row r="12" spans="1:21" x14ac:dyDescent="0.2">
      <c r="A12" t="s">
        <v>263</v>
      </c>
      <c r="E12" s="51"/>
      <c r="F12" s="22" t="s">
        <v>400</v>
      </c>
      <c r="G12" s="30">
        <v>8721</v>
      </c>
      <c r="H12" s="18">
        <v>79</v>
      </c>
      <c r="I12" s="16">
        <v>0.9</v>
      </c>
      <c r="J12" s="16">
        <v>238</v>
      </c>
      <c r="K12" s="16">
        <v>2.7</v>
      </c>
      <c r="L12" s="24">
        <v>2147</v>
      </c>
      <c r="M12">
        <v>24.8</v>
      </c>
      <c r="N12" s="15">
        <v>1812</v>
      </c>
      <c r="O12">
        <v>20.8</v>
      </c>
      <c r="P12">
        <v>885</v>
      </c>
      <c r="Q12">
        <v>10.1</v>
      </c>
      <c r="R12" s="15">
        <v>2042</v>
      </c>
      <c r="S12">
        <v>23.4</v>
      </c>
      <c r="T12" s="15">
        <v>1518</v>
      </c>
      <c r="U12">
        <v>17.399999999999999</v>
      </c>
    </row>
    <row r="13" spans="1:21" x14ac:dyDescent="0.2">
      <c r="A13" t="s">
        <v>264</v>
      </c>
      <c r="E13" s="51"/>
      <c r="F13" t="s">
        <v>401</v>
      </c>
      <c r="G13" s="15">
        <v>3001</v>
      </c>
      <c r="H13">
        <v>59</v>
      </c>
      <c r="I13">
        <v>2</v>
      </c>
      <c r="J13">
        <v>125</v>
      </c>
      <c r="K13">
        <v>4.2</v>
      </c>
      <c r="L13">
        <v>803</v>
      </c>
      <c r="M13">
        <v>26.8</v>
      </c>
      <c r="N13">
        <v>811</v>
      </c>
      <c r="O13">
        <v>27</v>
      </c>
      <c r="P13">
        <v>233</v>
      </c>
      <c r="Q13">
        <v>7.8</v>
      </c>
      <c r="R13">
        <v>683</v>
      </c>
      <c r="S13">
        <v>22.8</v>
      </c>
      <c r="T13">
        <v>287</v>
      </c>
      <c r="U13">
        <v>9.6</v>
      </c>
    </row>
    <row r="14" spans="1:21" x14ac:dyDescent="0.2">
      <c r="A14" t="s">
        <v>265</v>
      </c>
      <c r="E14" s="51"/>
      <c r="F14" t="s">
        <v>404</v>
      </c>
      <c r="G14" s="15">
        <v>8939</v>
      </c>
      <c r="H14">
        <v>190</v>
      </c>
      <c r="I14">
        <v>2.1</v>
      </c>
      <c r="J14">
        <v>215</v>
      </c>
      <c r="K14">
        <v>2.4</v>
      </c>
      <c r="L14" s="15">
        <v>1426</v>
      </c>
      <c r="M14">
        <v>16</v>
      </c>
      <c r="N14" s="15">
        <v>1195</v>
      </c>
      <c r="O14">
        <v>13.4</v>
      </c>
      <c r="P14" s="15">
        <v>1132</v>
      </c>
      <c r="Q14">
        <v>12.7</v>
      </c>
      <c r="R14" s="15">
        <v>2275</v>
      </c>
      <c r="S14">
        <v>25.5</v>
      </c>
      <c r="T14" s="15">
        <v>2506</v>
      </c>
      <c r="U14">
        <v>28</v>
      </c>
    </row>
    <row r="15" spans="1:21" x14ac:dyDescent="0.2">
      <c r="A15" t="s">
        <v>267</v>
      </c>
      <c r="E15" s="51"/>
      <c r="F15" t="s">
        <v>407</v>
      </c>
      <c r="G15" s="15">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274</v>
      </c>
      <c r="E16" s="51"/>
      <c r="F16" t="s">
        <v>408</v>
      </c>
      <c r="G16" s="15">
        <v>6197</v>
      </c>
      <c r="H16">
        <v>113</v>
      </c>
      <c r="I16">
        <v>1.8</v>
      </c>
      <c r="J16">
        <v>186</v>
      </c>
      <c r="K16">
        <v>3</v>
      </c>
      <c r="L16" s="15">
        <v>2009</v>
      </c>
      <c r="M16">
        <v>32.4</v>
      </c>
      <c r="N16" s="15">
        <v>1255</v>
      </c>
      <c r="O16">
        <v>20.3</v>
      </c>
      <c r="P16">
        <v>715</v>
      </c>
      <c r="Q16">
        <v>11.5</v>
      </c>
      <c r="R16" s="15">
        <v>1147</v>
      </c>
      <c r="S16">
        <v>18.5</v>
      </c>
      <c r="T16">
        <v>772</v>
      </c>
      <c r="U16">
        <v>12.5</v>
      </c>
    </row>
    <row r="17" spans="1:21" x14ac:dyDescent="0.2">
      <c r="E17" s="51"/>
      <c r="F17" t="s">
        <v>409</v>
      </c>
      <c r="G17" s="15">
        <v>5451</v>
      </c>
      <c r="H17">
        <v>49</v>
      </c>
      <c r="I17">
        <v>0.9</v>
      </c>
      <c r="J17">
        <v>266</v>
      </c>
      <c r="K17">
        <v>4.9000000000000004</v>
      </c>
      <c r="L17" s="15">
        <v>2054</v>
      </c>
      <c r="M17">
        <v>37.700000000000003</v>
      </c>
      <c r="N17" s="15">
        <v>1183</v>
      </c>
      <c r="O17">
        <v>21.7</v>
      </c>
      <c r="P17">
        <v>723</v>
      </c>
      <c r="Q17">
        <v>13.3</v>
      </c>
      <c r="R17">
        <v>738</v>
      </c>
      <c r="S17">
        <v>13.5</v>
      </c>
      <c r="T17">
        <v>438</v>
      </c>
      <c r="U17">
        <v>8</v>
      </c>
    </row>
    <row r="18" spans="1:21" x14ac:dyDescent="0.2">
      <c r="A18" s="50" t="s">
        <v>268</v>
      </c>
      <c r="B18" s="51"/>
      <c r="E18" s="51"/>
      <c r="F18" t="s">
        <v>410</v>
      </c>
      <c r="G18" s="15">
        <v>10366</v>
      </c>
      <c r="H18">
        <v>313</v>
      </c>
      <c r="I18">
        <v>3</v>
      </c>
      <c r="J18">
        <v>876</v>
      </c>
      <c r="K18">
        <v>8.5</v>
      </c>
      <c r="L18" s="15">
        <v>2411</v>
      </c>
      <c r="M18">
        <v>23.3</v>
      </c>
      <c r="N18" s="15">
        <v>1600</v>
      </c>
      <c r="O18">
        <v>15.4</v>
      </c>
      <c r="P18" s="15">
        <v>1008</v>
      </c>
      <c r="Q18">
        <v>9.6999999999999993</v>
      </c>
      <c r="R18" s="15">
        <v>2216</v>
      </c>
      <c r="S18">
        <v>21.4</v>
      </c>
      <c r="T18" s="15">
        <v>1942</v>
      </c>
      <c r="U18">
        <v>18.7</v>
      </c>
    </row>
    <row r="19" spans="1:21" x14ac:dyDescent="0.2">
      <c r="A19" t="s">
        <v>1250</v>
      </c>
      <c r="B19" t="s">
        <v>1570</v>
      </c>
      <c r="E19" s="51"/>
      <c r="F19" t="s">
        <v>411</v>
      </c>
      <c r="G19" s="15">
        <v>4276</v>
      </c>
      <c r="H19">
        <v>180</v>
      </c>
      <c r="I19">
        <v>4.2</v>
      </c>
      <c r="J19">
        <v>403</v>
      </c>
      <c r="K19">
        <v>9.4</v>
      </c>
      <c r="L19">
        <v>866</v>
      </c>
      <c r="M19">
        <v>20.3</v>
      </c>
      <c r="N19">
        <v>706</v>
      </c>
      <c r="O19">
        <v>16.5</v>
      </c>
      <c r="P19">
        <v>452</v>
      </c>
      <c r="Q19">
        <v>10.6</v>
      </c>
      <c r="R19">
        <v>947</v>
      </c>
      <c r="S19">
        <v>22.1</v>
      </c>
      <c r="T19">
        <v>722</v>
      </c>
      <c r="U19">
        <v>16.899999999999999</v>
      </c>
    </row>
    <row r="20" spans="1:21" x14ac:dyDescent="0.2">
      <c r="E20" s="51"/>
      <c r="F20" s="16" t="s">
        <v>412</v>
      </c>
      <c r="G20" s="24">
        <v>3247</v>
      </c>
      <c r="H20" s="16">
        <v>11</v>
      </c>
      <c r="I20">
        <v>0.3</v>
      </c>
      <c r="J20">
        <v>81</v>
      </c>
      <c r="K20">
        <v>2.5</v>
      </c>
      <c r="L20" s="15">
        <v>1060</v>
      </c>
      <c r="M20">
        <v>32.6</v>
      </c>
      <c r="N20">
        <v>679</v>
      </c>
      <c r="O20">
        <v>20.9</v>
      </c>
      <c r="P20">
        <v>471</v>
      </c>
      <c r="Q20">
        <v>14.5</v>
      </c>
      <c r="R20">
        <v>463</v>
      </c>
      <c r="S20">
        <v>14.3</v>
      </c>
      <c r="T20">
        <v>482</v>
      </c>
      <c r="U20">
        <v>14.8</v>
      </c>
    </row>
    <row r="21" spans="1:21" x14ac:dyDescent="0.2">
      <c r="A21" s="53" t="s">
        <v>269</v>
      </c>
      <c r="B21" s="51"/>
      <c r="E21" s="51"/>
      <c r="F21" s="16" t="s">
        <v>413</v>
      </c>
      <c r="G21" s="24">
        <v>3728</v>
      </c>
      <c r="H21" s="16">
        <v>118</v>
      </c>
      <c r="I21">
        <v>3.2</v>
      </c>
      <c r="J21">
        <v>86</v>
      </c>
      <c r="K21">
        <v>2.2999999999999998</v>
      </c>
      <c r="L21">
        <v>850</v>
      </c>
      <c r="M21">
        <v>22.8</v>
      </c>
      <c r="N21">
        <v>744</v>
      </c>
      <c r="O21">
        <v>20</v>
      </c>
      <c r="P21">
        <v>332</v>
      </c>
      <c r="Q21">
        <v>8.9</v>
      </c>
      <c r="R21">
        <v>679</v>
      </c>
      <c r="S21">
        <v>18.2</v>
      </c>
      <c r="T21">
        <v>919</v>
      </c>
      <c r="U21">
        <v>24.7</v>
      </c>
    </row>
    <row r="22" spans="1:21" x14ac:dyDescent="0.2">
      <c r="A22" t="s">
        <v>1249</v>
      </c>
      <c r="B22" t="s">
        <v>1569</v>
      </c>
      <c r="E22" s="51"/>
      <c r="F22" s="16" t="s">
        <v>414</v>
      </c>
      <c r="G22" s="24">
        <v>6664</v>
      </c>
      <c r="H22" s="16">
        <v>173</v>
      </c>
      <c r="I22">
        <v>2.6</v>
      </c>
      <c r="J22">
        <v>368</v>
      </c>
      <c r="K22">
        <v>5.5</v>
      </c>
      <c r="L22" s="15">
        <v>1494</v>
      </c>
      <c r="M22">
        <v>22.4</v>
      </c>
      <c r="N22" s="15">
        <v>1069</v>
      </c>
      <c r="O22">
        <v>16</v>
      </c>
      <c r="P22">
        <v>458</v>
      </c>
      <c r="Q22">
        <v>6.9</v>
      </c>
      <c r="R22" s="15">
        <v>1220</v>
      </c>
      <c r="S22">
        <v>18.3</v>
      </c>
      <c r="T22" s="15">
        <v>1882</v>
      </c>
      <c r="U22">
        <v>28.2</v>
      </c>
    </row>
    <row r="23" spans="1:21" x14ac:dyDescent="0.2">
      <c r="E23" s="51"/>
      <c r="F23" s="16" t="s">
        <v>423</v>
      </c>
      <c r="G23" s="24">
        <v>2645</v>
      </c>
      <c r="H23" s="16">
        <v>94</v>
      </c>
      <c r="I23">
        <v>3.6</v>
      </c>
      <c r="J23">
        <v>190</v>
      </c>
      <c r="K23">
        <v>7.2</v>
      </c>
      <c r="L23">
        <v>752</v>
      </c>
      <c r="M23">
        <v>28.4</v>
      </c>
      <c r="N23">
        <v>430</v>
      </c>
      <c r="O23">
        <v>16.3</v>
      </c>
      <c r="P23">
        <v>200</v>
      </c>
      <c r="Q23">
        <v>7.6</v>
      </c>
      <c r="R23">
        <v>484</v>
      </c>
      <c r="S23">
        <v>18.3</v>
      </c>
      <c r="T23">
        <v>495</v>
      </c>
      <c r="U23">
        <v>18.7</v>
      </c>
    </row>
    <row r="24" spans="1:21" x14ac:dyDescent="0.2">
      <c r="E24" s="51"/>
      <c r="F24" t="s">
        <v>432</v>
      </c>
      <c r="G24" s="15">
        <v>19878</v>
      </c>
      <c r="H24" s="15">
        <v>1747</v>
      </c>
      <c r="I24">
        <v>8.8000000000000007</v>
      </c>
      <c r="J24" s="15">
        <v>1801</v>
      </c>
      <c r="K24">
        <v>9.1</v>
      </c>
      <c r="L24" s="15">
        <v>6235</v>
      </c>
      <c r="M24">
        <v>31.4</v>
      </c>
      <c r="N24" s="15">
        <v>3799</v>
      </c>
      <c r="O24">
        <v>19.100000000000001</v>
      </c>
      <c r="P24" s="15">
        <v>2374</v>
      </c>
      <c r="Q24">
        <v>11.9</v>
      </c>
      <c r="R24" s="15">
        <v>2084</v>
      </c>
      <c r="S24">
        <v>10.5</v>
      </c>
      <c r="T24" s="15">
        <v>1844</v>
      </c>
      <c r="U24">
        <v>9.3000000000000007</v>
      </c>
    </row>
    <row r="25" spans="1:21" x14ac:dyDescent="0.2">
      <c r="E25" s="51"/>
      <c r="F25" s="16" t="s">
        <v>436</v>
      </c>
      <c r="G25" s="24">
        <v>2895</v>
      </c>
      <c r="H25" s="16">
        <v>65</v>
      </c>
      <c r="I25">
        <v>2.2000000000000002</v>
      </c>
      <c r="J25">
        <v>168</v>
      </c>
      <c r="K25">
        <v>5.8</v>
      </c>
      <c r="L25">
        <v>764</v>
      </c>
      <c r="M25">
        <v>26.4</v>
      </c>
      <c r="N25">
        <v>515</v>
      </c>
      <c r="O25">
        <v>17.8</v>
      </c>
      <c r="P25">
        <v>247</v>
      </c>
      <c r="Q25">
        <v>8.5</v>
      </c>
      <c r="R25">
        <v>550</v>
      </c>
      <c r="S25">
        <v>19</v>
      </c>
      <c r="T25">
        <v>586</v>
      </c>
      <c r="U25">
        <v>20.2</v>
      </c>
    </row>
    <row r="26" spans="1:21" x14ac:dyDescent="0.2">
      <c r="E26" s="51"/>
      <c r="F26" s="16" t="s">
        <v>440</v>
      </c>
      <c r="G26" s="16">
        <v>383</v>
      </c>
      <c r="H26" s="16">
        <v>16</v>
      </c>
      <c r="I26">
        <v>4.2</v>
      </c>
      <c r="J26">
        <v>2</v>
      </c>
      <c r="K26">
        <v>0.5</v>
      </c>
      <c r="L26">
        <v>92</v>
      </c>
      <c r="M26">
        <v>24</v>
      </c>
      <c r="N26">
        <v>49</v>
      </c>
      <c r="O26">
        <v>12.8</v>
      </c>
      <c r="P26">
        <v>54</v>
      </c>
      <c r="Q26">
        <v>14.1</v>
      </c>
      <c r="R26">
        <v>34</v>
      </c>
      <c r="S26">
        <v>8.9</v>
      </c>
      <c r="T26">
        <v>136</v>
      </c>
      <c r="U26">
        <v>35.5</v>
      </c>
    </row>
    <row r="27" spans="1:21" x14ac:dyDescent="0.2">
      <c r="A27" s="53"/>
      <c r="B27" s="53"/>
      <c r="E27" s="51"/>
      <c r="F27" s="16" t="s">
        <v>443</v>
      </c>
      <c r="G27" s="24">
        <v>13477</v>
      </c>
      <c r="H27" s="16">
        <v>581</v>
      </c>
      <c r="I27">
        <v>4.3</v>
      </c>
      <c r="J27">
        <v>628</v>
      </c>
      <c r="K27">
        <v>4.7</v>
      </c>
      <c r="L27" s="15">
        <v>2942</v>
      </c>
      <c r="M27">
        <v>21.8</v>
      </c>
      <c r="N27" s="15">
        <v>2448</v>
      </c>
      <c r="O27">
        <v>18.2</v>
      </c>
      <c r="P27" s="15">
        <v>1041</v>
      </c>
      <c r="Q27">
        <v>7.7</v>
      </c>
      <c r="R27" s="15">
        <v>3659</v>
      </c>
      <c r="S27">
        <v>27.1</v>
      </c>
      <c r="T27" s="15">
        <v>2178</v>
      </c>
      <c r="U27">
        <v>16.2</v>
      </c>
    </row>
    <row r="28" spans="1:21" x14ac:dyDescent="0.2">
      <c r="E28" s="51"/>
      <c r="F28" s="16" t="s">
        <v>697</v>
      </c>
      <c r="G28" s="24">
        <v>1396</v>
      </c>
      <c r="H28" s="16">
        <v>51</v>
      </c>
      <c r="I28">
        <v>3.6</v>
      </c>
      <c r="J28">
        <v>88</v>
      </c>
      <c r="K28">
        <v>6.3</v>
      </c>
      <c r="L28">
        <v>425</v>
      </c>
      <c r="M28">
        <v>30.4</v>
      </c>
      <c r="N28">
        <v>146</v>
      </c>
      <c r="O28">
        <v>10.5</v>
      </c>
      <c r="P28">
        <v>171</v>
      </c>
      <c r="Q28">
        <v>12.2</v>
      </c>
      <c r="R28">
        <v>292</v>
      </c>
      <c r="S28">
        <v>20.9</v>
      </c>
      <c r="T28">
        <v>223</v>
      </c>
      <c r="U28">
        <v>15.9</v>
      </c>
    </row>
    <row r="29" spans="1:21" x14ac:dyDescent="0.2">
      <c r="E29" s="51"/>
      <c r="F29" s="16" t="s">
        <v>449</v>
      </c>
      <c r="G29" s="24">
        <v>5796</v>
      </c>
      <c r="H29" s="16">
        <v>441</v>
      </c>
      <c r="I29">
        <v>7.6</v>
      </c>
      <c r="J29">
        <v>212</v>
      </c>
      <c r="K29">
        <v>3.7</v>
      </c>
      <c r="L29" s="15">
        <v>1251</v>
      </c>
      <c r="M29">
        <v>21.6</v>
      </c>
      <c r="N29">
        <v>989</v>
      </c>
      <c r="O29">
        <v>17.100000000000001</v>
      </c>
      <c r="P29">
        <v>604</v>
      </c>
      <c r="Q29">
        <v>10.4</v>
      </c>
      <c r="R29" s="15">
        <v>1541</v>
      </c>
      <c r="S29">
        <v>26.6</v>
      </c>
      <c r="T29">
        <v>758</v>
      </c>
      <c r="U29">
        <v>13.1</v>
      </c>
    </row>
    <row r="30" spans="1:21" x14ac:dyDescent="0.2">
      <c r="E30" s="51"/>
      <c r="F30" s="16" t="s">
        <v>451</v>
      </c>
      <c r="G30" s="24">
        <v>15586</v>
      </c>
      <c r="H30" s="16">
        <v>653</v>
      </c>
      <c r="I30">
        <v>4.2</v>
      </c>
      <c r="J30">
        <v>971</v>
      </c>
      <c r="K30">
        <v>6.2</v>
      </c>
      <c r="L30" s="15">
        <v>4339</v>
      </c>
      <c r="M30">
        <v>27.8</v>
      </c>
      <c r="N30" s="15">
        <v>3254</v>
      </c>
      <c r="O30">
        <v>20.9</v>
      </c>
      <c r="P30" s="15">
        <v>1979</v>
      </c>
      <c r="Q30">
        <v>12.7</v>
      </c>
      <c r="R30" s="15">
        <v>2712</v>
      </c>
      <c r="S30">
        <v>17.399999999999999</v>
      </c>
      <c r="T30" s="15">
        <v>1678</v>
      </c>
      <c r="U30">
        <v>10.8</v>
      </c>
    </row>
    <row r="31" spans="1:21" x14ac:dyDescent="0.2">
      <c r="E31" s="51"/>
      <c r="F31" s="16" t="s">
        <v>453</v>
      </c>
      <c r="G31" s="24">
        <v>2432</v>
      </c>
      <c r="H31" s="16">
        <v>80</v>
      </c>
      <c r="I31">
        <v>3.3</v>
      </c>
      <c r="J31">
        <v>129</v>
      </c>
      <c r="K31">
        <v>5.3</v>
      </c>
      <c r="L31">
        <v>853</v>
      </c>
      <c r="M31">
        <v>35.1</v>
      </c>
      <c r="N31">
        <v>571</v>
      </c>
      <c r="O31">
        <v>23.5</v>
      </c>
      <c r="P31">
        <v>282</v>
      </c>
      <c r="Q31">
        <v>11.6</v>
      </c>
      <c r="R31">
        <v>394</v>
      </c>
      <c r="S31">
        <v>16.2</v>
      </c>
      <c r="T31">
        <v>123</v>
      </c>
      <c r="U31">
        <v>5.0999999999999996</v>
      </c>
    </row>
    <row r="32" spans="1:21" x14ac:dyDescent="0.2">
      <c r="E32" s="51"/>
      <c r="F32" t="s">
        <v>455</v>
      </c>
      <c r="G32" s="15">
        <v>2513</v>
      </c>
      <c r="H32">
        <v>139</v>
      </c>
      <c r="I32">
        <v>5.5</v>
      </c>
      <c r="J32">
        <v>128</v>
      </c>
      <c r="K32">
        <v>5.0999999999999996</v>
      </c>
      <c r="L32">
        <v>548</v>
      </c>
      <c r="M32">
        <v>21.8</v>
      </c>
      <c r="N32">
        <v>609</v>
      </c>
      <c r="O32">
        <v>24.2</v>
      </c>
      <c r="P32">
        <v>290</v>
      </c>
      <c r="Q32">
        <v>11.5</v>
      </c>
      <c r="R32">
        <v>390</v>
      </c>
      <c r="S32">
        <v>15.5</v>
      </c>
      <c r="T32">
        <v>409</v>
      </c>
      <c r="U32">
        <v>16.3</v>
      </c>
    </row>
    <row r="33" spans="5:21" x14ac:dyDescent="0.2">
      <c r="E33" s="51"/>
      <c r="F33" s="16" t="s">
        <v>457</v>
      </c>
      <c r="G33" s="24">
        <v>4548</v>
      </c>
      <c r="H33" s="16">
        <v>241</v>
      </c>
      <c r="I33">
        <v>5.3</v>
      </c>
      <c r="J33">
        <v>309</v>
      </c>
      <c r="K33">
        <v>6.8</v>
      </c>
      <c r="L33" s="15">
        <v>1383</v>
      </c>
      <c r="M33">
        <v>30.4</v>
      </c>
      <c r="N33" s="15">
        <v>1001</v>
      </c>
      <c r="O33">
        <v>22</v>
      </c>
      <c r="P33">
        <v>511</v>
      </c>
      <c r="Q33">
        <v>11.2</v>
      </c>
      <c r="R33">
        <v>619</v>
      </c>
      <c r="S33">
        <v>13.6</v>
      </c>
      <c r="T33">
        <v>484</v>
      </c>
      <c r="U33">
        <v>10.6</v>
      </c>
    </row>
    <row r="34" spans="5:21" x14ac:dyDescent="0.2">
      <c r="E34" s="51"/>
      <c r="F34" s="16" t="s">
        <v>459</v>
      </c>
      <c r="G34" s="24">
        <v>4935</v>
      </c>
      <c r="H34" s="16">
        <v>280</v>
      </c>
      <c r="I34" s="18">
        <v>5.7</v>
      </c>
      <c r="J34">
        <v>713</v>
      </c>
      <c r="K34">
        <v>14.4</v>
      </c>
      <c r="L34" s="15">
        <v>1288</v>
      </c>
      <c r="M34">
        <v>26.1</v>
      </c>
      <c r="N34">
        <v>738</v>
      </c>
      <c r="O34">
        <v>15</v>
      </c>
      <c r="P34">
        <v>766</v>
      </c>
      <c r="Q34">
        <v>15.5</v>
      </c>
      <c r="R34">
        <v>584</v>
      </c>
      <c r="S34">
        <v>11.8</v>
      </c>
      <c r="T34">
        <v>566</v>
      </c>
      <c r="U34">
        <v>11.5</v>
      </c>
    </row>
    <row r="35" spans="5:21" x14ac:dyDescent="0.2">
      <c r="E35" s="51"/>
      <c r="F35" s="16" t="s">
        <v>463</v>
      </c>
      <c r="G35" s="16">
        <v>801</v>
      </c>
      <c r="H35" s="16">
        <v>5</v>
      </c>
      <c r="I35" s="18">
        <v>0.6</v>
      </c>
      <c r="J35">
        <v>13</v>
      </c>
      <c r="K35">
        <v>1.6</v>
      </c>
      <c r="L35">
        <v>238</v>
      </c>
      <c r="M35">
        <v>29.7</v>
      </c>
      <c r="N35">
        <v>196</v>
      </c>
      <c r="O35">
        <v>24.5</v>
      </c>
      <c r="P35">
        <v>117</v>
      </c>
      <c r="Q35">
        <v>14.6</v>
      </c>
      <c r="R35">
        <v>109</v>
      </c>
      <c r="S35">
        <v>13.6</v>
      </c>
      <c r="T35">
        <v>123</v>
      </c>
      <c r="U35">
        <v>15.4</v>
      </c>
    </row>
    <row r="36" spans="5:21" x14ac:dyDescent="0.2">
      <c r="E36" s="51"/>
      <c r="F36" s="16" t="s">
        <v>465</v>
      </c>
      <c r="G36" s="24">
        <v>17933</v>
      </c>
      <c r="H36" s="24">
        <v>1848</v>
      </c>
      <c r="I36" s="18">
        <v>10.3</v>
      </c>
      <c r="J36" s="15">
        <v>1699</v>
      </c>
      <c r="K36">
        <v>9.5</v>
      </c>
      <c r="L36" s="15">
        <v>6388</v>
      </c>
      <c r="M36">
        <v>35.6</v>
      </c>
      <c r="N36" s="15">
        <v>3475</v>
      </c>
      <c r="O36">
        <v>19.399999999999999</v>
      </c>
      <c r="P36" s="15">
        <v>1331</v>
      </c>
      <c r="Q36">
        <v>7.4</v>
      </c>
      <c r="R36" s="15">
        <v>2102</v>
      </c>
      <c r="S36">
        <v>11.7</v>
      </c>
      <c r="T36" s="15">
        <v>1090</v>
      </c>
      <c r="U36">
        <v>6.1</v>
      </c>
    </row>
    <row r="37" spans="5:21" x14ac:dyDescent="0.2">
      <c r="E37" s="51"/>
      <c r="F37" s="16" t="s">
        <v>467</v>
      </c>
      <c r="G37" s="24">
        <v>22757</v>
      </c>
      <c r="H37" s="16">
        <v>692</v>
      </c>
      <c r="I37" s="18">
        <v>3</v>
      </c>
      <c r="J37" s="15">
        <v>1059</v>
      </c>
      <c r="K37">
        <v>4.7</v>
      </c>
      <c r="L37" s="15">
        <v>5766</v>
      </c>
      <c r="M37">
        <v>25.3</v>
      </c>
      <c r="N37" s="15">
        <v>4841</v>
      </c>
      <c r="O37">
        <v>21.3</v>
      </c>
      <c r="P37" s="15">
        <v>2803</v>
      </c>
      <c r="Q37">
        <v>12.3</v>
      </c>
      <c r="R37" s="15">
        <v>4167</v>
      </c>
      <c r="S37">
        <v>18.3</v>
      </c>
      <c r="T37" s="15">
        <v>3429</v>
      </c>
      <c r="U37">
        <v>15.1</v>
      </c>
    </row>
    <row r="38" spans="5:21" x14ac:dyDescent="0.2">
      <c r="E38" s="51"/>
      <c r="F38" t="s">
        <v>469</v>
      </c>
      <c r="G38" s="15">
        <v>19642</v>
      </c>
      <c r="H38">
        <v>713</v>
      </c>
      <c r="I38">
        <v>3.6</v>
      </c>
      <c r="J38" s="15">
        <v>1489</v>
      </c>
      <c r="K38">
        <v>7.6</v>
      </c>
      <c r="L38" s="15">
        <v>5519</v>
      </c>
      <c r="M38">
        <v>28.1</v>
      </c>
      <c r="N38" s="15">
        <v>3692</v>
      </c>
      <c r="O38">
        <v>18.8</v>
      </c>
      <c r="P38" s="15">
        <v>1534</v>
      </c>
      <c r="Q38">
        <v>7.8</v>
      </c>
      <c r="R38" s="15">
        <v>3305</v>
      </c>
      <c r="S38">
        <v>16.8</v>
      </c>
      <c r="T38" s="15">
        <v>3390</v>
      </c>
      <c r="U38">
        <v>17.3</v>
      </c>
    </row>
    <row r="39" spans="5:21" x14ac:dyDescent="0.2">
      <c r="E39" s="51"/>
      <c r="F39" t="s">
        <v>471</v>
      </c>
      <c r="G39" s="15">
        <v>10504</v>
      </c>
      <c r="H39">
        <v>346</v>
      </c>
      <c r="I39">
        <v>3.3</v>
      </c>
      <c r="J39" s="15">
        <v>2373</v>
      </c>
      <c r="K39">
        <v>22.6</v>
      </c>
      <c r="L39" s="15">
        <v>4268</v>
      </c>
      <c r="M39">
        <v>40.6</v>
      </c>
      <c r="N39" s="15">
        <v>2845</v>
      </c>
      <c r="O39">
        <v>27.1</v>
      </c>
      <c r="P39">
        <v>31</v>
      </c>
      <c r="Q39">
        <v>0.3</v>
      </c>
      <c r="R39">
        <v>317</v>
      </c>
      <c r="S39">
        <v>3</v>
      </c>
      <c r="T39">
        <v>324</v>
      </c>
      <c r="U39">
        <v>3.1</v>
      </c>
    </row>
    <row r="40" spans="5:21" x14ac:dyDescent="0.2">
      <c r="E40" s="51"/>
      <c r="F40" t="s">
        <v>473</v>
      </c>
      <c r="G40" s="15">
        <v>10504</v>
      </c>
      <c r="H40">
        <v>346</v>
      </c>
      <c r="I40">
        <v>3.3</v>
      </c>
      <c r="J40" s="15">
        <v>2373</v>
      </c>
      <c r="K40">
        <v>22.6</v>
      </c>
      <c r="L40" s="15">
        <v>4268</v>
      </c>
      <c r="M40">
        <v>40.6</v>
      </c>
      <c r="N40" s="15">
        <v>2845</v>
      </c>
      <c r="O40">
        <v>27.1</v>
      </c>
      <c r="P40">
        <v>31</v>
      </c>
      <c r="Q40">
        <v>0.3</v>
      </c>
      <c r="R40">
        <v>317</v>
      </c>
      <c r="S40">
        <v>3</v>
      </c>
      <c r="T40">
        <v>324</v>
      </c>
      <c r="U40">
        <v>3.1</v>
      </c>
    </row>
    <row r="41" spans="5:21" x14ac:dyDescent="0.2">
      <c r="E41" s="51"/>
      <c r="F41" t="s">
        <v>476</v>
      </c>
      <c r="G41" s="15">
        <v>5824</v>
      </c>
      <c r="H41">
        <v>336</v>
      </c>
      <c r="I41">
        <v>5.8</v>
      </c>
      <c r="J41">
        <v>450</v>
      </c>
      <c r="K41">
        <v>7.7</v>
      </c>
      <c r="L41" s="15">
        <v>2664</v>
      </c>
      <c r="M41">
        <v>45.7</v>
      </c>
      <c r="N41">
        <v>938</v>
      </c>
      <c r="O41">
        <v>16.100000000000001</v>
      </c>
      <c r="P41">
        <v>446</v>
      </c>
      <c r="Q41">
        <v>7.7</v>
      </c>
      <c r="R41">
        <v>494</v>
      </c>
      <c r="S41">
        <v>8.5</v>
      </c>
      <c r="T41">
        <v>496</v>
      </c>
      <c r="U41">
        <v>8.5</v>
      </c>
    </row>
    <row r="42" spans="5:21" x14ac:dyDescent="0.2">
      <c r="E42" s="51"/>
      <c r="F42" t="s">
        <v>497</v>
      </c>
      <c r="G42" s="15">
        <v>2823</v>
      </c>
      <c r="H42">
        <v>55</v>
      </c>
      <c r="I42">
        <v>1.9</v>
      </c>
      <c r="J42">
        <v>96</v>
      </c>
      <c r="K42">
        <v>3.4</v>
      </c>
      <c r="L42">
        <v>489</v>
      </c>
      <c r="M42">
        <v>17.3</v>
      </c>
      <c r="N42">
        <v>389</v>
      </c>
      <c r="O42">
        <v>13.8</v>
      </c>
      <c r="P42">
        <v>335</v>
      </c>
      <c r="Q42">
        <v>11.9</v>
      </c>
      <c r="R42">
        <v>749</v>
      </c>
      <c r="S42">
        <v>26.5</v>
      </c>
      <c r="T42">
        <v>710</v>
      </c>
      <c r="U42">
        <v>25.2</v>
      </c>
    </row>
    <row r="43" spans="5:21" x14ac:dyDescent="0.2">
      <c r="E43" s="51"/>
      <c r="F43" t="s">
        <v>502</v>
      </c>
      <c r="G43" s="15">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51"/>
      <c r="F44" t="s">
        <v>503</v>
      </c>
      <c r="G44">
        <v>588</v>
      </c>
      <c r="H44">
        <v>4</v>
      </c>
      <c r="I44">
        <v>0.7</v>
      </c>
      <c r="J44">
        <v>11</v>
      </c>
      <c r="K44">
        <v>1.9</v>
      </c>
      <c r="L44">
        <v>24</v>
      </c>
      <c r="M44">
        <v>4.0999999999999996</v>
      </c>
      <c r="N44">
        <v>34</v>
      </c>
      <c r="O44">
        <v>5.8</v>
      </c>
      <c r="P44">
        <v>11</v>
      </c>
      <c r="Q44">
        <v>1.9</v>
      </c>
      <c r="R44">
        <v>166</v>
      </c>
      <c r="S44">
        <v>28.2</v>
      </c>
      <c r="T44">
        <v>338</v>
      </c>
      <c r="U44">
        <v>57.5</v>
      </c>
    </row>
    <row r="45" spans="5:21" x14ac:dyDescent="0.2">
      <c r="E45" s="51"/>
      <c r="F45" t="s">
        <v>504</v>
      </c>
      <c r="G45" s="15">
        <v>21529</v>
      </c>
      <c r="H45">
        <v>845</v>
      </c>
      <c r="I45">
        <v>3.9</v>
      </c>
      <c r="J45" s="15">
        <v>1044</v>
      </c>
      <c r="K45">
        <v>4.8</v>
      </c>
      <c r="L45" s="15">
        <v>6704</v>
      </c>
      <c r="M45">
        <v>31.1</v>
      </c>
      <c r="N45" s="15">
        <v>4305</v>
      </c>
      <c r="O45">
        <v>20</v>
      </c>
      <c r="P45" s="15">
        <v>2506</v>
      </c>
      <c r="Q45">
        <v>11.6</v>
      </c>
      <c r="R45" s="15">
        <v>4122</v>
      </c>
      <c r="S45">
        <v>19.100000000000001</v>
      </c>
      <c r="T45" s="15">
        <v>2003</v>
      </c>
      <c r="U45">
        <v>9.3000000000000007</v>
      </c>
    </row>
    <row r="46" spans="5:21" x14ac:dyDescent="0.2">
      <c r="E46" s="51"/>
      <c r="F46" t="s">
        <v>505</v>
      </c>
      <c r="G46" s="15">
        <v>23420</v>
      </c>
      <c r="H46">
        <v>455</v>
      </c>
      <c r="I46">
        <v>1.9</v>
      </c>
      <c r="J46">
        <v>879</v>
      </c>
      <c r="K46">
        <v>3.8</v>
      </c>
      <c r="L46" s="15">
        <v>5799</v>
      </c>
      <c r="M46">
        <v>24.8</v>
      </c>
      <c r="N46" s="15">
        <v>4113</v>
      </c>
      <c r="O46">
        <v>17.600000000000001</v>
      </c>
      <c r="P46" s="15">
        <v>2367</v>
      </c>
      <c r="Q46">
        <v>10.1</v>
      </c>
      <c r="R46" s="15">
        <v>6187</v>
      </c>
      <c r="S46">
        <v>26.4</v>
      </c>
      <c r="T46" s="15">
        <v>3620</v>
      </c>
      <c r="U46">
        <v>15.5</v>
      </c>
    </row>
    <row r="47" spans="5:21" x14ac:dyDescent="0.2">
      <c r="E47" s="51"/>
      <c r="F47" t="s">
        <v>506</v>
      </c>
      <c r="G47" s="15">
        <v>2017</v>
      </c>
      <c r="H47">
        <v>87</v>
      </c>
      <c r="I47">
        <v>4.3</v>
      </c>
      <c r="J47">
        <v>47</v>
      </c>
      <c r="K47">
        <v>2.2999999999999998</v>
      </c>
      <c r="L47">
        <v>638</v>
      </c>
      <c r="M47">
        <v>31.6</v>
      </c>
      <c r="N47">
        <v>409</v>
      </c>
      <c r="O47">
        <v>20.3</v>
      </c>
      <c r="P47">
        <v>254</v>
      </c>
      <c r="Q47">
        <v>12.6</v>
      </c>
      <c r="R47">
        <v>398</v>
      </c>
      <c r="S47">
        <v>19.7</v>
      </c>
      <c r="T47">
        <v>184</v>
      </c>
      <c r="U47">
        <v>9.1</v>
      </c>
    </row>
    <row r="48" spans="5:21" x14ac:dyDescent="0.2">
      <c r="E48" s="51"/>
      <c r="F48" t="s">
        <v>507</v>
      </c>
      <c r="G48" s="15">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51"/>
      <c r="F49" t="s">
        <v>508</v>
      </c>
      <c r="G49" s="15">
        <v>4933</v>
      </c>
      <c r="H49">
        <v>79</v>
      </c>
      <c r="I49">
        <v>1.6</v>
      </c>
      <c r="J49">
        <v>155</v>
      </c>
      <c r="K49">
        <v>3.1</v>
      </c>
      <c r="L49">
        <v>991</v>
      </c>
      <c r="M49">
        <v>20.100000000000001</v>
      </c>
      <c r="N49">
        <v>920</v>
      </c>
      <c r="O49">
        <v>18.600000000000001</v>
      </c>
      <c r="P49">
        <v>287</v>
      </c>
      <c r="Q49">
        <v>5.8</v>
      </c>
      <c r="R49" s="15">
        <v>1442</v>
      </c>
      <c r="S49">
        <v>29.2</v>
      </c>
      <c r="T49" s="15">
        <v>1059</v>
      </c>
      <c r="U49">
        <v>21.5</v>
      </c>
    </row>
    <row r="50" spans="5:21" x14ac:dyDescent="0.2">
      <c r="E50" s="51"/>
      <c r="F50" t="s">
        <v>509</v>
      </c>
      <c r="G50" s="15">
        <v>4885</v>
      </c>
      <c r="H50">
        <v>50</v>
      </c>
      <c r="I50">
        <v>1</v>
      </c>
      <c r="J50">
        <v>75</v>
      </c>
      <c r="K50">
        <v>1.5</v>
      </c>
      <c r="L50" s="15">
        <v>1348</v>
      </c>
      <c r="M50">
        <v>27.6</v>
      </c>
      <c r="N50">
        <v>675</v>
      </c>
      <c r="O50">
        <v>13.8</v>
      </c>
      <c r="P50">
        <v>635</v>
      </c>
      <c r="Q50">
        <v>13</v>
      </c>
      <c r="R50" s="15">
        <v>1269</v>
      </c>
      <c r="S50">
        <v>26</v>
      </c>
      <c r="T50">
        <v>833</v>
      </c>
      <c r="U50">
        <v>17.100000000000001</v>
      </c>
    </row>
    <row r="51" spans="5:21" x14ac:dyDescent="0.2">
      <c r="E51" s="51"/>
      <c r="F51" t="s">
        <v>510</v>
      </c>
      <c r="G51" s="15">
        <v>7634</v>
      </c>
      <c r="H51">
        <v>125</v>
      </c>
      <c r="I51">
        <v>1.6</v>
      </c>
      <c r="J51">
        <v>257</v>
      </c>
      <c r="K51">
        <v>3.4</v>
      </c>
      <c r="L51" s="15">
        <v>1477</v>
      </c>
      <c r="M51">
        <v>19.3</v>
      </c>
      <c r="N51" s="15">
        <v>1488</v>
      </c>
      <c r="O51">
        <v>19.5</v>
      </c>
      <c r="P51">
        <v>875</v>
      </c>
      <c r="Q51">
        <v>11.5</v>
      </c>
      <c r="R51" s="15">
        <v>1753</v>
      </c>
      <c r="S51">
        <v>23</v>
      </c>
      <c r="T51" s="15">
        <v>1659</v>
      </c>
      <c r="U51">
        <v>21.7</v>
      </c>
    </row>
    <row r="52" spans="5:21" x14ac:dyDescent="0.2">
      <c r="E52" s="51"/>
      <c r="F52" t="s">
        <v>1248</v>
      </c>
      <c r="G52">
        <v>566</v>
      </c>
      <c r="H52">
        <v>57</v>
      </c>
      <c r="I52">
        <v>10.1</v>
      </c>
      <c r="J52">
        <v>7</v>
      </c>
      <c r="K52">
        <v>1.2</v>
      </c>
      <c r="L52">
        <v>228</v>
      </c>
      <c r="M52">
        <v>40.299999999999997</v>
      </c>
      <c r="N52">
        <v>71</v>
      </c>
      <c r="O52">
        <v>12.5</v>
      </c>
      <c r="P52">
        <v>53</v>
      </c>
      <c r="Q52">
        <v>9.4</v>
      </c>
      <c r="R52">
        <v>81</v>
      </c>
      <c r="S52">
        <v>14.3</v>
      </c>
      <c r="T52">
        <v>69</v>
      </c>
      <c r="U52">
        <v>12</v>
      </c>
    </row>
    <row r="53" spans="5:21" x14ac:dyDescent="0.2">
      <c r="E53" s="51"/>
    </row>
    <row r="54" spans="5:21" x14ac:dyDescent="0.2">
      <c r="E54" s="51"/>
    </row>
    <row r="55" spans="5:21" x14ac:dyDescent="0.2">
      <c r="E55" s="51"/>
    </row>
    <row r="56" spans="5:21" x14ac:dyDescent="0.2">
      <c r="E56" s="51"/>
    </row>
    <row r="57" spans="5:21" x14ac:dyDescent="0.2">
      <c r="E57" s="51"/>
    </row>
  </sheetData>
  <mergeCells count="17">
    <mergeCell ref="P6:Q6"/>
    <mergeCell ref="R6:S6"/>
    <mergeCell ref="T6:U6"/>
    <mergeCell ref="F5:F7"/>
    <mergeCell ref="G5:G7"/>
    <mergeCell ref="H6:I6"/>
    <mergeCell ref="J6:K6"/>
    <mergeCell ref="L6:M6"/>
    <mergeCell ref="N6:O6"/>
    <mergeCell ref="B1:O1"/>
    <mergeCell ref="A5:B5"/>
    <mergeCell ref="E5:E57"/>
    <mergeCell ref="A9:B9"/>
    <mergeCell ref="A18:B18"/>
    <mergeCell ref="A21:B21"/>
    <mergeCell ref="A27:B27"/>
    <mergeCell ref="H5:N5"/>
  </mergeCells>
  <dataValidations count="4">
    <dataValidation type="list" allowBlank="1" showInputMessage="1" showErrorMessage="1" sqref="P4:U4" xr:uid="{0EF314E6-73BE-48BA-8EA7-0A11DA3A5308}">
      <formula1>"integer, number, percent1"</formula1>
    </dataValidation>
    <dataValidation type="list" allowBlank="1" showInputMessage="1" showErrorMessage="1" sqref="B10" xr:uid="{A0619FCD-E2E7-4B76-9D31-FDDBD0DAC264}">
      <formula1>"Line,Clustered Bar,Stacked Bar,Bar,Horizontal Stacked Bar"</formula1>
    </dataValidation>
    <dataValidation type="list" allowBlank="1" showInputMessage="1" showErrorMessage="1" sqref="B2" xr:uid="{0727909B-F21A-4096-9A3C-9F010E2E55C8}">
      <formula1>"Table,Figure,Both"</formula1>
    </dataValidation>
    <dataValidation type="list" allowBlank="1" showInputMessage="1" showErrorMessage="1" sqref="B6 B15:B16" xr:uid="{C620C41B-E1F3-44AB-B3CF-293A027E37E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2136A9C7-9760-48DE-B87E-5AC684159D87}">
          <x14:formula1>
            <xm:f>Dropdowns!$B$2:$B$9</xm:f>
          </x14:formula1>
          <xm:sqref>B14</xm:sqref>
        </x14:dataValidation>
        <x14:dataValidation type="list" allowBlank="1" showInputMessage="1" showErrorMessage="1" xr:uid="{84B77309-B088-4F23-B356-ADA209FC1FE5}">
          <x14:formula1>
            <xm:f>Dropdowns!$A$1:$A$8</xm:f>
          </x14:formula1>
          <xm:sqref>F4:O4</xm:sqref>
        </x14:dataValidation>
        <x14:dataValidation type="list" allowBlank="1" showInputMessage="1" showErrorMessage="1" xr:uid="{B311C768-B010-47C4-8F76-BFC86E12E007}">
          <x14:formula1>
            <xm:f>Master!$F$2:$F$401</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57EF4-63EE-47FD-9274-359EB3633D75}">
  <dimension ref="A1:Q57"/>
  <sheetViews>
    <sheetView workbookViewId="0">
      <selection activeCell="P26" sqref="P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38</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tbl-hs-graduation-rande</v>
      </c>
    </row>
    <row r="4" spans="1:17" x14ac:dyDescent="0.2">
      <c r="A4" s="17" t="s">
        <v>5</v>
      </c>
      <c r="B4" t="str">
        <f>IF($B$1="","",_xlfn.XLOOKUP($B$1,Master!$E$2:$E$320,Master!$G$2:$G$320,""))</f>
        <v>fig-hs-graduation-rande</v>
      </c>
      <c r="E4" s="8"/>
      <c r="F4" s="10" t="s">
        <v>144</v>
      </c>
      <c r="G4" s="10" t="s">
        <v>155</v>
      </c>
      <c r="H4" s="10" t="s">
        <v>155</v>
      </c>
      <c r="I4" s="10" t="s">
        <v>155</v>
      </c>
      <c r="J4" s="10" t="s">
        <v>155</v>
      </c>
      <c r="K4" s="10" t="s">
        <v>155</v>
      </c>
      <c r="L4" s="10" t="s">
        <v>155</v>
      </c>
      <c r="M4" s="10" t="s">
        <v>155</v>
      </c>
      <c r="N4" s="10"/>
      <c r="O4" s="10"/>
      <c r="P4" s="10"/>
      <c r="Q4" s="10"/>
    </row>
    <row r="5" spans="1:17" x14ac:dyDescent="0.2">
      <c r="A5" s="50" t="s">
        <v>255</v>
      </c>
      <c r="B5" s="51"/>
      <c r="E5" s="52" t="s">
        <v>256</v>
      </c>
      <c r="F5" t="s">
        <v>1301</v>
      </c>
      <c r="G5" t="s">
        <v>275</v>
      </c>
      <c r="H5" t="s">
        <v>1571</v>
      </c>
      <c r="I5" t="s">
        <v>1572</v>
      </c>
      <c r="J5" t="s">
        <v>1573</v>
      </c>
      <c r="K5" t="s">
        <v>695</v>
      </c>
      <c r="L5" t="s">
        <v>1380</v>
      </c>
      <c r="M5" t="s">
        <v>1383</v>
      </c>
    </row>
    <row r="6" spans="1:17" ht="15" customHeight="1" x14ac:dyDescent="0.2">
      <c r="A6" t="s">
        <v>259</v>
      </c>
      <c r="B6" t="b">
        <v>0</v>
      </c>
      <c r="E6" s="51"/>
      <c r="F6" t="s">
        <v>1298</v>
      </c>
      <c r="G6" s="16">
        <v>88</v>
      </c>
      <c r="H6" s="16">
        <v>83</v>
      </c>
      <c r="I6" s="16">
        <v>96</v>
      </c>
      <c r="J6" s="16">
        <v>85</v>
      </c>
      <c r="K6" s="16">
        <v>83</v>
      </c>
      <c r="L6" s="16">
        <v>93</v>
      </c>
      <c r="M6" s="16">
        <v>88</v>
      </c>
      <c r="N6" s="16"/>
      <c r="O6" s="16"/>
    </row>
    <row r="7" spans="1:17" ht="15.75" customHeight="1" x14ac:dyDescent="0.2">
      <c r="E7" s="51"/>
      <c r="F7" t="s">
        <v>1300</v>
      </c>
      <c r="G7" s="16">
        <v>86</v>
      </c>
      <c r="H7" s="16">
        <v>81</v>
      </c>
      <c r="I7" s="16">
        <v>93</v>
      </c>
      <c r="J7" s="16">
        <v>81</v>
      </c>
      <c r="K7" s="16">
        <v>81</v>
      </c>
      <c r="L7" s="16">
        <v>91</v>
      </c>
      <c r="M7" s="16">
        <v>84</v>
      </c>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1296</v>
      </c>
      <c r="E10" s="51"/>
      <c r="G10" s="16"/>
    </row>
    <row r="11" spans="1:17" x14ac:dyDescent="0.2">
      <c r="A11" t="s">
        <v>262</v>
      </c>
      <c r="B11" t="s">
        <v>1301</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E13" s="51"/>
    </row>
    <row r="14" spans="1:17" x14ac:dyDescent="0.2">
      <c r="A14" t="s">
        <v>265</v>
      </c>
      <c r="B14" t="s">
        <v>166</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1575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1574</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6BB52D-07DC-42B0-B604-789E170AC218}">
      <formula1>"integer, number, percent1"</formula1>
    </dataValidation>
    <dataValidation type="list" allowBlank="1" showInputMessage="1" showErrorMessage="1" sqref="B10" xr:uid="{DA40B1DE-5EBD-46FC-AA78-F5556DECBF70}">
      <formula1>"Line,Clustered Bar,Stacked Bar,Bar,Horizontal Stacked Bar"</formula1>
    </dataValidation>
    <dataValidation type="list" allowBlank="1" showInputMessage="1" showErrorMessage="1" sqref="B2" xr:uid="{8605334F-1FD9-4C56-998B-4856EAE9674B}">
      <formula1>"Table,Figure,Both"</formula1>
    </dataValidation>
    <dataValidation type="list" allowBlank="1" showInputMessage="1" showErrorMessage="1" sqref="B6 B15:B16" xr:uid="{4472CDD3-B092-4759-A064-54A292F45D7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760AFA5C-D66E-4082-A24E-E91179EFE450}">
          <x14:formula1>
            <xm:f>Dropdowns!$B$2:$B$9</xm:f>
          </x14:formula1>
          <xm:sqref>B14</xm:sqref>
        </x14:dataValidation>
        <x14:dataValidation type="list" allowBlank="1" showInputMessage="1" showErrorMessage="1" xr:uid="{D3F786AC-13AF-40DA-955C-7645DCF6BF10}">
          <x14:formula1>
            <xm:f>Dropdowns!$A$1:$A$8</xm:f>
          </x14:formula1>
          <xm:sqref>F4:O4</xm:sqref>
        </x14:dataValidation>
        <x14:dataValidation type="list" allowBlank="1" showInputMessage="1" showErrorMessage="1" xr:uid="{0DC53EA0-EC7F-458C-A027-28AC5CD7C4F8}">
          <x14:formula1>
            <xm:f>Master!$F$2:$F$401</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1B5D-950C-46A6-978D-029FD70F445A}">
  <dimension ref="A1:Q57"/>
  <sheetViews>
    <sheetView workbookViewId="0">
      <selection activeCell="M22" sqref="M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312</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tbl-language-spoken-home</v>
      </c>
    </row>
    <row r="4" spans="1:17" x14ac:dyDescent="0.2">
      <c r="A4" s="17" t="s">
        <v>5</v>
      </c>
      <c r="B4" t="str">
        <f>IF($B$1="","",_xlfn.XLOOKUP($B$1,Master!$E$2:$E$320,Master!$G$2:$G$320,""))</f>
        <v>fig-language-spoken-home</v>
      </c>
      <c r="E4" s="8"/>
      <c r="F4" s="10" t="s">
        <v>144</v>
      </c>
      <c r="G4" s="10" t="s">
        <v>155</v>
      </c>
      <c r="H4" s="10" t="s">
        <v>155</v>
      </c>
      <c r="I4" s="10" t="s">
        <v>155</v>
      </c>
      <c r="J4" s="10" t="s">
        <v>155</v>
      </c>
      <c r="K4" s="10" t="s">
        <v>155</v>
      </c>
      <c r="L4" s="10" t="s">
        <v>155</v>
      </c>
      <c r="M4" s="10"/>
      <c r="N4" s="10"/>
      <c r="O4" s="10"/>
      <c r="P4" s="10"/>
      <c r="Q4" s="10"/>
    </row>
    <row r="5" spans="1:17" x14ac:dyDescent="0.2">
      <c r="A5" s="50" t="s">
        <v>255</v>
      </c>
      <c r="B5" s="51"/>
      <c r="E5" s="52" t="s">
        <v>256</v>
      </c>
      <c r="F5" s="53" t="s">
        <v>394</v>
      </c>
      <c r="G5" s="53" t="s">
        <v>1576</v>
      </c>
      <c r="H5" s="53" t="s">
        <v>1581</v>
      </c>
      <c r="I5" s="53"/>
      <c r="J5" s="53"/>
      <c r="K5" s="53"/>
      <c r="L5" s="53"/>
    </row>
    <row r="6" spans="1:17" ht="15" customHeight="1" x14ac:dyDescent="0.2">
      <c r="A6" t="s">
        <v>259</v>
      </c>
      <c r="B6" t="b">
        <v>1</v>
      </c>
      <c r="E6" s="51"/>
      <c r="F6" s="53"/>
      <c r="G6" s="53"/>
      <c r="H6" t="s">
        <v>1577</v>
      </c>
      <c r="I6" s="16" t="s">
        <v>1578</v>
      </c>
      <c r="J6" s="16" t="s">
        <v>1579</v>
      </c>
      <c r="K6" s="16" t="s">
        <v>1580</v>
      </c>
      <c r="L6" s="16" t="s">
        <v>190</v>
      </c>
      <c r="M6" s="16"/>
      <c r="N6" s="16"/>
      <c r="O6" s="16"/>
    </row>
    <row r="7" spans="1:17" ht="15.75" customHeight="1" x14ac:dyDescent="0.2">
      <c r="E7" s="51"/>
      <c r="F7" t="s">
        <v>396</v>
      </c>
      <c r="G7" s="24">
        <v>376697</v>
      </c>
      <c r="H7" s="24">
        <v>266545</v>
      </c>
      <c r="I7" s="24">
        <v>55418</v>
      </c>
      <c r="J7" s="24">
        <v>45346</v>
      </c>
      <c r="K7" s="24">
        <v>6298</v>
      </c>
      <c r="L7" s="24">
        <v>3090</v>
      </c>
      <c r="M7" s="16"/>
      <c r="N7" s="16"/>
      <c r="O7" s="16"/>
    </row>
    <row r="8" spans="1:17" x14ac:dyDescent="0.2">
      <c r="E8" s="51"/>
      <c r="F8" t="s">
        <v>397</v>
      </c>
      <c r="G8" s="24">
        <v>17139</v>
      </c>
      <c r="H8" s="24">
        <v>11552</v>
      </c>
      <c r="I8" s="24">
        <v>2838</v>
      </c>
      <c r="J8" s="24">
        <v>2518</v>
      </c>
      <c r="K8" s="16">
        <v>150</v>
      </c>
      <c r="L8" s="16">
        <v>81</v>
      </c>
      <c r="M8" s="16"/>
      <c r="N8" s="16"/>
      <c r="O8" s="16"/>
    </row>
    <row r="9" spans="1:17" x14ac:dyDescent="0.2">
      <c r="A9" s="50" t="s">
        <v>260</v>
      </c>
      <c r="B9" s="51"/>
      <c r="E9" s="51"/>
      <c r="F9" t="s">
        <v>398</v>
      </c>
      <c r="G9" s="24">
        <v>3444</v>
      </c>
      <c r="H9" s="24">
        <v>1326</v>
      </c>
      <c r="I9" s="16">
        <v>268</v>
      </c>
      <c r="J9" s="24">
        <v>1786</v>
      </c>
      <c r="K9" s="16">
        <v>0</v>
      </c>
      <c r="L9" s="16">
        <v>64</v>
      </c>
      <c r="M9" s="16"/>
      <c r="N9" s="16"/>
      <c r="O9" s="16"/>
    </row>
    <row r="10" spans="1:17" x14ac:dyDescent="0.2">
      <c r="A10" t="s">
        <v>261</v>
      </c>
      <c r="E10" s="51"/>
      <c r="F10" t="s">
        <v>399</v>
      </c>
      <c r="G10" s="24">
        <v>5521</v>
      </c>
      <c r="H10" s="15">
        <v>4268</v>
      </c>
      <c r="I10">
        <v>957</v>
      </c>
      <c r="J10">
        <v>171</v>
      </c>
      <c r="K10">
        <v>117</v>
      </c>
      <c r="L10">
        <v>8</v>
      </c>
    </row>
    <row r="11" spans="1:17" x14ac:dyDescent="0.2">
      <c r="A11" t="s">
        <v>262</v>
      </c>
      <c r="E11" s="51"/>
      <c r="F11" t="s">
        <v>400</v>
      </c>
      <c r="G11" s="24">
        <v>11930</v>
      </c>
      <c r="H11" s="24">
        <v>9762</v>
      </c>
      <c r="I11" s="24">
        <v>1728</v>
      </c>
      <c r="J11" s="18">
        <v>246</v>
      </c>
      <c r="K11" s="18">
        <v>87</v>
      </c>
      <c r="L11" s="18">
        <v>107</v>
      </c>
      <c r="M11" s="18"/>
      <c r="N11" s="18"/>
    </row>
    <row r="12" spans="1:17" x14ac:dyDescent="0.2">
      <c r="A12" t="s">
        <v>263</v>
      </c>
      <c r="E12" s="51"/>
      <c r="F12" s="22" t="s">
        <v>401</v>
      </c>
      <c r="G12" s="30">
        <v>3965</v>
      </c>
      <c r="H12" s="30">
        <v>2873</v>
      </c>
      <c r="I12" s="16">
        <v>872</v>
      </c>
      <c r="J12" s="16">
        <v>146</v>
      </c>
      <c r="K12" s="16">
        <v>17</v>
      </c>
      <c r="L12" s="16">
        <v>57</v>
      </c>
    </row>
    <row r="13" spans="1:17" x14ac:dyDescent="0.2">
      <c r="A13" t="s">
        <v>264</v>
      </c>
      <c r="E13" s="51"/>
      <c r="F13" t="s">
        <v>404</v>
      </c>
      <c r="G13" s="15">
        <v>12136</v>
      </c>
      <c r="H13" s="15">
        <v>10815</v>
      </c>
      <c r="I13">
        <v>754</v>
      </c>
      <c r="J13">
        <v>299</v>
      </c>
      <c r="K13">
        <v>247</v>
      </c>
      <c r="L13">
        <v>21</v>
      </c>
    </row>
    <row r="14" spans="1:17" x14ac:dyDescent="0.2">
      <c r="A14" t="s">
        <v>265</v>
      </c>
      <c r="E14" s="51"/>
      <c r="F14" t="s">
        <v>407</v>
      </c>
      <c r="G14" s="15">
        <v>2928</v>
      </c>
      <c r="H14" s="15">
        <v>2545</v>
      </c>
      <c r="I14">
        <v>194</v>
      </c>
      <c r="J14">
        <v>133</v>
      </c>
      <c r="K14">
        <v>51</v>
      </c>
      <c r="L14">
        <v>5</v>
      </c>
    </row>
    <row r="15" spans="1:17" x14ac:dyDescent="0.2">
      <c r="A15" t="s">
        <v>267</v>
      </c>
      <c r="E15" s="51"/>
      <c r="F15" t="s">
        <v>408</v>
      </c>
      <c r="G15" s="15">
        <v>8705</v>
      </c>
      <c r="H15" s="15">
        <v>7399</v>
      </c>
      <c r="I15">
        <v>777</v>
      </c>
      <c r="J15">
        <v>407</v>
      </c>
      <c r="K15">
        <v>109</v>
      </c>
      <c r="L15">
        <v>13</v>
      </c>
    </row>
    <row r="16" spans="1:17" x14ac:dyDescent="0.2">
      <c r="A16" t="s">
        <v>274</v>
      </c>
      <c r="E16" s="51"/>
      <c r="F16" t="s">
        <v>409</v>
      </c>
      <c r="G16" s="15">
        <v>7216</v>
      </c>
      <c r="H16" s="15">
        <v>6587</v>
      </c>
      <c r="I16">
        <v>233</v>
      </c>
      <c r="J16">
        <v>171</v>
      </c>
      <c r="K16">
        <v>225</v>
      </c>
      <c r="L16">
        <v>0</v>
      </c>
    </row>
    <row r="17" spans="1:12" x14ac:dyDescent="0.2">
      <c r="E17" s="51"/>
      <c r="F17" t="s">
        <v>410</v>
      </c>
      <c r="G17" s="15">
        <v>13829</v>
      </c>
      <c r="H17" s="15">
        <v>11216</v>
      </c>
      <c r="I17" s="15">
        <v>1780</v>
      </c>
      <c r="J17">
        <v>572</v>
      </c>
      <c r="K17">
        <v>192</v>
      </c>
      <c r="L17">
        <v>69</v>
      </c>
    </row>
    <row r="18" spans="1:12" x14ac:dyDescent="0.2">
      <c r="A18" s="50" t="s">
        <v>268</v>
      </c>
      <c r="B18" s="51"/>
      <c r="E18" s="51"/>
      <c r="F18" t="s">
        <v>411</v>
      </c>
      <c r="G18" s="15">
        <v>5504</v>
      </c>
      <c r="H18" s="15">
        <v>4437</v>
      </c>
      <c r="I18">
        <v>839</v>
      </c>
      <c r="J18">
        <v>151</v>
      </c>
      <c r="K18">
        <v>47</v>
      </c>
      <c r="L18">
        <v>30</v>
      </c>
    </row>
    <row r="19" spans="1:12" x14ac:dyDescent="0.2">
      <c r="A19" t="s">
        <v>1250</v>
      </c>
      <c r="B19" t="s">
        <v>1582</v>
      </c>
      <c r="E19" s="51"/>
      <c r="F19" t="s">
        <v>412</v>
      </c>
      <c r="G19" s="15">
        <v>4447</v>
      </c>
      <c r="H19" s="15">
        <v>3862</v>
      </c>
      <c r="I19">
        <v>316</v>
      </c>
      <c r="J19">
        <v>79</v>
      </c>
      <c r="K19">
        <v>175</v>
      </c>
      <c r="L19">
        <v>15</v>
      </c>
    </row>
    <row r="20" spans="1:12" x14ac:dyDescent="0.2">
      <c r="E20" s="51"/>
      <c r="F20" s="16" t="s">
        <v>413</v>
      </c>
      <c r="G20" s="24">
        <v>5366</v>
      </c>
      <c r="H20" s="24">
        <v>4439</v>
      </c>
      <c r="I20">
        <v>463</v>
      </c>
      <c r="J20">
        <v>145</v>
      </c>
      <c r="K20">
        <v>239</v>
      </c>
      <c r="L20">
        <v>80</v>
      </c>
    </row>
    <row r="21" spans="1:12" x14ac:dyDescent="0.2">
      <c r="A21" s="53" t="s">
        <v>269</v>
      </c>
      <c r="B21" s="51"/>
      <c r="E21" s="51"/>
      <c r="F21" s="16" t="s">
        <v>414</v>
      </c>
      <c r="G21" s="24">
        <v>12086</v>
      </c>
      <c r="H21" s="24">
        <v>9659</v>
      </c>
      <c r="I21" s="15">
        <v>1187</v>
      </c>
      <c r="J21">
        <v>765</v>
      </c>
      <c r="K21">
        <v>374</v>
      </c>
      <c r="L21">
        <v>101</v>
      </c>
    </row>
    <row r="22" spans="1:12" x14ac:dyDescent="0.2">
      <c r="A22" t="s">
        <v>1249</v>
      </c>
      <c r="B22" t="s">
        <v>1269</v>
      </c>
      <c r="E22" s="51"/>
      <c r="F22" s="16" t="s">
        <v>423</v>
      </c>
      <c r="G22" s="24">
        <v>3514</v>
      </c>
      <c r="H22" s="24">
        <v>2478</v>
      </c>
      <c r="I22">
        <v>562</v>
      </c>
      <c r="J22">
        <v>408</v>
      </c>
      <c r="K22">
        <v>24</v>
      </c>
      <c r="L22">
        <v>42</v>
      </c>
    </row>
    <row r="23" spans="1:12" x14ac:dyDescent="0.2">
      <c r="E23" s="51"/>
      <c r="F23" s="16" t="s">
        <v>432</v>
      </c>
      <c r="G23" s="24">
        <v>27829</v>
      </c>
      <c r="H23" s="24">
        <v>18076</v>
      </c>
      <c r="I23" s="15">
        <v>8278</v>
      </c>
      <c r="J23">
        <v>647</v>
      </c>
      <c r="K23">
        <v>712</v>
      </c>
      <c r="L23">
        <v>116</v>
      </c>
    </row>
    <row r="24" spans="1:12" x14ac:dyDescent="0.2">
      <c r="E24" s="51"/>
      <c r="F24" t="s">
        <v>436</v>
      </c>
      <c r="G24" s="15">
        <v>4359</v>
      </c>
      <c r="H24" s="15">
        <v>4011</v>
      </c>
      <c r="I24">
        <v>241</v>
      </c>
      <c r="J24">
        <v>107</v>
      </c>
      <c r="K24">
        <v>0</v>
      </c>
      <c r="L24">
        <v>0</v>
      </c>
    </row>
    <row r="25" spans="1:12" x14ac:dyDescent="0.2">
      <c r="E25" s="51"/>
      <c r="F25" s="16" t="s">
        <v>440</v>
      </c>
      <c r="G25" s="16">
        <v>643</v>
      </c>
      <c r="H25" s="16">
        <v>557</v>
      </c>
      <c r="I25">
        <v>47</v>
      </c>
      <c r="J25">
        <v>39</v>
      </c>
      <c r="K25">
        <v>0</v>
      </c>
      <c r="L25">
        <v>0</v>
      </c>
    </row>
    <row r="26" spans="1:12" x14ac:dyDescent="0.2">
      <c r="E26" s="51"/>
      <c r="F26" s="16" t="s">
        <v>443</v>
      </c>
      <c r="G26" s="24">
        <v>19775</v>
      </c>
      <c r="H26" s="24">
        <v>13174</v>
      </c>
      <c r="I26" s="15">
        <v>2927</v>
      </c>
      <c r="J26" s="15">
        <v>2711</v>
      </c>
      <c r="K26">
        <v>387</v>
      </c>
      <c r="L26">
        <v>576</v>
      </c>
    </row>
    <row r="27" spans="1:12" x14ac:dyDescent="0.2">
      <c r="A27" s="53"/>
      <c r="B27" s="53"/>
      <c r="E27" s="51"/>
      <c r="F27" s="16" t="s">
        <v>447</v>
      </c>
      <c r="G27" s="24">
        <v>1932</v>
      </c>
      <c r="H27" s="24">
        <v>1332</v>
      </c>
      <c r="I27">
        <v>362</v>
      </c>
      <c r="J27">
        <v>123</v>
      </c>
      <c r="K27">
        <v>13</v>
      </c>
      <c r="L27">
        <v>102</v>
      </c>
    </row>
    <row r="28" spans="1:12" x14ac:dyDescent="0.2">
      <c r="E28" s="51"/>
      <c r="F28" s="16" t="s">
        <v>449</v>
      </c>
      <c r="G28" s="24">
        <v>8514</v>
      </c>
      <c r="H28" s="24">
        <v>5144</v>
      </c>
      <c r="I28" s="15">
        <v>1621</v>
      </c>
      <c r="J28" s="15">
        <v>1325</v>
      </c>
      <c r="K28">
        <v>124</v>
      </c>
      <c r="L28">
        <v>300</v>
      </c>
    </row>
    <row r="29" spans="1:12" x14ac:dyDescent="0.2">
      <c r="E29" s="51"/>
      <c r="F29" s="16" t="s">
        <v>451</v>
      </c>
      <c r="G29" s="24">
        <v>21772</v>
      </c>
      <c r="H29" s="24">
        <v>18320</v>
      </c>
      <c r="I29" s="15">
        <v>2280</v>
      </c>
      <c r="J29">
        <v>945</v>
      </c>
      <c r="K29">
        <v>139</v>
      </c>
      <c r="L29">
        <v>88</v>
      </c>
    </row>
    <row r="30" spans="1:12" x14ac:dyDescent="0.2">
      <c r="E30" s="51"/>
      <c r="F30" s="16" t="s">
        <v>453</v>
      </c>
      <c r="G30" s="24">
        <v>3017</v>
      </c>
      <c r="H30" s="24">
        <v>2364</v>
      </c>
      <c r="I30">
        <v>441</v>
      </c>
      <c r="J30">
        <v>207</v>
      </c>
      <c r="K30">
        <v>0</v>
      </c>
      <c r="L30">
        <v>0</v>
      </c>
    </row>
    <row r="31" spans="1:12" x14ac:dyDescent="0.2">
      <c r="E31" s="51"/>
      <c r="F31" s="16" t="s">
        <v>455</v>
      </c>
      <c r="G31" s="24">
        <v>3470</v>
      </c>
      <c r="H31" s="24">
        <v>2777</v>
      </c>
      <c r="I31" s="15">
        <v>6111</v>
      </c>
      <c r="J31">
        <v>74</v>
      </c>
      <c r="K31">
        <v>8</v>
      </c>
      <c r="L31">
        <v>0</v>
      </c>
    </row>
    <row r="32" spans="1:12" x14ac:dyDescent="0.2">
      <c r="E32" s="51"/>
      <c r="F32" t="s">
        <v>457</v>
      </c>
      <c r="G32" s="15">
        <v>6457</v>
      </c>
      <c r="H32" s="15">
        <v>5424</v>
      </c>
      <c r="I32">
        <v>625</v>
      </c>
      <c r="J32">
        <v>342</v>
      </c>
      <c r="K32">
        <v>41</v>
      </c>
      <c r="L32">
        <v>25</v>
      </c>
    </row>
    <row r="33" spans="5:12" x14ac:dyDescent="0.2">
      <c r="E33" s="51"/>
      <c r="F33" s="16" t="s">
        <v>459</v>
      </c>
      <c r="G33" s="24">
        <v>6326</v>
      </c>
      <c r="H33" s="24">
        <v>5313</v>
      </c>
      <c r="I33">
        <v>755</v>
      </c>
      <c r="J33">
        <v>127</v>
      </c>
      <c r="K33">
        <v>126</v>
      </c>
      <c r="L33">
        <v>5</v>
      </c>
    </row>
    <row r="34" spans="5:12" x14ac:dyDescent="0.2">
      <c r="E34" s="51"/>
      <c r="F34" s="16" t="s">
        <v>463</v>
      </c>
      <c r="G34" s="24">
        <v>1165</v>
      </c>
      <c r="H34" s="16">
        <v>921</v>
      </c>
      <c r="I34" s="18">
        <v>176</v>
      </c>
      <c r="J34">
        <v>18</v>
      </c>
      <c r="K34">
        <v>50</v>
      </c>
      <c r="L34">
        <v>0</v>
      </c>
    </row>
    <row r="35" spans="5:12" x14ac:dyDescent="0.2">
      <c r="E35" s="51"/>
      <c r="F35" s="16" t="s">
        <v>465</v>
      </c>
      <c r="G35" s="24">
        <v>26981</v>
      </c>
      <c r="H35" s="24">
        <v>14347</v>
      </c>
      <c r="I35" s="30">
        <v>11608</v>
      </c>
      <c r="J35">
        <v>820</v>
      </c>
      <c r="K35">
        <v>46</v>
      </c>
      <c r="L35">
        <v>160</v>
      </c>
    </row>
    <row r="36" spans="5:12" x14ac:dyDescent="0.2">
      <c r="E36" s="51"/>
      <c r="F36" s="16" t="s">
        <v>467</v>
      </c>
      <c r="G36" s="24">
        <v>30176</v>
      </c>
      <c r="H36" s="24">
        <v>23243</v>
      </c>
      <c r="I36" s="30">
        <v>4917</v>
      </c>
      <c r="J36" s="15">
        <v>1320</v>
      </c>
      <c r="K36">
        <v>431</v>
      </c>
      <c r="L36">
        <v>265</v>
      </c>
    </row>
    <row r="37" spans="5:12" x14ac:dyDescent="0.2">
      <c r="E37" s="51"/>
      <c r="F37" s="16" t="s">
        <v>469</v>
      </c>
      <c r="G37" s="24">
        <v>26654</v>
      </c>
      <c r="H37" s="24">
        <v>19922</v>
      </c>
      <c r="I37" s="30">
        <v>4538</v>
      </c>
      <c r="J37" s="15">
        <v>1113</v>
      </c>
      <c r="K37">
        <v>821</v>
      </c>
      <c r="L37">
        <v>260</v>
      </c>
    </row>
    <row r="38" spans="5:12" x14ac:dyDescent="0.2">
      <c r="E38" s="51"/>
      <c r="F38" t="s">
        <v>471</v>
      </c>
      <c r="G38" s="15">
        <v>29555</v>
      </c>
      <c r="H38" s="15">
        <v>2173</v>
      </c>
      <c r="I38">
        <v>771</v>
      </c>
      <c r="J38" s="15">
        <v>26241</v>
      </c>
      <c r="K38">
        <v>0</v>
      </c>
      <c r="L38">
        <v>370</v>
      </c>
    </row>
    <row r="39" spans="5:12" x14ac:dyDescent="0.2">
      <c r="E39" s="51"/>
      <c r="F39" t="s">
        <v>473</v>
      </c>
      <c r="G39" s="15">
        <v>29555</v>
      </c>
      <c r="H39" s="15">
        <v>2173</v>
      </c>
      <c r="I39">
        <v>771</v>
      </c>
      <c r="J39" s="15">
        <v>26241</v>
      </c>
      <c r="K39">
        <v>0</v>
      </c>
      <c r="L39">
        <v>370</v>
      </c>
    </row>
    <row r="40" spans="5:12" x14ac:dyDescent="0.2">
      <c r="E40" s="51"/>
      <c r="F40" t="s">
        <v>476</v>
      </c>
      <c r="G40" s="15">
        <v>8308</v>
      </c>
      <c r="H40" s="15">
        <v>6540</v>
      </c>
      <c r="I40" s="15">
        <v>1126</v>
      </c>
      <c r="J40">
        <v>357</v>
      </c>
      <c r="K40">
        <v>214</v>
      </c>
      <c r="L40">
        <v>71</v>
      </c>
    </row>
    <row r="41" spans="5:12" x14ac:dyDescent="0.2">
      <c r="E41" s="51"/>
      <c r="F41" t="s">
        <v>497</v>
      </c>
      <c r="G41" s="15">
        <v>3597</v>
      </c>
      <c r="H41" s="15">
        <v>3040</v>
      </c>
      <c r="I41">
        <v>246</v>
      </c>
      <c r="J41">
        <v>244</v>
      </c>
      <c r="K41">
        <v>57</v>
      </c>
      <c r="L41">
        <v>10</v>
      </c>
    </row>
    <row r="42" spans="5:12" x14ac:dyDescent="0.2">
      <c r="E42" s="51"/>
      <c r="F42" t="s">
        <v>501</v>
      </c>
      <c r="G42" s="15">
        <v>2950</v>
      </c>
      <c r="H42" s="15">
        <v>2456</v>
      </c>
      <c r="I42">
        <v>235</v>
      </c>
      <c r="J42">
        <v>198</v>
      </c>
      <c r="K42">
        <v>51</v>
      </c>
      <c r="L42">
        <v>10</v>
      </c>
    </row>
    <row r="43" spans="5:12" x14ac:dyDescent="0.2">
      <c r="E43" s="51"/>
      <c r="F43" t="s">
        <v>502</v>
      </c>
      <c r="G43">
        <v>647</v>
      </c>
      <c r="H43">
        <v>584</v>
      </c>
      <c r="I43">
        <v>11</v>
      </c>
      <c r="J43">
        <v>46</v>
      </c>
      <c r="K43">
        <v>6</v>
      </c>
      <c r="L43">
        <v>0</v>
      </c>
    </row>
    <row r="44" spans="5:12" x14ac:dyDescent="0.2">
      <c r="E44" s="51"/>
      <c r="F44" t="s">
        <v>503</v>
      </c>
      <c r="G44" s="15">
        <v>29367</v>
      </c>
      <c r="H44" s="15">
        <v>22252</v>
      </c>
      <c r="I44" s="15">
        <v>3672</v>
      </c>
      <c r="J44" s="15">
        <v>2185</v>
      </c>
      <c r="K44">
        <v>691</v>
      </c>
      <c r="L44">
        <v>567</v>
      </c>
    </row>
    <row r="45" spans="5:12" x14ac:dyDescent="0.2">
      <c r="E45" s="51"/>
      <c r="F45" t="s">
        <v>504</v>
      </c>
      <c r="G45" s="15">
        <v>30299</v>
      </c>
      <c r="H45" s="15">
        <v>25616</v>
      </c>
      <c r="I45" s="15">
        <v>2263</v>
      </c>
      <c r="J45" s="15">
        <v>1748</v>
      </c>
      <c r="K45">
        <v>605</v>
      </c>
      <c r="L45">
        <v>67</v>
      </c>
    </row>
    <row r="46" spans="5:12" x14ac:dyDescent="0.2">
      <c r="E46" s="51"/>
      <c r="F46" t="s">
        <v>505</v>
      </c>
      <c r="G46" s="15">
        <v>2717</v>
      </c>
      <c r="H46" s="15">
        <v>1903</v>
      </c>
      <c r="I46">
        <v>454</v>
      </c>
      <c r="J46">
        <v>203</v>
      </c>
      <c r="K46">
        <v>151</v>
      </c>
      <c r="L46">
        <v>6</v>
      </c>
    </row>
    <row r="47" spans="5:12" x14ac:dyDescent="0.2">
      <c r="E47" s="51"/>
      <c r="F47" t="s">
        <v>506</v>
      </c>
      <c r="G47" s="15">
        <v>2877</v>
      </c>
      <c r="H47" s="15">
        <v>2190</v>
      </c>
      <c r="I47">
        <v>335</v>
      </c>
      <c r="J47">
        <v>177</v>
      </c>
      <c r="K47">
        <v>175</v>
      </c>
      <c r="L47">
        <v>0</v>
      </c>
    </row>
    <row r="48" spans="5:12" x14ac:dyDescent="0.2">
      <c r="E48" s="51"/>
      <c r="F48" t="s">
        <v>507</v>
      </c>
      <c r="G48" s="15">
        <v>6318</v>
      </c>
      <c r="H48" s="15">
        <v>5278</v>
      </c>
      <c r="I48">
        <v>254</v>
      </c>
      <c r="J48">
        <v>617</v>
      </c>
      <c r="K48">
        <v>136</v>
      </c>
      <c r="L48">
        <v>33</v>
      </c>
    </row>
    <row r="49" spans="5:12" x14ac:dyDescent="0.2">
      <c r="E49" s="51"/>
      <c r="F49" t="s">
        <v>508</v>
      </c>
      <c r="G49" s="15">
        <v>7205</v>
      </c>
      <c r="H49" s="15">
        <v>6447</v>
      </c>
      <c r="I49">
        <v>496</v>
      </c>
      <c r="J49">
        <v>209</v>
      </c>
      <c r="K49">
        <v>53</v>
      </c>
      <c r="L49">
        <v>0</v>
      </c>
    </row>
    <row r="50" spans="5:12" x14ac:dyDescent="0.2">
      <c r="E50" s="51"/>
      <c r="F50" t="s">
        <v>509</v>
      </c>
      <c r="G50" s="15">
        <v>11640</v>
      </c>
      <c r="H50" s="15">
        <v>8780</v>
      </c>
      <c r="I50" s="15">
        <v>1224</v>
      </c>
      <c r="J50" s="15">
        <v>1370</v>
      </c>
      <c r="K50">
        <v>218</v>
      </c>
      <c r="L50">
        <v>48</v>
      </c>
    </row>
    <row r="51" spans="5:12" x14ac:dyDescent="0.2">
      <c r="E51" s="51"/>
      <c r="F51" t="s">
        <v>447</v>
      </c>
      <c r="G51">
        <v>710</v>
      </c>
      <c r="H51">
        <v>303</v>
      </c>
      <c r="I51">
        <v>41</v>
      </c>
      <c r="J51">
        <v>287</v>
      </c>
      <c r="K51">
        <v>79</v>
      </c>
      <c r="L51">
        <v>0</v>
      </c>
    </row>
    <row r="52" spans="5:12" x14ac:dyDescent="0.2">
      <c r="E52" s="51"/>
      <c r="F52" t="s">
        <v>510</v>
      </c>
      <c r="G52" s="15">
        <v>10930</v>
      </c>
      <c r="H52" s="15">
        <v>8477</v>
      </c>
      <c r="I52" s="15">
        <v>1183</v>
      </c>
      <c r="J52" s="15">
        <v>1083</v>
      </c>
      <c r="K52">
        <v>139</v>
      </c>
      <c r="L52">
        <v>48</v>
      </c>
    </row>
    <row r="53" spans="5:12" x14ac:dyDescent="0.2">
      <c r="E53" s="51"/>
    </row>
    <row r="54" spans="5:12" x14ac:dyDescent="0.2">
      <c r="E54" s="51"/>
    </row>
    <row r="55" spans="5:12" x14ac:dyDescent="0.2">
      <c r="E55" s="51"/>
    </row>
    <row r="56" spans="5:12" x14ac:dyDescent="0.2">
      <c r="E56" s="51"/>
    </row>
    <row r="57" spans="5:12" x14ac:dyDescent="0.2">
      <c r="E57" s="51"/>
    </row>
  </sheetData>
  <mergeCells count="10">
    <mergeCell ref="B1:O1"/>
    <mergeCell ref="A5:B5"/>
    <mergeCell ref="E5:E57"/>
    <mergeCell ref="A9:B9"/>
    <mergeCell ref="A18:B18"/>
    <mergeCell ref="A21:B21"/>
    <mergeCell ref="A27:B27"/>
    <mergeCell ref="G5:G6"/>
    <mergeCell ref="F5:F6"/>
    <mergeCell ref="H5:L5"/>
  </mergeCells>
  <dataValidations count="4">
    <dataValidation type="list" allowBlank="1" showInputMessage="1" showErrorMessage="1" sqref="P4:Q4" xr:uid="{7E185536-9417-4B1B-B73C-72E3590E42F5}">
      <formula1>"integer, number, percent1"</formula1>
    </dataValidation>
    <dataValidation type="list" allowBlank="1" showInputMessage="1" showErrorMessage="1" sqref="B10" xr:uid="{44A70BD7-80D5-4EF0-933E-5312CA5AE7A4}">
      <formula1>"Line,Clustered Bar,Stacked Bar,Bar,Horizontal Stacked Bar"</formula1>
    </dataValidation>
    <dataValidation type="list" allowBlank="1" showInputMessage="1" showErrorMessage="1" sqref="B2" xr:uid="{32AF13D5-D0E1-4CC5-B738-52F7EBE90EF2}">
      <formula1>"Table,Figure,Both"</formula1>
    </dataValidation>
    <dataValidation type="list" allowBlank="1" showInputMessage="1" showErrorMessage="1" sqref="B6 B15:B16" xr:uid="{ED335337-FE78-4A86-ADAD-8F1A9E002F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5919FFB-AFCF-4D81-8E96-C906BA28798C}">
          <x14:formula1>
            <xm:f>Dropdowns!$B$2:$B$9</xm:f>
          </x14:formula1>
          <xm:sqref>B14</xm:sqref>
        </x14:dataValidation>
        <x14:dataValidation type="list" allowBlank="1" showInputMessage="1" showErrorMessage="1" xr:uid="{74C27358-7BD8-4ECA-8842-7F2E2DB53011}">
          <x14:formula1>
            <xm:f>Dropdowns!$A$1:$A$8</xm:f>
          </x14:formula1>
          <xm:sqref>F4:O4</xm:sqref>
        </x14:dataValidation>
        <x14:dataValidation type="list" allowBlank="1" showInputMessage="1" showErrorMessage="1" xr:uid="{3B39E646-DCA4-4435-8D19-2DB8DB414140}">
          <x14:formula1>
            <xm:f>Master!$F$2:$F$401</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F132-FFFE-4D87-9B97-3D45260D79BA}">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314</v>
      </c>
      <c r="C1" s="49"/>
      <c r="D1" s="49"/>
      <c r="E1" s="49"/>
      <c r="F1" s="49"/>
      <c r="G1" s="49"/>
      <c r="H1" s="49"/>
      <c r="I1" s="49"/>
      <c r="J1" s="49"/>
      <c r="K1" s="49"/>
      <c r="L1" s="49"/>
      <c r="M1" s="49"/>
      <c r="N1" s="49"/>
      <c r="O1" s="49"/>
    </row>
    <row r="2" spans="1:17" x14ac:dyDescent="0.2">
      <c r="A2" s="17" t="s">
        <v>253</v>
      </c>
      <c r="B2" t="s">
        <v>7</v>
      </c>
    </row>
    <row r="3" spans="1:17" x14ac:dyDescent="0.2">
      <c r="A3" s="17" t="s">
        <v>254</v>
      </c>
      <c r="B3" t="str">
        <f>IF($B$1="","",_xlfn.XLOOKUP($B$1,Master!$E$2:$E$320,Master!$F$2:$F$320,""))</f>
        <v>tbl-english-language-eco-disad-disability</v>
      </c>
    </row>
    <row r="4" spans="1:17" x14ac:dyDescent="0.2">
      <c r="A4" s="17" t="s">
        <v>5</v>
      </c>
      <c r="B4" t="str">
        <f>IF($B$1="","",_xlfn.XLOOKUP($B$1,Master!$E$2:$E$320,Master!$G$2:$G$320,""))</f>
        <v>fig-english-language-eco-disad-disability</v>
      </c>
      <c r="E4" s="8"/>
      <c r="F4" s="10" t="s">
        <v>144</v>
      </c>
      <c r="G4" s="10" t="s">
        <v>149</v>
      </c>
      <c r="H4" s="10" t="s">
        <v>149</v>
      </c>
      <c r="I4" s="10" t="s">
        <v>149</v>
      </c>
      <c r="J4" s="10" t="s">
        <v>149</v>
      </c>
      <c r="K4" s="10"/>
      <c r="L4" s="10"/>
      <c r="M4" s="10"/>
      <c r="N4" s="10"/>
      <c r="O4" s="10"/>
      <c r="P4" s="10"/>
      <c r="Q4" s="10"/>
    </row>
    <row r="5" spans="1:17" x14ac:dyDescent="0.2">
      <c r="A5" s="50" t="s">
        <v>255</v>
      </c>
      <c r="B5" s="51"/>
      <c r="E5" s="52" t="s">
        <v>256</v>
      </c>
      <c r="F5" t="s">
        <v>1412</v>
      </c>
      <c r="G5" t="s">
        <v>1585</v>
      </c>
      <c r="H5" t="s">
        <v>1586</v>
      </c>
      <c r="I5" t="s">
        <v>1587</v>
      </c>
      <c r="J5" t="s">
        <v>1588</v>
      </c>
    </row>
    <row r="6" spans="1:17" ht="15" customHeight="1" x14ac:dyDescent="0.2">
      <c r="A6" t="s">
        <v>259</v>
      </c>
      <c r="B6" t="b">
        <v>0</v>
      </c>
      <c r="E6" s="51"/>
      <c r="F6" t="s">
        <v>1559</v>
      </c>
      <c r="G6" s="16">
        <v>905</v>
      </c>
      <c r="H6" s="16" t="s">
        <v>1589</v>
      </c>
      <c r="I6" s="16" t="s">
        <v>1590</v>
      </c>
      <c r="J6" s="16" t="s">
        <v>1591</v>
      </c>
      <c r="K6" s="16"/>
      <c r="L6" s="16"/>
      <c r="M6" s="16"/>
      <c r="N6" s="16"/>
      <c r="O6" s="16"/>
    </row>
    <row r="7" spans="1:17" ht="15.75" customHeight="1" x14ac:dyDescent="0.2">
      <c r="E7" s="51"/>
      <c r="F7" t="s">
        <v>1433</v>
      </c>
      <c r="G7" s="24">
        <v>2989</v>
      </c>
      <c r="H7" s="16" t="s">
        <v>1592</v>
      </c>
      <c r="I7" s="16" t="s">
        <v>1593</v>
      </c>
      <c r="J7" s="16" t="s">
        <v>1594</v>
      </c>
      <c r="K7" s="16"/>
      <c r="L7" s="16"/>
      <c r="M7" s="16"/>
      <c r="N7" s="16"/>
      <c r="O7" s="16"/>
    </row>
    <row r="8" spans="1:17" x14ac:dyDescent="0.2">
      <c r="E8" s="51"/>
      <c r="F8" t="s">
        <v>1442</v>
      </c>
      <c r="G8" s="16">
        <v>701</v>
      </c>
      <c r="H8" s="16" t="s">
        <v>1595</v>
      </c>
      <c r="I8" s="16" t="s">
        <v>1596</v>
      </c>
      <c r="J8" s="16" t="s">
        <v>1597</v>
      </c>
      <c r="K8" s="16"/>
      <c r="L8" s="16"/>
      <c r="M8" s="16"/>
      <c r="N8" s="16"/>
      <c r="O8" s="16"/>
    </row>
    <row r="9" spans="1:17" x14ac:dyDescent="0.2">
      <c r="A9" s="50" t="s">
        <v>260</v>
      </c>
      <c r="B9" s="51"/>
      <c r="E9" s="51"/>
      <c r="F9" t="s">
        <v>1450</v>
      </c>
      <c r="G9" s="24">
        <v>2763</v>
      </c>
      <c r="H9" s="16" t="s">
        <v>1598</v>
      </c>
      <c r="I9" s="16" t="s">
        <v>1599</v>
      </c>
      <c r="J9" s="16" t="s">
        <v>1600</v>
      </c>
      <c r="K9" s="16"/>
      <c r="L9" s="16"/>
      <c r="M9" s="16"/>
      <c r="N9" s="16"/>
      <c r="O9" s="16"/>
    </row>
    <row r="10" spans="1:17" x14ac:dyDescent="0.2">
      <c r="A10" t="s">
        <v>261</v>
      </c>
      <c r="E10" s="51"/>
      <c r="F10" t="s">
        <v>1458</v>
      </c>
      <c r="G10" s="16">
        <v>426</v>
      </c>
      <c r="H10" t="s">
        <v>1601</v>
      </c>
      <c r="I10" t="s">
        <v>1602</v>
      </c>
      <c r="J10" t="s">
        <v>1603</v>
      </c>
    </row>
    <row r="11" spans="1:17" x14ac:dyDescent="0.2">
      <c r="A11" t="s">
        <v>262</v>
      </c>
      <c r="E11" s="51"/>
      <c r="F11" t="s">
        <v>1465</v>
      </c>
      <c r="G11" s="16">
        <v>914</v>
      </c>
      <c r="H11" s="16" t="s">
        <v>1604</v>
      </c>
      <c r="I11" s="16" t="s">
        <v>1605</v>
      </c>
      <c r="J11" s="18" t="s">
        <v>1606</v>
      </c>
      <c r="K11" s="18"/>
      <c r="L11" s="18"/>
      <c r="M11" s="18"/>
      <c r="N11" s="18"/>
    </row>
    <row r="12" spans="1:17" x14ac:dyDescent="0.2">
      <c r="A12" t="s">
        <v>263</v>
      </c>
      <c r="E12" s="51"/>
      <c r="F12" s="22" t="s">
        <v>1473</v>
      </c>
      <c r="G12" s="18">
        <v>176</v>
      </c>
      <c r="H12" s="18" t="s">
        <v>1607</v>
      </c>
      <c r="I12" s="16" t="s">
        <v>1608</v>
      </c>
      <c r="J12" s="16" t="s">
        <v>1609</v>
      </c>
      <c r="K12" s="16"/>
      <c r="L12" s="16"/>
    </row>
    <row r="13" spans="1:17" x14ac:dyDescent="0.2">
      <c r="A13" t="s">
        <v>264</v>
      </c>
      <c r="E13" s="51"/>
      <c r="F13" t="s">
        <v>1475</v>
      </c>
      <c r="G13" s="15">
        <v>7216</v>
      </c>
      <c r="H13" t="s">
        <v>1610</v>
      </c>
      <c r="I13" t="s">
        <v>1611</v>
      </c>
      <c r="J13" t="s">
        <v>1612</v>
      </c>
    </row>
    <row r="14" spans="1:17" x14ac:dyDescent="0.2">
      <c r="A14" t="s">
        <v>265</v>
      </c>
      <c r="E14" s="51"/>
      <c r="F14" t="s">
        <v>1484</v>
      </c>
      <c r="G14" s="15">
        <v>3451</v>
      </c>
      <c r="H14" t="s">
        <v>1613</v>
      </c>
      <c r="I14" t="s">
        <v>1614</v>
      </c>
      <c r="J14" t="s">
        <v>1615</v>
      </c>
    </row>
    <row r="15" spans="1:17" x14ac:dyDescent="0.2">
      <c r="A15" t="s">
        <v>267</v>
      </c>
      <c r="E15" s="51"/>
      <c r="F15" t="s">
        <v>1493</v>
      </c>
      <c r="G15" s="15">
        <v>6320</v>
      </c>
      <c r="H15" t="s">
        <v>1616</v>
      </c>
      <c r="I15" t="s">
        <v>1617</v>
      </c>
      <c r="J15" t="s">
        <v>1618</v>
      </c>
    </row>
    <row r="16" spans="1:17" x14ac:dyDescent="0.2">
      <c r="A16" t="s">
        <v>274</v>
      </c>
      <c r="E16" s="51"/>
      <c r="F16" t="s">
        <v>1502</v>
      </c>
      <c r="G16" s="15">
        <v>10516</v>
      </c>
      <c r="H16" t="s">
        <v>1619</v>
      </c>
      <c r="I16" t="s">
        <v>1620</v>
      </c>
      <c r="J16" t="s">
        <v>1621</v>
      </c>
    </row>
    <row r="17" spans="1:11" x14ac:dyDescent="0.2">
      <c r="E17" s="51"/>
      <c r="F17" t="s">
        <v>1511</v>
      </c>
      <c r="G17" s="15">
        <v>4551</v>
      </c>
      <c r="H17" t="s">
        <v>1622</v>
      </c>
      <c r="I17" t="s">
        <v>1623</v>
      </c>
      <c r="J17" t="s">
        <v>1624</v>
      </c>
    </row>
    <row r="18" spans="1:11" x14ac:dyDescent="0.2">
      <c r="A18" s="50" t="s">
        <v>268</v>
      </c>
      <c r="B18" s="51"/>
      <c r="E18" s="51"/>
      <c r="F18" t="s">
        <v>476</v>
      </c>
      <c r="G18" s="15">
        <v>2300</v>
      </c>
      <c r="H18" t="s">
        <v>1625</v>
      </c>
      <c r="I18" t="s">
        <v>1626</v>
      </c>
      <c r="J18" t="s">
        <v>1627</v>
      </c>
    </row>
    <row r="19" spans="1:11" x14ac:dyDescent="0.2">
      <c r="A19" t="s">
        <v>1250</v>
      </c>
      <c r="B19" t="s">
        <v>1584</v>
      </c>
      <c r="E19" s="51"/>
      <c r="F19" t="s">
        <v>1528</v>
      </c>
      <c r="G19">
        <v>192</v>
      </c>
      <c r="H19" t="s">
        <v>1628</v>
      </c>
      <c r="I19" t="s">
        <v>1629</v>
      </c>
      <c r="J19" t="s">
        <v>1630</v>
      </c>
    </row>
    <row r="20" spans="1:11" x14ac:dyDescent="0.2">
      <c r="E20" s="51"/>
      <c r="F20" s="16" t="s">
        <v>1533</v>
      </c>
      <c r="G20" s="24">
        <v>4124</v>
      </c>
      <c r="H20" s="16" t="s">
        <v>1631</v>
      </c>
      <c r="I20" t="s">
        <v>1632</v>
      </c>
      <c r="J20" t="s">
        <v>1633</v>
      </c>
    </row>
    <row r="21" spans="1:11" x14ac:dyDescent="0.2">
      <c r="A21" s="53" t="s">
        <v>269</v>
      </c>
      <c r="B21" s="51"/>
      <c r="E21" s="51"/>
      <c r="F21" s="16" t="s">
        <v>1542</v>
      </c>
      <c r="G21" s="24">
        <v>3689</v>
      </c>
      <c r="H21" s="16" t="s">
        <v>1634</v>
      </c>
      <c r="I21" t="s">
        <v>1635</v>
      </c>
      <c r="J21" t="s">
        <v>1636</v>
      </c>
    </row>
    <row r="22" spans="1:11" x14ac:dyDescent="0.2">
      <c r="A22" t="s">
        <v>1249</v>
      </c>
      <c r="B22" t="s">
        <v>1583</v>
      </c>
      <c r="E22" s="51"/>
      <c r="F22" s="16" t="s">
        <v>1550</v>
      </c>
      <c r="G22" s="24">
        <v>3806</v>
      </c>
      <c r="H22" s="16" t="s">
        <v>1637</v>
      </c>
      <c r="I22" t="s">
        <v>1638</v>
      </c>
      <c r="J22" t="s">
        <v>1639</v>
      </c>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4B66CC2-8ED8-4521-AB10-86311FCC40DE}">
      <formula1>"integer, number, percent1"</formula1>
    </dataValidation>
    <dataValidation type="list" allowBlank="1" showInputMessage="1" showErrorMessage="1" sqref="B10" xr:uid="{1BA396F1-211B-4186-B0B9-2A8E740BA1D2}">
      <formula1>"Line,Clustered Bar,Stacked Bar,Bar,Horizontal Stacked Bar"</formula1>
    </dataValidation>
    <dataValidation type="list" allowBlank="1" showInputMessage="1" showErrorMessage="1" sqref="B2" xr:uid="{06D1273E-B1C8-4FCC-91A3-657F398A85E0}">
      <formula1>"Table,Figure,Both"</formula1>
    </dataValidation>
    <dataValidation type="list" allowBlank="1" showInputMessage="1" showErrorMessage="1" sqref="B6 B15:B16" xr:uid="{8E8A20C2-07B5-441B-AE2F-50E36BA443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92091D9-9AD5-4B42-AD8F-28F23506D8D2}">
          <x14:formula1>
            <xm:f>Dropdowns!$B$2:$B$9</xm:f>
          </x14:formula1>
          <xm:sqref>B14</xm:sqref>
        </x14:dataValidation>
        <x14:dataValidation type="list" allowBlank="1" showInputMessage="1" showErrorMessage="1" xr:uid="{E00F443A-9861-43B4-AE34-267620F456D3}">
          <x14:formula1>
            <xm:f>Dropdowns!$A$1:$A$8</xm:f>
          </x14:formula1>
          <xm:sqref>F4:O4</xm:sqref>
        </x14:dataValidation>
        <x14:dataValidation type="list" allowBlank="1" showInputMessage="1" showErrorMessage="1" xr:uid="{426DF84A-7D2A-4AC9-A0C4-CA4D2AAC7714}">
          <x14:formula1>
            <xm:f>Master!$F$2:$F$401</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FA8DC-747C-4D27-9549-68D2828B7764}">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279</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
      </c>
    </row>
    <row r="4" spans="1:17" x14ac:dyDescent="0.2">
      <c r="A4" s="17" t="s">
        <v>5</v>
      </c>
      <c r="B4" t="str">
        <f>IF($B$1="","",_xlfn.XLOOKUP($B$1,Master!$E$2:$E$320,Master!$G$2:$G$320,""))</f>
        <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0" t="s">
        <v>255</v>
      </c>
      <c r="B5" s="51"/>
      <c r="E5" s="52" t="s">
        <v>256</v>
      </c>
      <c r="F5" t="s">
        <v>394</v>
      </c>
      <c r="G5" t="s">
        <v>275</v>
      </c>
      <c r="H5" t="s">
        <v>688</v>
      </c>
      <c r="I5" t="s">
        <v>1391</v>
      </c>
      <c r="J5" t="s">
        <v>1392</v>
      </c>
      <c r="K5" t="s">
        <v>691</v>
      </c>
      <c r="L5" t="s">
        <v>1393</v>
      </c>
      <c r="M5" t="s">
        <v>693</v>
      </c>
      <c r="N5" t="s">
        <v>694</v>
      </c>
      <c r="O5" t="s">
        <v>1394</v>
      </c>
      <c r="P5" t="s">
        <v>1395</v>
      </c>
    </row>
    <row r="6" spans="1:17" ht="15" customHeight="1" x14ac:dyDescent="0.2">
      <c r="A6" t="s">
        <v>259</v>
      </c>
      <c r="B6" t="b">
        <v>0</v>
      </c>
      <c r="E6" s="51"/>
      <c r="F6" t="s">
        <v>1298</v>
      </c>
      <c r="G6" s="16">
        <v>4.8</v>
      </c>
      <c r="H6" s="16">
        <v>3.4</v>
      </c>
      <c r="I6" s="16">
        <v>5.2</v>
      </c>
      <c r="J6" s="16">
        <v>18.8</v>
      </c>
      <c r="K6" s="16">
        <v>10.6</v>
      </c>
      <c r="L6" s="16">
        <v>78.099999999999994</v>
      </c>
      <c r="M6" s="16">
        <v>10.4</v>
      </c>
      <c r="N6" s="16">
        <v>4.7</v>
      </c>
      <c r="O6" s="16">
        <v>8.4</v>
      </c>
      <c r="P6">
        <v>3</v>
      </c>
    </row>
    <row r="7" spans="1:17" ht="15.75" customHeight="1" x14ac:dyDescent="0.2">
      <c r="E7" s="51"/>
      <c r="F7" t="s">
        <v>1300</v>
      </c>
      <c r="G7" s="16">
        <v>5.0999999999999996</v>
      </c>
      <c r="H7" s="16">
        <v>3.3</v>
      </c>
      <c r="I7" s="16">
        <v>5.6</v>
      </c>
      <c r="J7" s="16">
        <v>13.6</v>
      </c>
      <c r="K7" s="16">
        <v>6</v>
      </c>
      <c r="L7" s="16">
        <v>12.8</v>
      </c>
      <c r="M7" s="16">
        <v>11.7</v>
      </c>
      <c r="N7" s="16">
        <v>6.8</v>
      </c>
      <c r="O7" s="16">
        <v>9.6999999999999993</v>
      </c>
      <c r="P7">
        <v>3.1</v>
      </c>
    </row>
    <row r="8" spans="1:17" x14ac:dyDescent="0.2">
      <c r="E8" s="51"/>
      <c r="F8" t="s">
        <v>1396</v>
      </c>
      <c r="G8" s="16">
        <v>8.6</v>
      </c>
      <c r="H8" s="16">
        <v>6.6</v>
      </c>
      <c r="I8" s="16">
        <v>9.5</v>
      </c>
      <c r="J8" s="16">
        <v>19.2</v>
      </c>
      <c r="K8" s="16">
        <v>5.9</v>
      </c>
      <c r="L8" s="16">
        <v>11.6</v>
      </c>
      <c r="M8" s="16">
        <v>19.7</v>
      </c>
      <c r="N8" s="16">
        <v>13</v>
      </c>
      <c r="O8" s="16">
        <v>17.5</v>
      </c>
      <c r="P8">
        <v>5.7</v>
      </c>
    </row>
    <row r="9" spans="1:17" x14ac:dyDescent="0.2">
      <c r="A9" s="50" t="s">
        <v>260</v>
      </c>
      <c r="B9" s="51"/>
      <c r="E9" s="51"/>
      <c r="G9" s="16"/>
      <c r="H9" s="16"/>
      <c r="I9" s="16"/>
      <c r="J9" s="16"/>
      <c r="K9" s="16"/>
      <c r="L9" s="16"/>
      <c r="M9" s="16"/>
      <c r="N9" s="16"/>
      <c r="O9" s="16"/>
    </row>
    <row r="10" spans="1:17" x14ac:dyDescent="0.2">
      <c r="A10" t="s">
        <v>261</v>
      </c>
      <c r="B10" t="s">
        <v>1296</v>
      </c>
      <c r="E10" s="51"/>
      <c r="G10" s="16"/>
    </row>
    <row r="11" spans="1:17" x14ac:dyDescent="0.2">
      <c r="A11" t="s">
        <v>262</v>
      </c>
      <c r="B11" t="s">
        <v>1301</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E13" s="51"/>
    </row>
    <row r="14" spans="1:17" x14ac:dyDescent="0.2">
      <c r="A14" t="s">
        <v>265</v>
      </c>
      <c r="B14" t="s">
        <v>166</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1641</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1640</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7DF1ED3-7242-42E0-A5FA-DE3F0A2906D1}">
      <formula1>"integer, number, percent1"</formula1>
    </dataValidation>
    <dataValidation type="list" allowBlank="1" showInputMessage="1" showErrorMessage="1" sqref="B10" xr:uid="{6F6D424F-895E-49ED-97F0-1971A2EA2B3C}">
      <formula1>"Line,Clustered Bar,Stacked Bar,Bar,Horizontal Stacked Bar"</formula1>
    </dataValidation>
    <dataValidation type="list" allowBlank="1" showInputMessage="1" showErrorMessage="1" sqref="B2" xr:uid="{F50655AA-074F-484F-AB72-6AE1E6BF6D37}">
      <formula1>"Table,Figure,Both"</formula1>
    </dataValidation>
    <dataValidation type="list" allowBlank="1" showInputMessage="1" showErrorMessage="1" sqref="B6 B15:B16" xr:uid="{A9588835-A3C6-4B73-8EB7-ACA0EF32CE5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ED5FDD0-6E41-4366-AB45-5A070F729556}">
          <x14:formula1>
            <xm:f>Dropdowns!$B$2:$B$9</xm:f>
          </x14:formula1>
          <xm:sqref>B14</xm:sqref>
        </x14:dataValidation>
        <x14:dataValidation type="list" allowBlank="1" showInputMessage="1" showErrorMessage="1" xr:uid="{12062D40-09F2-4667-8BF0-DF46EE657D4E}">
          <x14:formula1>
            <xm:f>Dropdowns!$A$1:$A$8</xm:f>
          </x14:formula1>
          <xm:sqref>F4:O4</xm:sqref>
        </x14:dataValidation>
        <x14:dataValidation type="list" allowBlank="1" showInputMessage="1" showErrorMessage="1" xr:uid="{3CBA0AF5-7C9C-4E5A-8AE3-5FEA8674C03C}">
          <x14:formula1>
            <xm:f>Master!$F$2:$F$401</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4E447-6A0B-42F2-BA2C-333A67BB3538}">
  <dimension ref="A1:Q57"/>
  <sheetViews>
    <sheetView workbookViewId="0">
      <selection activeCell="C2" sqref="C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319</v>
      </c>
      <c r="C1" s="49"/>
      <c r="D1" s="49"/>
      <c r="E1" s="49"/>
      <c r="F1" s="49"/>
      <c r="G1" s="49"/>
      <c r="H1" s="49"/>
      <c r="I1" s="49"/>
      <c r="J1" s="49"/>
      <c r="K1" s="49"/>
      <c r="L1" s="49"/>
      <c r="M1" s="49"/>
      <c r="N1" s="49"/>
      <c r="O1" s="49"/>
    </row>
    <row r="2" spans="1:17" x14ac:dyDescent="0.2">
      <c r="A2" s="17" t="s">
        <v>253</v>
      </c>
      <c r="B2" t="s">
        <v>7</v>
      </c>
    </row>
    <row r="3" spans="1:17" x14ac:dyDescent="0.2">
      <c r="A3" s="17" t="s">
        <v>254</v>
      </c>
      <c r="B3" t="str">
        <f>IF($B$1="","",_xlfn.XLOOKUP($B$1,Master!$E$2:$E$320,Master!$F$2:$F$320,""))</f>
        <v>tbl-cars-household</v>
      </c>
    </row>
    <row r="4" spans="1:17" x14ac:dyDescent="0.2">
      <c r="A4" s="17" t="s">
        <v>5</v>
      </c>
      <c r="B4" t="str">
        <f>IF($B$1="","",_xlfn.XLOOKUP($B$1,Master!$E$2:$E$320,Master!$G$2:$G$320,""))</f>
        <v>fig-cars-household</v>
      </c>
      <c r="E4" s="8"/>
      <c r="F4" s="10" t="s">
        <v>144</v>
      </c>
      <c r="G4" s="10" t="s">
        <v>155</v>
      </c>
      <c r="H4" s="10" t="s">
        <v>155</v>
      </c>
      <c r="I4" s="10" t="s">
        <v>155</v>
      </c>
      <c r="J4" s="10" t="s">
        <v>155</v>
      </c>
      <c r="K4" s="10" t="s">
        <v>155</v>
      </c>
      <c r="L4" s="10" t="s">
        <v>155</v>
      </c>
      <c r="M4" s="10"/>
      <c r="N4" s="10"/>
      <c r="O4" s="10"/>
      <c r="P4" s="10"/>
      <c r="Q4" s="10"/>
    </row>
    <row r="5" spans="1:17" x14ac:dyDescent="0.2">
      <c r="A5" s="50" t="s">
        <v>255</v>
      </c>
      <c r="B5" s="51"/>
      <c r="E5" s="52" t="s">
        <v>256</v>
      </c>
      <c r="F5" s="53" t="s">
        <v>394</v>
      </c>
      <c r="G5" s="53" t="s">
        <v>1338</v>
      </c>
      <c r="H5" s="53" t="s">
        <v>1642</v>
      </c>
      <c r="I5" s="53"/>
      <c r="J5" s="53"/>
      <c r="K5" s="53"/>
      <c r="L5" s="53"/>
    </row>
    <row r="6" spans="1:17" ht="15" customHeight="1" x14ac:dyDescent="0.2">
      <c r="A6" t="s">
        <v>259</v>
      </c>
      <c r="B6" t="b">
        <v>1</v>
      </c>
      <c r="E6" s="51"/>
      <c r="F6" s="53"/>
      <c r="G6" s="53"/>
      <c r="H6" s="16">
        <v>0</v>
      </c>
      <c r="I6" s="16">
        <v>1</v>
      </c>
      <c r="J6" s="16">
        <v>2</v>
      </c>
      <c r="K6" s="16">
        <v>3</v>
      </c>
      <c r="L6" s="16" t="s">
        <v>1643</v>
      </c>
      <c r="M6" s="16"/>
      <c r="N6" s="16"/>
      <c r="O6" s="16"/>
    </row>
    <row r="7" spans="1:17" ht="15.75" customHeight="1" x14ac:dyDescent="0.2">
      <c r="E7" s="51"/>
      <c r="F7" t="s">
        <v>396</v>
      </c>
      <c r="G7" s="24">
        <v>137311</v>
      </c>
      <c r="H7" s="24">
        <v>11823</v>
      </c>
      <c r="I7" s="24">
        <v>44006</v>
      </c>
      <c r="J7" s="24">
        <v>50961</v>
      </c>
      <c r="K7" s="24">
        <v>19803</v>
      </c>
      <c r="L7" s="24">
        <v>10718</v>
      </c>
      <c r="M7" s="16"/>
      <c r="N7" s="16"/>
      <c r="O7" s="16"/>
    </row>
    <row r="8" spans="1:17" x14ac:dyDescent="0.2">
      <c r="E8" s="51"/>
      <c r="F8" t="s">
        <v>397</v>
      </c>
      <c r="G8" s="24">
        <v>6149</v>
      </c>
      <c r="H8" s="16">
        <v>259</v>
      </c>
      <c r="I8" s="24">
        <v>2189</v>
      </c>
      <c r="J8" s="24">
        <v>2236</v>
      </c>
      <c r="K8" s="16">
        <v>958</v>
      </c>
      <c r="L8" s="16">
        <v>507</v>
      </c>
      <c r="M8" s="16"/>
      <c r="N8" s="16"/>
      <c r="O8" s="16"/>
    </row>
    <row r="9" spans="1:17" x14ac:dyDescent="0.2">
      <c r="A9" s="50" t="s">
        <v>260</v>
      </c>
      <c r="B9" s="51"/>
      <c r="E9" s="51"/>
      <c r="F9" t="s">
        <v>398</v>
      </c>
      <c r="G9" s="24">
        <v>1173</v>
      </c>
      <c r="H9" s="16">
        <v>64</v>
      </c>
      <c r="I9" s="16">
        <v>598</v>
      </c>
      <c r="J9" s="16">
        <v>392</v>
      </c>
      <c r="K9" s="16">
        <v>30</v>
      </c>
      <c r="L9" s="16">
        <v>89</v>
      </c>
      <c r="M9" s="16"/>
      <c r="N9" s="16"/>
      <c r="O9" s="16"/>
    </row>
    <row r="10" spans="1:17" x14ac:dyDescent="0.2">
      <c r="A10" t="s">
        <v>261</v>
      </c>
      <c r="E10" s="51"/>
      <c r="F10" t="s">
        <v>399</v>
      </c>
      <c r="G10" s="24">
        <v>2106</v>
      </c>
      <c r="H10">
        <v>78</v>
      </c>
      <c r="I10">
        <v>647</v>
      </c>
      <c r="J10">
        <v>950</v>
      </c>
      <c r="K10">
        <v>236</v>
      </c>
      <c r="L10">
        <v>195</v>
      </c>
    </row>
    <row r="11" spans="1:17" x14ac:dyDescent="0.2">
      <c r="A11" t="s">
        <v>262</v>
      </c>
      <c r="E11" s="51"/>
      <c r="F11" t="s">
        <v>400</v>
      </c>
      <c r="G11" s="24">
        <v>4458</v>
      </c>
      <c r="H11" s="16">
        <v>139</v>
      </c>
      <c r="I11" s="16">
        <v>943</v>
      </c>
      <c r="J11" s="30">
        <v>2154</v>
      </c>
      <c r="K11" s="18">
        <v>806</v>
      </c>
      <c r="L11" s="18">
        <v>416</v>
      </c>
      <c r="M11" s="18"/>
      <c r="N11" s="18"/>
    </row>
    <row r="12" spans="1:17" x14ac:dyDescent="0.2">
      <c r="A12" t="s">
        <v>263</v>
      </c>
      <c r="E12" s="51"/>
      <c r="F12" s="22" t="s">
        <v>401</v>
      </c>
      <c r="G12" s="30">
        <v>1560</v>
      </c>
      <c r="H12" s="18">
        <v>124</v>
      </c>
      <c r="I12" s="16">
        <v>406</v>
      </c>
      <c r="J12" s="16">
        <v>685</v>
      </c>
      <c r="K12" s="16">
        <v>305</v>
      </c>
      <c r="L12" s="16">
        <v>40</v>
      </c>
    </row>
    <row r="13" spans="1:17" x14ac:dyDescent="0.2">
      <c r="A13" t="s">
        <v>264</v>
      </c>
      <c r="E13" s="51"/>
      <c r="F13" t="s">
        <v>404</v>
      </c>
      <c r="G13" s="15">
        <v>5023</v>
      </c>
      <c r="H13">
        <v>102</v>
      </c>
      <c r="I13" s="15">
        <v>1605</v>
      </c>
      <c r="J13" s="15">
        <v>2274</v>
      </c>
      <c r="K13">
        <v>690</v>
      </c>
      <c r="L13">
        <v>352</v>
      </c>
    </row>
    <row r="14" spans="1:17" x14ac:dyDescent="0.2">
      <c r="A14" t="s">
        <v>265</v>
      </c>
      <c r="E14" s="51"/>
      <c r="F14" t="s">
        <v>407</v>
      </c>
      <c r="G14" s="15">
        <v>1230</v>
      </c>
      <c r="H14">
        <v>29</v>
      </c>
      <c r="I14">
        <v>283</v>
      </c>
      <c r="J14">
        <v>713</v>
      </c>
      <c r="K14">
        <v>124</v>
      </c>
      <c r="L14">
        <v>81</v>
      </c>
    </row>
    <row r="15" spans="1:17" x14ac:dyDescent="0.2">
      <c r="A15" t="s">
        <v>267</v>
      </c>
      <c r="E15" s="51"/>
      <c r="F15" t="s">
        <v>408</v>
      </c>
      <c r="G15" s="15">
        <v>3001</v>
      </c>
      <c r="H15">
        <v>23</v>
      </c>
      <c r="I15">
        <v>627</v>
      </c>
      <c r="J15" s="15">
        <v>1059</v>
      </c>
      <c r="K15">
        <v>747</v>
      </c>
      <c r="L15">
        <v>545</v>
      </c>
    </row>
    <row r="16" spans="1:17" x14ac:dyDescent="0.2">
      <c r="A16" t="s">
        <v>274</v>
      </c>
      <c r="E16" s="51"/>
      <c r="F16" t="s">
        <v>409</v>
      </c>
      <c r="G16" s="15">
        <v>2993</v>
      </c>
      <c r="H16">
        <v>92</v>
      </c>
      <c r="I16" s="15">
        <v>1031</v>
      </c>
      <c r="J16" s="15">
        <v>1443</v>
      </c>
      <c r="K16">
        <v>297</v>
      </c>
      <c r="L16">
        <v>130</v>
      </c>
    </row>
    <row r="17" spans="1:12" x14ac:dyDescent="0.2">
      <c r="E17" s="51"/>
      <c r="F17" t="s">
        <v>410</v>
      </c>
      <c r="G17" s="15">
        <v>4861</v>
      </c>
      <c r="H17">
        <v>357</v>
      </c>
      <c r="I17" s="15">
        <v>1400</v>
      </c>
      <c r="J17" s="15">
        <v>1879</v>
      </c>
      <c r="K17">
        <v>923</v>
      </c>
      <c r="L17">
        <v>302</v>
      </c>
    </row>
    <row r="18" spans="1:12" x14ac:dyDescent="0.2">
      <c r="A18" s="50" t="s">
        <v>268</v>
      </c>
      <c r="B18" s="51"/>
      <c r="E18" s="51"/>
      <c r="F18" t="s">
        <v>411</v>
      </c>
      <c r="G18" s="15">
        <v>2350</v>
      </c>
      <c r="H18">
        <v>227</v>
      </c>
      <c r="I18">
        <v>936</v>
      </c>
      <c r="J18">
        <v>774</v>
      </c>
      <c r="K18">
        <v>357</v>
      </c>
      <c r="L18">
        <v>56</v>
      </c>
    </row>
    <row r="19" spans="1:12" x14ac:dyDescent="0.2">
      <c r="A19" t="s">
        <v>1250</v>
      </c>
      <c r="B19" t="s">
        <v>1645</v>
      </c>
      <c r="E19" s="51"/>
      <c r="F19" t="s">
        <v>412</v>
      </c>
      <c r="G19" s="15">
        <v>1645</v>
      </c>
      <c r="H19">
        <v>87</v>
      </c>
      <c r="I19">
        <v>271</v>
      </c>
      <c r="J19">
        <v>703</v>
      </c>
      <c r="K19">
        <v>328</v>
      </c>
      <c r="L19">
        <v>256</v>
      </c>
    </row>
    <row r="20" spans="1:12" x14ac:dyDescent="0.2">
      <c r="E20" s="51"/>
      <c r="F20" s="16" t="s">
        <v>413</v>
      </c>
      <c r="G20" s="24">
        <v>1745</v>
      </c>
      <c r="H20" s="16">
        <v>0</v>
      </c>
      <c r="I20">
        <v>416</v>
      </c>
      <c r="J20">
        <v>648</v>
      </c>
      <c r="K20">
        <v>394</v>
      </c>
      <c r="L20">
        <v>287</v>
      </c>
    </row>
    <row r="21" spans="1:12" x14ac:dyDescent="0.2">
      <c r="A21" s="53" t="s">
        <v>269</v>
      </c>
      <c r="B21" s="51"/>
      <c r="E21" s="51"/>
      <c r="F21" s="16" t="s">
        <v>414</v>
      </c>
      <c r="G21" s="24">
        <v>3938</v>
      </c>
      <c r="H21" s="16">
        <v>105</v>
      </c>
      <c r="I21" s="15">
        <v>1410</v>
      </c>
      <c r="J21" s="15">
        <v>1806</v>
      </c>
      <c r="K21">
        <v>400</v>
      </c>
      <c r="L21">
        <v>217</v>
      </c>
    </row>
    <row r="22" spans="1:12" x14ac:dyDescent="0.2">
      <c r="A22" t="s">
        <v>1249</v>
      </c>
      <c r="B22" t="s">
        <v>1269</v>
      </c>
      <c r="E22" s="51"/>
      <c r="F22" s="16" t="s">
        <v>423</v>
      </c>
      <c r="G22" s="24">
        <v>1648</v>
      </c>
      <c r="H22" s="16">
        <v>56</v>
      </c>
      <c r="I22">
        <v>770</v>
      </c>
      <c r="J22">
        <v>588</v>
      </c>
      <c r="K22">
        <v>188</v>
      </c>
      <c r="L22">
        <v>46</v>
      </c>
    </row>
    <row r="23" spans="1:12" x14ac:dyDescent="0.2">
      <c r="E23" s="51"/>
      <c r="F23" s="16" t="s">
        <v>432</v>
      </c>
      <c r="G23" s="24">
        <v>10182</v>
      </c>
      <c r="H23" s="24">
        <v>1391</v>
      </c>
      <c r="I23" s="15">
        <v>3867</v>
      </c>
      <c r="J23" s="15">
        <v>3270</v>
      </c>
      <c r="K23" s="15">
        <v>1017</v>
      </c>
      <c r="L23">
        <v>637</v>
      </c>
    </row>
    <row r="24" spans="1:12" x14ac:dyDescent="0.2">
      <c r="E24" s="51"/>
      <c r="F24" t="s">
        <v>436</v>
      </c>
      <c r="G24" s="15">
        <v>1526</v>
      </c>
      <c r="H24">
        <v>43</v>
      </c>
      <c r="I24">
        <v>309</v>
      </c>
      <c r="J24">
        <v>652</v>
      </c>
      <c r="K24">
        <v>207</v>
      </c>
      <c r="L24">
        <v>315</v>
      </c>
    </row>
    <row r="25" spans="1:12" x14ac:dyDescent="0.2">
      <c r="E25" s="51"/>
      <c r="F25" s="16" t="s">
        <v>440</v>
      </c>
      <c r="G25" s="16">
        <v>222</v>
      </c>
      <c r="H25" s="16">
        <v>0</v>
      </c>
      <c r="I25">
        <v>44</v>
      </c>
      <c r="J25">
        <v>141</v>
      </c>
      <c r="K25">
        <v>23</v>
      </c>
      <c r="L25">
        <v>14</v>
      </c>
    </row>
    <row r="26" spans="1:12" x14ac:dyDescent="0.2">
      <c r="E26" s="51"/>
      <c r="F26" s="16" t="s">
        <v>443</v>
      </c>
      <c r="G26" s="24">
        <v>6855</v>
      </c>
      <c r="H26" s="16">
        <v>301</v>
      </c>
      <c r="I26" s="15">
        <v>2096</v>
      </c>
      <c r="J26" s="15">
        <v>2539</v>
      </c>
      <c r="K26" s="15">
        <v>1532</v>
      </c>
      <c r="L26">
        <v>387</v>
      </c>
    </row>
    <row r="27" spans="1:12" x14ac:dyDescent="0.2">
      <c r="A27" s="53"/>
      <c r="B27" s="53"/>
      <c r="E27" s="51"/>
      <c r="F27" s="16" t="s">
        <v>1644</v>
      </c>
      <c r="G27" s="16">
        <v>792</v>
      </c>
      <c r="H27" s="16">
        <v>57</v>
      </c>
      <c r="I27">
        <v>346</v>
      </c>
      <c r="J27">
        <v>264</v>
      </c>
      <c r="K27">
        <v>97</v>
      </c>
      <c r="L27">
        <v>28</v>
      </c>
    </row>
    <row r="28" spans="1:12" x14ac:dyDescent="0.2">
      <c r="E28" s="51"/>
      <c r="F28" s="16" t="s">
        <v>449</v>
      </c>
      <c r="G28" s="24">
        <v>2886</v>
      </c>
      <c r="H28" s="16">
        <v>137</v>
      </c>
      <c r="I28" s="15">
        <v>1025</v>
      </c>
      <c r="J28">
        <v>966</v>
      </c>
      <c r="K28">
        <v>536</v>
      </c>
      <c r="L28">
        <v>222</v>
      </c>
    </row>
    <row r="29" spans="1:12" x14ac:dyDescent="0.2">
      <c r="E29" s="51"/>
      <c r="F29" s="16" t="s">
        <v>451</v>
      </c>
      <c r="G29" s="24">
        <v>8306</v>
      </c>
      <c r="H29" s="16">
        <v>421</v>
      </c>
      <c r="I29" s="15">
        <v>2443</v>
      </c>
      <c r="J29" s="15">
        <v>3356</v>
      </c>
      <c r="K29" s="15">
        <v>1258</v>
      </c>
      <c r="L29">
        <v>828</v>
      </c>
    </row>
    <row r="30" spans="1:12" x14ac:dyDescent="0.2">
      <c r="E30" s="51"/>
      <c r="F30" s="16" t="s">
        <v>453</v>
      </c>
      <c r="G30" s="24">
        <v>1401</v>
      </c>
      <c r="H30" s="16">
        <v>96</v>
      </c>
      <c r="I30">
        <v>706</v>
      </c>
      <c r="J30">
        <v>424</v>
      </c>
      <c r="K30">
        <v>122</v>
      </c>
      <c r="L30">
        <v>53</v>
      </c>
    </row>
    <row r="31" spans="1:12" x14ac:dyDescent="0.2">
      <c r="E31" s="51"/>
      <c r="F31" s="16" t="s">
        <v>455</v>
      </c>
      <c r="G31" s="24">
        <v>1535</v>
      </c>
      <c r="H31" s="16">
        <v>119</v>
      </c>
      <c r="I31">
        <v>510</v>
      </c>
      <c r="J31">
        <v>711</v>
      </c>
      <c r="K31">
        <v>174</v>
      </c>
      <c r="L31">
        <v>21</v>
      </c>
    </row>
    <row r="32" spans="1:12" x14ac:dyDescent="0.2">
      <c r="E32" s="51"/>
      <c r="F32" t="s">
        <v>457</v>
      </c>
      <c r="G32" s="15">
        <v>2621</v>
      </c>
      <c r="H32">
        <v>167</v>
      </c>
      <c r="I32">
        <v>638</v>
      </c>
      <c r="J32" s="15">
        <v>1124</v>
      </c>
      <c r="K32">
        <v>451</v>
      </c>
      <c r="L32">
        <v>241</v>
      </c>
    </row>
    <row r="33" spans="5:12" x14ac:dyDescent="0.2">
      <c r="E33" s="51"/>
      <c r="F33" s="16" t="s">
        <v>459</v>
      </c>
      <c r="G33" s="24">
        <v>2094</v>
      </c>
      <c r="H33" s="16">
        <v>76</v>
      </c>
      <c r="I33">
        <v>723</v>
      </c>
      <c r="J33">
        <v>846</v>
      </c>
      <c r="K33">
        <v>252</v>
      </c>
      <c r="L33">
        <v>197</v>
      </c>
    </row>
    <row r="34" spans="5:12" x14ac:dyDescent="0.2">
      <c r="E34" s="51"/>
      <c r="F34" s="16" t="s">
        <v>463</v>
      </c>
      <c r="G34" s="16">
        <v>439</v>
      </c>
      <c r="H34" s="16">
        <v>31</v>
      </c>
      <c r="I34" s="18">
        <v>143</v>
      </c>
      <c r="J34">
        <v>202</v>
      </c>
      <c r="K34">
        <v>30</v>
      </c>
      <c r="L34">
        <v>33</v>
      </c>
    </row>
    <row r="35" spans="5:12" x14ac:dyDescent="0.2">
      <c r="E35" s="51"/>
      <c r="F35" s="16" t="s">
        <v>465</v>
      </c>
      <c r="G35" s="24">
        <v>10335</v>
      </c>
      <c r="H35" s="24">
        <v>2442</v>
      </c>
      <c r="I35" s="30">
        <v>4554</v>
      </c>
      <c r="J35" s="15">
        <v>2503</v>
      </c>
      <c r="K35">
        <v>542</v>
      </c>
      <c r="L35">
        <v>294</v>
      </c>
    </row>
    <row r="36" spans="5:12" x14ac:dyDescent="0.2">
      <c r="E36" s="51"/>
      <c r="F36" s="16" t="s">
        <v>467</v>
      </c>
      <c r="G36" s="24">
        <v>11553</v>
      </c>
      <c r="H36" s="16">
        <v>399</v>
      </c>
      <c r="I36" s="30">
        <v>2737</v>
      </c>
      <c r="J36" s="15">
        <v>5100</v>
      </c>
      <c r="K36" s="15">
        <v>2304</v>
      </c>
      <c r="L36" s="15">
        <v>1013</v>
      </c>
    </row>
    <row r="37" spans="5:12" x14ac:dyDescent="0.2">
      <c r="E37" s="51"/>
      <c r="F37" s="16" t="s">
        <v>469</v>
      </c>
      <c r="G37" s="24">
        <v>10763</v>
      </c>
      <c r="H37" s="16">
        <v>436</v>
      </c>
      <c r="I37" s="30">
        <v>3551</v>
      </c>
      <c r="J37" s="15">
        <v>4394</v>
      </c>
      <c r="K37" s="15">
        <v>1541</v>
      </c>
      <c r="L37">
        <v>841</v>
      </c>
    </row>
    <row r="38" spans="5:12" x14ac:dyDescent="0.2">
      <c r="E38" s="51"/>
      <c r="F38" t="s">
        <v>471</v>
      </c>
      <c r="G38" s="15">
        <v>6869</v>
      </c>
      <c r="H38" s="15">
        <v>2413</v>
      </c>
      <c r="I38" s="15">
        <v>3964</v>
      </c>
      <c r="J38">
        <v>475</v>
      </c>
      <c r="K38">
        <v>0</v>
      </c>
      <c r="L38">
        <v>17</v>
      </c>
    </row>
    <row r="39" spans="5:12" x14ac:dyDescent="0.2">
      <c r="E39" s="51"/>
      <c r="F39" t="s">
        <v>473</v>
      </c>
      <c r="G39" s="15">
        <v>6869</v>
      </c>
      <c r="H39" s="15">
        <v>2413</v>
      </c>
      <c r="I39" s="15">
        <v>3964</v>
      </c>
      <c r="J39">
        <v>475</v>
      </c>
      <c r="K39">
        <v>0</v>
      </c>
      <c r="L39">
        <v>17</v>
      </c>
    </row>
    <row r="40" spans="5:12" x14ac:dyDescent="0.2">
      <c r="E40" s="51"/>
      <c r="F40" t="s">
        <v>476</v>
      </c>
      <c r="G40" s="15">
        <v>3533</v>
      </c>
      <c r="H40">
        <v>686</v>
      </c>
      <c r="I40" s="15">
        <v>1337</v>
      </c>
      <c r="J40" s="15">
        <v>1006</v>
      </c>
      <c r="K40">
        <v>306</v>
      </c>
      <c r="L40">
        <v>198</v>
      </c>
    </row>
    <row r="41" spans="5:12" x14ac:dyDescent="0.2">
      <c r="E41" s="51"/>
      <c r="F41" t="s">
        <v>497</v>
      </c>
      <c r="G41" s="15">
        <v>1539</v>
      </c>
      <c r="H41">
        <v>36</v>
      </c>
      <c r="I41">
        <v>501</v>
      </c>
      <c r="J41">
        <v>492</v>
      </c>
      <c r="K41">
        <v>251</v>
      </c>
      <c r="L41">
        <v>259</v>
      </c>
    </row>
    <row r="42" spans="5:12" x14ac:dyDescent="0.2">
      <c r="E42" s="51"/>
      <c r="F42" t="s">
        <v>501</v>
      </c>
      <c r="G42" s="15">
        <v>1151</v>
      </c>
      <c r="H42">
        <v>35</v>
      </c>
      <c r="I42">
        <v>384</v>
      </c>
      <c r="J42">
        <v>397</v>
      </c>
      <c r="K42">
        <v>217</v>
      </c>
      <c r="L42">
        <v>118</v>
      </c>
    </row>
    <row r="43" spans="5:12" x14ac:dyDescent="0.2">
      <c r="E43" s="51"/>
      <c r="F43" t="s">
        <v>502</v>
      </c>
      <c r="G43">
        <v>388</v>
      </c>
      <c r="H43">
        <v>1</v>
      </c>
      <c r="I43">
        <v>117</v>
      </c>
      <c r="J43">
        <v>95</v>
      </c>
      <c r="K43">
        <v>34</v>
      </c>
      <c r="L43">
        <v>141</v>
      </c>
    </row>
    <row r="44" spans="5:12" x14ac:dyDescent="0.2">
      <c r="E44" s="51"/>
      <c r="F44" t="s">
        <v>503</v>
      </c>
      <c r="G44" s="15">
        <v>11910</v>
      </c>
      <c r="H44">
        <v>986</v>
      </c>
      <c r="I44" s="15">
        <v>3575</v>
      </c>
      <c r="J44" s="15">
        <v>4894</v>
      </c>
      <c r="K44" s="15">
        <v>1738</v>
      </c>
      <c r="L44">
        <v>717</v>
      </c>
    </row>
    <row r="45" spans="5:12" x14ac:dyDescent="0.2">
      <c r="E45" s="51"/>
      <c r="F45" t="s">
        <v>504</v>
      </c>
      <c r="G45" s="15">
        <v>11743</v>
      </c>
      <c r="H45">
        <v>662</v>
      </c>
      <c r="I45" s="15">
        <v>3157</v>
      </c>
      <c r="J45" s="15">
        <v>4459</v>
      </c>
      <c r="K45" s="15">
        <v>2314</v>
      </c>
      <c r="L45" s="15">
        <v>1151</v>
      </c>
    </row>
    <row r="46" spans="5:12" x14ac:dyDescent="0.2">
      <c r="E46" s="51"/>
      <c r="F46" t="s">
        <v>505</v>
      </c>
      <c r="G46">
        <v>936</v>
      </c>
      <c r="H46">
        <v>57</v>
      </c>
      <c r="I46">
        <v>212</v>
      </c>
      <c r="J46">
        <v>390</v>
      </c>
      <c r="K46">
        <v>198</v>
      </c>
      <c r="L46">
        <v>79</v>
      </c>
    </row>
    <row r="47" spans="5:12" x14ac:dyDescent="0.2">
      <c r="E47" s="51"/>
      <c r="F47" t="s">
        <v>506</v>
      </c>
      <c r="G47" s="15">
        <v>1181</v>
      </c>
      <c r="H47">
        <v>59</v>
      </c>
      <c r="I47">
        <v>244</v>
      </c>
      <c r="J47">
        <v>642</v>
      </c>
      <c r="K47">
        <v>201</v>
      </c>
      <c r="L47">
        <v>35</v>
      </c>
    </row>
    <row r="48" spans="5:12" x14ac:dyDescent="0.2">
      <c r="E48" s="51"/>
      <c r="F48" t="s">
        <v>507</v>
      </c>
      <c r="G48" s="15">
        <v>2998</v>
      </c>
      <c r="H48">
        <v>362</v>
      </c>
      <c r="I48" s="15">
        <v>1384</v>
      </c>
      <c r="J48">
        <v>804</v>
      </c>
      <c r="K48">
        <v>329</v>
      </c>
      <c r="L48">
        <v>119</v>
      </c>
    </row>
    <row r="49" spans="5:12" x14ac:dyDescent="0.2">
      <c r="E49" s="51"/>
      <c r="F49" t="s">
        <v>508</v>
      </c>
      <c r="G49" s="15">
        <v>2468</v>
      </c>
      <c r="H49">
        <v>105</v>
      </c>
      <c r="I49">
        <v>472</v>
      </c>
      <c r="J49" s="15">
        <v>1045</v>
      </c>
      <c r="K49">
        <v>441</v>
      </c>
      <c r="L49">
        <v>405</v>
      </c>
    </row>
    <row r="50" spans="5:12" x14ac:dyDescent="0.2">
      <c r="E50" s="51"/>
      <c r="F50" t="s">
        <v>509</v>
      </c>
      <c r="G50" s="15">
        <v>3822</v>
      </c>
      <c r="H50">
        <v>262</v>
      </c>
      <c r="I50">
        <v>828</v>
      </c>
      <c r="J50" s="15">
        <v>1728</v>
      </c>
      <c r="K50">
        <v>557</v>
      </c>
      <c r="L50">
        <v>447</v>
      </c>
    </row>
    <row r="51" spans="5:12" x14ac:dyDescent="0.2">
      <c r="E51" s="51"/>
      <c r="F51" t="s">
        <v>1644</v>
      </c>
      <c r="G51">
        <v>259</v>
      </c>
      <c r="H51">
        <v>56</v>
      </c>
      <c r="I51">
        <v>142</v>
      </c>
      <c r="J51">
        <v>41</v>
      </c>
      <c r="K51">
        <v>6</v>
      </c>
      <c r="L51">
        <v>14</v>
      </c>
    </row>
    <row r="52" spans="5:12" x14ac:dyDescent="0.2">
      <c r="E52" s="51"/>
      <c r="F52" t="s">
        <v>510</v>
      </c>
      <c r="G52" s="15">
        <v>3563</v>
      </c>
      <c r="H52">
        <v>206</v>
      </c>
      <c r="I52">
        <v>686</v>
      </c>
      <c r="J52" s="15">
        <v>1687</v>
      </c>
      <c r="K52">
        <v>551</v>
      </c>
      <c r="L52">
        <v>433</v>
      </c>
    </row>
    <row r="53" spans="5:12" x14ac:dyDescent="0.2">
      <c r="E53" s="51"/>
    </row>
    <row r="54" spans="5:12" x14ac:dyDescent="0.2">
      <c r="E54" s="51"/>
    </row>
    <row r="55" spans="5:12" x14ac:dyDescent="0.2">
      <c r="E55" s="51"/>
    </row>
    <row r="56" spans="5:12" x14ac:dyDescent="0.2">
      <c r="E56" s="51"/>
    </row>
    <row r="57" spans="5:12" x14ac:dyDescent="0.2">
      <c r="E57" s="51"/>
    </row>
  </sheetData>
  <mergeCells count="10">
    <mergeCell ref="B1:O1"/>
    <mergeCell ref="A5:B5"/>
    <mergeCell ref="E5:E57"/>
    <mergeCell ref="A9:B9"/>
    <mergeCell ref="A18:B18"/>
    <mergeCell ref="A21:B21"/>
    <mergeCell ref="A27:B27"/>
    <mergeCell ref="H5:L5"/>
    <mergeCell ref="F5:F6"/>
    <mergeCell ref="G5:G6"/>
  </mergeCells>
  <dataValidations count="4">
    <dataValidation type="list" allowBlank="1" showInputMessage="1" showErrorMessage="1" sqref="P4:Q4" xr:uid="{E5E80E2F-EDA5-421C-B433-B5EE4E6CCAF7}">
      <formula1>"integer, number, percent1"</formula1>
    </dataValidation>
    <dataValidation type="list" allowBlank="1" showInputMessage="1" showErrorMessage="1" sqref="B10" xr:uid="{647BCAAE-BBBE-46E7-9860-F93F17E44961}">
      <formula1>"Line,Clustered Bar,Stacked Bar,Bar,Horizontal Stacked Bar"</formula1>
    </dataValidation>
    <dataValidation type="list" allowBlank="1" showInputMessage="1" showErrorMessage="1" sqref="B2" xr:uid="{76BC2869-B09E-494A-9B3B-D0CB28D8AF0B}">
      <formula1>"Table,Figure,Both"</formula1>
    </dataValidation>
    <dataValidation type="list" allowBlank="1" showInputMessage="1" showErrorMessage="1" sqref="B6 B15:B16" xr:uid="{3C2DA3F2-B245-4E36-B2CB-221DA976F90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1E59B6-97FE-4B2D-8BB5-6ECF7FEF4EFA}">
          <x14:formula1>
            <xm:f>Dropdowns!$B$2:$B$9</xm:f>
          </x14:formula1>
          <xm:sqref>B14</xm:sqref>
        </x14:dataValidation>
        <x14:dataValidation type="list" allowBlank="1" showInputMessage="1" showErrorMessage="1" xr:uid="{5C176243-8CEF-4D17-90ED-5763B5D2E641}">
          <x14:formula1>
            <xm:f>Dropdowns!$A$1:$A$8</xm:f>
          </x14:formula1>
          <xm:sqref>F4:O4</xm:sqref>
        </x14:dataValidation>
        <x14:dataValidation type="list" allowBlank="1" showInputMessage="1" showErrorMessage="1" xr:uid="{4A1F37B6-6E11-4C50-91DE-14247A3B75D3}">
          <x14:formula1>
            <xm:f>Master!$F$2:$F$401</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E19E0-5DDF-47F7-BD14-8862C53626CB}">
  <dimension ref="A1:Q57"/>
  <sheetViews>
    <sheetView workbookViewId="0">
      <selection activeCell="G21" sqref="G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7" t="s">
        <v>252</v>
      </c>
      <c r="B1" s="48" t="s">
        <v>321</v>
      </c>
      <c r="C1" s="49"/>
      <c r="D1" s="49"/>
      <c r="E1" s="49"/>
      <c r="F1" s="49"/>
      <c r="G1" s="49"/>
      <c r="H1" s="49"/>
      <c r="I1" s="49"/>
      <c r="J1" s="49"/>
      <c r="K1" s="49"/>
      <c r="L1" s="49"/>
      <c r="M1" s="49"/>
      <c r="N1" s="49"/>
      <c r="O1" s="49"/>
    </row>
    <row r="2" spans="1:17" x14ac:dyDescent="0.2">
      <c r="A2" s="17" t="s">
        <v>253</v>
      </c>
      <c r="B2" t="s">
        <v>7</v>
      </c>
    </row>
    <row r="3" spans="1:17" x14ac:dyDescent="0.2">
      <c r="A3" s="17" t="s">
        <v>254</v>
      </c>
      <c r="B3" t="str">
        <f>IF($B$1="","",_xlfn.XLOOKUP($B$1,Master!$E$2:$E$320,Master!$F$2:$F$320,""))</f>
        <v>tbl-commute-work</v>
      </c>
    </row>
    <row r="4" spans="1:17" x14ac:dyDescent="0.2">
      <c r="A4" s="17" t="s">
        <v>5</v>
      </c>
      <c r="B4" t="str">
        <f>IF($B$1="","",_xlfn.XLOOKUP($B$1,Master!$E$2:$E$320,Master!$G$2:$G$320,""))</f>
        <v>fig-commute-work</v>
      </c>
      <c r="E4" s="8"/>
      <c r="F4" s="10" t="s">
        <v>144</v>
      </c>
      <c r="G4" s="10" t="s">
        <v>155</v>
      </c>
      <c r="H4" s="10" t="s">
        <v>155</v>
      </c>
      <c r="I4" s="10" t="s">
        <v>155</v>
      </c>
      <c r="J4" s="10" t="s">
        <v>155</v>
      </c>
      <c r="K4" s="10" t="s">
        <v>155</v>
      </c>
      <c r="L4" s="10" t="s">
        <v>155</v>
      </c>
      <c r="M4" s="10" t="s">
        <v>155</v>
      </c>
      <c r="N4" s="10" t="s">
        <v>155</v>
      </c>
      <c r="O4" s="10"/>
      <c r="P4" s="10"/>
      <c r="Q4" s="10"/>
    </row>
    <row r="5" spans="1:17" x14ac:dyDescent="0.2">
      <c r="A5" s="50" t="s">
        <v>255</v>
      </c>
      <c r="B5" s="51"/>
      <c r="E5" s="52" t="s">
        <v>256</v>
      </c>
      <c r="F5" s="53" t="s">
        <v>394</v>
      </c>
      <c r="G5" s="53" t="s">
        <v>1646</v>
      </c>
      <c r="H5" s="53" t="s">
        <v>1647</v>
      </c>
      <c r="I5" s="53"/>
      <c r="J5" s="53"/>
      <c r="K5" s="53"/>
      <c r="L5" s="53"/>
      <c r="M5" s="53"/>
      <c r="N5" s="53" t="s">
        <v>1654</v>
      </c>
    </row>
    <row r="6" spans="1:17" ht="15" customHeight="1" x14ac:dyDescent="0.2">
      <c r="A6" t="s">
        <v>259</v>
      </c>
      <c r="B6" t="b">
        <v>1</v>
      </c>
      <c r="E6" s="51"/>
      <c r="F6" s="53"/>
      <c r="G6" s="53"/>
      <c r="H6" s="16" t="s">
        <v>1648</v>
      </c>
      <c r="I6" s="16" t="s">
        <v>1649</v>
      </c>
      <c r="J6" s="16" t="s">
        <v>1650</v>
      </c>
      <c r="K6" s="16" t="s">
        <v>1651</v>
      </c>
      <c r="L6" s="16" t="s">
        <v>1652</v>
      </c>
      <c r="M6" s="16" t="s">
        <v>1653</v>
      </c>
      <c r="N6" s="53"/>
      <c r="O6" s="16"/>
    </row>
    <row r="7" spans="1:17" ht="15.75" customHeight="1" x14ac:dyDescent="0.2">
      <c r="E7" s="51"/>
      <c r="F7" t="s">
        <v>396</v>
      </c>
      <c r="G7" s="24">
        <v>183509</v>
      </c>
      <c r="H7" s="24">
        <v>126559</v>
      </c>
      <c r="I7" s="24">
        <v>17469</v>
      </c>
      <c r="J7" s="24">
        <v>8069</v>
      </c>
      <c r="K7" s="24">
        <v>6707</v>
      </c>
      <c r="L7" s="24">
        <v>3611</v>
      </c>
      <c r="M7" s="24">
        <v>21094</v>
      </c>
      <c r="N7" s="16">
        <v>34.200000000000003</v>
      </c>
      <c r="O7" s="16"/>
    </row>
    <row r="8" spans="1:17" x14ac:dyDescent="0.2">
      <c r="E8" s="51"/>
      <c r="F8" t="s">
        <v>397</v>
      </c>
      <c r="G8" s="24">
        <v>7934</v>
      </c>
      <c r="H8" s="24">
        <v>5434</v>
      </c>
      <c r="I8" s="16">
        <v>707</v>
      </c>
      <c r="J8" s="16">
        <v>778</v>
      </c>
      <c r="K8" s="16">
        <v>50</v>
      </c>
      <c r="L8" s="16">
        <v>14</v>
      </c>
      <c r="M8" s="16">
        <v>951</v>
      </c>
      <c r="N8" s="16">
        <v>43.8</v>
      </c>
      <c r="O8" s="16"/>
    </row>
    <row r="9" spans="1:17" x14ac:dyDescent="0.2">
      <c r="A9" s="50" t="s">
        <v>260</v>
      </c>
      <c r="B9" s="51"/>
      <c r="E9" s="51"/>
      <c r="F9" t="s">
        <v>398</v>
      </c>
      <c r="G9" s="24">
        <v>1268</v>
      </c>
      <c r="H9" s="16">
        <v>845</v>
      </c>
      <c r="I9" s="16">
        <v>111</v>
      </c>
      <c r="J9" s="16">
        <v>59</v>
      </c>
      <c r="K9" s="16">
        <v>2</v>
      </c>
      <c r="L9" s="16">
        <v>8</v>
      </c>
      <c r="M9" s="16">
        <v>243</v>
      </c>
      <c r="N9" s="16">
        <v>43.3</v>
      </c>
      <c r="O9" s="16"/>
    </row>
    <row r="10" spans="1:17" x14ac:dyDescent="0.2">
      <c r="A10" t="s">
        <v>261</v>
      </c>
      <c r="E10" s="51"/>
      <c r="F10" t="s">
        <v>399</v>
      </c>
      <c r="G10" s="24">
        <v>2748</v>
      </c>
      <c r="H10" s="24">
        <v>2067</v>
      </c>
      <c r="I10" s="16">
        <v>170</v>
      </c>
      <c r="J10" s="16">
        <v>145</v>
      </c>
      <c r="K10" s="16">
        <v>9</v>
      </c>
      <c r="L10" s="16">
        <v>6</v>
      </c>
      <c r="M10" s="16">
        <v>351</v>
      </c>
      <c r="N10" s="16">
        <v>36.299999999999997</v>
      </c>
    </row>
    <row r="11" spans="1:17" x14ac:dyDescent="0.2">
      <c r="A11" t="s">
        <v>262</v>
      </c>
      <c r="E11" s="51"/>
      <c r="F11" t="s">
        <v>400</v>
      </c>
      <c r="G11" s="24">
        <v>6816</v>
      </c>
      <c r="H11" s="24">
        <v>5003</v>
      </c>
      <c r="I11" s="16">
        <v>357</v>
      </c>
      <c r="J11" s="18">
        <v>440</v>
      </c>
      <c r="K11" s="18">
        <v>70</v>
      </c>
      <c r="L11" s="18">
        <v>12</v>
      </c>
      <c r="M11" s="18">
        <v>934</v>
      </c>
      <c r="N11" s="18">
        <v>41</v>
      </c>
    </row>
    <row r="12" spans="1:17" x14ac:dyDescent="0.2">
      <c r="A12" t="s">
        <v>263</v>
      </c>
      <c r="E12" s="51"/>
      <c r="F12" s="22" t="s">
        <v>401</v>
      </c>
      <c r="G12" s="30">
        <v>2406</v>
      </c>
      <c r="H12" s="30">
        <v>1866</v>
      </c>
      <c r="I12" s="16">
        <v>93</v>
      </c>
      <c r="J12" s="16">
        <v>336</v>
      </c>
      <c r="K12" s="16">
        <v>20</v>
      </c>
      <c r="L12" s="16">
        <v>0</v>
      </c>
      <c r="M12" s="16">
        <v>91</v>
      </c>
      <c r="N12" s="16">
        <v>37.4</v>
      </c>
    </row>
    <row r="13" spans="1:17" x14ac:dyDescent="0.2">
      <c r="A13" t="s">
        <v>264</v>
      </c>
      <c r="E13" s="51"/>
      <c r="F13" t="s">
        <v>404</v>
      </c>
      <c r="G13" s="24">
        <v>6448</v>
      </c>
      <c r="H13" s="24">
        <v>4762</v>
      </c>
      <c r="I13" s="16">
        <v>443</v>
      </c>
      <c r="J13" s="16">
        <v>227</v>
      </c>
      <c r="K13" s="16">
        <v>73</v>
      </c>
      <c r="L13" s="16">
        <v>98</v>
      </c>
      <c r="M13" s="16">
        <v>845</v>
      </c>
      <c r="N13" s="16">
        <v>32.200000000000003</v>
      </c>
    </row>
    <row r="14" spans="1:17" x14ac:dyDescent="0.2">
      <c r="A14" t="s">
        <v>265</v>
      </c>
      <c r="E14" s="51"/>
      <c r="F14" t="s">
        <v>407</v>
      </c>
      <c r="G14" s="24">
        <v>1741</v>
      </c>
      <c r="H14" s="24">
        <v>1330</v>
      </c>
      <c r="I14" s="16">
        <v>54</v>
      </c>
      <c r="J14" s="16">
        <v>72</v>
      </c>
      <c r="K14" s="16">
        <v>18</v>
      </c>
      <c r="L14" s="16">
        <v>9</v>
      </c>
      <c r="M14" s="16">
        <v>258</v>
      </c>
      <c r="N14" s="16">
        <v>38.700000000000003</v>
      </c>
    </row>
    <row r="15" spans="1:17" x14ac:dyDescent="0.2">
      <c r="A15" t="s">
        <v>267</v>
      </c>
      <c r="E15" s="51"/>
      <c r="F15" t="s">
        <v>408</v>
      </c>
      <c r="G15" s="24">
        <v>4997</v>
      </c>
      <c r="H15" s="24">
        <v>3987</v>
      </c>
      <c r="I15" s="16">
        <v>267</v>
      </c>
      <c r="J15" s="16">
        <v>0</v>
      </c>
      <c r="K15" s="16">
        <v>91</v>
      </c>
      <c r="L15" s="16">
        <v>3</v>
      </c>
      <c r="M15" s="16">
        <v>649</v>
      </c>
      <c r="N15" s="16">
        <v>34.1</v>
      </c>
    </row>
    <row r="16" spans="1:17" x14ac:dyDescent="0.2">
      <c r="A16" t="s">
        <v>274</v>
      </c>
      <c r="E16" s="51"/>
      <c r="F16" t="s">
        <v>409</v>
      </c>
      <c r="G16" s="24">
        <v>3119</v>
      </c>
      <c r="H16" s="24">
        <v>2356</v>
      </c>
      <c r="I16" s="16">
        <v>559</v>
      </c>
      <c r="J16" s="16">
        <v>73</v>
      </c>
      <c r="K16" s="16">
        <v>6</v>
      </c>
      <c r="L16" s="16">
        <v>37</v>
      </c>
      <c r="M16" s="16">
        <v>88</v>
      </c>
      <c r="N16" s="16">
        <v>32.299999999999997</v>
      </c>
    </row>
    <row r="17" spans="1:14" x14ac:dyDescent="0.2">
      <c r="E17" s="51"/>
      <c r="F17" t="s">
        <v>410</v>
      </c>
      <c r="G17" s="24">
        <v>6256</v>
      </c>
      <c r="H17" s="24">
        <v>4260</v>
      </c>
      <c r="I17" s="16">
        <v>433</v>
      </c>
      <c r="J17" s="16">
        <v>334</v>
      </c>
      <c r="K17" s="16">
        <v>138</v>
      </c>
      <c r="L17" s="16">
        <v>94</v>
      </c>
      <c r="M17" s="16">
        <v>997</v>
      </c>
      <c r="N17" s="16">
        <v>39.299999999999997</v>
      </c>
    </row>
    <row r="18" spans="1:14" x14ac:dyDescent="0.2">
      <c r="A18" s="50" t="s">
        <v>268</v>
      </c>
      <c r="B18" s="51"/>
      <c r="E18" s="51"/>
      <c r="F18" t="s">
        <v>411</v>
      </c>
      <c r="G18" s="24">
        <v>2663</v>
      </c>
      <c r="H18" s="24">
        <v>1777</v>
      </c>
      <c r="I18" s="16">
        <v>259</v>
      </c>
      <c r="J18" s="16">
        <v>167</v>
      </c>
      <c r="K18" s="16">
        <v>42</v>
      </c>
      <c r="L18" s="16">
        <v>58</v>
      </c>
      <c r="M18" s="16">
        <v>360</v>
      </c>
      <c r="N18" s="16">
        <v>27.6</v>
      </c>
    </row>
    <row r="19" spans="1:14" x14ac:dyDescent="0.2">
      <c r="A19" t="s">
        <v>1250</v>
      </c>
      <c r="B19" t="s">
        <v>1655</v>
      </c>
      <c r="E19" s="51"/>
      <c r="F19" t="s">
        <v>412</v>
      </c>
      <c r="G19" s="24">
        <v>2459</v>
      </c>
      <c r="H19" s="24">
        <v>2100</v>
      </c>
      <c r="I19" s="16">
        <v>186</v>
      </c>
      <c r="J19" s="16">
        <v>24</v>
      </c>
      <c r="K19" s="16">
        <v>0</v>
      </c>
      <c r="L19" s="16">
        <v>4</v>
      </c>
      <c r="M19" s="16">
        <v>145</v>
      </c>
      <c r="N19" s="16">
        <v>41.2</v>
      </c>
    </row>
    <row r="20" spans="1:14" x14ac:dyDescent="0.2">
      <c r="E20" s="51"/>
      <c r="F20" s="16" t="s">
        <v>413</v>
      </c>
      <c r="G20" s="24">
        <v>2428</v>
      </c>
      <c r="H20" s="24">
        <v>1864</v>
      </c>
      <c r="I20" s="16">
        <v>93</v>
      </c>
      <c r="J20" s="16">
        <v>106</v>
      </c>
      <c r="K20" s="16">
        <v>0</v>
      </c>
      <c r="L20" s="16">
        <v>0</v>
      </c>
      <c r="M20" s="16">
        <v>365</v>
      </c>
      <c r="N20" s="16">
        <v>41.2</v>
      </c>
    </row>
    <row r="21" spans="1:14" x14ac:dyDescent="0.2">
      <c r="A21" s="53" t="s">
        <v>269</v>
      </c>
      <c r="B21" s="51"/>
      <c r="E21" s="51"/>
      <c r="F21" s="16" t="s">
        <v>414</v>
      </c>
      <c r="G21" s="24">
        <v>6699</v>
      </c>
      <c r="H21" s="24">
        <v>4078</v>
      </c>
      <c r="I21" s="16">
        <v>342</v>
      </c>
      <c r="J21" s="16">
        <v>17</v>
      </c>
      <c r="K21" s="24">
        <v>1241</v>
      </c>
      <c r="L21" s="16">
        <v>144</v>
      </c>
      <c r="M21" s="24">
        <v>1177</v>
      </c>
      <c r="N21" s="16">
        <v>19</v>
      </c>
    </row>
    <row r="22" spans="1:14" x14ac:dyDescent="0.2">
      <c r="A22" t="s">
        <v>1249</v>
      </c>
      <c r="B22" t="s">
        <v>1269</v>
      </c>
      <c r="E22" s="51"/>
      <c r="F22" s="16" t="s">
        <v>423</v>
      </c>
      <c r="G22" s="24">
        <v>1915</v>
      </c>
      <c r="H22" s="24">
        <v>1457</v>
      </c>
      <c r="I22" s="16">
        <v>187</v>
      </c>
      <c r="J22" s="16">
        <v>0</v>
      </c>
      <c r="K22" s="16">
        <v>75</v>
      </c>
      <c r="L22" s="16">
        <v>31</v>
      </c>
      <c r="M22" s="16">
        <v>165</v>
      </c>
      <c r="N22" s="16">
        <v>24.2</v>
      </c>
    </row>
    <row r="23" spans="1:14" x14ac:dyDescent="0.2">
      <c r="E23" s="51"/>
      <c r="F23" s="16" t="s">
        <v>432</v>
      </c>
      <c r="G23" s="24">
        <v>13184</v>
      </c>
      <c r="H23" s="24">
        <v>8506</v>
      </c>
      <c r="I23" s="24">
        <v>2446</v>
      </c>
      <c r="J23" s="16">
        <v>593</v>
      </c>
      <c r="K23" s="16">
        <v>355</v>
      </c>
      <c r="L23" s="16">
        <v>522</v>
      </c>
      <c r="M23" s="16">
        <v>762</v>
      </c>
      <c r="N23" s="16">
        <v>35.4</v>
      </c>
    </row>
    <row r="24" spans="1:14" x14ac:dyDescent="0.2">
      <c r="E24" s="51"/>
      <c r="F24" t="s">
        <v>436</v>
      </c>
      <c r="G24" s="24">
        <v>2438</v>
      </c>
      <c r="H24" s="24">
        <v>1837</v>
      </c>
      <c r="I24" s="16">
        <v>213</v>
      </c>
      <c r="J24" s="16">
        <v>15</v>
      </c>
      <c r="K24" s="16">
        <v>14</v>
      </c>
      <c r="L24" s="16">
        <v>76</v>
      </c>
      <c r="M24" s="16">
        <v>283</v>
      </c>
      <c r="N24" s="16">
        <v>39.6</v>
      </c>
    </row>
    <row r="25" spans="1:14" x14ac:dyDescent="0.2">
      <c r="E25" s="51"/>
      <c r="F25" s="16" t="s">
        <v>440</v>
      </c>
      <c r="G25" s="16">
        <v>368</v>
      </c>
      <c r="H25" s="16">
        <v>269</v>
      </c>
      <c r="I25" s="16">
        <v>49</v>
      </c>
      <c r="J25" s="16">
        <v>0</v>
      </c>
      <c r="K25" s="16">
        <v>14</v>
      </c>
      <c r="L25" s="16">
        <v>0</v>
      </c>
      <c r="M25" s="16">
        <v>36</v>
      </c>
      <c r="N25" s="16">
        <v>33.200000000000003</v>
      </c>
    </row>
    <row r="26" spans="1:14" x14ac:dyDescent="0.2">
      <c r="E26" s="51"/>
      <c r="F26" s="16" t="s">
        <v>443</v>
      </c>
      <c r="G26" s="24">
        <v>10178</v>
      </c>
      <c r="H26" s="24">
        <v>6377</v>
      </c>
      <c r="I26" s="24">
        <v>1229</v>
      </c>
      <c r="J26" s="16">
        <v>729</v>
      </c>
      <c r="K26" s="16">
        <v>86</v>
      </c>
      <c r="L26" s="16">
        <v>370</v>
      </c>
      <c r="M26" s="24">
        <v>1387</v>
      </c>
      <c r="N26" s="16">
        <v>37.299999999999997</v>
      </c>
    </row>
    <row r="27" spans="1:14" x14ac:dyDescent="0.2">
      <c r="A27" s="53"/>
      <c r="B27" s="53"/>
      <c r="E27" s="51"/>
      <c r="F27" s="16" t="s">
        <v>447</v>
      </c>
      <c r="G27" s="24">
        <v>1033</v>
      </c>
      <c r="H27" s="16">
        <v>630</v>
      </c>
      <c r="I27" s="16">
        <v>131</v>
      </c>
      <c r="J27" s="16">
        <v>52</v>
      </c>
      <c r="K27" s="16">
        <v>21</v>
      </c>
      <c r="L27" s="16">
        <v>49</v>
      </c>
      <c r="M27" s="16">
        <v>150</v>
      </c>
      <c r="N27" s="16">
        <v>36.799999999999997</v>
      </c>
    </row>
    <row r="28" spans="1:14" x14ac:dyDescent="0.2">
      <c r="E28" s="51"/>
      <c r="F28" s="16" t="s">
        <v>449</v>
      </c>
      <c r="G28" s="24">
        <v>4780</v>
      </c>
      <c r="H28" s="24">
        <v>3427</v>
      </c>
      <c r="I28" s="16">
        <v>584</v>
      </c>
      <c r="J28" s="16">
        <v>183</v>
      </c>
      <c r="K28" s="16">
        <v>30</v>
      </c>
      <c r="L28" s="16">
        <v>178</v>
      </c>
      <c r="M28" s="16">
        <v>378</v>
      </c>
      <c r="N28" s="16">
        <v>33.200000000000003</v>
      </c>
    </row>
    <row r="29" spans="1:14" x14ac:dyDescent="0.2">
      <c r="E29" s="51"/>
      <c r="F29" s="16" t="s">
        <v>451</v>
      </c>
      <c r="G29" s="24">
        <v>11313</v>
      </c>
      <c r="H29" s="24">
        <v>9030</v>
      </c>
      <c r="I29" s="16">
        <v>794</v>
      </c>
      <c r="J29" s="16">
        <v>243</v>
      </c>
      <c r="K29" s="16">
        <v>97</v>
      </c>
      <c r="L29" s="16">
        <v>205</v>
      </c>
      <c r="M29" s="16">
        <v>944</v>
      </c>
      <c r="N29" s="16">
        <v>32.1</v>
      </c>
    </row>
    <row r="30" spans="1:14" x14ac:dyDescent="0.2">
      <c r="E30" s="51"/>
      <c r="F30" s="16" t="s">
        <v>453</v>
      </c>
      <c r="G30" s="24">
        <v>1785</v>
      </c>
      <c r="H30" s="24">
        <v>1315</v>
      </c>
      <c r="I30" s="16">
        <v>191</v>
      </c>
      <c r="J30" s="16">
        <v>15</v>
      </c>
      <c r="K30" s="16">
        <v>0</v>
      </c>
      <c r="L30" s="16">
        <v>106</v>
      </c>
      <c r="M30" s="16">
        <v>158</v>
      </c>
      <c r="N30" s="16">
        <v>33.9</v>
      </c>
    </row>
    <row r="31" spans="1:14" x14ac:dyDescent="0.2">
      <c r="E31" s="51"/>
      <c r="F31" s="16" t="s">
        <v>455</v>
      </c>
      <c r="G31" s="24">
        <v>1867</v>
      </c>
      <c r="H31" s="24">
        <v>1475</v>
      </c>
      <c r="I31" s="16">
        <v>202</v>
      </c>
      <c r="J31" s="16">
        <v>45</v>
      </c>
      <c r="K31" s="16">
        <v>8</v>
      </c>
      <c r="L31" s="16">
        <v>8</v>
      </c>
      <c r="M31" s="16">
        <v>129</v>
      </c>
      <c r="N31" s="16">
        <v>32.4</v>
      </c>
    </row>
    <row r="32" spans="1:14" x14ac:dyDescent="0.2">
      <c r="E32" s="51"/>
      <c r="F32" t="s">
        <v>457</v>
      </c>
      <c r="G32" s="24">
        <v>3173</v>
      </c>
      <c r="H32" s="24">
        <v>2620</v>
      </c>
      <c r="I32" s="16">
        <v>118</v>
      </c>
      <c r="J32" s="16">
        <v>12</v>
      </c>
      <c r="K32" s="16">
        <v>46</v>
      </c>
      <c r="L32" s="16">
        <v>0</v>
      </c>
      <c r="M32" s="16">
        <v>377</v>
      </c>
      <c r="N32" s="16">
        <v>30.6</v>
      </c>
    </row>
    <row r="33" spans="5:14" x14ac:dyDescent="0.2">
      <c r="E33" s="51"/>
      <c r="F33" s="16" t="s">
        <v>459</v>
      </c>
      <c r="G33" s="24">
        <v>2624</v>
      </c>
      <c r="H33" s="24">
        <v>2138</v>
      </c>
      <c r="I33" s="16">
        <v>144</v>
      </c>
      <c r="J33" s="16">
        <v>30</v>
      </c>
      <c r="K33" s="16">
        <v>9</v>
      </c>
      <c r="L33" s="16">
        <v>5</v>
      </c>
      <c r="M33" s="16">
        <v>298</v>
      </c>
      <c r="N33" s="16">
        <v>37</v>
      </c>
    </row>
    <row r="34" spans="5:14" x14ac:dyDescent="0.2">
      <c r="E34" s="51"/>
      <c r="F34" s="16" t="s">
        <v>463</v>
      </c>
      <c r="G34" s="16">
        <v>495</v>
      </c>
      <c r="H34" s="16">
        <v>416</v>
      </c>
      <c r="I34" s="18">
        <v>17</v>
      </c>
      <c r="J34" s="16">
        <v>0</v>
      </c>
      <c r="K34" s="16">
        <v>9</v>
      </c>
      <c r="L34" s="16">
        <v>5</v>
      </c>
      <c r="M34" s="16">
        <v>48</v>
      </c>
      <c r="N34" s="16">
        <v>34.9</v>
      </c>
    </row>
    <row r="35" spans="5:14" x14ac:dyDescent="0.2">
      <c r="E35" s="51"/>
      <c r="F35" s="16" t="s">
        <v>465</v>
      </c>
      <c r="G35" s="24">
        <v>12624</v>
      </c>
      <c r="H35" s="24">
        <v>7056</v>
      </c>
      <c r="I35" s="30">
        <v>1823</v>
      </c>
      <c r="J35" s="16">
        <v>584</v>
      </c>
      <c r="K35" s="24">
        <v>1171</v>
      </c>
      <c r="L35" s="16">
        <v>847</v>
      </c>
      <c r="M35" s="24">
        <v>1143</v>
      </c>
      <c r="N35" s="16">
        <v>25.5</v>
      </c>
    </row>
    <row r="36" spans="5:14" x14ac:dyDescent="0.2">
      <c r="E36" s="51"/>
      <c r="F36" s="16" t="s">
        <v>467</v>
      </c>
      <c r="G36" s="24">
        <v>15743</v>
      </c>
      <c r="H36" s="24">
        <v>11843</v>
      </c>
      <c r="I36" s="30">
        <v>1049</v>
      </c>
      <c r="J36" s="16">
        <v>636</v>
      </c>
      <c r="K36" s="16">
        <v>137</v>
      </c>
      <c r="L36" s="16">
        <v>205</v>
      </c>
      <c r="M36" s="24">
        <v>1873</v>
      </c>
      <c r="N36" s="16">
        <v>35.299999999999997</v>
      </c>
    </row>
    <row r="37" spans="5:14" x14ac:dyDescent="0.2">
      <c r="E37" s="51"/>
      <c r="F37" s="16" t="s">
        <v>469</v>
      </c>
      <c r="G37" s="24">
        <v>13600</v>
      </c>
      <c r="H37" s="24">
        <v>9530</v>
      </c>
      <c r="I37" s="30">
        <v>1404</v>
      </c>
      <c r="J37" s="16">
        <v>582</v>
      </c>
      <c r="K37" s="16">
        <v>311</v>
      </c>
      <c r="L37" s="16">
        <v>89</v>
      </c>
      <c r="M37" s="24">
        <v>1684</v>
      </c>
      <c r="N37" s="16">
        <v>36.299999999999997</v>
      </c>
    </row>
    <row r="38" spans="5:14" x14ac:dyDescent="0.2">
      <c r="E38" s="51"/>
      <c r="F38" t="s">
        <v>471</v>
      </c>
      <c r="G38" s="24">
        <v>8229</v>
      </c>
      <c r="H38" s="24">
        <v>3294</v>
      </c>
      <c r="I38" s="24">
        <v>1065</v>
      </c>
      <c r="J38" s="16">
        <v>832</v>
      </c>
      <c r="K38" s="24">
        <v>1661</v>
      </c>
      <c r="L38" s="16">
        <v>239</v>
      </c>
      <c r="M38" s="24">
        <v>1138</v>
      </c>
      <c r="N38" s="16">
        <v>21.5</v>
      </c>
    </row>
    <row r="39" spans="5:14" x14ac:dyDescent="0.2">
      <c r="E39" s="51"/>
      <c r="F39" t="s">
        <v>473</v>
      </c>
      <c r="G39" s="24">
        <v>8229</v>
      </c>
      <c r="H39" s="24">
        <v>3294</v>
      </c>
      <c r="I39" s="24">
        <v>1065</v>
      </c>
      <c r="J39" s="16">
        <v>832</v>
      </c>
      <c r="K39" s="24">
        <v>1661</v>
      </c>
      <c r="L39" s="16">
        <v>239</v>
      </c>
      <c r="M39" s="24">
        <v>1138</v>
      </c>
      <c r="N39" s="16">
        <v>21.5</v>
      </c>
    </row>
    <row r="40" spans="5:14" x14ac:dyDescent="0.2">
      <c r="E40" s="51"/>
      <c r="F40" t="s">
        <v>476</v>
      </c>
      <c r="G40" s="24">
        <v>3644</v>
      </c>
      <c r="H40" s="24">
        <v>2439</v>
      </c>
      <c r="I40" s="16">
        <v>477</v>
      </c>
      <c r="J40" s="16">
        <v>76</v>
      </c>
      <c r="K40" s="16">
        <v>424</v>
      </c>
      <c r="L40" s="16">
        <v>79</v>
      </c>
      <c r="M40" s="16">
        <v>149</v>
      </c>
      <c r="N40" s="16">
        <v>23</v>
      </c>
    </row>
    <row r="41" spans="5:14" x14ac:dyDescent="0.2">
      <c r="E41" s="51"/>
      <c r="F41" t="s">
        <v>497</v>
      </c>
      <c r="G41" s="24">
        <v>1892</v>
      </c>
      <c r="H41" s="24">
        <v>1138</v>
      </c>
      <c r="I41" s="16">
        <v>61</v>
      </c>
      <c r="J41" s="16">
        <v>251</v>
      </c>
      <c r="K41" s="16">
        <v>9</v>
      </c>
      <c r="L41" s="16">
        <v>0</v>
      </c>
      <c r="M41" s="16">
        <v>433</v>
      </c>
      <c r="N41" s="16">
        <v>42.5</v>
      </c>
    </row>
    <row r="42" spans="5:14" x14ac:dyDescent="0.2">
      <c r="E42" s="51"/>
      <c r="F42" t="s">
        <v>501</v>
      </c>
      <c r="G42" s="24">
        <v>1505</v>
      </c>
      <c r="H42" s="24">
        <v>1022</v>
      </c>
      <c r="I42" s="16">
        <v>47</v>
      </c>
      <c r="J42" s="16">
        <v>198</v>
      </c>
      <c r="K42" s="16">
        <v>0</v>
      </c>
      <c r="L42" s="16">
        <v>0</v>
      </c>
      <c r="M42" s="16">
        <v>238</v>
      </c>
      <c r="N42" s="16">
        <v>42.2</v>
      </c>
    </row>
    <row r="43" spans="5:14" x14ac:dyDescent="0.2">
      <c r="E43" s="51"/>
      <c r="F43" t="s">
        <v>502</v>
      </c>
      <c r="G43" s="16">
        <v>387</v>
      </c>
      <c r="H43" s="16">
        <v>116</v>
      </c>
      <c r="I43" s="16">
        <v>14</v>
      </c>
      <c r="J43" s="16">
        <v>53</v>
      </c>
      <c r="K43" s="16">
        <v>9</v>
      </c>
      <c r="L43" s="16">
        <v>0</v>
      </c>
      <c r="M43" s="16">
        <v>195</v>
      </c>
      <c r="N43" s="16">
        <v>44.7</v>
      </c>
    </row>
    <row r="44" spans="5:14" x14ac:dyDescent="0.2">
      <c r="E44" s="51"/>
      <c r="F44" t="s">
        <v>503</v>
      </c>
      <c r="G44" s="24">
        <v>15530</v>
      </c>
      <c r="H44" s="24">
        <v>11246</v>
      </c>
      <c r="I44" s="24">
        <v>1926</v>
      </c>
      <c r="J44" s="16">
        <v>508</v>
      </c>
      <c r="K44" s="16">
        <v>180</v>
      </c>
      <c r="L44" s="16">
        <v>323</v>
      </c>
      <c r="M44" s="24">
        <v>1347</v>
      </c>
      <c r="N44" s="16">
        <v>31.3</v>
      </c>
    </row>
    <row r="45" spans="5:14" x14ac:dyDescent="0.2">
      <c r="E45" s="51"/>
      <c r="F45" t="s">
        <v>504</v>
      </c>
      <c r="G45" s="24">
        <v>15944</v>
      </c>
      <c r="H45" s="24">
        <v>11333</v>
      </c>
      <c r="I45" s="16">
        <v>759</v>
      </c>
      <c r="J45" s="16">
        <v>578</v>
      </c>
      <c r="K45" s="16">
        <v>430</v>
      </c>
      <c r="L45" s="16">
        <v>117</v>
      </c>
      <c r="M45" s="24">
        <v>2727</v>
      </c>
      <c r="N45" s="16">
        <v>39.700000000000003</v>
      </c>
    </row>
    <row r="46" spans="5:14" x14ac:dyDescent="0.2">
      <c r="E46" s="51"/>
      <c r="F46" t="s">
        <v>505</v>
      </c>
      <c r="G46" s="16">
        <v>154</v>
      </c>
      <c r="H46" s="24">
        <v>1088</v>
      </c>
      <c r="I46" s="16">
        <v>110</v>
      </c>
      <c r="J46" s="16">
        <v>86</v>
      </c>
      <c r="K46" s="16">
        <v>109</v>
      </c>
      <c r="L46" s="16">
        <v>28</v>
      </c>
      <c r="M46" s="16">
        <v>83</v>
      </c>
      <c r="N46" s="16">
        <v>33.200000000000003</v>
      </c>
    </row>
    <row r="47" spans="5:14" x14ac:dyDescent="0.2">
      <c r="E47" s="51"/>
      <c r="F47" t="s">
        <v>506</v>
      </c>
      <c r="G47" s="24">
        <v>1382</v>
      </c>
      <c r="H47" s="16">
        <v>788</v>
      </c>
      <c r="I47" s="16">
        <v>117</v>
      </c>
      <c r="J47" s="16">
        <v>38</v>
      </c>
      <c r="K47" s="16">
        <v>63</v>
      </c>
      <c r="L47" s="16">
        <v>12</v>
      </c>
      <c r="M47" s="16">
        <v>364</v>
      </c>
      <c r="N47" s="16">
        <v>37.200000000000003</v>
      </c>
    </row>
    <row r="48" spans="5:14" x14ac:dyDescent="0.2">
      <c r="E48" s="51"/>
      <c r="F48" t="s">
        <v>507</v>
      </c>
      <c r="G48" s="24">
        <v>2908</v>
      </c>
      <c r="H48" s="24">
        <v>2206</v>
      </c>
      <c r="I48" s="16">
        <v>154</v>
      </c>
      <c r="J48" s="16">
        <v>113</v>
      </c>
      <c r="K48" s="16">
        <v>97</v>
      </c>
      <c r="L48" s="16">
        <v>0</v>
      </c>
      <c r="M48" s="16">
        <v>338</v>
      </c>
      <c r="N48" s="16">
        <v>40.1</v>
      </c>
    </row>
    <row r="49" spans="5:14" x14ac:dyDescent="0.2">
      <c r="E49" s="51"/>
      <c r="F49" t="s">
        <v>508</v>
      </c>
      <c r="G49" s="24">
        <v>3493</v>
      </c>
      <c r="H49" s="24">
        <v>2925</v>
      </c>
      <c r="I49" s="16">
        <v>151</v>
      </c>
      <c r="J49" s="16">
        <v>63</v>
      </c>
      <c r="K49" s="16">
        <v>23</v>
      </c>
      <c r="L49" s="16">
        <v>28</v>
      </c>
      <c r="M49" s="16">
        <v>303</v>
      </c>
      <c r="N49" s="16">
        <v>32.5</v>
      </c>
    </row>
    <row r="50" spans="5:14" x14ac:dyDescent="0.2">
      <c r="E50" s="51"/>
      <c r="F50" t="s">
        <v>509</v>
      </c>
      <c r="G50" s="24">
        <v>5617</v>
      </c>
      <c r="H50" s="24">
        <v>4023</v>
      </c>
      <c r="I50" s="16">
        <v>541</v>
      </c>
      <c r="J50" s="16">
        <v>350</v>
      </c>
      <c r="K50" s="16">
        <v>131</v>
      </c>
      <c r="L50" s="16">
        <v>100</v>
      </c>
      <c r="M50" s="16">
        <v>472</v>
      </c>
      <c r="N50" s="16">
        <v>44.1</v>
      </c>
    </row>
    <row r="51" spans="5:14" x14ac:dyDescent="0.2">
      <c r="E51" s="51"/>
      <c r="F51" t="s">
        <v>447</v>
      </c>
      <c r="G51" s="16">
        <v>466</v>
      </c>
      <c r="H51" s="16">
        <v>124</v>
      </c>
      <c r="I51" s="16">
        <v>55</v>
      </c>
      <c r="J51" s="16">
        <v>66</v>
      </c>
      <c r="K51" s="16">
        <v>131</v>
      </c>
      <c r="L51" s="16">
        <v>41</v>
      </c>
      <c r="M51" s="16">
        <v>49</v>
      </c>
      <c r="N51" s="16">
        <v>26.4</v>
      </c>
    </row>
    <row r="52" spans="5:14" x14ac:dyDescent="0.2">
      <c r="E52" s="51"/>
      <c r="F52" t="s">
        <v>510</v>
      </c>
      <c r="G52" s="24">
        <v>5151</v>
      </c>
      <c r="H52" s="24">
        <v>3899</v>
      </c>
      <c r="I52" s="16">
        <v>486</v>
      </c>
      <c r="J52" s="16">
        <v>284</v>
      </c>
      <c r="K52" s="16">
        <v>0</v>
      </c>
      <c r="L52" s="16">
        <v>59</v>
      </c>
      <c r="M52" s="16">
        <v>423</v>
      </c>
      <c r="N52" s="16">
        <v>45.7</v>
      </c>
    </row>
    <row r="53" spans="5:14" x14ac:dyDescent="0.2">
      <c r="E53" s="51"/>
    </row>
    <row r="54" spans="5:14" x14ac:dyDescent="0.2">
      <c r="E54" s="51"/>
    </row>
    <row r="55" spans="5:14" x14ac:dyDescent="0.2">
      <c r="E55" s="51"/>
    </row>
    <row r="56" spans="5:14" x14ac:dyDescent="0.2">
      <c r="E56" s="51"/>
    </row>
    <row r="57" spans="5:14" x14ac:dyDescent="0.2">
      <c r="E57" s="51"/>
    </row>
  </sheetData>
  <mergeCells count="11">
    <mergeCell ref="N5:N6"/>
    <mergeCell ref="B1:O1"/>
    <mergeCell ref="A5:B5"/>
    <mergeCell ref="E5:E57"/>
    <mergeCell ref="A9:B9"/>
    <mergeCell ref="A18:B18"/>
    <mergeCell ref="A21:B21"/>
    <mergeCell ref="A27:B27"/>
    <mergeCell ref="F5:F6"/>
    <mergeCell ref="G5:G6"/>
    <mergeCell ref="H5:M5"/>
  </mergeCells>
  <dataValidations count="4">
    <dataValidation type="list" allowBlank="1" showInputMessage="1" showErrorMessage="1" sqref="P4:Q4" xr:uid="{1C5E24C5-4793-402D-8825-2EE47D241DF0}">
      <formula1>"integer, number, percent1"</formula1>
    </dataValidation>
    <dataValidation type="list" allowBlank="1" showInputMessage="1" showErrorMessage="1" sqref="B10" xr:uid="{136D4045-C83F-45C7-AE10-039E8EB616E5}">
      <formula1>"Line,Clustered Bar,Stacked Bar,Bar,Horizontal Stacked Bar"</formula1>
    </dataValidation>
    <dataValidation type="list" allowBlank="1" showInputMessage="1" showErrorMessage="1" sqref="B2" xr:uid="{22144699-285A-47D4-98B7-9D52BC4DE927}">
      <formula1>"Table,Figure,Both"</formula1>
    </dataValidation>
    <dataValidation type="list" allowBlank="1" showInputMessage="1" showErrorMessage="1" sqref="B6 B15:B16" xr:uid="{FA7D918B-97AC-4595-AEFB-169462F5CD1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AB09CFF-D317-4B2E-9845-F211ACFE9A44}">
          <x14:formula1>
            <xm:f>Dropdowns!$B$2:$B$9</xm:f>
          </x14:formula1>
          <xm:sqref>B14</xm:sqref>
        </x14:dataValidation>
        <x14:dataValidation type="list" allowBlank="1" showInputMessage="1" showErrorMessage="1" xr:uid="{4FF88567-0C9B-4426-B19A-2A35BCCC12CB}">
          <x14:formula1>
            <xm:f>Dropdowns!$A$1:$A$8</xm:f>
          </x14:formula1>
          <xm:sqref>F4:O4</xm:sqref>
        </x14:dataValidation>
        <x14:dataValidation type="list" allowBlank="1" showInputMessage="1" showErrorMessage="1" xr:uid="{103CCC35-24B5-4345-BF2F-C121A1190668}">
          <x14:formula1>
            <xm:f>Master!$F$2:$F$401</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58E23-0644-4FB3-8203-176352EC7B21}">
  <dimension ref="A1:R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7" t="s">
        <v>252</v>
      </c>
      <c r="B1" s="48" t="s">
        <v>323</v>
      </c>
      <c r="C1" s="49"/>
      <c r="D1" s="49"/>
      <c r="E1" s="49"/>
      <c r="F1" s="49"/>
      <c r="G1" s="49"/>
      <c r="H1" s="49"/>
      <c r="I1" s="49"/>
      <c r="J1" s="49"/>
      <c r="K1" s="49"/>
      <c r="L1" s="49"/>
      <c r="M1" s="49"/>
      <c r="N1" s="49"/>
      <c r="O1" s="49"/>
    </row>
    <row r="2" spans="1:18" x14ac:dyDescent="0.2">
      <c r="A2" s="17" t="s">
        <v>253</v>
      </c>
      <c r="B2" t="s">
        <v>273</v>
      </c>
    </row>
    <row r="3" spans="1:18" x14ac:dyDescent="0.2">
      <c r="A3" s="17" t="s">
        <v>254</v>
      </c>
      <c r="B3" t="str">
        <f>IF($B$1="","",_xlfn.XLOOKUP($B$1,Master!$E$2:$E$320,Master!$F$2:$F$320,""))</f>
        <v>tbl-house-tenure-vacancy</v>
      </c>
    </row>
    <row r="4" spans="1:18" x14ac:dyDescent="0.2">
      <c r="A4" s="17" t="s">
        <v>5</v>
      </c>
      <c r="B4" t="str">
        <f>IF($B$1="","",_xlfn.XLOOKUP($B$1,Master!$E$2:$E$320,Master!$G$2:$G$320,""))</f>
        <v>fig-house-tenure-vacancy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row>
    <row r="5" spans="1:18" x14ac:dyDescent="0.2">
      <c r="A5" s="50" t="s">
        <v>255</v>
      </c>
      <c r="B5" s="51"/>
      <c r="E5" s="52" t="s">
        <v>256</v>
      </c>
      <c r="F5" s="53" t="s">
        <v>394</v>
      </c>
      <c r="G5" s="53" t="s">
        <v>1656</v>
      </c>
      <c r="H5" s="53" t="s">
        <v>1657</v>
      </c>
      <c r="I5" s="53"/>
      <c r="J5" s="53"/>
      <c r="K5" s="53"/>
      <c r="L5" s="53"/>
      <c r="M5" s="53"/>
      <c r="N5" s="53" t="s">
        <v>1658</v>
      </c>
      <c r="O5" s="53"/>
      <c r="P5" s="53"/>
      <c r="Q5" s="53"/>
      <c r="R5" s="53"/>
    </row>
    <row r="6" spans="1:18" ht="15" customHeight="1" x14ac:dyDescent="0.2">
      <c r="A6" t="s">
        <v>259</v>
      </c>
      <c r="B6" t="b">
        <v>1</v>
      </c>
      <c r="E6" s="51"/>
      <c r="F6" s="53"/>
      <c r="G6" s="53"/>
      <c r="H6" t="s">
        <v>1659</v>
      </c>
      <c r="I6" t="s">
        <v>1660</v>
      </c>
      <c r="J6" t="s">
        <v>1661</v>
      </c>
      <c r="K6" t="s">
        <v>1659</v>
      </c>
      <c r="L6" t="s">
        <v>1662</v>
      </c>
      <c r="M6" t="s">
        <v>1663</v>
      </c>
      <c r="N6" t="s">
        <v>1664</v>
      </c>
      <c r="O6" t="s">
        <v>1665</v>
      </c>
      <c r="P6" t="s">
        <v>1666</v>
      </c>
      <c r="Q6" t="s">
        <v>1667</v>
      </c>
      <c r="R6" t="s">
        <v>190</v>
      </c>
    </row>
    <row r="7" spans="1:18" ht="15.75" customHeight="1" x14ac:dyDescent="0.2">
      <c r="E7" s="51"/>
      <c r="F7" t="s">
        <v>396</v>
      </c>
      <c r="G7" s="24">
        <v>148460</v>
      </c>
      <c r="H7" s="24">
        <v>137311</v>
      </c>
      <c r="I7" s="24">
        <v>93959</v>
      </c>
      <c r="J7" s="24">
        <v>43352</v>
      </c>
      <c r="K7" s="24">
        <v>11149</v>
      </c>
      <c r="L7" s="24">
        <v>1622</v>
      </c>
      <c r="M7" s="16">
        <v>255</v>
      </c>
      <c r="N7" s="24">
        <v>1005</v>
      </c>
      <c r="O7" s="16">
        <v>692</v>
      </c>
      <c r="P7" s="24">
        <v>2154</v>
      </c>
      <c r="Q7" s="16">
        <v>47</v>
      </c>
      <c r="R7" s="24">
        <v>5374</v>
      </c>
    </row>
    <row r="8" spans="1:18" x14ac:dyDescent="0.2">
      <c r="E8" s="51"/>
      <c r="F8" t="s">
        <v>397</v>
      </c>
      <c r="G8" s="24">
        <v>6884</v>
      </c>
      <c r="H8" s="24">
        <v>6149</v>
      </c>
      <c r="I8" s="24">
        <v>5016</v>
      </c>
      <c r="J8" s="24">
        <v>1133</v>
      </c>
      <c r="K8" s="16">
        <v>695</v>
      </c>
      <c r="L8" s="16">
        <v>93</v>
      </c>
      <c r="M8" s="16">
        <v>0</v>
      </c>
      <c r="N8" s="16">
        <v>65</v>
      </c>
      <c r="O8" s="16">
        <v>68</v>
      </c>
      <c r="P8" s="16">
        <v>186</v>
      </c>
      <c r="Q8" s="16">
        <v>0</v>
      </c>
      <c r="R8" s="16">
        <v>283</v>
      </c>
    </row>
    <row r="9" spans="1:18" x14ac:dyDescent="0.2">
      <c r="A9" s="50" t="s">
        <v>260</v>
      </c>
      <c r="B9" s="51"/>
      <c r="E9" s="51"/>
      <c r="F9" t="s">
        <v>398</v>
      </c>
      <c r="G9" s="24">
        <v>1390</v>
      </c>
      <c r="H9" s="24">
        <v>1173</v>
      </c>
      <c r="I9" s="16">
        <v>714</v>
      </c>
      <c r="J9" s="16">
        <v>459</v>
      </c>
      <c r="K9" s="16">
        <v>217</v>
      </c>
      <c r="L9" s="16">
        <v>14</v>
      </c>
      <c r="M9" s="16">
        <v>0</v>
      </c>
      <c r="N9" s="16">
        <v>0</v>
      </c>
      <c r="O9" s="16">
        <v>39</v>
      </c>
      <c r="P9" s="16">
        <v>71</v>
      </c>
      <c r="Q9" s="16">
        <v>0</v>
      </c>
      <c r="R9" s="16">
        <v>93</v>
      </c>
    </row>
    <row r="10" spans="1:18" x14ac:dyDescent="0.2">
      <c r="A10" t="s">
        <v>261</v>
      </c>
      <c r="E10" s="51"/>
      <c r="F10" t="s">
        <v>399</v>
      </c>
      <c r="G10" s="24">
        <v>2186</v>
      </c>
      <c r="H10" s="24">
        <v>2106</v>
      </c>
      <c r="I10" s="24">
        <v>1670</v>
      </c>
      <c r="J10" s="16">
        <v>436</v>
      </c>
      <c r="K10" s="16">
        <v>80</v>
      </c>
      <c r="L10" s="16">
        <v>44</v>
      </c>
      <c r="M10" s="16">
        <v>0</v>
      </c>
      <c r="N10" s="16">
        <v>0</v>
      </c>
      <c r="O10" s="16">
        <v>0</v>
      </c>
      <c r="P10" s="16">
        <v>36</v>
      </c>
      <c r="Q10" s="16">
        <v>0</v>
      </c>
      <c r="R10" s="16">
        <v>0</v>
      </c>
    </row>
    <row r="11" spans="1:18" x14ac:dyDescent="0.2">
      <c r="A11" t="s">
        <v>262</v>
      </c>
      <c r="E11" s="51"/>
      <c r="F11" t="s">
        <v>400</v>
      </c>
      <c r="G11" s="24">
        <v>4763</v>
      </c>
      <c r="H11" s="24">
        <v>4458</v>
      </c>
      <c r="I11" s="24">
        <v>3538</v>
      </c>
      <c r="J11" s="18">
        <v>920</v>
      </c>
      <c r="K11" s="18">
        <v>305</v>
      </c>
      <c r="L11" s="18">
        <v>0</v>
      </c>
      <c r="M11" s="18">
        <v>0</v>
      </c>
      <c r="N11" s="18">
        <v>45</v>
      </c>
      <c r="O11" s="16">
        <v>0</v>
      </c>
      <c r="P11" s="16">
        <v>56</v>
      </c>
      <c r="Q11" s="16">
        <v>0</v>
      </c>
      <c r="R11" s="16">
        <v>204</v>
      </c>
    </row>
    <row r="12" spans="1:18" x14ac:dyDescent="0.2">
      <c r="A12" t="s">
        <v>263</v>
      </c>
      <c r="E12" s="51"/>
      <c r="F12" s="22" t="s">
        <v>401</v>
      </c>
      <c r="G12" s="30">
        <v>1687</v>
      </c>
      <c r="H12" s="30">
        <v>1560</v>
      </c>
      <c r="I12" s="16">
        <v>828</v>
      </c>
      <c r="J12" s="16">
        <v>732</v>
      </c>
      <c r="K12" s="16">
        <v>127</v>
      </c>
      <c r="L12" s="16">
        <v>0</v>
      </c>
      <c r="M12" s="16">
        <v>0</v>
      </c>
      <c r="N12" s="16">
        <v>0</v>
      </c>
      <c r="O12" s="16">
        <v>0</v>
      </c>
      <c r="P12" s="16">
        <v>56</v>
      </c>
      <c r="Q12" s="16">
        <v>0</v>
      </c>
      <c r="R12" s="16">
        <v>71</v>
      </c>
    </row>
    <row r="13" spans="1:18" x14ac:dyDescent="0.2">
      <c r="A13" t="s">
        <v>264</v>
      </c>
      <c r="E13" s="51"/>
      <c r="F13" t="s">
        <v>404</v>
      </c>
      <c r="G13" s="24">
        <v>5366</v>
      </c>
      <c r="H13" s="24">
        <v>5023</v>
      </c>
      <c r="I13" s="24">
        <v>3815</v>
      </c>
      <c r="J13" s="24">
        <v>1208</v>
      </c>
      <c r="K13" s="16">
        <v>343</v>
      </c>
      <c r="L13" s="16">
        <v>28</v>
      </c>
      <c r="M13" s="16">
        <v>18</v>
      </c>
      <c r="N13" s="16">
        <v>93</v>
      </c>
      <c r="O13" s="16">
        <v>0</v>
      </c>
      <c r="P13" s="16">
        <v>73</v>
      </c>
      <c r="Q13" s="16">
        <v>0</v>
      </c>
      <c r="R13" s="16">
        <v>131</v>
      </c>
    </row>
    <row r="14" spans="1:18" x14ac:dyDescent="0.2">
      <c r="A14" t="s">
        <v>265</v>
      </c>
      <c r="E14" s="51"/>
      <c r="F14" t="s">
        <v>407</v>
      </c>
      <c r="G14" s="24">
        <v>1337</v>
      </c>
      <c r="H14" s="24">
        <v>1230</v>
      </c>
      <c r="I14" s="16">
        <v>920</v>
      </c>
      <c r="J14" s="16">
        <v>310</v>
      </c>
      <c r="K14" s="16">
        <v>107</v>
      </c>
      <c r="L14" s="16">
        <v>0</v>
      </c>
      <c r="M14" s="16">
        <v>9</v>
      </c>
      <c r="N14" s="16">
        <v>27</v>
      </c>
      <c r="O14" s="16">
        <v>0</v>
      </c>
      <c r="P14" s="16">
        <v>28</v>
      </c>
      <c r="Q14" s="16">
        <v>0</v>
      </c>
      <c r="R14" s="16">
        <v>43</v>
      </c>
    </row>
    <row r="15" spans="1:18" x14ac:dyDescent="0.2">
      <c r="A15" t="s">
        <v>267</v>
      </c>
      <c r="E15" s="51"/>
      <c r="F15" t="s">
        <v>408</v>
      </c>
      <c r="G15" s="24">
        <v>3093</v>
      </c>
      <c r="H15" s="24">
        <v>3001</v>
      </c>
      <c r="I15" s="24">
        <v>2299</v>
      </c>
      <c r="J15" s="16">
        <v>702</v>
      </c>
      <c r="K15" s="16">
        <v>92</v>
      </c>
      <c r="L15" s="16">
        <v>0</v>
      </c>
      <c r="M15" s="16">
        <v>0</v>
      </c>
      <c r="N15" s="16">
        <v>0</v>
      </c>
      <c r="O15" s="16">
        <v>0</v>
      </c>
      <c r="P15" s="16">
        <v>60</v>
      </c>
      <c r="Q15" s="16">
        <v>0</v>
      </c>
      <c r="R15" s="16">
        <v>32</v>
      </c>
    </row>
    <row r="16" spans="1:18" x14ac:dyDescent="0.2">
      <c r="A16" t="s">
        <v>274</v>
      </c>
      <c r="E16" s="51"/>
      <c r="F16" t="s">
        <v>409</v>
      </c>
      <c r="G16" s="24">
        <v>3347</v>
      </c>
      <c r="H16" s="24">
        <v>2993</v>
      </c>
      <c r="I16" s="24">
        <v>2254</v>
      </c>
      <c r="J16" s="16">
        <v>739</v>
      </c>
      <c r="K16" s="16">
        <v>354</v>
      </c>
      <c r="L16" s="16">
        <v>21</v>
      </c>
      <c r="M16" s="16">
        <v>0</v>
      </c>
      <c r="N16" s="16">
        <v>19</v>
      </c>
      <c r="O16" s="16">
        <v>25</v>
      </c>
      <c r="P16" s="16">
        <v>83</v>
      </c>
      <c r="Q16" s="16">
        <v>0</v>
      </c>
      <c r="R16" s="16">
        <v>206</v>
      </c>
    </row>
    <row r="17" spans="1:18" x14ac:dyDescent="0.2">
      <c r="E17" s="51"/>
      <c r="F17" t="s">
        <v>410</v>
      </c>
      <c r="G17" s="24">
        <v>5371</v>
      </c>
      <c r="H17" s="24">
        <v>4861</v>
      </c>
      <c r="I17" s="24">
        <v>3868</v>
      </c>
      <c r="J17" s="16">
        <v>993</v>
      </c>
      <c r="K17" s="16">
        <v>510</v>
      </c>
      <c r="L17" s="16">
        <v>76</v>
      </c>
      <c r="M17" s="16">
        <v>11</v>
      </c>
      <c r="N17" s="16">
        <v>50</v>
      </c>
      <c r="O17" s="16">
        <v>26</v>
      </c>
      <c r="P17" s="16">
        <v>126</v>
      </c>
      <c r="Q17" s="16">
        <v>0</v>
      </c>
      <c r="R17" s="16">
        <v>221</v>
      </c>
    </row>
    <row r="18" spans="1:18" x14ac:dyDescent="0.2">
      <c r="A18" s="50" t="s">
        <v>268</v>
      </c>
      <c r="B18" s="51"/>
      <c r="E18" s="51"/>
      <c r="F18" t="s">
        <v>411</v>
      </c>
      <c r="G18" s="24">
        <v>2583</v>
      </c>
      <c r="H18" s="24">
        <v>2350</v>
      </c>
      <c r="I18" s="24">
        <v>1560</v>
      </c>
      <c r="J18" s="16">
        <v>790</v>
      </c>
      <c r="K18" s="16">
        <v>233</v>
      </c>
      <c r="L18" s="16">
        <v>76</v>
      </c>
      <c r="M18" s="16">
        <v>11</v>
      </c>
      <c r="N18" s="16">
        <v>0</v>
      </c>
      <c r="O18" s="16">
        <v>0</v>
      </c>
      <c r="P18" s="16">
        <v>74</v>
      </c>
      <c r="Q18" s="16">
        <v>0</v>
      </c>
      <c r="R18" s="16">
        <v>72</v>
      </c>
    </row>
    <row r="19" spans="1:18" x14ac:dyDescent="0.2">
      <c r="A19" t="s">
        <v>1250</v>
      </c>
      <c r="B19" t="s">
        <v>1668</v>
      </c>
      <c r="E19" s="51"/>
      <c r="F19" t="s">
        <v>412</v>
      </c>
      <c r="G19" s="24">
        <v>1775</v>
      </c>
      <c r="H19" s="24">
        <v>1645</v>
      </c>
      <c r="I19" s="24">
        <v>1379</v>
      </c>
      <c r="J19" s="16">
        <v>266</v>
      </c>
      <c r="K19" s="16">
        <v>130</v>
      </c>
      <c r="L19" s="16">
        <v>26</v>
      </c>
      <c r="M19" s="16">
        <v>0</v>
      </c>
      <c r="N19" s="16">
        <v>0</v>
      </c>
      <c r="O19" s="16">
        <v>0</v>
      </c>
      <c r="P19" s="16">
        <v>13</v>
      </c>
      <c r="Q19" s="16">
        <v>0</v>
      </c>
      <c r="R19" s="16">
        <v>91</v>
      </c>
    </row>
    <row r="20" spans="1:18" x14ac:dyDescent="0.2">
      <c r="E20" s="51"/>
      <c r="F20" s="16" t="s">
        <v>413</v>
      </c>
      <c r="G20" s="24">
        <v>1842</v>
      </c>
      <c r="H20" s="24">
        <v>1745</v>
      </c>
      <c r="I20" s="24">
        <v>1625</v>
      </c>
      <c r="J20" s="16">
        <v>120</v>
      </c>
      <c r="K20" s="16">
        <v>97</v>
      </c>
      <c r="L20" s="16">
        <v>0</v>
      </c>
      <c r="M20" s="16">
        <v>0</v>
      </c>
      <c r="N20" s="16">
        <v>9</v>
      </c>
      <c r="O20" s="16">
        <v>11</v>
      </c>
      <c r="P20" s="16">
        <v>0</v>
      </c>
      <c r="Q20" s="16">
        <v>0</v>
      </c>
      <c r="R20" s="16">
        <v>77</v>
      </c>
    </row>
    <row r="21" spans="1:18" x14ac:dyDescent="0.2">
      <c r="A21" s="53" t="s">
        <v>269</v>
      </c>
      <c r="B21" s="51"/>
      <c r="E21" s="51"/>
      <c r="F21" s="16" t="s">
        <v>414</v>
      </c>
      <c r="G21" s="24">
        <v>4240</v>
      </c>
      <c r="H21" s="24">
        <v>3938</v>
      </c>
      <c r="I21" s="24">
        <v>1639</v>
      </c>
      <c r="J21" s="24">
        <v>2299</v>
      </c>
      <c r="K21" s="16">
        <v>302</v>
      </c>
      <c r="L21" s="16">
        <v>127</v>
      </c>
      <c r="M21" s="16">
        <v>0</v>
      </c>
      <c r="N21" s="16">
        <v>0</v>
      </c>
      <c r="O21" s="16">
        <v>0</v>
      </c>
      <c r="P21" s="16">
        <v>36</v>
      </c>
      <c r="Q21" s="16">
        <v>0</v>
      </c>
      <c r="R21" s="16">
        <v>139</v>
      </c>
    </row>
    <row r="22" spans="1:18" x14ac:dyDescent="0.2">
      <c r="A22" t="s">
        <v>1249</v>
      </c>
      <c r="B22" t="s">
        <v>1261</v>
      </c>
      <c r="E22" s="51"/>
      <c r="F22" s="16" t="s">
        <v>423</v>
      </c>
      <c r="G22" s="24">
        <v>1798</v>
      </c>
      <c r="H22" s="24">
        <v>1648</v>
      </c>
      <c r="I22" s="16">
        <v>898</v>
      </c>
      <c r="J22" s="16">
        <v>750</v>
      </c>
      <c r="K22" s="16">
        <v>150</v>
      </c>
      <c r="L22" s="16">
        <v>21</v>
      </c>
      <c r="M22" s="16">
        <v>0</v>
      </c>
      <c r="N22" s="16">
        <v>0</v>
      </c>
      <c r="O22" s="16">
        <v>0</v>
      </c>
      <c r="P22" s="16">
        <v>22</v>
      </c>
      <c r="Q22" s="16">
        <v>0</v>
      </c>
      <c r="R22" s="16">
        <v>107</v>
      </c>
    </row>
    <row r="23" spans="1:18" x14ac:dyDescent="0.2">
      <c r="E23" s="51"/>
      <c r="F23" s="16" t="s">
        <v>432</v>
      </c>
      <c r="G23" s="24">
        <v>11018</v>
      </c>
      <c r="H23" s="24">
        <v>10182</v>
      </c>
      <c r="I23" s="24">
        <v>5341</v>
      </c>
      <c r="J23" s="24">
        <v>4841</v>
      </c>
      <c r="K23" s="16">
        <v>836</v>
      </c>
      <c r="L23" s="16">
        <v>201</v>
      </c>
      <c r="M23" s="16">
        <v>0</v>
      </c>
      <c r="N23" s="16">
        <v>38</v>
      </c>
      <c r="O23" s="16">
        <v>0</v>
      </c>
      <c r="P23" s="16">
        <v>20</v>
      </c>
      <c r="Q23" s="16">
        <v>0</v>
      </c>
      <c r="R23" s="16">
        <v>577</v>
      </c>
    </row>
    <row r="24" spans="1:18" x14ac:dyDescent="0.2">
      <c r="E24" s="51"/>
      <c r="F24" t="s">
        <v>436</v>
      </c>
      <c r="G24" s="24">
        <v>1628</v>
      </c>
      <c r="H24" s="24">
        <v>1526</v>
      </c>
      <c r="I24" s="24">
        <v>1244</v>
      </c>
      <c r="J24" s="16">
        <v>282</v>
      </c>
      <c r="K24" s="16">
        <v>102</v>
      </c>
      <c r="L24" s="16">
        <v>51</v>
      </c>
      <c r="M24" s="16">
        <v>0</v>
      </c>
      <c r="N24" s="16">
        <v>6</v>
      </c>
      <c r="O24" s="16">
        <v>0</v>
      </c>
      <c r="P24" s="16">
        <v>7</v>
      </c>
      <c r="Q24" s="16">
        <v>0</v>
      </c>
      <c r="R24" s="16">
        <v>38</v>
      </c>
    </row>
    <row r="25" spans="1:18" x14ac:dyDescent="0.2">
      <c r="E25" s="51"/>
      <c r="F25" s="16" t="s">
        <v>440</v>
      </c>
      <c r="G25" s="16">
        <v>235</v>
      </c>
      <c r="H25" s="16">
        <v>222</v>
      </c>
      <c r="I25" s="16">
        <v>134</v>
      </c>
      <c r="J25" s="16">
        <v>88</v>
      </c>
      <c r="K25" s="16">
        <v>13</v>
      </c>
      <c r="L25" s="16">
        <v>0</v>
      </c>
      <c r="M25" s="16">
        <v>0</v>
      </c>
      <c r="N25" s="16">
        <v>6</v>
      </c>
      <c r="O25" s="16">
        <v>0</v>
      </c>
      <c r="P25" s="16">
        <v>7</v>
      </c>
      <c r="Q25" s="16">
        <v>0</v>
      </c>
      <c r="R25" s="16">
        <v>0</v>
      </c>
    </row>
    <row r="26" spans="1:18" x14ac:dyDescent="0.2">
      <c r="E26" s="51"/>
      <c r="F26" s="16" t="s">
        <v>443</v>
      </c>
      <c r="G26" s="24">
        <v>7395</v>
      </c>
      <c r="H26" s="24">
        <v>6855</v>
      </c>
      <c r="I26" s="24">
        <v>5552</v>
      </c>
      <c r="J26" s="24">
        <v>1303</v>
      </c>
      <c r="K26" s="16">
        <v>540</v>
      </c>
      <c r="L26" s="16">
        <v>65</v>
      </c>
      <c r="M26" s="16">
        <v>0</v>
      </c>
      <c r="N26" s="16">
        <v>145</v>
      </c>
      <c r="O26" s="16">
        <v>17</v>
      </c>
      <c r="P26" s="16">
        <v>135</v>
      </c>
      <c r="Q26" s="16">
        <v>0</v>
      </c>
      <c r="R26" s="16">
        <v>178</v>
      </c>
    </row>
    <row r="27" spans="1:18" x14ac:dyDescent="0.2">
      <c r="A27" s="53"/>
      <c r="B27" s="53"/>
      <c r="E27" s="51"/>
      <c r="F27" s="16" t="s">
        <v>447</v>
      </c>
      <c r="G27" s="16">
        <v>878</v>
      </c>
      <c r="H27" s="16">
        <v>792</v>
      </c>
      <c r="I27" s="16">
        <v>447</v>
      </c>
      <c r="J27" s="16">
        <v>345</v>
      </c>
      <c r="K27" s="16">
        <v>86</v>
      </c>
      <c r="L27" s="16">
        <v>38</v>
      </c>
      <c r="M27" s="16">
        <v>0</v>
      </c>
      <c r="N27" s="16">
        <v>0</v>
      </c>
      <c r="O27" s="16">
        <v>0</v>
      </c>
      <c r="P27" s="16">
        <v>0</v>
      </c>
      <c r="Q27" s="16">
        <v>0</v>
      </c>
      <c r="R27" s="16">
        <v>48</v>
      </c>
    </row>
    <row r="28" spans="1:18" x14ac:dyDescent="0.2">
      <c r="E28" s="51"/>
      <c r="F28" s="16" t="s">
        <v>449</v>
      </c>
      <c r="G28" s="24">
        <v>2969</v>
      </c>
      <c r="H28" s="24">
        <v>2886</v>
      </c>
      <c r="I28" s="24">
        <v>2372</v>
      </c>
      <c r="J28" s="16">
        <v>514</v>
      </c>
      <c r="K28" s="16">
        <v>83</v>
      </c>
      <c r="L28" s="16">
        <v>27</v>
      </c>
      <c r="M28" s="16">
        <v>0</v>
      </c>
      <c r="N28" s="16">
        <v>0</v>
      </c>
      <c r="O28" s="16">
        <v>0</v>
      </c>
      <c r="P28" s="16">
        <v>33</v>
      </c>
      <c r="Q28" s="16">
        <v>0</v>
      </c>
      <c r="R28" s="16">
        <v>23</v>
      </c>
    </row>
    <row r="29" spans="1:18" x14ac:dyDescent="0.2">
      <c r="E29" s="51"/>
      <c r="F29" s="16" t="s">
        <v>451</v>
      </c>
      <c r="G29" s="24">
        <v>8972</v>
      </c>
      <c r="H29" s="24">
        <v>8306</v>
      </c>
      <c r="I29" s="24">
        <v>5721</v>
      </c>
      <c r="J29" s="24">
        <v>2585</v>
      </c>
      <c r="K29" s="16">
        <v>666</v>
      </c>
      <c r="L29" s="16">
        <v>78</v>
      </c>
      <c r="M29" s="16">
        <v>41</v>
      </c>
      <c r="N29" s="16">
        <v>42</v>
      </c>
      <c r="O29" s="16">
        <v>0</v>
      </c>
      <c r="P29" s="16">
        <v>59</v>
      </c>
      <c r="Q29" s="16">
        <v>0</v>
      </c>
      <c r="R29" s="16">
        <v>446</v>
      </c>
    </row>
    <row r="30" spans="1:18" x14ac:dyDescent="0.2">
      <c r="E30" s="51"/>
      <c r="F30" s="16" t="s">
        <v>453</v>
      </c>
      <c r="G30" s="24">
        <v>1519</v>
      </c>
      <c r="H30" s="24">
        <v>1401</v>
      </c>
      <c r="I30" s="16">
        <v>758</v>
      </c>
      <c r="J30" s="16">
        <v>643</v>
      </c>
      <c r="K30" s="16">
        <v>118</v>
      </c>
      <c r="L30" s="16">
        <v>19</v>
      </c>
      <c r="M30" s="16">
        <v>0</v>
      </c>
      <c r="N30" s="16">
        <v>0</v>
      </c>
      <c r="O30" s="16">
        <v>0</v>
      </c>
      <c r="P30" s="16">
        <v>0</v>
      </c>
      <c r="Q30" s="16">
        <v>0</v>
      </c>
      <c r="R30" s="16">
        <v>99</v>
      </c>
    </row>
    <row r="31" spans="1:18" x14ac:dyDescent="0.2">
      <c r="E31" s="51"/>
      <c r="F31" s="16" t="s">
        <v>455</v>
      </c>
      <c r="G31" s="24">
        <v>1600</v>
      </c>
      <c r="H31" s="24">
        <v>1535</v>
      </c>
      <c r="I31" s="24">
        <v>1047</v>
      </c>
      <c r="J31" s="16">
        <v>488</v>
      </c>
      <c r="K31" s="16">
        <v>65</v>
      </c>
      <c r="L31" s="16">
        <v>24</v>
      </c>
      <c r="M31" s="16">
        <v>41</v>
      </c>
      <c r="N31" s="16">
        <v>0</v>
      </c>
      <c r="O31" s="16">
        <v>0</v>
      </c>
      <c r="P31" s="16">
        <v>0</v>
      </c>
      <c r="Q31" s="16">
        <v>0</v>
      </c>
      <c r="R31" s="16">
        <v>0</v>
      </c>
    </row>
    <row r="32" spans="1:18" x14ac:dyDescent="0.2">
      <c r="E32" s="51"/>
      <c r="F32" t="s">
        <v>457</v>
      </c>
      <c r="G32" s="24">
        <v>2882</v>
      </c>
      <c r="H32" s="24">
        <v>2621</v>
      </c>
      <c r="I32" s="24">
        <v>1648</v>
      </c>
      <c r="J32" s="16">
        <v>973</v>
      </c>
      <c r="K32" s="16">
        <v>261</v>
      </c>
      <c r="L32" s="16">
        <v>35</v>
      </c>
      <c r="M32" s="16">
        <v>0</v>
      </c>
      <c r="N32" s="16">
        <v>0</v>
      </c>
      <c r="O32" s="16">
        <v>0</v>
      </c>
      <c r="P32" s="16">
        <v>39</v>
      </c>
      <c r="Q32" s="16">
        <v>0</v>
      </c>
      <c r="R32" s="16">
        <v>187</v>
      </c>
    </row>
    <row r="33" spans="5:18" x14ac:dyDescent="0.2">
      <c r="E33" s="51"/>
      <c r="F33" s="16" t="s">
        <v>459</v>
      </c>
      <c r="G33" s="24">
        <v>2289</v>
      </c>
      <c r="H33" s="24">
        <v>2094</v>
      </c>
      <c r="I33" s="24">
        <v>1686</v>
      </c>
      <c r="J33" s="16">
        <v>408</v>
      </c>
      <c r="K33" s="16">
        <v>195</v>
      </c>
      <c r="L33" s="16">
        <v>5</v>
      </c>
      <c r="M33" s="16">
        <v>0</v>
      </c>
      <c r="N33" s="16">
        <v>29</v>
      </c>
      <c r="O33" s="16">
        <v>6</v>
      </c>
      <c r="P33" s="16">
        <v>70</v>
      </c>
      <c r="Q33" s="16">
        <v>0</v>
      </c>
      <c r="R33" s="16">
        <v>85</v>
      </c>
    </row>
    <row r="34" spans="5:18" x14ac:dyDescent="0.2">
      <c r="E34" s="51"/>
      <c r="F34" s="16" t="s">
        <v>463</v>
      </c>
      <c r="G34" s="16">
        <v>468</v>
      </c>
      <c r="H34" s="16">
        <v>439</v>
      </c>
      <c r="I34" s="18">
        <v>273</v>
      </c>
      <c r="J34" s="16">
        <v>166</v>
      </c>
      <c r="K34" s="16">
        <v>29</v>
      </c>
      <c r="L34" s="16">
        <v>0</v>
      </c>
      <c r="M34" s="16">
        <v>0</v>
      </c>
      <c r="N34" s="16">
        <v>0</v>
      </c>
      <c r="O34" s="16">
        <v>6</v>
      </c>
      <c r="P34" s="16">
        <v>6</v>
      </c>
      <c r="Q34" s="16">
        <v>0</v>
      </c>
      <c r="R34" s="16">
        <v>17</v>
      </c>
    </row>
    <row r="35" spans="5:18" x14ac:dyDescent="0.2">
      <c r="E35" s="51"/>
      <c r="F35" s="16" t="s">
        <v>465</v>
      </c>
      <c r="G35" s="24">
        <v>11624</v>
      </c>
      <c r="H35" s="24">
        <v>10335</v>
      </c>
      <c r="I35" s="30">
        <v>3646</v>
      </c>
      <c r="J35" s="24">
        <v>6689</v>
      </c>
      <c r="K35" s="24">
        <v>1289</v>
      </c>
      <c r="L35" s="16">
        <v>267</v>
      </c>
      <c r="M35" s="16">
        <v>29</v>
      </c>
      <c r="N35" s="16">
        <v>39</v>
      </c>
      <c r="O35" s="16">
        <v>117</v>
      </c>
      <c r="P35" s="16">
        <v>39</v>
      </c>
      <c r="Q35" s="16">
        <v>0</v>
      </c>
      <c r="R35" s="16">
        <v>798</v>
      </c>
    </row>
    <row r="36" spans="5:18" x14ac:dyDescent="0.2">
      <c r="E36" s="51"/>
      <c r="F36" s="16" t="s">
        <v>467</v>
      </c>
      <c r="G36" s="24">
        <v>12352</v>
      </c>
      <c r="H36" s="24">
        <v>11553</v>
      </c>
      <c r="I36" s="30">
        <v>9196</v>
      </c>
      <c r="J36" s="24">
        <v>2357</v>
      </c>
      <c r="K36" s="16">
        <v>799</v>
      </c>
      <c r="L36" s="16">
        <v>57</v>
      </c>
      <c r="M36" s="16">
        <v>23</v>
      </c>
      <c r="N36" s="16">
        <v>86</v>
      </c>
      <c r="O36" s="16">
        <v>110</v>
      </c>
      <c r="P36" s="16">
        <v>114</v>
      </c>
      <c r="Q36" s="16">
        <v>0</v>
      </c>
      <c r="R36" s="16">
        <v>409</v>
      </c>
    </row>
    <row r="37" spans="5:18" x14ac:dyDescent="0.2">
      <c r="E37" s="51"/>
      <c r="F37" s="16" t="s">
        <v>469</v>
      </c>
      <c r="G37" s="24">
        <v>11335</v>
      </c>
      <c r="H37" s="24">
        <v>10763</v>
      </c>
      <c r="I37" s="30">
        <v>7658</v>
      </c>
      <c r="J37" s="24">
        <v>3105</v>
      </c>
      <c r="K37" s="16">
        <v>572</v>
      </c>
      <c r="L37" s="16">
        <v>102</v>
      </c>
      <c r="M37" s="16">
        <v>52</v>
      </c>
      <c r="N37" s="16">
        <v>74</v>
      </c>
      <c r="O37" s="16">
        <v>119</v>
      </c>
      <c r="P37" s="16">
        <v>30</v>
      </c>
      <c r="Q37" s="16">
        <v>0</v>
      </c>
      <c r="R37" s="16">
        <v>195</v>
      </c>
    </row>
    <row r="38" spans="5:18" x14ac:dyDescent="0.2">
      <c r="E38" s="51"/>
      <c r="F38" t="s">
        <v>471</v>
      </c>
      <c r="G38" s="24">
        <v>7383</v>
      </c>
      <c r="H38" s="24">
        <v>6869</v>
      </c>
      <c r="I38" s="24">
        <v>2407</v>
      </c>
      <c r="J38" s="24">
        <v>4462</v>
      </c>
      <c r="K38" s="16">
        <v>514</v>
      </c>
      <c r="L38" s="16">
        <v>70</v>
      </c>
      <c r="M38" s="16">
        <v>0</v>
      </c>
      <c r="N38" s="16">
        <v>0</v>
      </c>
      <c r="O38" s="16">
        <v>0</v>
      </c>
      <c r="P38" s="16">
        <v>214</v>
      </c>
      <c r="Q38" s="16">
        <v>0</v>
      </c>
      <c r="R38" s="16">
        <v>230</v>
      </c>
    </row>
    <row r="39" spans="5:18" x14ac:dyDescent="0.2">
      <c r="E39" s="51"/>
      <c r="F39" t="s">
        <v>473</v>
      </c>
      <c r="G39" s="24">
        <v>7383</v>
      </c>
      <c r="H39" s="24">
        <v>6869</v>
      </c>
      <c r="I39" s="24">
        <v>2407</v>
      </c>
      <c r="J39" s="24">
        <v>4462</v>
      </c>
      <c r="K39" s="16">
        <v>514</v>
      </c>
      <c r="L39" s="16">
        <v>70</v>
      </c>
      <c r="M39" s="16">
        <v>0</v>
      </c>
      <c r="N39" s="16">
        <v>0</v>
      </c>
      <c r="O39" s="16">
        <v>0</v>
      </c>
      <c r="P39" s="16">
        <v>214</v>
      </c>
      <c r="Q39" s="16">
        <v>0</v>
      </c>
      <c r="R39" s="16">
        <v>230</v>
      </c>
    </row>
    <row r="40" spans="5:18" x14ac:dyDescent="0.2">
      <c r="E40" s="51"/>
      <c r="F40" t="s">
        <v>476</v>
      </c>
      <c r="G40" s="24">
        <v>3896</v>
      </c>
      <c r="H40" s="24">
        <v>3533</v>
      </c>
      <c r="I40" s="24">
        <v>1831</v>
      </c>
      <c r="J40" s="24">
        <v>1702</v>
      </c>
      <c r="K40" s="16">
        <v>363</v>
      </c>
      <c r="L40" s="16">
        <v>74</v>
      </c>
      <c r="M40" s="16">
        <v>0</v>
      </c>
      <c r="N40" s="16">
        <v>76</v>
      </c>
      <c r="O40" s="16">
        <v>68</v>
      </c>
      <c r="P40" s="16">
        <v>9</v>
      </c>
      <c r="Q40" s="16">
        <v>0</v>
      </c>
      <c r="R40" s="16">
        <v>136</v>
      </c>
    </row>
    <row r="41" spans="5:18" x14ac:dyDescent="0.2">
      <c r="E41" s="51"/>
      <c r="F41" t="s">
        <v>497</v>
      </c>
      <c r="G41" s="24">
        <v>1766</v>
      </c>
      <c r="H41" s="24">
        <v>1539</v>
      </c>
      <c r="I41" s="24">
        <v>1159</v>
      </c>
      <c r="J41" s="16">
        <v>380</v>
      </c>
      <c r="K41" s="16">
        <v>227</v>
      </c>
      <c r="L41" s="16">
        <v>23</v>
      </c>
      <c r="M41" s="16">
        <v>0</v>
      </c>
      <c r="N41" s="16">
        <v>32</v>
      </c>
      <c r="O41" s="16">
        <v>13</v>
      </c>
      <c r="P41" s="16">
        <v>64</v>
      </c>
      <c r="Q41" s="16">
        <v>0</v>
      </c>
      <c r="R41" s="16">
        <v>95</v>
      </c>
    </row>
    <row r="42" spans="5:18" x14ac:dyDescent="0.2">
      <c r="E42" s="51"/>
      <c r="F42" t="s">
        <v>501</v>
      </c>
      <c r="G42" s="24">
        <v>1284</v>
      </c>
      <c r="H42" s="24">
        <v>1151</v>
      </c>
      <c r="I42" s="16">
        <v>812</v>
      </c>
      <c r="J42" s="16">
        <v>339</v>
      </c>
      <c r="K42" s="16">
        <v>133</v>
      </c>
      <c r="L42" s="16">
        <v>23</v>
      </c>
      <c r="M42" s="16">
        <v>0</v>
      </c>
      <c r="N42" s="16">
        <v>27</v>
      </c>
      <c r="O42" s="16">
        <v>0</v>
      </c>
      <c r="P42" s="16">
        <v>14</v>
      </c>
      <c r="Q42" s="16">
        <v>0</v>
      </c>
      <c r="R42" s="16">
        <v>69</v>
      </c>
    </row>
    <row r="43" spans="5:18" x14ac:dyDescent="0.2">
      <c r="E43" s="51"/>
      <c r="F43" t="s">
        <v>502</v>
      </c>
      <c r="G43" s="16">
        <v>482</v>
      </c>
      <c r="H43" s="16">
        <v>388</v>
      </c>
      <c r="I43" s="16">
        <v>347</v>
      </c>
      <c r="J43" s="16">
        <v>41</v>
      </c>
      <c r="K43" s="16">
        <v>94</v>
      </c>
      <c r="L43" s="16">
        <v>0</v>
      </c>
      <c r="M43" s="16">
        <v>0</v>
      </c>
      <c r="N43" s="16">
        <v>5</v>
      </c>
      <c r="O43" s="16">
        <v>13</v>
      </c>
      <c r="P43" s="16">
        <v>50</v>
      </c>
      <c r="Q43" s="16">
        <v>0</v>
      </c>
      <c r="R43" s="16">
        <v>26</v>
      </c>
    </row>
    <row r="44" spans="5:18" x14ac:dyDescent="0.2">
      <c r="E44" s="51"/>
      <c r="F44" t="s">
        <v>503</v>
      </c>
      <c r="G44" s="24">
        <v>12287</v>
      </c>
      <c r="H44" s="24">
        <v>11910</v>
      </c>
      <c r="I44" s="24">
        <v>7930</v>
      </c>
      <c r="J44" s="24">
        <v>3980</v>
      </c>
      <c r="K44" s="16">
        <v>377</v>
      </c>
      <c r="L44" s="16">
        <v>34</v>
      </c>
      <c r="M44" s="16">
        <v>0</v>
      </c>
      <c r="N44" s="16">
        <v>37</v>
      </c>
      <c r="O44" s="16">
        <v>52</v>
      </c>
      <c r="P44" s="16">
        <v>95</v>
      </c>
      <c r="Q44" s="16">
        <v>0</v>
      </c>
      <c r="R44" s="16">
        <v>159</v>
      </c>
    </row>
    <row r="45" spans="5:18" x14ac:dyDescent="0.2">
      <c r="E45" s="51"/>
      <c r="F45" t="s">
        <v>504</v>
      </c>
      <c r="G45" s="24">
        <v>13046</v>
      </c>
      <c r="H45" s="24">
        <v>11743</v>
      </c>
      <c r="I45" s="24">
        <v>9467</v>
      </c>
      <c r="J45" s="24">
        <v>2276</v>
      </c>
      <c r="K45" s="24">
        <v>1303</v>
      </c>
      <c r="L45" s="16">
        <v>96</v>
      </c>
      <c r="M45" s="16">
        <v>81</v>
      </c>
      <c r="N45" s="16">
        <v>59</v>
      </c>
      <c r="O45" s="16">
        <v>34</v>
      </c>
      <c r="P45" s="16">
        <v>495</v>
      </c>
      <c r="Q45" s="16">
        <v>47</v>
      </c>
      <c r="R45" s="16">
        <v>491</v>
      </c>
    </row>
    <row r="46" spans="5:18" x14ac:dyDescent="0.2">
      <c r="E46" s="51"/>
      <c r="F46" t="s">
        <v>505</v>
      </c>
      <c r="G46" s="24">
        <v>1002</v>
      </c>
      <c r="H46" s="16">
        <v>936</v>
      </c>
      <c r="I46" s="16">
        <v>798</v>
      </c>
      <c r="J46" s="16">
        <v>138</v>
      </c>
      <c r="K46" s="16">
        <v>66</v>
      </c>
      <c r="L46" s="16">
        <v>14</v>
      </c>
      <c r="M46" s="16">
        <v>0</v>
      </c>
      <c r="N46" s="16">
        <v>23</v>
      </c>
      <c r="O46" s="16">
        <v>0</v>
      </c>
      <c r="P46" s="16">
        <v>0</v>
      </c>
      <c r="Q46" s="16">
        <v>0</v>
      </c>
      <c r="R46" s="16">
        <v>29</v>
      </c>
    </row>
    <row r="47" spans="5:18" x14ac:dyDescent="0.2">
      <c r="E47" s="51"/>
      <c r="F47" t="s">
        <v>506</v>
      </c>
      <c r="G47" s="24">
        <v>1379</v>
      </c>
      <c r="H47" s="24">
        <v>1181</v>
      </c>
      <c r="I47" s="16">
        <v>923</v>
      </c>
      <c r="J47" s="16">
        <v>258</v>
      </c>
      <c r="K47" s="16">
        <v>198</v>
      </c>
      <c r="L47" s="16">
        <v>0</v>
      </c>
      <c r="M47" s="16">
        <v>0</v>
      </c>
      <c r="N47" s="16">
        <v>0</v>
      </c>
      <c r="O47" s="16">
        <v>34</v>
      </c>
      <c r="P47" s="16">
        <v>96</v>
      </c>
      <c r="Q47" s="16">
        <v>0</v>
      </c>
      <c r="R47" s="16">
        <v>68</v>
      </c>
    </row>
    <row r="48" spans="5:18" x14ac:dyDescent="0.2">
      <c r="E48" s="51"/>
      <c r="F48" t="s">
        <v>507</v>
      </c>
      <c r="G48" s="24">
        <v>3304</v>
      </c>
      <c r="H48" s="24">
        <v>2998</v>
      </c>
      <c r="I48" s="24">
        <v>1684</v>
      </c>
      <c r="J48" s="24">
        <v>1314</v>
      </c>
      <c r="K48" s="16">
        <v>306</v>
      </c>
      <c r="L48" s="16">
        <v>82</v>
      </c>
      <c r="M48" s="16">
        <v>37</v>
      </c>
      <c r="N48" s="16">
        <v>0</v>
      </c>
      <c r="O48" s="16">
        <v>0</v>
      </c>
      <c r="P48" s="16">
        <v>0</v>
      </c>
      <c r="Q48" s="16">
        <v>0</v>
      </c>
      <c r="R48" s="16">
        <v>187</v>
      </c>
    </row>
    <row r="49" spans="5:18" x14ac:dyDescent="0.2">
      <c r="E49" s="51"/>
      <c r="F49" t="s">
        <v>508</v>
      </c>
      <c r="G49" s="24">
        <v>2635</v>
      </c>
      <c r="H49" s="24">
        <v>2468</v>
      </c>
      <c r="I49" s="24">
        <v>2246</v>
      </c>
      <c r="J49" s="16">
        <v>222</v>
      </c>
      <c r="K49" s="16">
        <v>167</v>
      </c>
      <c r="L49" s="16">
        <v>0</v>
      </c>
      <c r="M49" s="16">
        <v>0</v>
      </c>
      <c r="N49" s="16">
        <v>26</v>
      </c>
      <c r="O49" s="16">
        <v>26</v>
      </c>
      <c r="P49" s="16">
        <v>19</v>
      </c>
      <c r="Q49" s="16">
        <v>0</v>
      </c>
      <c r="R49" s="16">
        <v>96</v>
      </c>
    </row>
    <row r="50" spans="5:18" x14ac:dyDescent="0.2">
      <c r="E50" s="51"/>
      <c r="F50" t="s">
        <v>509</v>
      </c>
      <c r="G50" s="24">
        <v>4193</v>
      </c>
      <c r="H50" s="24">
        <v>3822</v>
      </c>
      <c r="I50" s="24">
        <v>3442</v>
      </c>
      <c r="J50" s="16">
        <v>380</v>
      </c>
      <c r="K50" s="16">
        <v>371</v>
      </c>
      <c r="L50" s="16">
        <v>128</v>
      </c>
      <c r="M50" s="16">
        <v>0</v>
      </c>
      <c r="N50" s="16">
        <v>35</v>
      </c>
      <c r="O50" s="16">
        <v>0</v>
      </c>
      <c r="P50" s="16">
        <v>151</v>
      </c>
      <c r="Q50" s="16">
        <v>0</v>
      </c>
      <c r="R50" s="16">
        <v>57</v>
      </c>
    </row>
    <row r="51" spans="5:18" x14ac:dyDescent="0.2">
      <c r="E51" s="51"/>
      <c r="F51" t="s">
        <v>447</v>
      </c>
      <c r="G51" s="16">
        <v>259</v>
      </c>
      <c r="H51" s="16">
        <v>259</v>
      </c>
      <c r="I51" s="16">
        <v>120</v>
      </c>
      <c r="J51" s="16">
        <v>139</v>
      </c>
      <c r="K51" s="16">
        <v>0</v>
      </c>
      <c r="L51" s="16">
        <v>0</v>
      </c>
      <c r="M51" s="16">
        <v>0</v>
      </c>
      <c r="N51" s="16">
        <v>0</v>
      </c>
      <c r="O51" s="16">
        <v>0</v>
      </c>
      <c r="P51" s="16">
        <v>0</v>
      </c>
      <c r="Q51" s="16">
        <v>0</v>
      </c>
      <c r="R51" s="16">
        <v>0</v>
      </c>
    </row>
    <row r="52" spans="5:18" x14ac:dyDescent="0.2">
      <c r="E52" s="51"/>
      <c r="F52" t="s">
        <v>510</v>
      </c>
      <c r="G52" s="24">
        <v>3934</v>
      </c>
      <c r="H52" s="24">
        <v>3563</v>
      </c>
      <c r="I52" s="24">
        <v>3322</v>
      </c>
      <c r="J52" s="16">
        <v>241</v>
      </c>
      <c r="K52" s="16">
        <v>371</v>
      </c>
      <c r="L52" s="16">
        <v>128</v>
      </c>
      <c r="M52" s="16">
        <v>0</v>
      </c>
      <c r="N52" s="16">
        <v>35</v>
      </c>
      <c r="O52" s="16">
        <v>0</v>
      </c>
      <c r="P52" s="16">
        <v>151</v>
      </c>
      <c r="Q52" s="16">
        <v>0</v>
      </c>
      <c r="R52" s="16">
        <v>57</v>
      </c>
    </row>
    <row r="53" spans="5:18" x14ac:dyDescent="0.2">
      <c r="E53" s="51"/>
    </row>
    <row r="54" spans="5:18" x14ac:dyDescent="0.2">
      <c r="E54" s="51"/>
    </row>
    <row r="55" spans="5:18" x14ac:dyDescent="0.2">
      <c r="E55" s="51"/>
    </row>
    <row r="56" spans="5:18" x14ac:dyDescent="0.2">
      <c r="E56" s="51"/>
    </row>
    <row r="57" spans="5:18" x14ac:dyDescent="0.2">
      <c r="E57" s="51"/>
    </row>
  </sheetData>
  <mergeCells count="11">
    <mergeCell ref="H5:M5"/>
    <mergeCell ref="B1:O1"/>
    <mergeCell ref="A5:B5"/>
    <mergeCell ref="E5:E57"/>
    <mergeCell ref="A9:B9"/>
    <mergeCell ref="A18:B18"/>
    <mergeCell ref="A21:B21"/>
    <mergeCell ref="A27:B27"/>
    <mergeCell ref="F5:F6"/>
    <mergeCell ref="G5:G6"/>
    <mergeCell ref="N5:R5"/>
  </mergeCells>
  <dataValidations count="4">
    <dataValidation type="list" allowBlank="1" showInputMessage="1" showErrorMessage="1" sqref="P4:R4" xr:uid="{6159C1BF-EF55-4993-97C7-54BFD7DB070E}">
      <formula1>"integer, number, percent1"</formula1>
    </dataValidation>
    <dataValidation type="list" allowBlank="1" showInputMessage="1" showErrorMessage="1" sqref="B10" xr:uid="{EB96DDD0-C82B-4E59-B390-84E65D12DBF3}">
      <formula1>"Line,Clustered Bar,Stacked Bar,Bar,Horizontal Stacked Bar"</formula1>
    </dataValidation>
    <dataValidation type="list" allowBlank="1" showInputMessage="1" showErrorMessage="1" sqref="B2" xr:uid="{4B75F4CE-BEE1-44F0-85E3-2D49D8C8CD7A}">
      <formula1>"Table,Figure,Both"</formula1>
    </dataValidation>
    <dataValidation type="list" allowBlank="1" showInputMessage="1" showErrorMessage="1" sqref="B6 B15:B16" xr:uid="{C889C394-9B18-4D31-A558-4E670A8371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64D626-EF1F-49DA-AF1C-8752CAE19B30}">
          <x14:formula1>
            <xm:f>Dropdowns!$B$2:$B$9</xm:f>
          </x14:formula1>
          <xm:sqref>B14</xm:sqref>
        </x14:dataValidation>
        <x14:dataValidation type="list" allowBlank="1" showInputMessage="1" showErrorMessage="1" xr:uid="{9C10DD01-31C6-45D2-8B03-CB126E4ABF71}">
          <x14:formula1>
            <xm:f>Dropdowns!$A$1:$A$8</xm:f>
          </x14:formula1>
          <xm:sqref>F4:O4</xm:sqref>
        </x14:dataValidation>
        <x14:dataValidation type="list" allowBlank="1" showInputMessage="1" showErrorMessage="1" xr:uid="{5319F8B5-1C4A-48C7-B0C7-DA6A208E4727}">
          <x14:formula1>
            <xm:f>Master!$F$2:$F$401</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6DF09-B91F-4191-8C8C-62EDCE231260}">
  <dimension ref="A1:Q57"/>
  <sheetViews>
    <sheetView workbookViewId="0">
      <selection activeCell="G26" sqref="G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325</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tbl-house-unit-age</v>
      </c>
    </row>
    <row r="4" spans="1:17" x14ac:dyDescent="0.2">
      <c r="A4" s="17" t="s">
        <v>5</v>
      </c>
      <c r="B4" t="str">
        <f>IF($B$1="","",_xlfn.XLOOKUP($B$1,Master!$E$2:$E$320,Master!$G$2:$G$320,""))</f>
        <v>fig-house-unit-age</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50" t="s">
        <v>255</v>
      </c>
      <c r="B5" s="51"/>
      <c r="E5" s="52" t="s">
        <v>256</v>
      </c>
      <c r="F5" s="53" t="s">
        <v>394</v>
      </c>
      <c r="G5" s="53" t="s">
        <v>1669</v>
      </c>
      <c r="H5" s="53" t="s">
        <v>1678</v>
      </c>
      <c r="I5" s="53"/>
      <c r="J5" s="53"/>
      <c r="K5" s="53"/>
      <c r="L5" s="53"/>
      <c r="M5" s="53"/>
      <c r="N5" s="53"/>
      <c r="O5" s="53"/>
    </row>
    <row r="6" spans="1:17" ht="15" customHeight="1" x14ac:dyDescent="0.2">
      <c r="A6" t="s">
        <v>259</v>
      </c>
      <c r="B6" t="b">
        <v>1</v>
      </c>
      <c r="E6" s="51"/>
      <c r="F6" s="53"/>
      <c r="G6" s="53"/>
      <c r="H6" s="16" t="s">
        <v>1670</v>
      </c>
      <c r="I6" s="16" t="s">
        <v>1671</v>
      </c>
      <c r="J6" s="16" t="s">
        <v>1672</v>
      </c>
      <c r="K6" s="16" t="s">
        <v>1673</v>
      </c>
      <c r="L6" s="16" t="s">
        <v>1674</v>
      </c>
      <c r="M6" s="16" t="s">
        <v>1675</v>
      </c>
      <c r="N6" s="16" t="s">
        <v>1676</v>
      </c>
      <c r="O6" s="16" t="s">
        <v>1677</v>
      </c>
    </row>
    <row r="7" spans="1:17" ht="15.75" customHeight="1" x14ac:dyDescent="0.2">
      <c r="E7" s="51"/>
      <c r="F7" t="s">
        <v>396</v>
      </c>
      <c r="G7" s="24">
        <v>148460</v>
      </c>
      <c r="H7" s="24">
        <v>1109</v>
      </c>
      <c r="I7" s="24">
        <v>10815</v>
      </c>
      <c r="J7" s="24">
        <v>18207</v>
      </c>
      <c r="K7" s="24">
        <v>14286</v>
      </c>
      <c r="L7" s="24">
        <v>19738</v>
      </c>
      <c r="M7" s="24">
        <v>18626</v>
      </c>
      <c r="N7" s="24">
        <v>29807</v>
      </c>
      <c r="O7" s="24">
        <v>35872</v>
      </c>
    </row>
    <row r="8" spans="1:17" x14ac:dyDescent="0.2">
      <c r="E8" s="51"/>
      <c r="F8" t="s">
        <v>397</v>
      </c>
      <c r="G8" s="24">
        <v>6884</v>
      </c>
      <c r="H8" s="16">
        <v>38</v>
      </c>
      <c r="I8" s="16">
        <v>175</v>
      </c>
      <c r="J8" s="16">
        <v>905</v>
      </c>
      <c r="K8" s="16">
        <v>681</v>
      </c>
      <c r="L8" s="24">
        <v>1265</v>
      </c>
      <c r="M8" s="24">
        <v>1099</v>
      </c>
      <c r="N8" s="24">
        <v>1650</v>
      </c>
      <c r="O8" s="24">
        <v>1031</v>
      </c>
    </row>
    <row r="9" spans="1:17" x14ac:dyDescent="0.2">
      <c r="A9" s="50" t="s">
        <v>260</v>
      </c>
      <c r="B9" s="51"/>
      <c r="E9" s="51"/>
      <c r="F9" t="s">
        <v>398</v>
      </c>
      <c r="G9" s="24">
        <v>1390</v>
      </c>
      <c r="H9" s="16">
        <v>0</v>
      </c>
      <c r="I9" s="16">
        <v>7</v>
      </c>
      <c r="J9" s="16">
        <v>19</v>
      </c>
      <c r="K9" s="16">
        <v>69</v>
      </c>
      <c r="L9" s="16">
        <v>142</v>
      </c>
      <c r="M9" s="16">
        <v>463</v>
      </c>
      <c r="N9" s="16">
        <v>626</v>
      </c>
      <c r="O9" s="16">
        <v>64</v>
      </c>
    </row>
    <row r="10" spans="1:17" x14ac:dyDescent="0.2">
      <c r="A10" t="s">
        <v>261</v>
      </c>
      <c r="E10" s="51"/>
      <c r="F10" t="s">
        <v>399</v>
      </c>
      <c r="G10" s="24">
        <v>2186</v>
      </c>
      <c r="H10" s="16">
        <v>13</v>
      </c>
      <c r="I10" s="16">
        <v>64</v>
      </c>
      <c r="J10" s="16">
        <v>294</v>
      </c>
      <c r="K10" s="16">
        <v>303</v>
      </c>
      <c r="L10" s="16">
        <v>688</v>
      </c>
      <c r="M10" s="16">
        <v>434</v>
      </c>
      <c r="N10" s="16">
        <v>301</v>
      </c>
      <c r="O10" s="16">
        <v>89</v>
      </c>
    </row>
    <row r="11" spans="1:17" x14ac:dyDescent="0.2">
      <c r="A11" t="s">
        <v>262</v>
      </c>
      <c r="E11" s="51"/>
      <c r="F11" t="s">
        <v>400</v>
      </c>
      <c r="G11" s="24">
        <v>4763</v>
      </c>
      <c r="H11" s="16">
        <v>65</v>
      </c>
      <c r="I11" s="16">
        <v>243</v>
      </c>
      <c r="J11" s="18">
        <v>655</v>
      </c>
      <c r="K11" s="18">
        <v>485</v>
      </c>
      <c r="L11" s="30">
        <v>1065</v>
      </c>
      <c r="M11" s="18">
        <v>493</v>
      </c>
      <c r="N11" s="18">
        <v>996</v>
      </c>
      <c r="O11" s="16">
        <v>761</v>
      </c>
    </row>
    <row r="12" spans="1:17" x14ac:dyDescent="0.2">
      <c r="A12" t="s">
        <v>263</v>
      </c>
      <c r="E12" s="51"/>
      <c r="F12" s="22" t="s">
        <v>401</v>
      </c>
      <c r="G12" s="30">
        <v>1687</v>
      </c>
      <c r="H12" s="18">
        <v>0</v>
      </c>
      <c r="I12" s="16">
        <v>111</v>
      </c>
      <c r="J12" s="16">
        <v>54</v>
      </c>
      <c r="K12" s="16">
        <v>85</v>
      </c>
      <c r="L12" s="16">
        <v>531</v>
      </c>
      <c r="M12" s="16">
        <v>163</v>
      </c>
      <c r="N12" s="16">
        <v>292</v>
      </c>
      <c r="O12" s="16">
        <v>451</v>
      </c>
    </row>
    <row r="13" spans="1:17" x14ac:dyDescent="0.2">
      <c r="A13" t="s">
        <v>264</v>
      </c>
      <c r="E13" s="51"/>
      <c r="F13" t="s">
        <v>404</v>
      </c>
      <c r="G13" s="24">
        <v>5366</v>
      </c>
      <c r="H13" s="16">
        <v>0</v>
      </c>
      <c r="I13" s="16">
        <v>284</v>
      </c>
      <c r="J13" s="16">
        <v>393</v>
      </c>
      <c r="K13" s="16">
        <v>329</v>
      </c>
      <c r="L13" s="16">
        <v>808</v>
      </c>
      <c r="M13" s="16">
        <v>438</v>
      </c>
      <c r="N13" s="24">
        <v>1474</v>
      </c>
      <c r="O13" s="24">
        <v>1640</v>
      </c>
    </row>
    <row r="14" spans="1:17" x14ac:dyDescent="0.2">
      <c r="A14" t="s">
        <v>265</v>
      </c>
      <c r="E14" s="51"/>
      <c r="F14" t="s">
        <v>407</v>
      </c>
      <c r="G14" s="24">
        <v>1337</v>
      </c>
      <c r="H14" s="16">
        <v>0</v>
      </c>
      <c r="I14" s="16">
        <v>77</v>
      </c>
      <c r="J14" s="16">
        <v>38</v>
      </c>
      <c r="K14" s="16">
        <v>37</v>
      </c>
      <c r="L14" s="16">
        <v>205</v>
      </c>
      <c r="M14" s="16">
        <v>59</v>
      </c>
      <c r="N14" s="16">
        <v>333</v>
      </c>
      <c r="O14" s="16">
        <v>588</v>
      </c>
    </row>
    <row r="15" spans="1:17" x14ac:dyDescent="0.2">
      <c r="A15" t="s">
        <v>267</v>
      </c>
      <c r="E15" s="51"/>
      <c r="F15" t="s">
        <v>408</v>
      </c>
      <c r="G15" s="24">
        <v>3093</v>
      </c>
      <c r="H15" s="16">
        <v>0</v>
      </c>
      <c r="I15" s="16">
        <v>107</v>
      </c>
      <c r="J15" s="16">
        <v>580</v>
      </c>
      <c r="K15" s="16">
        <v>487</v>
      </c>
      <c r="L15" s="16">
        <v>395</v>
      </c>
      <c r="M15" s="16">
        <v>437</v>
      </c>
      <c r="N15" s="16">
        <v>455</v>
      </c>
      <c r="O15" s="16">
        <v>629</v>
      </c>
    </row>
    <row r="16" spans="1:17" x14ac:dyDescent="0.2">
      <c r="A16" t="s">
        <v>274</v>
      </c>
      <c r="E16" s="51"/>
      <c r="F16" t="s">
        <v>409</v>
      </c>
      <c r="G16" s="24">
        <v>3347</v>
      </c>
      <c r="H16" s="16">
        <v>21</v>
      </c>
      <c r="I16" s="16">
        <v>142</v>
      </c>
      <c r="J16" s="16">
        <v>303</v>
      </c>
      <c r="K16" s="16">
        <v>462</v>
      </c>
      <c r="L16" s="16">
        <v>473</v>
      </c>
      <c r="M16" s="16">
        <v>565</v>
      </c>
      <c r="N16" s="16">
        <v>689</v>
      </c>
      <c r="O16" s="16">
        <v>692</v>
      </c>
    </row>
    <row r="17" spans="1:15" x14ac:dyDescent="0.2">
      <c r="E17" s="51"/>
      <c r="F17" t="s">
        <v>410</v>
      </c>
      <c r="G17" s="24">
        <v>5371</v>
      </c>
      <c r="H17" s="16">
        <v>56</v>
      </c>
      <c r="I17" s="16">
        <v>374</v>
      </c>
      <c r="J17" s="16">
        <v>510</v>
      </c>
      <c r="K17" s="16">
        <v>503</v>
      </c>
      <c r="L17" s="16">
        <v>795</v>
      </c>
      <c r="M17" s="16">
        <v>924</v>
      </c>
      <c r="N17" s="16">
        <v>998</v>
      </c>
      <c r="O17" s="24">
        <v>1211</v>
      </c>
    </row>
    <row r="18" spans="1:15" x14ac:dyDescent="0.2">
      <c r="A18" s="50" t="s">
        <v>268</v>
      </c>
      <c r="B18" s="51"/>
      <c r="E18" s="51"/>
      <c r="F18" t="s">
        <v>411</v>
      </c>
      <c r="G18" s="24">
        <v>2583</v>
      </c>
      <c r="H18" s="16">
        <v>25</v>
      </c>
      <c r="I18" s="16">
        <v>125</v>
      </c>
      <c r="J18" s="16">
        <v>197</v>
      </c>
      <c r="K18" s="16">
        <v>216</v>
      </c>
      <c r="L18" s="16">
        <v>388</v>
      </c>
      <c r="M18" s="16">
        <v>375</v>
      </c>
      <c r="N18" s="16">
        <v>455</v>
      </c>
      <c r="O18" s="16">
        <v>802</v>
      </c>
    </row>
    <row r="19" spans="1:15" x14ac:dyDescent="0.2">
      <c r="A19" t="s">
        <v>1250</v>
      </c>
      <c r="B19" t="s">
        <v>1679</v>
      </c>
      <c r="E19" s="51"/>
      <c r="F19" t="s">
        <v>412</v>
      </c>
      <c r="G19" s="24">
        <v>1775</v>
      </c>
      <c r="H19" s="16">
        <v>0</v>
      </c>
      <c r="I19" s="16">
        <v>172</v>
      </c>
      <c r="J19" s="16">
        <v>380</v>
      </c>
      <c r="K19" s="16">
        <v>260</v>
      </c>
      <c r="L19" s="16">
        <v>341</v>
      </c>
      <c r="M19" s="16">
        <v>188</v>
      </c>
      <c r="N19" s="16">
        <v>293</v>
      </c>
      <c r="O19" s="16">
        <v>141</v>
      </c>
    </row>
    <row r="20" spans="1:15" x14ac:dyDescent="0.2">
      <c r="E20" s="51"/>
      <c r="F20" s="16" t="s">
        <v>413</v>
      </c>
      <c r="G20" s="24">
        <v>1842</v>
      </c>
      <c r="H20" s="16">
        <v>0</v>
      </c>
      <c r="I20" s="16">
        <v>74</v>
      </c>
      <c r="J20" s="16">
        <v>300</v>
      </c>
      <c r="K20" s="16">
        <v>296</v>
      </c>
      <c r="L20" s="16">
        <v>320</v>
      </c>
      <c r="M20" s="16">
        <v>237</v>
      </c>
      <c r="N20" s="16">
        <v>270</v>
      </c>
      <c r="O20" s="16">
        <v>345</v>
      </c>
    </row>
    <row r="21" spans="1:15" x14ac:dyDescent="0.2">
      <c r="A21" s="53" t="s">
        <v>269</v>
      </c>
      <c r="B21" s="51"/>
      <c r="E21" s="51"/>
      <c r="F21" s="16" t="s">
        <v>414</v>
      </c>
      <c r="G21" s="24">
        <v>4240</v>
      </c>
      <c r="H21" s="16">
        <v>0</v>
      </c>
      <c r="I21" s="16">
        <v>140</v>
      </c>
      <c r="J21" s="16">
        <v>460</v>
      </c>
      <c r="K21" s="16">
        <v>327</v>
      </c>
      <c r="L21" s="16">
        <v>415</v>
      </c>
      <c r="M21" s="16">
        <v>554</v>
      </c>
      <c r="N21" s="16">
        <v>809</v>
      </c>
      <c r="O21" s="24">
        <v>1535</v>
      </c>
    </row>
    <row r="22" spans="1:15" x14ac:dyDescent="0.2">
      <c r="A22" t="s">
        <v>1249</v>
      </c>
      <c r="B22" t="s">
        <v>1269</v>
      </c>
      <c r="E22" s="51"/>
      <c r="F22" s="16" t="s">
        <v>423</v>
      </c>
      <c r="G22" s="24">
        <v>1798</v>
      </c>
      <c r="H22" s="16">
        <v>0</v>
      </c>
      <c r="I22" s="16">
        <v>23</v>
      </c>
      <c r="J22" s="16">
        <v>18</v>
      </c>
      <c r="K22" s="16">
        <v>52</v>
      </c>
      <c r="L22" s="16">
        <v>123</v>
      </c>
      <c r="M22" s="16">
        <v>237</v>
      </c>
      <c r="N22" s="16">
        <v>625</v>
      </c>
      <c r="O22" s="16">
        <v>720</v>
      </c>
    </row>
    <row r="23" spans="1:15" x14ac:dyDescent="0.2">
      <c r="E23" s="51"/>
      <c r="F23" s="16" t="s">
        <v>432</v>
      </c>
      <c r="G23" s="24">
        <v>11018</v>
      </c>
      <c r="H23" s="16">
        <v>241</v>
      </c>
      <c r="I23" s="16">
        <v>824</v>
      </c>
      <c r="J23" s="16">
        <v>924</v>
      </c>
      <c r="K23" s="16">
        <v>510</v>
      </c>
      <c r="L23" s="24">
        <v>1070</v>
      </c>
      <c r="M23" s="24">
        <v>1215</v>
      </c>
      <c r="N23" s="24">
        <v>2201</v>
      </c>
      <c r="O23" s="24">
        <v>4033</v>
      </c>
    </row>
    <row r="24" spans="1:15" x14ac:dyDescent="0.2">
      <c r="E24" s="51"/>
      <c r="F24" t="s">
        <v>436</v>
      </c>
      <c r="G24" s="24">
        <v>1628</v>
      </c>
      <c r="H24" s="16">
        <v>7</v>
      </c>
      <c r="I24" s="16">
        <v>95</v>
      </c>
      <c r="J24" s="16">
        <v>431</v>
      </c>
      <c r="K24" s="16">
        <v>206</v>
      </c>
      <c r="L24" s="16">
        <v>178</v>
      </c>
      <c r="M24" s="16">
        <v>162</v>
      </c>
      <c r="N24" s="16">
        <v>219</v>
      </c>
      <c r="O24" s="16">
        <v>330</v>
      </c>
    </row>
    <row r="25" spans="1:15" x14ac:dyDescent="0.2">
      <c r="E25" s="51"/>
      <c r="F25" s="16" t="s">
        <v>440</v>
      </c>
      <c r="G25" s="16">
        <v>235</v>
      </c>
      <c r="H25" s="16">
        <v>0</v>
      </c>
      <c r="I25" s="16">
        <v>17</v>
      </c>
      <c r="J25" s="16">
        <v>55</v>
      </c>
      <c r="K25" s="16">
        <v>6</v>
      </c>
      <c r="L25" s="16">
        <v>40</v>
      </c>
      <c r="M25" s="16">
        <v>0</v>
      </c>
      <c r="N25" s="16">
        <v>37</v>
      </c>
      <c r="O25" s="16">
        <v>80</v>
      </c>
    </row>
    <row r="26" spans="1:15" x14ac:dyDescent="0.2">
      <c r="E26" s="51"/>
      <c r="F26" s="16" t="s">
        <v>443</v>
      </c>
      <c r="G26" s="24">
        <v>7395</v>
      </c>
      <c r="H26" s="16">
        <v>20</v>
      </c>
      <c r="I26" s="16">
        <v>320</v>
      </c>
      <c r="J26" s="24">
        <v>1024</v>
      </c>
      <c r="K26" s="16">
        <v>952</v>
      </c>
      <c r="L26" s="24">
        <v>1367</v>
      </c>
      <c r="M26" s="16">
        <v>648</v>
      </c>
      <c r="N26" s="24">
        <v>1606</v>
      </c>
      <c r="O26" s="24">
        <v>1458</v>
      </c>
    </row>
    <row r="27" spans="1:15" x14ac:dyDescent="0.2">
      <c r="A27" s="53"/>
      <c r="B27" s="53"/>
      <c r="E27" s="51"/>
      <c r="F27" s="16" t="s">
        <v>447</v>
      </c>
      <c r="G27" s="16">
        <v>878</v>
      </c>
      <c r="H27" s="16">
        <v>0</v>
      </c>
      <c r="I27" s="16">
        <v>126</v>
      </c>
      <c r="J27" s="16">
        <v>63</v>
      </c>
      <c r="K27" s="16">
        <v>71</v>
      </c>
      <c r="L27" s="16">
        <v>372</v>
      </c>
      <c r="M27" s="16">
        <v>34</v>
      </c>
      <c r="N27" s="16">
        <v>39</v>
      </c>
      <c r="O27" s="16">
        <v>173</v>
      </c>
    </row>
    <row r="28" spans="1:15" x14ac:dyDescent="0.2">
      <c r="E28" s="51"/>
      <c r="F28" s="16" t="s">
        <v>449</v>
      </c>
      <c r="G28" s="24">
        <v>2969</v>
      </c>
      <c r="H28" s="16">
        <v>20</v>
      </c>
      <c r="I28" s="16">
        <v>138</v>
      </c>
      <c r="J28" s="16">
        <v>139</v>
      </c>
      <c r="K28" s="16">
        <v>655</v>
      </c>
      <c r="L28" s="16">
        <v>408</v>
      </c>
      <c r="M28" s="16">
        <v>370</v>
      </c>
      <c r="N28" s="16">
        <v>752</v>
      </c>
      <c r="O28" s="16">
        <v>487</v>
      </c>
    </row>
    <row r="29" spans="1:15" x14ac:dyDescent="0.2">
      <c r="E29" s="51"/>
      <c r="F29" s="16" t="s">
        <v>451</v>
      </c>
      <c r="G29" s="24">
        <v>8972</v>
      </c>
      <c r="H29" s="16">
        <v>69</v>
      </c>
      <c r="I29" s="16">
        <v>458</v>
      </c>
      <c r="J29" s="24">
        <v>1070</v>
      </c>
      <c r="K29" s="24">
        <v>1034</v>
      </c>
      <c r="L29" s="16">
        <v>964</v>
      </c>
      <c r="M29" s="24">
        <v>1211</v>
      </c>
      <c r="N29" s="24">
        <v>1638</v>
      </c>
      <c r="O29" s="24">
        <v>2528</v>
      </c>
    </row>
    <row r="30" spans="1:15" x14ac:dyDescent="0.2">
      <c r="E30" s="51"/>
      <c r="F30" s="16" t="s">
        <v>453</v>
      </c>
      <c r="G30" s="24">
        <v>1519</v>
      </c>
      <c r="H30" s="16">
        <v>0</v>
      </c>
      <c r="I30" s="16">
        <v>116</v>
      </c>
      <c r="J30" s="16">
        <v>98</v>
      </c>
      <c r="K30" s="16">
        <v>82</v>
      </c>
      <c r="L30" s="16">
        <v>287</v>
      </c>
      <c r="M30" s="16">
        <v>305</v>
      </c>
      <c r="N30" s="16">
        <v>190</v>
      </c>
      <c r="O30" s="16">
        <v>441</v>
      </c>
    </row>
    <row r="31" spans="1:15" x14ac:dyDescent="0.2">
      <c r="E31" s="51"/>
      <c r="F31" s="16" t="s">
        <v>455</v>
      </c>
      <c r="G31" s="24">
        <v>1600</v>
      </c>
      <c r="H31" s="16">
        <v>0</v>
      </c>
      <c r="I31" s="16">
        <v>58</v>
      </c>
      <c r="J31" s="16">
        <v>312</v>
      </c>
      <c r="K31" s="16">
        <v>311</v>
      </c>
      <c r="L31" s="16">
        <v>145</v>
      </c>
      <c r="M31" s="16">
        <v>336</v>
      </c>
      <c r="N31" s="16">
        <v>144</v>
      </c>
      <c r="O31" s="16">
        <v>294</v>
      </c>
    </row>
    <row r="32" spans="1:15" x14ac:dyDescent="0.2">
      <c r="E32" s="51"/>
      <c r="F32" t="s">
        <v>457</v>
      </c>
      <c r="G32" s="24">
        <v>2882</v>
      </c>
      <c r="H32" s="16">
        <v>13</v>
      </c>
      <c r="I32" s="16">
        <v>8</v>
      </c>
      <c r="J32" s="16">
        <v>394</v>
      </c>
      <c r="K32" s="16">
        <v>417</v>
      </c>
      <c r="L32" s="16">
        <v>163</v>
      </c>
      <c r="M32" s="16">
        <v>187</v>
      </c>
      <c r="N32" s="16">
        <v>463</v>
      </c>
      <c r="O32" s="24">
        <v>1237</v>
      </c>
    </row>
    <row r="33" spans="5:15" x14ac:dyDescent="0.2">
      <c r="E33" s="51"/>
      <c r="F33" s="16" t="s">
        <v>459</v>
      </c>
      <c r="G33" s="24">
        <v>2289</v>
      </c>
      <c r="H33" s="16">
        <v>15</v>
      </c>
      <c r="I33" s="16">
        <v>124</v>
      </c>
      <c r="J33" s="16">
        <v>394</v>
      </c>
      <c r="K33" s="16">
        <v>246</v>
      </c>
      <c r="L33" s="16">
        <v>161</v>
      </c>
      <c r="M33" s="16">
        <v>485</v>
      </c>
      <c r="N33" s="16">
        <v>306</v>
      </c>
      <c r="O33" s="16">
        <v>558</v>
      </c>
    </row>
    <row r="34" spans="5:15" x14ac:dyDescent="0.2">
      <c r="E34" s="51"/>
      <c r="F34" s="16" t="s">
        <v>463</v>
      </c>
      <c r="G34" s="16">
        <v>468</v>
      </c>
      <c r="H34" s="16">
        <v>8</v>
      </c>
      <c r="I34" s="18">
        <v>7</v>
      </c>
      <c r="J34" s="16">
        <v>39</v>
      </c>
      <c r="K34" s="16">
        <v>24</v>
      </c>
      <c r="L34" s="16">
        <v>37</v>
      </c>
      <c r="M34" s="16">
        <v>66</v>
      </c>
      <c r="N34" s="16">
        <v>71</v>
      </c>
      <c r="O34" s="16">
        <v>216</v>
      </c>
    </row>
    <row r="35" spans="5:15" x14ac:dyDescent="0.2">
      <c r="E35" s="51"/>
      <c r="F35" s="16" t="s">
        <v>465</v>
      </c>
      <c r="G35" s="24">
        <v>11624</v>
      </c>
      <c r="H35" s="16">
        <v>0</v>
      </c>
      <c r="I35" s="18">
        <v>185</v>
      </c>
      <c r="J35" s="16">
        <v>276</v>
      </c>
      <c r="K35" s="16">
        <v>529</v>
      </c>
      <c r="L35" s="24">
        <v>1053</v>
      </c>
      <c r="M35" s="16">
        <v>899</v>
      </c>
      <c r="N35" s="24">
        <v>2284</v>
      </c>
      <c r="O35" s="24">
        <v>6398</v>
      </c>
    </row>
    <row r="36" spans="5:15" x14ac:dyDescent="0.2">
      <c r="E36" s="51"/>
      <c r="F36" s="16" t="s">
        <v>467</v>
      </c>
      <c r="G36" s="24">
        <v>12352</v>
      </c>
      <c r="H36" s="16">
        <v>142</v>
      </c>
      <c r="I36" s="18">
        <v>958</v>
      </c>
      <c r="J36" s="24">
        <v>1715</v>
      </c>
      <c r="K36" s="24">
        <v>1563</v>
      </c>
      <c r="L36" s="24">
        <v>1575</v>
      </c>
      <c r="M36" s="24">
        <v>1514</v>
      </c>
      <c r="N36" s="24">
        <v>3340</v>
      </c>
      <c r="O36" s="24">
        <v>1545</v>
      </c>
    </row>
    <row r="37" spans="5:15" x14ac:dyDescent="0.2">
      <c r="E37" s="51"/>
      <c r="F37" s="16" t="s">
        <v>469</v>
      </c>
      <c r="G37" s="24">
        <v>11335</v>
      </c>
      <c r="H37" s="16">
        <v>48</v>
      </c>
      <c r="I37" s="30">
        <v>1113</v>
      </c>
      <c r="J37" s="24">
        <v>1670</v>
      </c>
      <c r="K37" s="16">
        <v>641</v>
      </c>
      <c r="L37" s="24">
        <v>1617</v>
      </c>
      <c r="M37" s="24">
        <v>1631</v>
      </c>
      <c r="N37" s="24">
        <v>3397</v>
      </c>
      <c r="O37" s="24">
        <v>1218</v>
      </c>
    </row>
    <row r="38" spans="5:15" x14ac:dyDescent="0.2">
      <c r="E38" s="51"/>
      <c r="F38" t="s">
        <v>471</v>
      </c>
      <c r="G38" s="24">
        <v>7383</v>
      </c>
      <c r="H38" s="16">
        <v>137</v>
      </c>
      <c r="I38" s="24">
        <v>2418</v>
      </c>
      <c r="J38" s="24">
        <v>2147</v>
      </c>
      <c r="K38" s="24">
        <v>1309</v>
      </c>
      <c r="L38" s="16">
        <v>851</v>
      </c>
      <c r="M38" s="16">
        <v>199</v>
      </c>
      <c r="N38" s="16">
        <v>158</v>
      </c>
      <c r="O38" s="16">
        <v>164</v>
      </c>
    </row>
    <row r="39" spans="5:15" x14ac:dyDescent="0.2">
      <c r="E39" s="51"/>
      <c r="F39" t="s">
        <v>473</v>
      </c>
      <c r="G39" s="24">
        <v>7383</v>
      </c>
      <c r="H39" s="16">
        <v>137</v>
      </c>
      <c r="I39" s="24">
        <v>2418</v>
      </c>
      <c r="J39" s="24">
        <v>2147</v>
      </c>
      <c r="K39" s="24">
        <v>1309</v>
      </c>
      <c r="L39" s="16">
        <v>851</v>
      </c>
      <c r="M39" s="16">
        <v>199</v>
      </c>
      <c r="N39" s="16">
        <v>158</v>
      </c>
      <c r="O39" s="16">
        <v>164</v>
      </c>
    </row>
    <row r="40" spans="5:15" x14ac:dyDescent="0.2">
      <c r="E40" s="51"/>
      <c r="F40" t="s">
        <v>476</v>
      </c>
      <c r="G40" s="24">
        <v>3896</v>
      </c>
      <c r="H40" s="16">
        <v>0</v>
      </c>
      <c r="I40" s="16">
        <v>11</v>
      </c>
      <c r="J40" s="16">
        <v>322</v>
      </c>
      <c r="K40" s="16">
        <v>128</v>
      </c>
      <c r="L40" s="16">
        <v>262</v>
      </c>
      <c r="M40" s="16">
        <v>340</v>
      </c>
      <c r="N40" s="16">
        <v>621</v>
      </c>
      <c r="O40" s="24">
        <v>2212</v>
      </c>
    </row>
    <row r="41" spans="5:15" x14ac:dyDescent="0.2">
      <c r="E41" s="51"/>
      <c r="F41" t="s">
        <v>497</v>
      </c>
      <c r="G41" s="24">
        <v>1766</v>
      </c>
      <c r="H41" s="16">
        <v>6</v>
      </c>
      <c r="I41" s="16">
        <v>62</v>
      </c>
      <c r="J41" s="16">
        <v>248</v>
      </c>
      <c r="K41" s="16">
        <v>108</v>
      </c>
      <c r="L41" s="16">
        <v>142</v>
      </c>
      <c r="M41" s="16">
        <v>141</v>
      </c>
      <c r="N41" s="16">
        <v>353</v>
      </c>
      <c r="O41" s="16">
        <v>706</v>
      </c>
    </row>
    <row r="42" spans="5:15" x14ac:dyDescent="0.2">
      <c r="E42" s="51"/>
      <c r="F42" t="s">
        <v>501</v>
      </c>
      <c r="G42" s="24">
        <v>1284</v>
      </c>
      <c r="H42" s="16">
        <v>6</v>
      </c>
      <c r="I42" s="16">
        <v>57</v>
      </c>
      <c r="J42" s="16">
        <v>240</v>
      </c>
      <c r="K42" s="16">
        <v>100</v>
      </c>
      <c r="L42" s="16">
        <v>127</v>
      </c>
      <c r="M42" s="16">
        <v>121</v>
      </c>
      <c r="N42" s="16">
        <v>330</v>
      </c>
      <c r="O42" s="16">
        <v>303</v>
      </c>
    </row>
    <row r="43" spans="5:15" x14ac:dyDescent="0.2">
      <c r="E43" s="51"/>
      <c r="F43" t="s">
        <v>502</v>
      </c>
      <c r="G43" s="16">
        <v>482</v>
      </c>
      <c r="H43" s="16">
        <v>0</v>
      </c>
      <c r="I43" s="16">
        <v>5</v>
      </c>
      <c r="J43" s="16">
        <v>8</v>
      </c>
      <c r="K43" s="16">
        <v>8</v>
      </c>
      <c r="L43" s="16">
        <v>15</v>
      </c>
      <c r="M43" s="16">
        <v>20</v>
      </c>
      <c r="N43" s="16">
        <v>23</v>
      </c>
      <c r="O43" s="16">
        <v>403</v>
      </c>
    </row>
    <row r="44" spans="5:15" x14ac:dyDescent="0.2">
      <c r="E44" s="51"/>
      <c r="F44" t="s">
        <v>503</v>
      </c>
      <c r="G44" s="24">
        <v>12287</v>
      </c>
      <c r="H44" s="16">
        <v>207</v>
      </c>
      <c r="I44" s="24">
        <v>1331</v>
      </c>
      <c r="J44" s="24">
        <v>1700</v>
      </c>
      <c r="K44" s="16">
        <v>909</v>
      </c>
      <c r="L44" s="24">
        <v>1413</v>
      </c>
      <c r="M44" s="24">
        <v>2531</v>
      </c>
      <c r="N44" s="24">
        <v>2154</v>
      </c>
      <c r="O44" s="24">
        <v>2042</v>
      </c>
    </row>
    <row r="45" spans="5:15" x14ac:dyDescent="0.2">
      <c r="E45" s="51"/>
      <c r="F45" t="s">
        <v>504</v>
      </c>
      <c r="G45" s="24">
        <v>13046</v>
      </c>
      <c r="H45" s="16">
        <v>0</v>
      </c>
      <c r="I45" s="16">
        <v>756</v>
      </c>
      <c r="J45" s="16">
        <v>965</v>
      </c>
      <c r="K45" s="24">
        <v>1513</v>
      </c>
      <c r="L45" s="24">
        <v>1905</v>
      </c>
      <c r="M45" s="24">
        <v>1853</v>
      </c>
      <c r="N45" s="24">
        <v>2603</v>
      </c>
      <c r="O45" s="24">
        <v>3451</v>
      </c>
    </row>
    <row r="46" spans="5:15" x14ac:dyDescent="0.2">
      <c r="E46" s="51"/>
      <c r="F46" t="s">
        <v>505</v>
      </c>
      <c r="G46" s="24">
        <v>1002</v>
      </c>
      <c r="H46" s="16">
        <v>0</v>
      </c>
      <c r="I46" s="16">
        <v>43</v>
      </c>
      <c r="J46" s="16">
        <v>66</v>
      </c>
      <c r="K46" s="16">
        <v>90</v>
      </c>
      <c r="L46" s="16">
        <v>166</v>
      </c>
      <c r="M46" s="16">
        <v>236</v>
      </c>
      <c r="N46" s="16">
        <v>239</v>
      </c>
      <c r="O46" s="16">
        <v>162</v>
      </c>
    </row>
    <row r="47" spans="5:15" x14ac:dyDescent="0.2">
      <c r="E47" s="51"/>
      <c r="F47" t="s">
        <v>506</v>
      </c>
      <c r="G47" s="24">
        <v>1379</v>
      </c>
      <c r="H47" s="16">
        <v>0</v>
      </c>
      <c r="I47" s="16">
        <v>7</v>
      </c>
      <c r="J47" s="16">
        <v>46</v>
      </c>
      <c r="K47" s="16">
        <v>72</v>
      </c>
      <c r="L47" s="16">
        <v>104</v>
      </c>
      <c r="M47" s="16">
        <v>37</v>
      </c>
      <c r="N47" s="16">
        <v>529</v>
      </c>
      <c r="O47" s="16">
        <v>584</v>
      </c>
    </row>
    <row r="48" spans="5:15" x14ac:dyDescent="0.2">
      <c r="E48" s="51"/>
      <c r="F48" t="s">
        <v>507</v>
      </c>
      <c r="G48" s="24">
        <v>3304</v>
      </c>
      <c r="H48" s="16">
        <v>0</v>
      </c>
      <c r="I48" s="16">
        <v>481</v>
      </c>
      <c r="J48" s="16">
        <v>329</v>
      </c>
      <c r="K48" s="16">
        <v>344</v>
      </c>
      <c r="L48" s="16">
        <v>504</v>
      </c>
      <c r="M48" s="16">
        <v>399</v>
      </c>
      <c r="N48" s="16">
        <v>241</v>
      </c>
      <c r="O48" s="24">
        <v>1006</v>
      </c>
    </row>
    <row r="49" spans="5:15" x14ac:dyDescent="0.2">
      <c r="E49" s="51"/>
      <c r="F49" t="s">
        <v>508</v>
      </c>
      <c r="G49" s="24">
        <v>2635</v>
      </c>
      <c r="H49" s="16">
        <v>37</v>
      </c>
      <c r="I49" s="16">
        <v>189</v>
      </c>
      <c r="J49" s="16">
        <v>340</v>
      </c>
      <c r="K49" s="16">
        <v>314</v>
      </c>
      <c r="L49" s="16">
        <v>432</v>
      </c>
      <c r="M49" s="16">
        <v>356</v>
      </c>
      <c r="N49" s="16">
        <v>512</v>
      </c>
      <c r="O49" s="16">
        <v>457</v>
      </c>
    </row>
    <row r="50" spans="5:15" x14ac:dyDescent="0.2">
      <c r="E50" s="51"/>
      <c r="F50" t="s">
        <v>509</v>
      </c>
      <c r="G50" s="24">
        <v>4193</v>
      </c>
      <c r="H50" s="16">
        <v>0</v>
      </c>
      <c r="I50" s="16">
        <v>260</v>
      </c>
      <c r="J50" s="16">
        <v>495</v>
      </c>
      <c r="K50" s="16">
        <v>494</v>
      </c>
      <c r="L50" s="16">
        <v>871</v>
      </c>
      <c r="M50" s="16">
        <v>506</v>
      </c>
      <c r="N50" s="16">
        <v>778</v>
      </c>
      <c r="O50" s="16">
        <v>789</v>
      </c>
    </row>
    <row r="51" spans="5:15" x14ac:dyDescent="0.2">
      <c r="E51" s="51"/>
      <c r="F51" t="s">
        <v>447</v>
      </c>
      <c r="G51" s="16">
        <v>259</v>
      </c>
      <c r="H51" s="16">
        <v>0</v>
      </c>
      <c r="I51" s="16">
        <v>0</v>
      </c>
      <c r="J51" s="16">
        <v>37</v>
      </c>
      <c r="K51" s="16">
        <v>26</v>
      </c>
      <c r="L51" s="16">
        <v>119</v>
      </c>
      <c r="M51" s="16">
        <v>71</v>
      </c>
      <c r="N51" s="16">
        <v>6</v>
      </c>
      <c r="O51" s="16">
        <v>0</v>
      </c>
    </row>
    <row r="52" spans="5:15" x14ac:dyDescent="0.2">
      <c r="E52" s="51"/>
      <c r="F52" t="s">
        <v>510</v>
      </c>
      <c r="G52" s="24">
        <v>3934</v>
      </c>
      <c r="H52" s="16">
        <v>0</v>
      </c>
      <c r="I52" s="16">
        <v>260</v>
      </c>
      <c r="J52" s="16">
        <v>458</v>
      </c>
      <c r="K52" s="16">
        <v>468</v>
      </c>
      <c r="L52" s="16">
        <v>752</v>
      </c>
      <c r="M52" s="16">
        <v>435</v>
      </c>
      <c r="N52" s="16">
        <v>772</v>
      </c>
      <c r="O52" s="16">
        <v>789</v>
      </c>
    </row>
    <row r="53" spans="5:15" x14ac:dyDescent="0.2">
      <c r="E53" s="51"/>
    </row>
    <row r="54" spans="5:15" x14ac:dyDescent="0.2">
      <c r="E54" s="51"/>
    </row>
    <row r="55" spans="5:15" x14ac:dyDescent="0.2">
      <c r="E55" s="51"/>
    </row>
    <row r="56" spans="5:15" x14ac:dyDescent="0.2">
      <c r="E56" s="51"/>
    </row>
    <row r="57" spans="5:15" x14ac:dyDescent="0.2">
      <c r="E57" s="51"/>
    </row>
  </sheetData>
  <mergeCells count="10">
    <mergeCell ref="B1:O1"/>
    <mergeCell ref="A5:B5"/>
    <mergeCell ref="E5:E57"/>
    <mergeCell ref="A9:B9"/>
    <mergeCell ref="A18:B18"/>
    <mergeCell ref="A21:B21"/>
    <mergeCell ref="A27:B27"/>
    <mergeCell ref="F5:F6"/>
    <mergeCell ref="G5:G6"/>
    <mergeCell ref="H5:O5"/>
  </mergeCells>
  <dataValidations count="4">
    <dataValidation type="list" allowBlank="1" showInputMessage="1" showErrorMessage="1" sqref="P4:Q4" xr:uid="{65B22289-80CC-4F7C-A3AF-450C7CCE3F3B}">
      <formula1>"integer, number, percent1"</formula1>
    </dataValidation>
    <dataValidation type="list" allowBlank="1" showInputMessage="1" showErrorMessage="1" sqref="B10" xr:uid="{42E38EBF-239C-4929-BAED-C0AEB7B8F9D7}">
      <formula1>"Line,Clustered Bar,Stacked Bar,Bar,Horizontal Stacked Bar"</formula1>
    </dataValidation>
    <dataValidation type="list" allowBlank="1" showInputMessage="1" showErrorMessage="1" sqref="B2" xr:uid="{C4CFB104-47C4-461C-84E2-33EBB24C58B8}">
      <formula1>"Table,Figure,Both"</formula1>
    </dataValidation>
    <dataValidation type="list" allowBlank="1" showInputMessage="1" showErrorMessage="1" sqref="B6 B15:B16" xr:uid="{1B84A158-863D-4C72-B8AB-4F53CF5589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3AE81D5-AD2A-4282-84C3-8E5F15E43F2A}">
          <x14:formula1>
            <xm:f>Dropdowns!$B$2:$B$9</xm:f>
          </x14:formula1>
          <xm:sqref>B14</xm:sqref>
        </x14:dataValidation>
        <x14:dataValidation type="list" allowBlank="1" showInputMessage="1" showErrorMessage="1" xr:uid="{FECBB5EA-CDDB-4454-8B47-EBE4B37616D1}">
          <x14:formula1>
            <xm:f>Dropdowns!$A$1:$A$8</xm:f>
          </x14:formula1>
          <xm:sqref>F4:O4</xm:sqref>
        </x14:dataValidation>
        <x14:dataValidation type="list" allowBlank="1" showInputMessage="1" showErrorMessage="1" xr:uid="{1F52108C-4B4E-4E78-B274-1F21DF9927B1}">
          <x14:formula1>
            <xm:f>Master!$F$2:$F$401</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F992E-101D-4B79-8172-F2FADACC670B}">
  <dimension ref="A1:Q57"/>
  <sheetViews>
    <sheetView workbookViewId="0">
      <selection activeCell="L12" sqref="L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7" t="s">
        <v>252</v>
      </c>
      <c r="B1" s="48" t="s">
        <v>327</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tbl-house-characteristics-homeowner</v>
      </c>
    </row>
    <row r="4" spans="1:17" x14ac:dyDescent="0.2">
      <c r="A4" s="17" t="s">
        <v>5</v>
      </c>
      <c r="B4" t="str">
        <f>IF($B$1="","",_xlfn.XLOOKUP($B$1,Master!$E$2:$E$320,Master!$G$2:$G$320,""))</f>
        <v>fig-house-characteristics-homeowner</v>
      </c>
      <c r="E4" s="8"/>
      <c r="F4" s="10" t="s">
        <v>144</v>
      </c>
      <c r="G4" s="10" t="s">
        <v>149</v>
      </c>
      <c r="H4" s="10" t="s">
        <v>149</v>
      </c>
      <c r="I4" s="10" t="s">
        <v>149</v>
      </c>
      <c r="J4" s="10" t="s">
        <v>155</v>
      </c>
      <c r="K4" s="10" t="s">
        <v>165</v>
      </c>
      <c r="L4" s="10" t="s">
        <v>165</v>
      </c>
      <c r="M4" s="10" t="s">
        <v>149</v>
      </c>
      <c r="N4" s="10"/>
      <c r="O4" s="10"/>
      <c r="P4" s="10"/>
      <c r="Q4" s="10"/>
    </row>
    <row r="5" spans="1:17" x14ac:dyDescent="0.2">
      <c r="A5" s="50" t="s">
        <v>255</v>
      </c>
      <c r="B5" s="51"/>
      <c r="E5" s="52" t="s">
        <v>256</v>
      </c>
      <c r="F5" s="53" t="s">
        <v>394</v>
      </c>
      <c r="G5" s="53" t="s">
        <v>1680</v>
      </c>
      <c r="H5" s="53"/>
      <c r="I5" s="53"/>
      <c r="J5" s="53"/>
      <c r="K5" s="53"/>
      <c r="L5" s="53"/>
      <c r="M5" s="53"/>
      <c r="N5" s="53"/>
    </row>
    <row r="6" spans="1:17" ht="15" customHeight="1" x14ac:dyDescent="0.2">
      <c r="A6" t="s">
        <v>259</v>
      </c>
      <c r="B6" t="b">
        <v>1</v>
      </c>
      <c r="E6" s="51"/>
      <c r="F6" s="53"/>
      <c r="G6" s="16" t="s">
        <v>1669</v>
      </c>
      <c r="H6" s="16" t="s">
        <v>1681</v>
      </c>
      <c r="I6" s="16" t="s">
        <v>1682</v>
      </c>
      <c r="J6" s="16" t="s">
        <v>1683</v>
      </c>
      <c r="K6" s="16" t="s">
        <v>1684</v>
      </c>
      <c r="L6" s="16" t="s">
        <v>1685</v>
      </c>
      <c r="M6" s="16" t="s">
        <v>1686</v>
      </c>
      <c r="N6" s="16"/>
      <c r="O6" s="16"/>
    </row>
    <row r="7" spans="1:17" ht="15.75" customHeight="1" x14ac:dyDescent="0.2">
      <c r="E7" s="51"/>
      <c r="F7" t="s">
        <v>396</v>
      </c>
      <c r="G7" s="24">
        <v>148460</v>
      </c>
      <c r="H7" s="24">
        <v>137311</v>
      </c>
      <c r="I7" s="24">
        <v>93959</v>
      </c>
      <c r="J7" s="16">
        <v>1.1000000000000001</v>
      </c>
      <c r="K7" s="44">
        <v>361100</v>
      </c>
      <c r="L7" s="44">
        <v>2653</v>
      </c>
      <c r="M7" s="24">
        <v>30065</v>
      </c>
      <c r="N7" s="16"/>
      <c r="O7" s="16"/>
    </row>
    <row r="8" spans="1:17" x14ac:dyDescent="0.2">
      <c r="E8" s="51"/>
      <c r="F8" t="s">
        <v>397</v>
      </c>
      <c r="G8" s="24">
        <v>6844</v>
      </c>
      <c r="H8" s="24">
        <v>6149</v>
      </c>
      <c r="I8" s="24">
        <v>5016</v>
      </c>
      <c r="J8" s="16">
        <v>1.3</v>
      </c>
      <c r="K8" s="44">
        <v>372900</v>
      </c>
      <c r="L8" s="44">
        <v>2738</v>
      </c>
      <c r="M8" s="24">
        <v>2083</v>
      </c>
      <c r="N8" s="16"/>
      <c r="O8" s="16"/>
    </row>
    <row r="9" spans="1:17" x14ac:dyDescent="0.2">
      <c r="A9" s="50" t="s">
        <v>260</v>
      </c>
      <c r="B9" s="51"/>
      <c r="E9" s="51"/>
      <c r="F9" t="s">
        <v>398</v>
      </c>
      <c r="G9" s="24">
        <v>1483</v>
      </c>
      <c r="H9" s="24">
        <v>1261</v>
      </c>
      <c r="I9" s="16">
        <v>995</v>
      </c>
      <c r="J9" s="16">
        <v>2.4</v>
      </c>
      <c r="K9" s="44">
        <v>349800</v>
      </c>
      <c r="L9" s="44">
        <v>2536</v>
      </c>
      <c r="M9" s="16">
        <v>500</v>
      </c>
      <c r="N9" s="16"/>
      <c r="O9" s="16"/>
    </row>
    <row r="10" spans="1:17" x14ac:dyDescent="0.2">
      <c r="A10" t="s">
        <v>261</v>
      </c>
      <c r="E10" s="51"/>
      <c r="F10" t="s">
        <v>399</v>
      </c>
      <c r="G10" s="24">
        <v>2080</v>
      </c>
      <c r="H10" s="15">
        <v>2004</v>
      </c>
      <c r="I10" s="15">
        <v>1575</v>
      </c>
      <c r="J10">
        <v>1.9</v>
      </c>
      <c r="K10" s="45">
        <v>268100</v>
      </c>
      <c r="L10" s="45">
        <v>2464</v>
      </c>
      <c r="M10">
        <v>507</v>
      </c>
    </row>
    <row r="11" spans="1:17" x14ac:dyDescent="0.2">
      <c r="A11" t="s">
        <v>262</v>
      </c>
      <c r="E11" s="51"/>
      <c r="F11" t="s">
        <v>400</v>
      </c>
      <c r="G11" s="24">
        <v>4763</v>
      </c>
      <c r="H11" s="24">
        <v>4458</v>
      </c>
      <c r="I11" s="24">
        <v>3538</v>
      </c>
      <c r="J11" s="18">
        <v>1.3</v>
      </c>
      <c r="K11" s="46">
        <v>399700</v>
      </c>
      <c r="L11" s="46">
        <v>3094</v>
      </c>
      <c r="M11" s="30">
        <v>1026</v>
      </c>
      <c r="N11" s="18"/>
    </row>
    <row r="12" spans="1:17" x14ac:dyDescent="0.2">
      <c r="A12" t="s">
        <v>263</v>
      </c>
      <c r="E12" s="51"/>
      <c r="F12" s="22" t="s">
        <v>401</v>
      </c>
      <c r="G12" s="30">
        <v>1735</v>
      </c>
      <c r="H12" s="30">
        <v>1643</v>
      </c>
      <c r="I12" s="16">
        <v>922</v>
      </c>
      <c r="J12" s="16">
        <v>5.0999999999999996</v>
      </c>
      <c r="K12" s="44">
        <v>219600</v>
      </c>
      <c r="L12" s="44">
        <v>2260</v>
      </c>
      <c r="M12">
        <v>409</v>
      </c>
    </row>
    <row r="13" spans="1:17" x14ac:dyDescent="0.2">
      <c r="A13" t="s">
        <v>264</v>
      </c>
      <c r="E13" s="51"/>
      <c r="F13" t="s">
        <v>404</v>
      </c>
      <c r="G13" s="15">
        <v>5366</v>
      </c>
      <c r="H13" s="15">
        <v>5023</v>
      </c>
      <c r="I13" s="15">
        <v>3815</v>
      </c>
      <c r="J13">
        <v>2.4</v>
      </c>
      <c r="K13" s="45">
        <v>416500</v>
      </c>
      <c r="L13" s="45">
        <v>2994</v>
      </c>
      <c r="M13" s="15">
        <v>1160</v>
      </c>
    </row>
    <row r="14" spans="1:17" x14ac:dyDescent="0.2">
      <c r="A14" t="s">
        <v>265</v>
      </c>
      <c r="E14" s="51"/>
      <c r="F14" t="s">
        <v>407</v>
      </c>
      <c r="G14" s="15">
        <v>1250</v>
      </c>
      <c r="H14" s="15">
        <v>1186</v>
      </c>
      <c r="I14">
        <v>818</v>
      </c>
      <c r="J14">
        <v>1.9</v>
      </c>
      <c r="K14" s="45">
        <v>349800</v>
      </c>
      <c r="L14" s="45">
        <v>2813</v>
      </c>
      <c r="M14">
        <v>321</v>
      </c>
    </row>
    <row r="15" spans="1:17" x14ac:dyDescent="0.2">
      <c r="A15" t="s">
        <v>267</v>
      </c>
      <c r="E15" s="51"/>
      <c r="F15" t="s">
        <v>408</v>
      </c>
      <c r="G15" s="15">
        <v>3093</v>
      </c>
      <c r="H15" s="15">
        <v>3001</v>
      </c>
      <c r="I15" s="15">
        <v>2299</v>
      </c>
      <c r="J15">
        <v>0</v>
      </c>
      <c r="K15" s="45">
        <v>384700</v>
      </c>
      <c r="L15" s="45">
        <v>2490</v>
      </c>
      <c r="M15">
        <v>399</v>
      </c>
    </row>
    <row r="16" spans="1:17" x14ac:dyDescent="0.2">
      <c r="A16" t="s">
        <v>274</v>
      </c>
      <c r="E16" s="51"/>
      <c r="F16" t="s">
        <v>409</v>
      </c>
      <c r="G16" s="15">
        <v>3347</v>
      </c>
      <c r="H16" s="15">
        <v>2993</v>
      </c>
      <c r="I16" s="15">
        <v>2254</v>
      </c>
      <c r="J16">
        <v>0.8</v>
      </c>
      <c r="K16" s="45">
        <v>223000</v>
      </c>
      <c r="L16" s="45">
        <v>2023</v>
      </c>
      <c r="M16">
        <v>611</v>
      </c>
    </row>
    <row r="17" spans="1:13" x14ac:dyDescent="0.2">
      <c r="E17" s="51"/>
      <c r="F17" t="s">
        <v>410</v>
      </c>
      <c r="G17" s="15">
        <v>5371</v>
      </c>
      <c r="H17" s="15">
        <v>4861</v>
      </c>
      <c r="I17" s="15">
        <v>3868</v>
      </c>
      <c r="J17">
        <v>1.3</v>
      </c>
      <c r="K17" s="45">
        <v>437900</v>
      </c>
      <c r="L17" s="45">
        <v>3236</v>
      </c>
      <c r="M17" s="15">
        <v>1288</v>
      </c>
    </row>
    <row r="18" spans="1:13" x14ac:dyDescent="0.2">
      <c r="A18" s="50" t="s">
        <v>268</v>
      </c>
      <c r="B18" s="51"/>
      <c r="E18" s="51"/>
      <c r="F18" t="s">
        <v>411</v>
      </c>
      <c r="G18" s="15">
        <v>2548</v>
      </c>
      <c r="H18" s="15">
        <v>2307</v>
      </c>
      <c r="I18" s="15">
        <v>1379</v>
      </c>
      <c r="J18">
        <v>0</v>
      </c>
      <c r="K18" s="45">
        <v>357000</v>
      </c>
      <c r="L18" s="45">
        <v>2466</v>
      </c>
      <c r="M18">
        <v>337</v>
      </c>
    </row>
    <row r="19" spans="1:13" x14ac:dyDescent="0.2">
      <c r="A19" t="s">
        <v>1250</v>
      </c>
      <c r="B19" t="s">
        <v>1688</v>
      </c>
      <c r="E19" s="51"/>
      <c r="F19" t="s">
        <v>412</v>
      </c>
      <c r="G19" s="15">
        <v>1775</v>
      </c>
      <c r="H19" s="15">
        <v>1645</v>
      </c>
      <c r="I19" s="15">
        <v>1343</v>
      </c>
      <c r="J19">
        <v>0</v>
      </c>
      <c r="K19" s="45">
        <v>357000</v>
      </c>
      <c r="L19" s="45">
        <v>2466</v>
      </c>
      <c r="M19">
        <v>337</v>
      </c>
    </row>
    <row r="20" spans="1:13" x14ac:dyDescent="0.2">
      <c r="E20" s="51"/>
      <c r="F20" s="16" t="s">
        <v>413</v>
      </c>
      <c r="G20" s="24">
        <v>1842</v>
      </c>
      <c r="H20" s="24">
        <v>1745</v>
      </c>
      <c r="I20" s="15">
        <v>1625</v>
      </c>
      <c r="J20">
        <v>0.5</v>
      </c>
      <c r="K20" s="45">
        <v>481700</v>
      </c>
      <c r="L20" s="45">
        <v>3084</v>
      </c>
      <c r="M20">
        <v>596</v>
      </c>
    </row>
    <row r="21" spans="1:13" x14ac:dyDescent="0.2">
      <c r="A21" s="53" t="s">
        <v>269</v>
      </c>
      <c r="B21" s="51"/>
      <c r="E21" s="51"/>
      <c r="F21" s="16" t="s">
        <v>414</v>
      </c>
      <c r="G21" s="24">
        <v>4240</v>
      </c>
      <c r="H21" s="24">
        <v>3938</v>
      </c>
      <c r="I21" s="15">
        <v>1639</v>
      </c>
      <c r="J21">
        <v>0</v>
      </c>
      <c r="K21" s="45">
        <v>324800</v>
      </c>
      <c r="L21" s="45">
        <v>2810</v>
      </c>
      <c r="M21">
        <v>666</v>
      </c>
    </row>
    <row r="22" spans="1:13" x14ac:dyDescent="0.2">
      <c r="A22" t="s">
        <v>1249</v>
      </c>
      <c r="B22" t="s">
        <v>1687</v>
      </c>
      <c r="E22" s="51"/>
      <c r="F22" s="16" t="s">
        <v>423</v>
      </c>
      <c r="G22" s="24">
        <v>1801</v>
      </c>
      <c r="H22" s="24">
        <v>1575</v>
      </c>
      <c r="I22">
        <v>853</v>
      </c>
      <c r="J22">
        <v>0</v>
      </c>
      <c r="K22" s="45">
        <v>266900</v>
      </c>
      <c r="L22" s="45">
        <v>2493</v>
      </c>
      <c r="M22">
        <v>319</v>
      </c>
    </row>
    <row r="23" spans="1:13" x14ac:dyDescent="0.2">
      <c r="E23" s="51"/>
      <c r="F23" s="16" t="s">
        <v>432</v>
      </c>
      <c r="G23" s="24">
        <v>11018</v>
      </c>
      <c r="H23" s="24">
        <v>10182</v>
      </c>
      <c r="I23" s="15">
        <v>5341</v>
      </c>
      <c r="J23">
        <v>0.7</v>
      </c>
      <c r="K23" s="45">
        <v>271000</v>
      </c>
      <c r="L23" s="45">
        <v>2272</v>
      </c>
      <c r="M23" s="15">
        <v>1469</v>
      </c>
    </row>
    <row r="24" spans="1:13" x14ac:dyDescent="0.2">
      <c r="E24" s="51"/>
      <c r="F24" t="s">
        <v>436</v>
      </c>
      <c r="G24" s="15">
        <v>1697</v>
      </c>
      <c r="H24" s="15">
        <v>1491</v>
      </c>
      <c r="I24" s="15">
        <v>1172</v>
      </c>
      <c r="J24">
        <v>0.9</v>
      </c>
      <c r="K24" s="45">
        <v>357800</v>
      </c>
      <c r="L24" s="45">
        <v>2790</v>
      </c>
      <c r="M24">
        <v>398</v>
      </c>
    </row>
    <row r="25" spans="1:13" x14ac:dyDescent="0.2">
      <c r="E25" s="51"/>
      <c r="F25" s="16" t="s">
        <v>440</v>
      </c>
      <c r="G25" s="16">
        <v>265</v>
      </c>
      <c r="H25" s="16">
        <v>229</v>
      </c>
      <c r="I25">
        <v>138</v>
      </c>
      <c r="J25">
        <v>7.4</v>
      </c>
      <c r="K25" s="45">
        <v>261100</v>
      </c>
      <c r="L25" s="45">
        <v>1989</v>
      </c>
      <c r="M25">
        <v>30</v>
      </c>
    </row>
    <row r="26" spans="1:13" x14ac:dyDescent="0.2">
      <c r="E26" s="51"/>
      <c r="F26" s="16" t="s">
        <v>443</v>
      </c>
      <c r="G26" s="24">
        <v>7407</v>
      </c>
      <c r="H26" s="24">
        <v>6883</v>
      </c>
      <c r="I26" s="15">
        <v>5588</v>
      </c>
      <c r="J26">
        <v>2.2000000000000002</v>
      </c>
      <c r="K26" s="45">
        <v>353300</v>
      </c>
      <c r="L26" s="45">
        <v>2834</v>
      </c>
      <c r="M26" s="15">
        <v>1857</v>
      </c>
    </row>
    <row r="27" spans="1:13" x14ac:dyDescent="0.2">
      <c r="A27" s="53"/>
      <c r="B27" s="53"/>
      <c r="E27" s="51"/>
      <c r="F27" s="16" t="s">
        <v>697</v>
      </c>
      <c r="G27" s="24">
        <v>1233</v>
      </c>
      <c r="H27" s="24">
        <v>1140</v>
      </c>
      <c r="I27">
        <v>557</v>
      </c>
      <c r="J27">
        <v>0</v>
      </c>
      <c r="K27" s="45">
        <v>232100</v>
      </c>
      <c r="L27" s="45">
        <v>2411</v>
      </c>
      <c r="M27">
        <v>214</v>
      </c>
    </row>
    <row r="28" spans="1:13" x14ac:dyDescent="0.2">
      <c r="E28" s="51"/>
      <c r="F28" s="16" t="s">
        <v>449</v>
      </c>
      <c r="G28" s="24">
        <v>3009</v>
      </c>
      <c r="H28" s="24">
        <v>2841</v>
      </c>
      <c r="I28" s="15">
        <v>2373</v>
      </c>
      <c r="J28">
        <v>0</v>
      </c>
      <c r="K28" s="45">
        <v>336800</v>
      </c>
      <c r="L28" s="45">
        <v>2942</v>
      </c>
      <c r="M28">
        <v>785</v>
      </c>
    </row>
    <row r="29" spans="1:13" x14ac:dyDescent="0.2">
      <c r="E29" s="51"/>
      <c r="F29" s="16" t="s">
        <v>451</v>
      </c>
      <c r="G29" s="24">
        <v>9101</v>
      </c>
      <c r="H29" s="24">
        <v>8330</v>
      </c>
      <c r="I29" s="15">
        <v>5806</v>
      </c>
      <c r="J29">
        <v>0.9</v>
      </c>
      <c r="K29" s="45">
        <v>271700</v>
      </c>
      <c r="L29" s="45">
        <v>2299</v>
      </c>
      <c r="M29" s="15">
        <v>1884</v>
      </c>
    </row>
    <row r="30" spans="1:13" x14ac:dyDescent="0.2">
      <c r="E30" s="51"/>
      <c r="F30" s="16" t="s">
        <v>453</v>
      </c>
      <c r="G30" s="24">
        <v>1446</v>
      </c>
      <c r="H30" s="24">
        <v>1286</v>
      </c>
      <c r="I30">
        <v>705</v>
      </c>
      <c r="J30">
        <v>7</v>
      </c>
      <c r="K30" s="45">
        <v>200200</v>
      </c>
      <c r="L30" s="45">
        <v>1747</v>
      </c>
      <c r="M30">
        <v>199</v>
      </c>
    </row>
    <row r="31" spans="1:13" x14ac:dyDescent="0.2">
      <c r="E31" s="51"/>
      <c r="F31" s="16" t="s">
        <v>455</v>
      </c>
      <c r="G31" s="24">
        <v>1373</v>
      </c>
      <c r="H31" s="24">
        <v>1346</v>
      </c>
      <c r="I31">
        <v>859</v>
      </c>
      <c r="J31">
        <v>0</v>
      </c>
      <c r="K31" s="45">
        <v>291000</v>
      </c>
      <c r="L31" s="45">
        <v>2269</v>
      </c>
      <c r="M31">
        <v>195</v>
      </c>
    </row>
    <row r="32" spans="1:13" x14ac:dyDescent="0.2">
      <c r="E32" s="51"/>
      <c r="F32" t="s">
        <v>457</v>
      </c>
      <c r="G32" s="15">
        <v>3003</v>
      </c>
      <c r="H32" s="15">
        <v>2790</v>
      </c>
      <c r="I32" s="15">
        <v>1717</v>
      </c>
      <c r="J32">
        <v>0</v>
      </c>
      <c r="K32" s="45">
        <v>257300</v>
      </c>
      <c r="L32" s="45">
        <v>2309</v>
      </c>
      <c r="M32">
        <v>699</v>
      </c>
    </row>
    <row r="33" spans="5:13" x14ac:dyDescent="0.2">
      <c r="E33" s="51"/>
      <c r="F33" s="16" t="s">
        <v>459</v>
      </c>
      <c r="G33" s="24">
        <v>2216</v>
      </c>
      <c r="H33" s="24">
        <v>1906</v>
      </c>
      <c r="I33" s="15">
        <v>1550</v>
      </c>
      <c r="J33">
        <v>3.4</v>
      </c>
      <c r="K33" s="45">
        <v>269900</v>
      </c>
      <c r="L33" s="45">
        <v>2109</v>
      </c>
      <c r="M33">
        <v>405</v>
      </c>
    </row>
    <row r="34" spans="5:13" x14ac:dyDescent="0.2">
      <c r="E34" s="51"/>
      <c r="F34" s="16" t="s">
        <v>463</v>
      </c>
      <c r="G34" s="16">
        <v>524</v>
      </c>
      <c r="H34" s="16">
        <v>491</v>
      </c>
      <c r="I34" s="18">
        <v>321</v>
      </c>
      <c r="J34">
        <v>1.5</v>
      </c>
      <c r="K34" s="45">
        <v>223100</v>
      </c>
      <c r="L34" s="45">
        <v>2169</v>
      </c>
      <c r="M34">
        <v>120</v>
      </c>
    </row>
    <row r="35" spans="5:13" x14ac:dyDescent="0.2">
      <c r="E35" s="51"/>
      <c r="F35" s="16" t="s">
        <v>465</v>
      </c>
      <c r="G35" s="24">
        <v>11700</v>
      </c>
      <c r="H35" s="24">
        <v>9951</v>
      </c>
      <c r="I35" s="30">
        <v>3475</v>
      </c>
      <c r="J35">
        <v>1.3</v>
      </c>
      <c r="K35" s="45">
        <v>166000</v>
      </c>
      <c r="L35" s="45">
        <v>1852</v>
      </c>
      <c r="M35" s="15">
        <v>1161</v>
      </c>
    </row>
    <row r="36" spans="5:13" x14ac:dyDescent="0.2">
      <c r="E36" s="51"/>
      <c r="F36" s="16" t="s">
        <v>467</v>
      </c>
      <c r="G36" s="24">
        <v>12127</v>
      </c>
      <c r="H36" s="24">
        <v>11228</v>
      </c>
      <c r="I36" s="30">
        <v>9224</v>
      </c>
      <c r="J36">
        <v>1.5</v>
      </c>
      <c r="K36" s="45">
        <v>278500</v>
      </c>
      <c r="L36" s="45">
        <v>2213</v>
      </c>
      <c r="M36" s="15">
        <v>2750</v>
      </c>
    </row>
    <row r="37" spans="5:13" x14ac:dyDescent="0.2">
      <c r="E37" s="51"/>
      <c r="F37" s="16" t="s">
        <v>469</v>
      </c>
      <c r="G37" s="24">
        <v>10557</v>
      </c>
      <c r="H37" s="24">
        <v>9899</v>
      </c>
      <c r="I37" s="30">
        <v>7088</v>
      </c>
      <c r="J37">
        <v>1.1000000000000001</v>
      </c>
      <c r="K37" s="45">
        <v>290000</v>
      </c>
      <c r="L37" s="45">
        <v>2542</v>
      </c>
      <c r="M37" s="15">
        <v>2268</v>
      </c>
    </row>
    <row r="38" spans="5:13" x14ac:dyDescent="0.2">
      <c r="E38" s="51"/>
      <c r="F38" t="s">
        <v>471</v>
      </c>
      <c r="G38" s="15">
        <v>6069</v>
      </c>
      <c r="H38" s="15">
        <v>5781</v>
      </c>
      <c r="I38" s="15">
        <v>1895</v>
      </c>
      <c r="J38">
        <v>0</v>
      </c>
      <c r="K38" s="45">
        <v>566100</v>
      </c>
      <c r="L38" s="45">
        <v>2610</v>
      </c>
      <c r="M38" s="15">
        <v>1304</v>
      </c>
    </row>
    <row r="39" spans="5:13" x14ac:dyDescent="0.2">
      <c r="E39" s="51"/>
      <c r="F39" t="s">
        <v>473</v>
      </c>
      <c r="G39" s="15">
        <v>6069</v>
      </c>
      <c r="H39" s="15">
        <v>5781</v>
      </c>
      <c r="I39" s="15">
        <v>1895</v>
      </c>
      <c r="J39">
        <v>0</v>
      </c>
      <c r="K39" s="45">
        <v>566100</v>
      </c>
      <c r="L39" s="45">
        <v>2610</v>
      </c>
      <c r="M39" s="15">
        <v>1304</v>
      </c>
    </row>
    <row r="40" spans="5:13" x14ac:dyDescent="0.2">
      <c r="E40" s="51"/>
      <c r="F40" t="s">
        <v>476</v>
      </c>
      <c r="G40" s="15">
        <v>4044</v>
      </c>
      <c r="H40" s="15">
        <v>3566</v>
      </c>
      <c r="I40" s="15">
        <v>1837</v>
      </c>
      <c r="J40">
        <v>4.4000000000000004</v>
      </c>
      <c r="K40" s="45">
        <v>153300</v>
      </c>
      <c r="L40" s="45">
        <v>1692</v>
      </c>
      <c r="M40">
        <v>684</v>
      </c>
    </row>
    <row r="41" spans="5:13" x14ac:dyDescent="0.2">
      <c r="E41" s="51"/>
      <c r="F41" t="s">
        <v>497</v>
      </c>
      <c r="G41" s="15">
        <v>1722</v>
      </c>
      <c r="H41" s="15">
        <v>1477</v>
      </c>
      <c r="I41" s="15">
        <v>1235</v>
      </c>
      <c r="J41">
        <v>3.4</v>
      </c>
      <c r="K41" s="45">
        <v>528500</v>
      </c>
      <c r="L41" s="45">
        <v>3296</v>
      </c>
      <c r="M41">
        <v>359</v>
      </c>
    </row>
    <row r="42" spans="5:13" x14ac:dyDescent="0.2">
      <c r="E42" s="51"/>
      <c r="F42" t="s">
        <v>502</v>
      </c>
      <c r="G42">
        <v>457</v>
      </c>
      <c r="H42">
        <v>360</v>
      </c>
      <c r="I42">
        <v>324</v>
      </c>
      <c r="J42">
        <v>2.9</v>
      </c>
      <c r="K42" s="45">
        <v>2000000</v>
      </c>
      <c r="L42" s="45">
        <v>3938</v>
      </c>
      <c r="M42">
        <v>54</v>
      </c>
    </row>
    <row r="43" spans="5:13" x14ac:dyDescent="0.2">
      <c r="E43" s="51"/>
      <c r="F43" t="s">
        <v>503</v>
      </c>
      <c r="G43" s="15">
        <v>12140</v>
      </c>
      <c r="H43" s="15">
        <v>11574</v>
      </c>
      <c r="I43" s="15">
        <v>7723</v>
      </c>
      <c r="J43">
        <v>0.7</v>
      </c>
      <c r="K43" s="45">
        <v>259700</v>
      </c>
      <c r="L43" s="45">
        <v>2177</v>
      </c>
      <c r="M43" s="15">
        <v>2582</v>
      </c>
    </row>
    <row r="44" spans="5:13" x14ac:dyDescent="0.2">
      <c r="E44" s="51"/>
      <c r="F44" t="s">
        <v>504</v>
      </c>
      <c r="G44" s="15">
        <v>13071</v>
      </c>
      <c r="H44" s="15">
        <v>11739</v>
      </c>
      <c r="I44" s="15">
        <v>9300</v>
      </c>
      <c r="J44">
        <v>2</v>
      </c>
      <c r="K44" s="45">
        <v>347900</v>
      </c>
      <c r="L44" s="45">
        <v>2682</v>
      </c>
      <c r="M44" s="15">
        <v>2524</v>
      </c>
    </row>
    <row r="45" spans="5:13" x14ac:dyDescent="0.2">
      <c r="E45" s="51"/>
      <c r="F45" t="s">
        <v>505</v>
      </c>
      <c r="G45" s="15">
        <v>1049</v>
      </c>
      <c r="H45">
        <v>938</v>
      </c>
      <c r="I45">
        <v>745</v>
      </c>
      <c r="J45">
        <v>2.8</v>
      </c>
      <c r="K45" s="45">
        <v>289300</v>
      </c>
      <c r="L45" s="45">
        <v>2308</v>
      </c>
      <c r="M45">
        <v>220</v>
      </c>
    </row>
    <row r="46" spans="5:13" x14ac:dyDescent="0.2">
      <c r="E46" s="51"/>
      <c r="F46" t="s">
        <v>506</v>
      </c>
      <c r="G46" s="15">
        <v>1430</v>
      </c>
      <c r="H46" s="15">
        <v>1114</v>
      </c>
      <c r="I46">
        <v>857</v>
      </c>
      <c r="J46">
        <v>3.3</v>
      </c>
      <c r="K46" s="45">
        <v>259600</v>
      </c>
      <c r="L46" s="45">
        <v>2123</v>
      </c>
      <c r="M46">
        <v>237</v>
      </c>
    </row>
    <row r="47" spans="5:13" x14ac:dyDescent="0.2">
      <c r="E47" s="51"/>
      <c r="F47" t="s">
        <v>507</v>
      </c>
      <c r="G47" s="15">
        <v>3301</v>
      </c>
      <c r="H47" s="15">
        <v>3130</v>
      </c>
      <c r="I47" s="15">
        <v>1920</v>
      </c>
      <c r="J47">
        <v>0</v>
      </c>
      <c r="K47" s="45">
        <v>349900</v>
      </c>
      <c r="L47" s="45">
        <v>2612</v>
      </c>
      <c r="M47">
        <v>420</v>
      </c>
    </row>
    <row r="48" spans="5:13" x14ac:dyDescent="0.2">
      <c r="E48" s="51"/>
      <c r="F48" t="s">
        <v>508</v>
      </c>
      <c r="G48" s="15">
        <v>2872</v>
      </c>
      <c r="H48" s="15">
        <v>2670</v>
      </c>
      <c r="I48" s="15">
        <v>2274</v>
      </c>
      <c r="J48">
        <v>1.1000000000000001</v>
      </c>
      <c r="K48" s="45">
        <v>291400</v>
      </c>
      <c r="L48" s="45">
        <v>2225</v>
      </c>
      <c r="M48">
        <v>672</v>
      </c>
    </row>
    <row r="49" spans="5:13" x14ac:dyDescent="0.2">
      <c r="E49" s="51"/>
      <c r="F49" t="s">
        <v>509</v>
      </c>
      <c r="G49" s="15">
        <v>4261</v>
      </c>
      <c r="H49" s="15">
        <v>3753</v>
      </c>
      <c r="I49" s="15">
        <v>3303</v>
      </c>
      <c r="J49">
        <v>1.5</v>
      </c>
      <c r="K49" s="45">
        <v>353200</v>
      </c>
      <c r="L49" s="45">
        <v>2929</v>
      </c>
      <c r="M49" s="15">
        <v>1154</v>
      </c>
    </row>
    <row r="50" spans="5:13" x14ac:dyDescent="0.2">
      <c r="E50" s="51"/>
      <c r="F50" t="s">
        <v>510</v>
      </c>
      <c r="G50" s="15">
        <v>3999</v>
      </c>
      <c r="H50" s="15">
        <v>3498</v>
      </c>
      <c r="I50" s="15">
        <v>3206</v>
      </c>
      <c r="J50">
        <v>1.6</v>
      </c>
      <c r="K50" s="45">
        <v>355900</v>
      </c>
      <c r="L50" s="45">
        <v>2951</v>
      </c>
      <c r="M50" s="15">
        <v>1102</v>
      </c>
    </row>
    <row r="51" spans="5:13" x14ac:dyDescent="0.2">
      <c r="E51" s="51"/>
    </row>
    <row r="52" spans="5:13" x14ac:dyDescent="0.2">
      <c r="E52" s="51"/>
    </row>
    <row r="53" spans="5:13" x14ac:dyDescent="0.2">
      <c r="E53" s="51"/>
    </row>
    <row r="54" spans="5:13" x14ac:dyDescent="0.2">
      <c r="E54" s="51"/>
    </row>
    <row r="55" spans="5:13" x14ac:dyDescent="0.2">
      <c r="E55" s="51"/>
    </row>
    <row r="56" spans="5:13" x14ac:dyDescent="0.2">
      <c r="E56" s="51"/>
    </row>
    <row r="57" spans="5:13" x14ac:dyDescent="0.2">
      <c r="E57" s="51"/>
    </row>
  </sheetData>
  <mergeCells count="9">
    <mergeCell ref="B1:O1"/>
    <mergeCell ref="A5:B5"/>
    <mergeCell ref="E5:E57"/>
    <mergeCell ref="A9:B9"/>
    <mergeCell ref="A18:B18"/>
    <mergeCell ref="A21:B21"/>
    <mergeCell ref="A27:B27"/>
    <mergeCell ref="F5:F6"/>
    <mergeCell ref="G5:N5"/>
  </mergeCells>
  <dataValidations count="4">
    <dataValidation type="list" allowBlank="1" showInputMessage="1" showErrorMessage="1" sqref="P4:Q4" xr:uid="{9FA998C1-8089-4CD6-B79E-5F4835949E5A}">
      <formula1>"integer, number, percent1"</formula1>
    </dataValidation>
    <dataValidation type="list" allowBlank="1" showInputMessage="1" showErrorMessage="1" sqref="B10" xr:uid="{DAC48205-CC9D-446C-AFA2-FB742018BED8}">
      <formula1>"Line,Clustered Bar,Stacked Bar,Bar,Horizontal Stacked Bar"</formula1>
    </dataValidation>
    <dataValidation type="list" allowBlank="1" showInputMessage="1" showErrorMessage="1" sqref="B2" xr:uid="{57CDF84C-FD16-4BDC-86AB-C57035C465FA}">
      <formula1>"Table,Figure,Both"</formula1>
    </dataValidation>
    <dataValidation type="list" allowBlank="1" showInputMessage="1" showErrorMessage="1" sqref="B6 B15:B16" xr:uid="{6F5CE2DF-4610-4E29-8A59-1F7FFA8EC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EC918BC-7179-4312-820D-BF19F33758B5}">
          <x14:formula1>
            <xm:f>Dropdowns!$B$2:$B$9</xm:f>
          </x14:formula1>
          <xm:sqref>B14</xm:sqref>
        </x14:dataValidation>
        <x14:dataValidation type="list" allowBlank="1" showInputMessage="1" showErrorMessage="1" xr:uid="{C6D6290E-747C-4198-9AD1-CBF21F607A1C}">
          <x14:formula1>
            <xm:f>Dropdowns!$A$1:$A$8</xm:f>
          </x14:formula1>
          <xm:sqref>F4:O4</xm:sqref>
        </x14:dataValidation>
        <x14:dataValidation type="list" allowBlank="1" showInputMessage="1" showErrorMessage="1" xr:uid="{9FBC8B20-EE24-4293-B81F-1AB16303652C}">
          <x14:formula1>
            <xm:f>Master!$F$2:$F$401</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1B5D8-686E-4B65-B54E-AEF6515EABB9}">
  <dimension ref="A1:Q57"/>
  <sheetViews>
    <sheetView workbookViewId="0">
      <selection activeCell="L4" sqref="L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7" t="s">
        <v>252</v>
      </c>
      <c r="B1" s="48" t="s">
        <v>279</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
      </c>
    </row>
    <row r="4" spans="1:17" x14ac:dyDescent="0.2">
      <c r="A4" s="17" t="s">
        <v>5</v>
      </c>
      <c r="B4" t="str">
        <f>IF($B$1="","",_xlfn.XLOOKUP($B$1,Master!$E$2:$E$320,Master!$G$2:$G$320,""))</f>
        <v/>
      </c>
      <c r="E4" s="8"/>
      <c r="F4" s="10" t="s">
        <v>144</v>
      </c>
      <c r="G4" s="10" t="s">
        <v>149</v>
      </c>
      <c r="H4" s="10" t="s">
        <v>149</v>
      </c>
      <c r="I4" s="10" t="s">
        <v>149</v>
      </c>
      <c r="J4" s="10" t="s">
        <v>155</v>
      </c>
      <c r="K4" s="10" t="s">
        <v>165</v>
      </c>
      <c r="L4" s="10" t="s">
        <v>149</v>
      </c>
      <c r="M4" s="10"/>
      <c r="N4" s="10"/>
      <c r="O4" s="10"/>
      <c r="P4" s="10"/>
      <c r="Q4" s="10"/>
    </row>
    <row r="5" spans="1:17" x14ac:dyDescent="0.2">
      <c r="A5" s="50" t="s">
        <v>255</v>
      </c>
      <c r="B5" s="51"/>
      <c r="E5" s="52" t="s">
        <v>256</v>
      </c>
      <c r="F5" s="53" t="s">
        <v>394</v>
      </c>
      <c r="G5" s="53" t="s">
        <v>1680</v>
      </c>
      <c r="H5" s="53"/>
      <c r="I5" s="53"/>
      <c r="J5" s="53"/>
      <c r="K5" s="53"/>
      <c r="L5" s="53"/>
    </row>
    <row r="6" spans="1:17" ht="15" customHeight="1" x14ac:dyDescent="0.2">
      <c r="A6" t="s">
        <v>259</v>
      </c>
      <c r="B6" t="b">
        <v>1</v>
      </c>
      <c r="E6" s="51"/>
      <c r="F6" s="53"/>
      <c r="G6" s="16" t="s">
        <v>1669</v>
      </c>
      <c r="H6" s="16" t="s">
        <v>1681</v>
      </c>
      <c r="I6" s="16" t="s">
        <v>1689</v>
      </c>
      <c r="J6" s="16" t="s">
        <v>1690</v>
      </c>
      <c r="K6" s="16" t="s">
        <v>1691</v>
      </c>
      <c r="L6" s="16" t="s">
        <v>1692</v>
      </c>
      <c r="M6" s="16"/>
      <c r="N6" s="16"/>
      <c r="O6" s="16"/>
    </row>
    <row r="7" spans="1:17" ht="15.75" customHeight="1" x14ac:dyDescent="0.2">
      <c r="E7" s="51"/>
      <c r="F7" t="s">
        <v>396</v>
      </c>
      <c r="G7" s="24">
        <v>145947</v>
      </c>
      <c r="H7" s="24">
        <v>132880</v>
      </c>
      <c r="I7" s="24">
        <v>41346</v>
      </c>
      <c r="J7" s="16">
        <v>4.2</v>
      </c>
      <c r="K7" s="41">
        <v>1379</v>
      </c>
      <c r="L7" s="24">
        <v>24456</v>
      </c>
      <c r="M7" s="16"/>
      <c r="N7" s="16"/>
      <c r="O7" s="16"/>
    </row>
    <row r="8" spans="1:17" x14ac:dyDescent="0.2">
      <c r="E8" s="51"/>
      <c r="F8" t="s">
        <v>397</v>
      </c>
      <c r="G8" s="24">
        <v>6749</v>
      </c>
      <c r="H8" s="24">
        <v>6005</v>
      </c>
      <c r="I8" s="24">
        <v>1117</v>
      </c>
      <c r="J8" s="16">
        <v>6.6</v>
      </c>
      <c r="K8" s="41">
        <v>1429</v>
      </c>
      <c r="L8" s="16">
        <v>558</v>
      </c>
      <c r="M8" s="16"/>
      <c r="N8" s="16"/>
      <c r="O8" s="16"/>
    </row>
    <row r="9" spans="1:17" x14ac:dyDescent="0.2">
      <c r="A9" s="50" t="s">
        <v>260</v>
      </c>
      <c r="B9" s="51"/>
      <c r="E9" s="51"/>
      <c r="F9" t="s">
        <v>398</v>
      </c>
      <c r="G9" s="24">
        <v>1483</v>
      </c>
      <c r="H9" s="24">
        <v>1261</v>
      </c>
      <c r="I9" s="16">
        <v>266</v>
      </c>
      <c r="J9" s="16">
        <v>4.7</v>
      </c>
      <c r="K9" s="41">
        <v>1415</v>
      </c>
      <c r="L9" s="16">
        <v>139</v>
      </c>
      <c r="M9" s="16"/>
      <c r="N9" s="16"/>
      <c r="O9" s="16"/>
    </row>
    <row r="10" spans="1:17" x14ac:dyDescent="0.2">
      <c r="A10" t="s">
        <v>261</v>
      </c>
      <c r="E10" s="51"/>
      <c r="F10" t="s">
        <v>399</v>
      </c>
      <c r="G10" s="24">
        <v>2080</v>
      </c>
      <c r="H10" s="24">
        <v>2004</v>
      </c>
      <c r="I10" s="16">
        <v>429</v>
      </c>
      <c r="J10" s="16">
        <v>6.9</v>
      </c>
      <c r="K10" s="41">
        <v>1088</v>
      </c>
      <c r="L10" s="16">
        <v>299</v>
      </c>
    </row>
    <row r="11" spans="1:17" x14ac:dyDescent="0.2">
      <c r="A11" t="s">
        <v>262</v>
      </c>
      <c r="E11" s="51"/>
      <c r="F11" t="s">
        <v>400</v>
      </c>
      <c r="G11" s="24">
        <v>4712</v>
      </c>
      <c r="H11" s="24">
        <v>4364</v>
      </c>
      <c r="I11" s="16">
        <v>852</v>
      </c>
      <c r="J11" s="18">
        <v>0</v>
      </c>
      <c r="K11" s="43">
        <v>1539</v>
      </c>
      <c r="L11" s="18">
        <v>294</v>
      </c>
      <c r="M11" s="18"/>
      <c r="N11" s="18"/>
    </row>
    <row r="12" spans="1:17" x14ac:dyDescent="0.2">
      <c r="A12" t="s">
        <v>263</v>
      </c>
      <c r="E12" s="51"/>
      <c r="F12" s="22" t="s">
        <v>401</v>
      </c>
      <c r="G12" s="30">
        <v>1735</v>
      </c>
      <c r="H12" s="30">
        <v>1643</v>
      </c>
      <c r="I12" s="16">
        <v>721</v>
      </c>
      <c r="J12" s="16">
        <v>0</v>
      </c>
      <c r="K12" s="41">
        <v>1459</v>
      </c>
      <c r="L12" s="16">
        <v>247</v>
      </c>
    </row>
    <row r="13" spans="1:17" x14ac:dyDescent="0.2">
      <c r="A13" t="s">
        <v>264</v>
      </c>
      <c r="E13" s="51"/>
      <c r="F13" t="s">
        <v>404</v>
      </c>
      <c r="G13" s="24">
        <v>5250</v>
      </c>
      <c r="H13" s="24">
        <v>4890</v>
      </c>
      <c r="I13" s="24">
        <v>1303</v>
      </c>
      <c r="J13" s="16">
        <v>2.2000000000000002</v>
      </c>
      <c r="K13" s="41">
        <v>1577</v>
      </c>
      <c r="L13" s="16">
        <v>570</v>
      </c>
    </row>
    <row r="14" spans="1:17" x14ac:dyDescent="0.2">
      <c r="A14" t="s">
        <v>265</v>
      </c>
      <c r="E14" s="51"/>
      <c r="F14" t="s">
        <v>407</v>
      </c>
      <c r="G14" s="24">
        <v>1250</v>
      </c>
      <c r="H14" s="24">
        <v>1186</v>
      </c>
      <c r="I14" s="16">
        <v>368</v>
      </c>
      <c r="J14" s="16">
        <v>0</v>
      </c>
      <c r="K14" s="41">
        <v>1277</v>
      </c>
      <c r="L14" s="16">
        <v>78</v>
      </c>
    </row>
    <row r="15" spans="1:17" x14ac:dyDescent="0.2">
      <c r="A15" t="s">
        <v>267</v>
      </c>
      <c r="E15" s="51"/>
      <c r="F15" t="s">
        <v>408</v>
      </c>
      <c r="G15" s="24">
        <v>3103</v>
      </c>
      <c r="H15" s="24">
        <v>3029</v>
      </c>
      <c r="I15" s="16">
        <v>665</v>
      </c>
      <c r="J15" s="16">
        <v>4.5999999999999996</v>
      </c>
      <c r="K15" s="41">
        <v>1421</v>
      </c>
      <c r="L15" s="16">
        <v>307</v>
      </c>
    </row>
    <row r="16" spans="1:17" x14ac:dyDescent="0.2">
      <c r="A16" t="s">
        <v>274</v>
      </c>
      <c r="E16" s="51"/>
      <c r="F16" t="s">
        <v>409</v>
      </c>
      <c r="G16" s="24">
        <v>3143</v>
      </c>
      <c r="H16" s="24">
        <v>2800</v>
      </c>
      <c r="I16" s="16">
        <v>536</v>
      </c>
      <c r="J16" s="16">
        <v>8.4</v>
      </c>
      <c r="K16" s="41">
        <v>1156</v>
      </c>
      <c r="L16" s="16">
        <v>256</v>
      </c>
    </row>
    <row r="17" spans="1:12" x14ac:dyDescent="0.2">
      <c r="E17" s="51"/>
      <c r="F17" t="s">
        <v>410</v>
      </c>
      <c r="G17" s="24">
        <v>4862</v>
      </c>
      <c r="H17" s="24">
        <v>4373</v>
      </c>
      <c r="I17" s="24">
        <v>1072</v>
      </c>
      <c r="J17" s="16">
        <v>9.1999999999999993</v>
      </c>
      <c r="K17" s="41">
        <v>1367</v>
      </c>
      <c r="L17" s="16">
        <v>577</v>
      </c>
    </row>
    <row r="18" spans="1:12" x14ac:dyDescent="0.2">
      <c r="A18" s="50" t="s">
        <v>268</v>
      </c>
      <c r="B18" s="51"/>
      <c r="E18" s="51"/>
      <c r="F18" t="s">
        <v>411</v>
      </c>
      <c r="G18" s="24">
        <v>2548</v>
      </c>
      <c r="H18" s="24">
        <v>2307</v>
      </c>
      <c r="I18" s="16">
        <v>904</v>
      </c>
      <c r="J18" s="16">
        <v>10.8</v>
      </c>
      <c r="K18" s="41">
        <v>1339</v>
      </c>
      <c r="L18" s="16">
        <v>484</v>
      </c>
    </row>
    <row r="19" spans="1:12" x14ac:dyDescent="0.2">
      <c r="A19" t="s">
        <v>1250</v>
      </c>
      <c r="B19" t="s">
        <v>1694</v>
      </c>
      <c r="E19" s="51"/>
      <c r="F19" t="s">
        <v>412</v>
      </c>
      <c r="G19" s="24">
        <v>1678</v>
      </c>
      <c r="H19" s="24">
        <v>1581</v>
      </c>
      <c r="I19" s="16">
        <v>238</v>
      </c>
      <c r="J19" s="16">
        <v>10.199999999999999</v>
      </c>
      <c r="K19" s="41">
        <v>1377</v>
      </c>
      <c r="L19" s="16">
        <v>93</v>
      </c>
    </row>
    <row r="20" spans="1:12" x14ac:dyDescent="0.2">
      <c r="E20" s="51"/>
      <c r="F20" s="16" t="s">
        <v>413</v>
      </c>
      <c r="G20" s="24">
        <v>1844</v>
      </c>
      <c r="H20" s="24">
        <v>1735</v>
      </c>
      <c r="I20" s="16">
        <v>97</v>
      </c>
      <c r="J20" s="16">
        <v>0</v>
      </c>
      <c r="K20" s="41">
        <v>793</v>
      </c>
      <c r="L20" s="16">
        <v>0</v>
      </c>
    </row>
    <row r="21" spans="1:12" x14ac:dyDescent="0.2">
      <c r="A21" s="53" t="s">
        <v>269</v>
      </c>
      <c r="B21" s="51"/>
      <c r="E21" s="51"/>
      <c r="F21" s="16" t="s">
        <v>414</v>
      </c>
      <c r="G21" s="24">
        <v>3750</v>
      </c>
      <c r="H21" s="24">
        <v>3251</v>
      </c>
      <c r="I21" s="24">
        <v>1947</v>
      </c>
      <c r="J21" s="16">
        <v>7.2</v>
      </c>
      <c r="K21" s="41">
        <v>2095</v>
      </c>
      <c r="L21" s="16">
        <v>889</v>
      </c>
    </row>
    <row r="22" spans="1:12" x14ac:dyDescent="0.2">
      <c r="A22" t="s">
        <v>1249</v>
      </c>
      <c r="B22" t="s">
        <v>1693</v>
      </c>
      <c r="E22" s="51"/>
      <c r="F22" s="16" t="s">
        <v>423</v>
      </c>
      <c r="G22" s="24">
        <v>1801</v>
      </c>
      <c r="H22" s="24">
        <v>1575</v>
      </c>
      <c r="I22" s="16">
        <v>722</v>
      </c>
      <c r="J22" s="16">
        <v>5.2</v>
      </c>
      <c r="K22" s="41">
        <v>1459</v>
      </c>
      <c r="L22" s="16">
        <v>340</v>
      </c>
    </row>
    <row r="23" spans="1:12" x14ac:dyDescent="0.2">
      <c r="E23" s="51"/>
      <c r="F23" s="16" t="s">
        <v>432</v>
      </c>
      <c r="G23" s="24">
        <v>11872</v>
      </c>
      <c r="H23" s="24">
        <v>10604</v>
      </c>
      <c r="I23" s="24">
        <v>4741</v>
      </c>
      <c r="J23" s="16">
        <v>6.4</v>
      </c>
      <c r="K23" s="41">
        <v>1407</v>
      </c>
      <c r="L23" s="24">
        <v>3353</v>
      </c>
    </row>
    <row r="24" spans="1:12" x14ac:dyDescent="0.2">
      <c r="E24" s="51"/>
      <c r="F24" t="s">
        <v>436</v>
      </c>
      <c r="G24" s="24">
        <v>1697</v>
      </c>
      <c r="H24" s="24">
        <v>1491</v>
      </c>
      <c r="I24" s="16">
        <v>319</v>
      </c>
      <c r="J24" s="16">
        <v>20.100000000000001</v>
      </c>
      <c r="K24" s="41">
        <v>1304</v>
      </c>
      <c r="L24" s="16">
        <v>206</v>
      </c>
    </row>
    <row r="25" spans="1:12" x14ac:dyDescent="0.2">
      <c r="E25" s="51"/>
      <c r="F25" s="16" t="s">
        <v>440</v>
      </c>
      <c r="G25" s="16">
        <v>265</v>
      </c>
      <c r="H25" s="16">
        <v>229</v>
      </c>
      <c r="I25" s="16">
        <v>91</v>
      </c>
      <c r="J25" s="16">
        <v>0</v>
      </c>
      <c r="K25" s="41">
        <v>1223</v>
      </c>
      <c r="L25" s="16">
        <v>8</v>
      </c>
    </row>
    <row r="26" spans="1:12" x14ac:dyDescent="0.2">
      <c r="E26" s="51"/>
      <c r="F26" s="16" t="s">
        <v>443</v>
      </c>
      <c r="G26" s="24">
        <v>7407</v>
      </c>
      <c r="H26" s="24">
        <v>6883</v>
      </c>
      <c r="I26" s="24">
        <v>1295</v>
      </c>
      <c r="J26" s="16">
        <v>1.7</v>
      </c>
      <c r="K26" s="41">
        <v>1748</v>
      </c>
      <c r="L26" s="16">
        <v>572</v>
      </c>
    </row>
    <row r="27" spans="1:12" x14ac:dyDescent="0.2">
      <c r="A27" s="53"/>
      <c r="B27" s="53"/>
      <c r="E27" s="51"/>
      <c r="F27" s="16" t="s">
        <v>697</v>
      </c>
      <c r="G27" s="24">
        <v>1233</v>
      </c>
      <c r="H27" s="24">
        <v>1140</v>
      </c>
      <c r="I27" s="16">
        <v>583</v>
      </c>
      <c r="J27" s="16">
        <v>0</v>
      </c>
      <c r="K27" s="41">
        <v>1742</v>
      </c>
      <c r="L27" s="16">
        <v>279</v>
      </c>
    </row>
    <row r="28" spans="1:12" x14ac:dyDescent="0.2">
      <c r="E28" s="51"/>
      <c r="F28" s="16" t="s">
        <v>449</v>
      </c>
      <c r="G28" s="24">
        <v>3009</v>
      </c>
      <c r="H28" s="24">
        <v>2841</v>
      </c>
      <c r="I28" s="16">
        <v>468</v>
      </c>
      <c r="J28" s="16">
        <v>4.7</v>
      </c>
      <c r="K28" s="41">
        <v>1670</v>
      </c>
      <c r="L28" s="16">
        <v>275</v>
      </c>
    </row>
    <row r="29" spans="1:12" x14ac:dyDescent="0.2">
      <c r="E29" s="51"/>
      <c r="F29" s="16" t="s">
        <v>451</v>
      </c>
      <c r="G29" s="24">
        <v>9101</v>
      </c>
      <c r="H29" s="24">
        <v>8330</v>
      </c>
      <c r="I29" s="24">
        <v>2524</v>
      </c>
      <c r="J29" s="16">
        <v>0.5</v>
      </c>
      <c r="K29" s="41">
        <v>1356</v>
      </c>
      <c r="L29" s="24">
        <v>1589</v>
      </c>
    </row>
    <row r="30" spans="1:12" x14ac:dyDescent="0.2">
      <c r="E30" s="51"/>
      <c r="F30" s="16" t="s">
        <v>453</v>
      </c>
      <c r="G30" s="24">
        <v>1446</v>
      </c>
      <c r="H30" s="24">
        <v>1286</v>
      </c>
      <c r="I30" s="16">
        <v>581</v>
      </c>
      <c r="J30" s="16">
        <v>2.1</v>
      </c>
      <c r="K30" s="41">
        <v>1310</v>
      </c>
      <c r="L30" s="16">
        <v>239</v>
      </c>
    </row>
    <row r="31" spans="1:12" x14ac:dyDescent="0.2">
      <c r="E31" s="51"/>
      <c r="F31" s="16" t="s">
        <v>455</v>
      </c>
      <c r="G31" s="24">
        <v>1373</v>
      </c>
      <c r="H31" s="24">
        <v>1346</v>
      </c>
      <c r="I31" s="16">
        <v>487</v>
      </c>
      <c r="J31" s="16">
        <v>0</v>
      </c>
      <c r="K31" s="41">
        <v>1425</v>
      </c>
      <c r="L31" s="16">
        <v>245</v>
      </c>
    </row>
    <row r="32" spans="1:12" x14ac:dyDescent="0.2">
      <c r="E32" s="51"/>
      <c r="F32" t="s">
        <v>457</v>
      </c>
      <c r="G32" s="24">
        <v>3003</v>
      </c>
      <c r="H32" s="24">
        <v>2790</v>
      </c>
      <c r="I32" s="24">
        <v>1073</v>
      </c>
      <c r="J32" s="16">
        <v>0</v>
      </c>
      <c r="K32" s="41">
        <v>1268</v>
      </c>
      <c r="L32" s="16">
        <v>791</v>
      </c>
    </row>
    <row r="33" spans="5:12" x14ac:dyDescent="0.2">
      <c r="E33" s="51"/>
      <c r="F33" s="16" t="s">
        <v>459</v>
      </c>
      <c r="G33" s="24">
        <v>2216</v>
      </c>
      <c r="H33" s="24">
        <v>1906</v>
      </c>
      <c r="I33" s="16">
        <v>356</v>
      </c>
      <c r="J33" s="16">
        <v>2.7</v>
      </c>
      <c r="K33" s="41">
        <v>867</v>
      </c>
      <c r="L33" s="16">
        <v>123</v>
      </c>
    </row>
    <row r="34" spans="5:12" x14ac:dyDescent="0.2">
      <c r="E34" s="51"/>
      <c r="F34" s="16" t="s">
        <v>463</v>
      </c>
      <c r="G34" s="16">
        <v>524</v>
      </c>
      <c r="H34" s="16">
        <v>491</v>
      </c>
      <c r="I34" s="18">
        <v>170</v>
      </c>
      <c r="J34" s="16">
        <v>0</v>
      </c>
      <c r="K34" s="41">
        <v>1188</v>
      </c>
      <c r="L34" s="16">
        <v>73</v>
      </c>
    </row>
    <row r="35" spans="5:12" x14ac:dyDescent="0.2">
      <c r="E35" s="51"/>
      <c r="F35" s="16" t="s">
        <v>465</v>
      </c>
      <c r="G35" s="24">
        <v>11700</v>
      </c>
      <c r="H35" s="24">
        <v>9951</v>
      </c>
      <c r="I35" s="30">
        <v>6476</v>
      </c>
      <c r="J35" s="16">
        <v>3.6</v>
      </c>
      <c r="K35" s="41">
        <v>1188</v>
      </c>
      <c r="L35" s="24">
        <v>3463</v>
      </c>
    </row>
    <row r="36" spans="5:12" x14ac:dyDescent="0.2">
      <c r="E36" s="51"/>
      <c r="F36" s="16" t="s">
        <v>467</v>
      </c>
      <c r="G36" s="24">
        <v>12127</v>
      </c>
      <c r="H36" s="24">
        <v>11228</v>
      </c>
      <c r="I36" s="30">
        <v>2004</v>
      </c>
      <c r="J36" s="16">
        <v>0.5</v>
      </c>
      <c r="K36" s="41">
        <v>1691</v>
      </c>
      <c r="L36" s="24">
        <v>1090</v>
      </c>
    </row>
    <row r="37" spans="5:12" x14ac:dyDescent="0.2">
      <c r="E37" s="51"/>
      <c r="F37" s="16" t="s">
        <v>469</v>
      </c>
      <c r="G37" s="24">
        <v>10557</v>
      </c>
      <c r="H37" s="24">
        <v>9899</v>
      </c>
      <c r="I37" s="30">
        <v>2811</v>
      </c>
      <c r="J37" s="16">
        <v>4.3</v>
      </c>
      <c r="K37" s="41">
        <v>1336</v>
      </c>
      <c r="L37" s="24">
        <v>1551</v>
      </c>
    </row>
    <row r="38" spans="5:12" x14ac:dyDescent="0.2">
      <c r="E38" s="51"/>
      <c r="F38" t="s">
        <v>471</v>
      </c>
      <c r="G38" s="24">
        <v>6069</v>
      </c>
      <c r="H38" s="24">
        <v>5781</v>
      </c>
      <c r="I38" s="24">
        <v>3886</v>
      </c>
      <c r="J38" s="16">
        <v>1.4</v>
      </c>
      <c r="K38" s="41">
        <v>1295</v>
      </c>
      <c r="L38" s="24">
        <v>2672</v>
      </c>
    </row>
    <row r="39" spans="5:12" x14ac:dyDescent="0.2">
      <c r="E39" s="51"/>
      <c r="F39" t="s">
        <v>473</v>
      </c>
      <c r="G39" s="24">
        <v>6069</v>
      </c>
      <c r="H39" s="24">
        <v>5781</v>
      </c>
      <c r="I39" s="24">
        <v>3886</v>
      </c>
      <c r="J39" s="16">
        <v>1.4</v>
      </c>
      <c r="K39" s="41">
        <v>1295</v>
      </c>
      <c r="L39" s="24">
        <v>2672</v>
      </c>
    </row>
    <row r="40" spans="5:12" x14ac:dyDescent="0.2">
      <c r="E40" s="51"/>
      <c r="F40" t="s">
        <v>476</v>
      </c>
      <c r="G40" s="24">
        <v>4044</v>
      </c>
      <c r="H40" s="24">
        <v>3566</v>
      </c>
      <c r="I40" s="24">
        <v>1729</v>
      </c>
      <c r="J40" s="16">
        <v>1.5</v>
      </c>
      <c r="K40" s="41">
        <v>1006</v>
      </c>
      <c r="L40" s="24">
        <v>1121</v>
      </c>
    </row>
    <row r="41" spans="5:12" x14ac:dyDescent="0.2">
      <c r="E41" s="51"/>
      <c r="F41" t="s">
        <v>497</v>
      </c>
      <c r="G41" s="24">
        <v>1722</v>
      </c>
      <c r="H41" s="24">
        <v>1477</v>
      </c>
      <c r="I41" s="16">
        <v>242</v>
      </c>
      <c r="J41" s="16">
        <v>9.6999999999999993</v>
      </c>
      <c r="K41" s="41">
        <v>1385</v>
      </c>
      <c r="L41" s="16">
        <v>170</v>
      </c>
    </row>
    <row r="42" spans="5:12" x14ac:dyDescent="0.2">
      <c r="E42" s="51"/>
      <c r="F42" t="s">
        <v>502</v>
      </c>
      <c r="G42" s="16">
        <v>457</v>
      </c>
      <c r="H42" s="16">
        <v>360</v>
      </c>
      <c r="I42" s="16">
        <v>36</v>
      </c>
      <c r="J42" s="16">
        <v>5.3</v>
      </c>
      <c r="K42" s="41">
        <v>1339</v>
      </c>
      <c r="L42" s="16">
        <v>19</v>
      </c>
    </row>
    <row r="43" spans="5:12" x14ac:dyDescent="0.2">
      <c r="E43" s="51"/>
      <c r="F43" t="s">
        <v>503</v>
      </c>
      <c r="G43" s="24">
        <v>12140</v>
      </c>
      <c r="H43" s="24">
        <v>11574</v>
      </c>
      <c r="I43" s="24">
        <v>3851</v>
      </c>
      <c r="J43" s="16">
        <v>3.5</v>
      </c>
      <c r="K43" s="41">
        <v>1483</v>
      </c>
      <c r="L43" s="24">
        <v>2012</v>
      </c>
    </row>
    <row r="44" spans="5:12" x14ac:dyDescent="0.2">
      <c r="E44" s="51"/>
      <c r="F44" t="s">
        <v>504</v>
      </c>
      <c r="G44" s="24">
        <v>13071</v>
      </c>
      <c r="H44" s="24">
        <v>11739</v>
      </c>
      <c r="I44" s="24">
        <v>2439</v>
      </c>
      <c r="J44" s="16">
        <v>3.7</v>
      </c>
      <c r="K44" s="41">
        <v>1227</v>
      </c>
      <c r="L44" s="24">
        <v>1419</v>
      </c>
    </row>
    <row r="45" spans="5:12" x14ac:dyDescent="0.2">
      <c r="E45" s="51"/>
      <c r="F45" t="s">
        <v>505</v>
      </c>
      <c r="G45" s="24">
        <v>1049</v>
      </c>
      <c r="H45" s="16">
        <v>938</v>
      </c>
      <c r="I45" s="16">
        <v>193</v>
      </c>
      <c r="J45" s="16">
        <v>7.2</v>
      </c>
      <c r="K45" s="41">
        <v>2018</v>
      </c>
      <c r="L45" s="16">
        <v>110</v>
      </c>
    </row>
    <row r="46" spans="5:12" x14ac:dyDescent="0.2">
      <c r="E46" s="51"/>
      <c r="F46" t="s">
        <v>506</v>
      </c>
      <c r="G46" s="24">
        <v>1430</v>
      </c>
      <c r="H46" s="24">
        <v>1114</v>
      </c>
      <c r="I46" s="16">
        <v>257</v>
      </c>
      <c r="J46" s="16">
        <v>0</v>
      </c>
      <c r="K46" s="41">
        <v>1163</v>
      </c>
      <c r="L46" s="16">
        <v>98</v>
      </c>
    </row>
    <row r="47" spans="5:12" x14ac:dyDescent="0.2">
      <c r="E47" s="51"/>
      <c r="F47" t="s">
        <v>507</v>
      </c>
      <c r="G47" s="24">
        <v>3301</v>
      </c>
      <c r="H47" s="24">
        <v>3130</v>
      </c>
      <c r="I47" s="24">
        <v>1210</v>
      </c>
      <c r="J47" s="16">
        <v>6.2</v>
      </c>
      <c r="K47" s="41">
        <v>1134</v>
      </c>
      <c r="L47" s="16">
        <v>828</v>
      </c>
    </row>
    <row r="48" spans="5:12" x14ac:dyDescent="0.2">
      <c r="E48" s="51"/>
      <c r="F48" t="s">
        <v>508</v>
      </c>
      <c r="G48" s="24">
        <v>2872</v>
      </c>
      <c r="H48" s="24">
        <v>2670</v>
      </c>
      <c r="I48" s="16">
        <v>396</v>
      </c>
      <c r="J48" s="16">
        <v>0</v>
      </c>
      <c r="K48" s="41">
        <v>1756</v>
      </c>
      <c r="L48" s="16">
        <v>225</v>
      </c>
    </row>
    <row r="49" spans="5:12" x14ac:dyDescent="0.2">
      <c r="E49" s="51"/>
      <c r="F49" t="s">
        <v>509</v>
      </c>
      <c r="G49" s="24">
        <v>4261</v>
      </c>
      <c r="H49" s="24">
        <v>3753</v>
      </c>
      <c r="I49" s="16">
        <v>450</v>
      </c>
      <c r="J49" s="16">
        <v>25.9</v>
      </c>
      <c r="K49" s="41">
        <v>1748</v>
      </c>
      <c r="L49" s="16">
        <v>233</v>
      </c>
    </row>
    <row r="50" spans="5:12" x14ac:dyDescent="0.2">
      <c r="E50" s="51"/>
      <c r="F50" t="s">
        <v>510</v>
      </c>
      <c r="G50" s="24">
        <v>3999</v>
      </c>
      <c r="H50" s="24">
        <v>3498</v>
      </c>
      <c r="I50" s="16">
        <v>292</v>
      </c>
      <c r="J50" s="16">
        <v>35</v>
      </c>
      <c r="K50" s="41">
        <v>1745</v>
      </c>
      <c r="L50" s="16">
        <v>149</v>
      </c>
    </row>
    <row r="51" spans="5:12" x14ac:dyDescent="0.2">
      <c r="E51" s="51"/>
    </row>
    <row r="52" spans="5:12" x14ac:dyDescent="0.2">
      <c r="E52" s="51"/>
    </row>
    <row r="53" spans="5:12" x14ac:dyDescent="0.2">
      <c r="E53" s="51"/>
    </row>
    <row r="54" spans="5:12" x14ac:dyDescent="0.2">
      <c r="E54" s="51"/>
    </row>
    <row r="55" spans="5:12" x14ac:dyDescent="0.2">
      <c r="E55" s="51"/>
    </row>
    <row r="56" spans="5:12" x14ac:dyDescent="0.2">
      <c r="E56" s="51"/>
    </row>
    <row r="57" spans="5:12" x14ac:dyDescent="0.2">
      <c r="E57" s="51"/>
    </row>
  </sheetData>
  <mergeCells count="9">
    <mergeCell ref="B1:O1"/>
    <mergeCell ref="A5:B5"/>
    <mergeCell ref="E5:E57"/>
    <mergeCell ref="A9:B9"/>
    <mergeCell ref="A18:B18"/>
    <mergeCell ref="A21:B21"/>
    <mergeCell ref="A27:B27"/>
    <mergeCell ref="F5:F6"/>
    <mergeCell ref="G5:L5"/>
  </mergeCells>
  <dataValidations count="4">
    <dataValidation type="list" allowBlank="1" showInputMessage="1" showErrorMessage="1" sqref="P4:Q4" xr:uid="{E415B29D-EF33-4D24-9D2B-EFF700DBA78C}">
      <formula1>"integer, number, percent1"</formula1>
    </dataValidation>
    <dataValidation type="list" allowBlank="1" showInputMessage="1" showErrorMessage="1" sqref="B10" xr:uid="{4645C070-1196-4EC1-A16E-10CD39F3B190}">
      <formula1>"Line,Clustered Bar,Stacked Bar,Bar,Horizontal Stacked Bar"</formula1>
    </dataValidation>
    <dataValidation type="list" allowBlank="1" showInputMessage="1" showErrorMessage="1" sqref="B2" xr:uid="{F2448BB4-0B3B-42A6-B490-B1EC9EC83650}">
      <formula1>"Table,Figure,Both"</formula1>
    </dataValidation>
    <dataValidation type="list" allowBlank="1" showInputMessage="1" showErrorMessage="1" sqref="B6 B15:B16" xr:uid="{4A0E37A7-F57F-4D6A-865C-B41C96A60DE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D08143-0FFB-46D7-881A-33C91225D4EE}">
          <x14:formula1>
            <xm:f>Dropdowns!$B$2:$B$9</xm:f>
          </x14:formula1>
          <xm:sqref>B14</xm:sqref>
        </x14:dataValidation>
        <x14:dataValidation type="list" allowBlank="1" showInputMessage="1" showErrorMessage="1" xr:uid="{BE64C34C-4AF1-4383-B991-FD40789FAE61}">
          <x14:formula1>
            <xm:f>Dropdowns!$A$1:$A$8</xm:f>
          </x14:formula1>
          <xm:sqref>F4:O4</xm:sqref>
        </x14:dataValidation>
        <x14:dataValidation type="list" allowBlank="1" showInputMessage="1" showErrorMessage="1" xr:uid="{FB43E6C3-A10C-4174-9698-9EC04B390BE8}">
          <x14:formula1>
            <xm:f>Master!$F$2:$F$401</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E283F-0C20-4CB9-9CFD-F4266C3170A3}">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333</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tbl-own-vs-rent-per-room</v>
      </c>
    </row>
    <row r="4" spans="1:17" x14ac:dyDescent="0.2">
      <c r="A4" s="17" t="s">
        <v>5</v>
      </c>
      <c r="B4" t="str">
        <f>IF($B$1="","",_xlfn.XLOOKUP($B$1,Master!$E$2:$E$320,Master!$G$2:$G$320,""))</f>
        <v>fig-own-vs-rent-per-room</v>
      </c>
      <c r="E4" s="8"/>
      <c r="F4" s="10" t="s">
        <v>144</v>
      </c>
      <c r="G4" s="10" t="s">
        <v>149</v>
      </c>
      <c r="H4" s="10" t="s">
        <v>149</v>
      </c>
      <c r="I4" s="10" t="s">
        <v>149</v>
      </c>
      <c r="J4" s="10" t="s">
        <v>144</v>
      </c>
      <c r="K4" s="10"/>
      <c r="L4" s="10"/>
      <c r="M4" s="10"/>
      <c r="N4" s="10"/>
      <c r="O4" s="10"/>
      <c r="P4" s="10"/>
      <c r="Q4" s="10"/>
    </row>
    <row r="5" spans="1:17" x14ac:dyDescent="0.2">
      <c r="A5" s="50" t="s">
        <v>255</v>
      </c>
      <c r="B5" s="51"/>
      <c r="E5" s="52" t="s">
        <v>256</v>
      </c>
      <c r="F5" s="53" t="s">
        <v>394</v>
      </c>
      <c r="G5" s="53" t="s">
        <v>1695</v>
      </c>
      <c r="H5" t="s">
        <v>1696</v>
      </c>
    </row>
    <row r="6" spans="1:17" ht="15" customHeight="1" x14ac:dyDescent="0.2">
      <c r="A6" t="s">
        <v>259</v>
      </c>
      <c r="B6" t="b">
        <v>1</v>
      </c>
      <c r="E6" s="51"/>
      <c r="F6" s="53"/>
      <c r="G6" s="53"/>
      <c r="H6" t="s">
        <v>1697</v>
      </c>
      <c r="I6" t="s">
        <v>1698</v>
      </c>
      <c r="J6" s="16"/>
      <c r="K6" s="16"/>
      <c r="L6" s="16"/>
      <c r="M6" s="16"/>
      <c r="N6" s="16"/>
      <c r="O6" s="16"/>
    </row>
    <row r="7" spans="1:17" ht="15.75" customHeight="1" x14ac:dyDescent="0.2">
      <c r="E7" s="51"/>
      <c r="F7" t="s">
        <v>396</v>
      </c>
      <c r="G7" s="24">
        <v>137311</v>
      </c>
      <c r="H7" s="24">
        <v>2240</v>
      </c>
      <c r="I7" s="24">
        <v>2859</v>
      </c>
      <c r="J7" s="16"/>
      <c r="K7" s="16"/>
      <c r="L7" s="16"/>
      <c r="M7" s="16"/>
      <c r="N7" s="16"/>
      <c r="O7" s="16"/>
    </row>
    <row r="8" spans="1:17" x14ac:dyDescent="0.2">
      <c r="E8" s="51"/>
      <c r="F8" t="s">
        <v>397</v>
      </c>
      <c r="G8" s="24">
        <v>6149</v>
      </c>
      <c r="H8" s="16">
        <v>140</v>
      </c>
      <c r="I8" s="16">
        <v>39</v>
      </c>
      <c r="J8" s="16"/>
      <c r="K8" s="16"/>
      <c r="L8" s="16"/>
      <c r="M8" s="16"/>
      <c r="N8" s="16"/>
      <c r="O8" s="16"/>
    </row>
    <row r="9" spans="1:17" x14ac:dyDescent="0.2">
      <c r="A9" s="50" t="s">
        <v>260</v>
      </c>
      <c r="B9" s="51"/>
      <c r="E9" s="51"/>
      <c r="F9" t="s">
        <v>398</v>
      </c>
      <c r="G9" s="24">
        <v>1173</v>
      </c>
      <c r="H9" s="16">
        <v>48</v>
      </c>
      <c r="I9" s="16">
        <v>30</v>
      </c>
      <c r="J9" s="16"/>
      <c r="K9" s="16"/>
      <c r="L9" s="16"/>
      <c r="M9" s="16"/>
      <c r="N9" s="16"/>
      <c r="O9" s="16"/>
    </row>
    <row r="10" spans="1:17" x14ac:dyDescent="0.2">
      <c r="A10" t="s">
        <v>261</v>
      </c>
      <c r="E10" s="51"/>
      <c r="F10" t="s">
        <v>399</v>
      </c>
      <c r="G10" s="24">
        <v>2106</v>
      </c>
      <c r="H10">
        <v>12</v>
      </c>
      <c r="I10">
        <v>9</v>
      </c>
    </row>
    <row r="11" spans="1:17" x14ac:dyDescent="0.2">
      <c r="A11" t="s">
        <v>262</v>
      </c>
      <c r="E11" s="51"/>
      <c r="F11" t="s">
        <v>400</v>
      </c>
      <c r="G11" s="24">
        <v>4458</v>
      </c>
      <c r="H11" s="16">
        <v>0</v>
      </c>
      <c r="I11" s="16">
        <v>0</v>
      </c>
      <c r="J11" s="18"/>
      <c r="K11" s="18"/>
      <c r="L11" s="18"/>
      <c r="M11" s="18"/>
      <c r="N11" s="18"/>
    </row>
    <row r="12" spans="1:17" x14ac:dyDescent="0.2">
      <c r="A12" t="s">
        <v>263</v>
      </c>
      <c r="E12" s="51"/>
      <c r="F12" s="22" t="s">
        <v>401</v>
      </c>
      <c r="G12" s="30">
        <v>1560</v>
      </c>
      <c r="H12" s="18">
        <v>0</v>
      </c>
      <c r="I12" s="16">
        <v>0</v>
      </c>
      <c r="J12" s="16"/>
      <c r="K12" s="16"/>
      <c r="L12" s="16"/>
    </row>
    <row r="13" spans="1:17" x14ac:dyDescent="0.2">
      <c r="A13" t="s">
        <v>264</v>
      </c>
      <c r="E13" s="51"/>
      <c r="F13" t="s">
        <v>404</v>
      </c>
      <c r="G13" s="15">
        <v>5023</v>
      </c>
      <c r="H13">
        <v>27</v>
      </c>
      <c r="I13">
        <v>12</v>
      </c>
    </row>
    <row r="14" spans="1:17" x14ac:dyDescent="0.2">
      <c r="A14" t="s">
        <v>265</v>
      </c>
      <c r="E14" s="51"/>
      <c r="F14" t="s">
        <v>407</v>
      </c>
      <c r="G14" s="15">
        <v>1230</v>
      </c>
      <c r="H14">
        <v>0</v>
      </c>
      <c r="I14">
        <v>0</v>
      </c>
    </row>
    <row r="15" spans="1:17" x14ac:dyDescent="0.2">
      <c r="A15" t="s">
        <v>267</v>
      </c>
      <c r="E15" s="51"/>
      <c r="F15" t="s">
        <v>408</v>
      </c>
      <c r="G15" s="15">
        <v>3001</v>
      </c>
      <c r="H15">
        <v>0</v>
      </c>
      <c r="I15">
        <v>8</v>
      </c>
    </row>
    <row r="16" spans="1:17" x14ac:dyDescent="0.2">
      <c r="A16" t="s">
        <v>274</v>
      </c>
      <c r="E16" s="51"/>
      <c r="F16" t="s">
        <v>409</v>
      </c>
      <c r="G16" s="15">
        <v>2993</v>
      </c>
      <c r="H16">
        <v>55</v>
      </c>
      <c r="I16">
        <v>30</v>
      </c>
    </row>
    <row r="17" spans="1:11" x14ac:dyDescent="0.2">
      <c r="E17" s="51"/>
      <c r="F17" t="s">
        <v>410</v>
      </c>
      <c r="G17" s="15">
        <v>4861</v>
      </c>
      <c r="H17">
        <v>55</v>
      </c>
      <c r="I17">
        <v>23</v>
      </c>
    </row>
    <row r="18" spans="1:11" x14ac:dyDescent="0.2">
      <c r="A18" s="50" t="s">
        <v>268</v>
      </c>
      <c r="B18" s="51"/>
      <c r="E18" s="51"/>
      <c r="F18" t="s">
        <v>411</v>
      </c>
      <c r="G18" s="15">
        <v>2350</v>
      </c>
      <c r="H18">
        <v>7</v>
      </c>
      <c r="I18">
        <v>23</v>
      </c>
    </row>
    <row r="19" spans="1:11" x14ac:dyDescent="0.2">
      <c r="A19" t="s">
        <v>1250</v>
      </c>
      <c r="B19" t="s">
        <v>1699</v>
      </c>
      <c r="E19" s="51"/>
      <c r="F19" t="s">
        <v>412</v>
      </c>
      <c r="G19" s="15">
        <v>1645</v>
      </c>
      <c r="H19">
        <v>40</v>
      </c>
      <c r="I19">
        <v>0</v>
      </c>
    </row>
    <row r="20" spans="1:11" x14ac:dyDescent="0.2">
      <c r="E20" s="51"/>
      <c r="F20" s="16" t="s">
        <v>413</v>
      </c>
      <c r="G20" s="24">
        <v>1745</v>
      </c>
      <c r="H20" s="16">
        <v>11</v>
      </c>
      <c r="I20">
        <v>0</v>
      </c>
    </row>
    <row r="21" spans="1:11" x14ac:dyDescent="0.2">
      <c r="A21" s="53" t="s">
        <v>269</v>
      </c>
      <c r="B21" s="51"/>
      <c r="E21" s="51"/>
      <c r="F21" s="16" t="s">
        <v>414</v>
      </c>
      <c r="G21" s="24">
        <v>3938</v>
      </c>
      <c r="H21" s="16">
        <v>29</v>
      </c>
      <c r="I21">
        <v>101</v>
      </c>
    </row>
    <row r="22" spans="1:11" x14ac:dyDescent="0.2">
      <c r="A22" t="s">
        <v>1249</v>
      </c>
      <c r="B22" t="s">
        <v>1271</v>
      </c>
      <c r="E22" s="51"/>
      <c r="F22" s="16" t="s">
        <v>423</v>
      </c>
      <c r="G22" s="24">
        <v>1648</v>
      </c>
      <c r="H22" s="16">
        <v>0</v>
      </c>
      <c r="I22">
        <v>44</v>
      </c>
    </row>
    <row r="23" spans="1:11" x14ac:dyDescent="0.2">
      <c r="E23" s="51"/>
      <c r="F23" s="16" t="s">
        <v>432</v>
      </c>
      <c r="G23" s="24">
        <v>10182</v>
      </c>
      <c r="H23" s="16">
        <v>145</v>
      </c>
      <c r="I23">
        <v>184</v>
      </c>
    </row>
    <row r="24" spans="1:11" x14ac:dyDescent="0.2">
      <c r="E24" s="51"/>
      <c r="F24" t="s">
        <v>436</v>
      </c>
      <c r="G24" s="15">
        <v>1526</v>
      </c>
      <c r="H24">
        <v>15</v>
      </c>
      <c r="I24">
        <v>0</v>
      </c>
    </row>
    <row r="25" spans="1:11" x14ac:dyDescent="0.2">
      <c r="E25" s="51"/>
      <c r="F25" s="16" t="s">
        <v>440</v>
      </c>
      <c r="G25" s="16">
        <v>222</v>
      </c>
      <c r="H25" s="16">
        <v>0</v>
      </c>
      <c r="I25">
        <v>0</v>
      </c>
      <c r="K25" t="s">
        <v>28</v>
      </c>
    </row>
    <row r="26" spans="1:11" x14ac:dyDescent="0.2">
      <c r="E26" s="51"/>
      <c r="F26" s="16" t="s">
        <v>443</v>
      </c>
      <c r="G26" s="24">
        <v>6855</v>
      </c>
      <c r="H26" s="16">
        <v>138</v>
      </c>
      <c r="I26">
        <v>196</v>
      </c>
    </row>
    <row r="27" spans="1:11" x14ac:dyDescent="0.2">
      <c r="A27" s="53"/>
      <c r="B27" s="53"/>
      <c r="E27" s="51"/>
      <c r="F27" s="16" t="s">
        <v>1248</v>
      </c>
      <c r="G27" s="16">
        <v>792</v>
      </c>
      <c r="H27" s="16">
        <v>0</v>
      </c>
      <c r="I27">
        <v>37</v>
      </c>
    </row>
    <row r="28" spans="1:11" x14ac:dyDescent="0.2">
      <c r="E28" s="51"/>
      <c r="F28" s="16" t="s">
        <v>449</v>
      </c>
      <c r="G28" s="24">
        <v>2886</v>
      </c>
      <c r="H28" s="16">
        <v>78</v>
      </c>
      <c r="I28">
        <v>146</v>
      </c>
    </row>
    <row r="29" spans="1:11" x14ac:dyDescent="0.2">
      <c r="E29" s="51"/>
      <c r="F29" s="16" t="s">
        <v>451</v>
      </c>
      <c r="G29" s="24">
        <v>8306</v>
      </c>
      <c r="H29" s="16">
        <v>203</v>
      </c>
      <c r="I29">
        <v>237</v>
      </c>
    </row>
    <row r="30" spans="1:11" x14ac:dyDescent="0.2">
      <c r="E30" s="51"/>
      <c r="F30" s="16" t="s">
        <v>453</v>
      </c>
      <c r="G30" s="24">
        <v>1401</v>
      </c>
      <c r="H30" s="16">
        <v>46</v>
      </c>
      <c r="I30">
        <v>52</v>
      </c>
    </row>
    <row r="31" spans="1:11" x14ac:dyDescent="0.2">
      <c r="E31" s="51"/>
      <c r="F31" s="16" t="s">
        <v>455</v>
      </c>
      <c r="G31" s="24">
        <v>1535</v>
      </c>
      <c r="H31" s="16">
        <v>32</v>
      </c>
      <c r="I31">
        <v>0</v>
      </c>
      <c r="K31" t="s">
        <v>280</v>
      </c>
    </row>
    <row r="32" spans="1:11" x14ac:dyDescent="0.2">
      <c r="E32" s="51"/>
      <c r="F32" t="s">
        <v>457</v>
      </c>
      <c r="G32" s="15">
        <v>2621</v>
      </c>
      <c r="H32">
        <v>36</v>
      </c>
      <c r="I32">
        <v>128</v>
      </c>
    </row>
    <row r="33" spans="5:9" x14ac:dyDescent="0.2">
      <c r="E33" s="51"/>
      <c r="F33" s="16" t="s">
        <v>459</v>
      </c>
      <c r="G33" s="24">
        <v>2094</v>
      </c>
      <c r="H33" s="16">
        <v>33</v>
      </c>
      <c r="I33">
        <v>0</v>
      </c>
    </row>
    <row r="34" spans="5:9" x14ac:dyDescent="0.2">
      <c r="E34" s="51"/>
      <c r="F34" s="16" t="s">
        <v>463</v>
      </c>
      <c r="G34" s="16">
        <v>439</v>
      </c>
      <c r="H34" s="16">
        <v>14</v>
      </c>
      <c r="I34" s="18">
        <v>0</v>
      </c>
    </row>
    <row r="35" spans="5:9" x14ac:dyDescent="0.2">
      <c r="E35" s="51"/>
      <c r="F35" s="16" t="s">
        <v>465</v>
      </c>
      <c r="G35" s="24">
        <v>10335</v>
      </c>
      <c r="H35" s="16">
        <v>99</v>
      </c>
      <c r="I35" s="18">
        <v>304</v>
      </c>
    </row>
    <row r="36" spans="5:9" x14ac:dyDescent="0.2">
      <c r="E36" s="51"/>
      <c r="F36" s="16" t="s">
        <v>467</v>
      </c>
      <c r="G36" s="24">
        <v>11553</v>
      </c>
      <c r="H36" s="16">
        <v>82</v>
      </c>
      <c r="I36" s="18">
        <v>90</v>
      </c>
    </row>
    <row r="37" spans="5:9" x14ac:dyDescent="0.2">
      <c r="E37" s="51"/>
      <c r="F37" s="16" t="s">
        <v>469</v>
      </c>
      <c r="G37" s="24">
        <v>10763</v>
      </c>
      <c r="H37" s="16">
        <v>56</v>
      </c>
      <c r="I37" s="18">
        <v>118</v>
      </c>
    </row>
    <row r="38" spans="5:9" x14ac:dyDescent="0.2">
      <c r="E38" s="51"/>
      <c r="F38" t="s">
        <v>471</v>
      </c>
      <c r="G38" s="15">
        <v>6869</v>
      </c>
      <c r="H38">
        <v>780</v>
      </c>
      <c r="I38" s="15">
        <v>1192</v>
      </c>
    </row>
    <row r="39" spans="5:9" x14ac:dyDescent="0.2">
      <c r="E39" s="51"/>
      <c r="F39" t="s">
        <v>473</v>
      </c>
      <c r="G39" s="15">
        <v>6869</v>
      </c>
      <c r="H39">
        <v>780</v>
      </c>
      <c r="I39" s="15">
        <v>1192</v>
      </c>
    </row>
    <row r="40" spans="5:9" x14ac:dyDescent="0.2">
      <c r="E40" s="51"/>
      <c r="F40" t="s">
        <v>476</v>
      </c>
      <c r="G40" s="15">
        <v>3533</v>
      </c>
      <c r="H40">
        <v>31</v>
      </c>
      <c r="I40">
        <v>24</v>
      </c>
    </row>
    <row r="41" spans="5:9" x14ac:dyDescent="0.2">
      <c r="E41" s="51"/>
      <c r="F41" t="s">
        <v>497</v>
      </c>
      <c r="G41" s="15">
        <v>1539</v>
      </c>
      <c r="H41">
        <v>6</v>
      </c>
      <c r="I41">
        <v>6</v>
      </c>
    </row>
    <row r="42" spans="5:9" x14ac:dyDescent="0.2">
      <c r="E42" s="51"/>
      <c r="F42" t="s">
        <v>501</v>
      </c>
      <c r="G42" s="15">
        <v>1151</v>
      </c>
      <c r="H42">
        <v>6</v>
      </c>
      <c r="I42">
        <v>6</v>
      </c>
    </row>
    <row r="43" spans="5:9" x14ac:dyDescent="0.2">
      <c r="E43" s="51"/>
      <c r="F43" t="s">
        <v>502</v>
      </c>
      <c r="G43">
        <v>388</v>
      </c>
      <c r="H43">
        <v>0</v>
      </c>
      <c r="I43">
        <v>0</v>
      </c>
    </row>
    <row r="44" spans="5:9" x14ac:dyDescent="0.2">
      <c r="E44" s="51"/>
      <c r="F44" t="s">
        <v>503</v>
      </c>
      <c r="G44" s="15">
        <v>11910</v>
      </c>
      <c r="H44">
        <v>97</v>
      </c>
      <c r="I44">
        <v>203</v>
      </c>
    </row>
    <row r="45" spans="5:9" x14ac:dyDescent="0.2">
      <c r="E45" s="51"/>
      <c r="F45" t="s">
        <v>504</v>
      </c>
      <c r="G45" s="15">
        <v>11743</v>
      </c>
      <c r="H45">
        <v>161</v>
      </c>
      <c r="I45">
        <v>77</v>
      </c>
    </row>
    <row r="46" spans="5:9" x14ac:dyDescent="0.2">
      <c r="E46" s="51"/>
      <c r="F46" t="s">
        <v>505</v>
      </c>
      <c r="G46">
        <v>936</v>
      </c>
      <c r="H46">
        <v>19</v>
      </c>
      <c r="I46">
        <v>35</v>
      </c>
    </row>
    <row r="47" spans="5:9" x14ac:dyDescent="0.2">
      <c r="E47" s="51"/>
      <c r="F47" t="s">
        <v>506</v>
      </c>
      <c r="G47" s="15">
        <v>1181</v>
      </c>
      <c r="H47">
        <v>49</v>
      </c>
      <c r="I47">
        <v>0</v>
      </c>
    </row>
    <row r="48" spans="5:9" x14ac:dyDescent="0.2">
      <c r="E48" s="51"/>
      <c r="F48" t="s">
        <v>507</v>
      </c>
      <c r="G48" s="15">
        <v>2998</v>
      </c>
      <c r="H48">
        <v>0</v>
      </c>
      <c r="I48">
        <v>20</v>
      </c>
    </row>
    <row r="49" spans="5:9" x14ac:dyDescent="0.2">
      <c r="E49" s="51"/>
      <c r="F49" t="s">
        <v>508</v>
      </c>
      <c r="G49" s="15">
        <v>2468</v>
      </c>
      <c r="H49">
        <v>0</v>
      </c>
      <c r="I49">
        <v>0</v>
      </c>
    </row>
    <row r="50" spans="5:9" x14ac:dyDescent="0.2">
      <c r="E50" s="51"/>
      <c r="F50" t="s">
        <v>509</v>
      </c>
      <c r="G50" s="15">
        <v>3822</v>
      </c>
      <c r="H50">
        <v>37</v>
      </c>
      <c r="I50">
        <v>15</v>
      </c>
    </row>
    <row r="51" spans="5:9" x14ac:dyDescent="0.2">
      <c r="E51" s="51"/>
      <c r="F51" t="s">
        <v>1248</v>
      </c>
      <c r="G51">
        <v>259</v>
      </c>
      <c r="H51">
        <v>19</v>
      </c>
      <c r="I51">
        <v>15</v>
      </c>
    </row>
    <row r="52" spans="5:9" x14ac:dyDescent="0.2">
      <c r="E52" s="51"/>
      <c r="F52" t="s">
        <v>510</v>
      </c>
      <c r="G52" s="15">
        <v>3563</v>
      </c>
      <c r="H52">
        <v>18</v>
      </c>
      <c r="I52">
        <v>0</v>
      </c>
    </row>
    <row r="53" spans="5:9" x14ac:dyDescent="0.2">
      <c r="E53" s="51"/>
    </row>
    <row r="54" spans="5:9" x14ac:dyDescent="0.2">
      <c r="E54" s="51"/>
    </row>
    <row r="55" spans="5:9" x14ac:dyDescent="0.2">
      <c r="E55" s="51"/>
    </row>
    <row r="56" spans="5:9" x14ac:dyDescent="0.2">
      <c r="E56" s="51"/>
    </row>
    <row r="57" spans="5:9" x14ac:dyDescent="0.2">
      <c r="E57" s="51"/>
    </row>
  </sheetData>
  <mergeCells count="9">
    <mergeCell ref="B1:O1"/>
    <mergeCell ref="A5:B5"/>
    <mergeCell ref="E5:E57"/>
    <mergeCell ref="A9:B9"/>
    <mergeCell ref="A18:B18"/>
    <mergeCell ref="A21:B21"/>
    <mergeCell ref="A27:B27"/>
    <mergeCell ref="F5:F6"/>
    <mergeCell ref="G5:G6"/>
  </mergeCells>
  <dataValidations count="4">
    <dataValidation type="list" allowBlank="1" showInputMessage="1" showErrorMessage="1" sqref="P4:Q4" xr:uid="{45379412-04F3-465F-A615-406609C338B1}">
      <formula1>"integer, number, percent1"</formula1>
    </dataValidation>
    <dataValidation type="list" allowBlank="1" showInputMessage="1" showErrorMessage="1" sqref="B10" xr:uid="{0513B825-2AD9-46D7-9D91-32E2DA85AB91}">
      <formula1>"Line,Clustered Bar,Stacked Bar,Bar,Horizontal Stacked Bar"</formula1>
    </dataValidation>
    <dataValidation type="list" allowBlank="1" showInputMessage="1" showErrorMessage="1" sqref="B2" xr:uid="{1F78C7F3-1EF3-4AC3-8C90-0954D9C099F6}">
      <formula1>"Table,Figure,Both"</formula1>
    </dataValidation>
    <dataValidation type="list" allowBlank="1" showInputMessage="1" showErrorMessage="1" sqref="B6 B15:B16" xr:uid="{BDC4BEBD-8D75-4EB9-BB28-8707AD42FE8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4D01065-F048-44BC-9CA3-814B9CBD6DBF}">
          <x14:formula1>
            <xm:f>Dropdowns!$B$2:$B$9</xm:f>
          </x14:formula1>
          <xm:sqref>B14</xm:sqref>
        </x14:dataValidation>
        <x14:dataValidation type="list" allowBlank="1" showInputMessage="1" showErrorMessage="1" xr:uid="{C81E6F50-735A-4A71-A03F-B0EC416D23A1}">
          <x14:formula1>
            <xm:f>Dropdowns!$A$1:$A$8</xm:f>
          </x14:formula1>
          <xm:sqref>F4:O4</xm:sqref>
        </x14:dataValidation>
        <x14:dataValidation type="list" allowBlank="1" showInputMessage="1" showErrorMessage="1" xr:uid="{0589011A-3C3E-44D4-8723-B9C1C787782E}">
          <x14:formula1>
            <xm:f>Master!$F$2:$F$401</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DB547-CC02-4A57-B78A-20411CC42527}">
  <dimension ref="A1:Q57"/>
  <sheetViews>
    <sheetView zoomScaleNormal="100"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336</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tbl-high-bll</v>
      </c>
    </row>
    <row r="4" spans="1:17" x14ac:dyDescent="0.2">
      <c r="A4" s="17" t="s">
        <v>5</v>
      </c>
      <c r="B4" t="str">
        <f>IF($B$1="","",_xlfn.XLOOKUP($B$1,Master!$E$2:$E$320,Master!$G$2:$G$320,""))</f>
        <v>fig-high-bll</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394</v>
      </c>
      <c r="G5">
        <v>2018</v>
      </c>
      <c r="H5">
        <v>2019</v>
      </c>
      <c r="I5">
        <v>2020</v>
      </c>
      <c r="J5">
        <v>2021</v>
      </c>
    </row>
    <row r="6" spans="1:17" ht="15" customHeight="1" x14ac:dyDescent="0.2">
      <c r="A6" t="s">
        <v>259</v>
      </c>
      <c r="B6" t="b">
        <v>0</v>
      </c>
      <c r="E6" s="51"/>
      <c r="F6" t="s">
        <v>1298</v>
      </c>
      <c r="G6" s="16">
        <v>4.7</v>
      </c>
      <c r="H6" s="16">
        <v>5.0999999999999996</v>
      </c>
      <c r="I6" s="16">
        <v>4.7</v>
      </c>
      <c r="J6" s="16">
        <v>3.7</v>
      </c>
      <c r="K6" s="16"/>
      <c r="L6" s="16"/>
      <c r="M6" s="16"/>
      <c r="N6" s="16"/>
      <c r="O6" s="16"/>
    </row>
    <row r="7" spans="1:17" ht="15.75" customHeight="1" x14ac:dyDescent="0.2">
      <c r="E7" s="51"/>
      <c r="F7" t="s">
        <v>1702</v>
      </c>
      <c r="G7" s="16">
        <v>3.5</v>
      </c>
      <c r="H7" s="16">
        <v>3.9</v>
      </c>
      <c r="I7" s="16">
        <v>3.2</v>
      </c>
      <c r="J7" s="16">
        <v>2.8</v>
      </c>
      <c r="K7" s="16"/>
      <c r="L7" s="16"/>
      <c r="M7" s="16"/>
      <c r="N7" s="16"/>
      <c r="O7" s="16"/>
    </row>
    <row r="8" spans="1:17" x14ac:dyDescent="0.2">
      <c r="E8" s="51"/>
      <c r="F8" t="s">
        <v>1299</v>
      </c>
      <c r="G8" s="16">
        <v>6.5</v>
      </c>
      <c r="H8" s="16">
        <v>6.5</v>
      </c>
      <c r="I8" s="16">
        <v>5</v>
      </c>
      <c r="J8" s="16">
        <v>5.0999999999999996</v>
      </c>
      <c r="K8" s="16"/>
      <c r="L8" s="16"/>
      <c r="M8" s="16"/>
      <c r="N8" s="16"/>
      <c r="O8" s="16"/>
    </row>
    <row r="9" spans="1:17" x14ac:dyDescent="0.2">
      <c r="A9" s="50" t="s">
        <v>260</v>
      </c>
      <c r="B9" s="51"/>
      <c r="E9" s="51"/>
      <c r="F9" t="s">
        <v>1300</v>
      </c>
      <c r="G9" s="16">
        <v>3.6</v>
      </c>
      <c r="H9" s="16">
        <v>3.8</v>
      </c>
      <c r="I9" s="16">
        <v>3.2</v>
      </c>
      <c r="J9" s="16">
        <v>3.3</v>
      </c>
      <c r="K9" s="16"/>
      <c r="L9" s="16"/>
      <c r="M9" s="16"/>
      <c r="N9" s="16"/>
      <c r="O9" s="16"/>
    </row>
    <row r="10" spans="1:17" x14ac:dyDescent="0.2">
      <c r="A10" t="s">
        <v>261</v>
      </c>
      <c r="B10" t="s">
        <v>272</v>
      </c>
      <c r="E10" s="51"/>
      <c r="G10" s="16"/>
    </row>
    <row r="11" spans="1:17" x14ac:dyDescent="0.2">
      <c r="A11" t="s">
        <v>262</v>
      </c>
      <c r="B11" t="s">
        <v>1301</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1301</v>
      </c>
      <c r="E13" s="51"/>
    </row>
    <row r="14" spans="1:17" x14ac:dyDescent="0.2">
      <c r="A14" t="s">
        <v>265</v>
      </c>
      <c r="B14" t="s">
        <v>171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1701</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1700</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70ABD2F9-5395-403B-BE01-BF82F61CFF31}">
      <formula1>"integer, number, percent1"</formula1>
    </dataValidation>
    <dataValidation type="list" allowBlank="1" showInputMessage="1" showErrorMessage="1" sqref="B10" xr:uid="{8FD0BBC2-B819-47EE-AD54-2CCCDAC873AB}">
      <formula1>"Line,Clustered Bar,Stacked Bar,Bar,Horizontal Stacked Bar"</formula1>
    </dataValidation>
    <dataValidation type="list" allowBlank="1" showInputMessage="1" showErrorMessage="1" sqref="B2" xr:uid="{52F2D815-CBA2-4B1A-9273-C857F0356C40}">
      <formula1>"Table,Figure,Both"</formula1>
    </dataValidation>
    <dataValidation type="list" allowBlank="1" showInputMessage="1" showErrorMessage="1" sqref="B6 B15:B16" xr:uid="{A10540D8-0D57-4247-8351-8D1C6B9387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7671B4-B233-40C8-8977-073301E6082E}">
          <x14:formula1>
            <xm:f>Dropdowns!$B$2:$B$9</xm:f>
          </x14:formula1>
          <xm:sqref>B14</xm:sqref>
        </x14:dataValidation>
        <x14:dataValidation type="list" allowBlank="1" showInputMessage="1" showErrorMessage="1" xr:uid="{14195E92-F819-4E36-93C9-C7FE70AB21A1}">
          <x14:formula1>
            <xm:f>Dropdowns!$A$1:$A$8</xm:f>
          </x14:formula1>
          <xm:sqref>F4:O4</xm:sqref>
        </x14:dataValidation>
        <x14:dataValidation type="list" allowBlank="1" showInputMessage="1" showErrorMessage="1" xr:uid="{215D2F69-49F4-43F8-A48D-743F425FFBC4}">
          <x14:formula1>
            <xm:f>Master!$F$2:$F$401</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746A4-EEA1-4B3D-80DE-2DD957E5AB93}">
  <dimension ref="A1:Q57"/>
  <sheetViews>
    <sheetView workbookViewId="0">
      <selection activeCell="J57" sqref="J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337</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tbl-internet-access</v>
      </c>
    </row>
    <row r="4" spans="1:17" x14ac:dyDescent="0.2">
      <c r="A4" s="17" t="s">
        <v>5</v>
      </c>
      <c r="B4" t="str">
        <f>IF($B$1="","",_xlfn.XLOOKUP($B$1,Master!$E$2:$E$320,Master!$G$2:$G$320,""))</f>
        <v>fig-internet-access</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50" t="s">
        <v>255</v>
      </c>
      <c r="B5" s="51"/>
      <c r="E5" s="52" t="s">
        <v>256</v>
      </c>
      <c r="F5" s="53" t="s">
        <v>394</v>
      </c>
      <c r="G5" s="53" t="s">
        <v>1703</v>
      </c>
      <c r="H5" s="53" t="s">
        <v>1704</v>
      </c>
      <c r="I5" s="53"/>
      <c r="J5" s="53" t="s">
        <v>1705</v>
      </c>
      <c r="K5" s="53"/>
      <c r="L5" s="53" t="s">
        <v>1706</v>
      </c>
      <c r="M5" s="53"/>
      <c r="N5" s="53" t="s">
        <v>1707</v>
      </c>
      <c r="O5" s="53"/>
    </row>
    <row r="6" spans="1:17" ht="15" customHeight="1" x14ac:dyDescent="0.2">
      <c r="A6" t="s">
        <v>259</v>
      </c>
      <c r="B6" t="b">
        <v>1</v>
      </c>
      <c r="E6" s="51"/>
      <c r="F6" s="53"/>
      <c r="G6" s="53"/>
      <c r="H6" s="16" t="s">
        <v>1273</v>
      </c>
      <c r="I6" s="16" t="s">
        <v>1344</v>
      </c>
      <c r="J6" s="16" t="s">
        <v>1273</v>
      </c>
      <c r="K6" s="16" t="s">
        <v>1344</v>
      </c>
      <c r="L6" s="16" t="s">
        <v>1273</v>
      </c>
      <c r="M6" s="16" t="s">
        <v>1344</v>
      </c>
      <c r="N6" s="16" t="s">
        <v>1273</v>
      </c>
      <c r="O6" s="16" t="s">
        <v>1344</v>
      </c>
    </row>
    <row r="7" spans="1:17" ht="15.75" customHeight="1" x14ac:dyDescent="0.2">
      <c r="E7" s="51"/>
      <c r="F7" t="s">
        <v>396</v>
      </c>
      <c r="G7" s="24">
        <v>137311</v>
      </c>
      <c r="H7" s="24">
        <v>13355</v>
      </c>
      <c r="I7" s="16">
        <v>9.6999999999999993</v>
      </c>
      <c r="J7" s="24">
        <v>121963</v>
      </c>
      <c r="K7" s="16">
        <v>88.8</v>
      </c>
      <c r="L7" s="24">
        <v>1993</v>
      </c>
      <c r="M7" s="16">
        <v>145.1</v>
      </c>
      <c r="N7" s="24">
        <v>12688</v>
      </c>
      <c r="O7" s="16">
        <v>9.1999999999999993</v>
      </c>
    </row>
    <row r="8" spans="1:17" x14ac:dyDescent="0.2">
      <c r="E8" s="51"/>
      <c r="F8" t="s">
        <v>397</v>
      </c>
      <c r="G8" s="24">
        <v>6149</v>
      </c>
      <c r="H8" s="16">
        <v>281</v>
      </c>
      <c r="I8" s="16">
        <v>4.5999999999999996</v>
      </c>
      <c r="J8" s="24">
        <v>5768</v>
      </c>
      <c r="K8" s="16">
        <v>93.8</v>
      </c>
      <c r="L8" s="16">
        <v>100</v>
      </c>
      <c r="M8" s="16">
        <v>162.6</v>
      </c>
      <c r="N8" s="16">
        <v>523</v>
      </c>
      <c r="O8" s="16">
        <v>8.5</v>
      </c>
    </row>
    <row r="9" spans="1:17" x14ac:dyDescent="0.2">
      <c r="A9" s="50" t="s">
        <v>260</v>
      </c>
      <c r="B9" s="51"/>
      <c r="E9" s="51"/>
      <c r="F9" t="s">
        <v>398</v>
      </c>
      <c r="G9" s="24">
        <v>1173</v>
      </c>
      <c r="H9" s="16">
        <v>154</v>
      </c>
      <c r="I9" s="16">
        <v>13.1</v>
      </c>
      <c r="J9" s="24">
        <v>1019</v>
      </c>
      <c r="K9" s="16">
        <v>86.9</v>
      </c>
      <c r="L9" s="16">
        <v>0</v>
      </c>
      <c r="M9" s="16">
        <v>0</v>
      </c>
      <c r="N9" s="16">
        <v>93</v>
      </c>
      <c r="O9" s="16">
        <v>7.9</v>
      </c>
    </row>
    <row r="10" spans="1:17" x14ac:dyDescent="0.2">
      <c r="A10" t="s">
        <v>261</v>
      </c>
      <c r="E10" s="51"/>
      <c r="F10" t="s">
        <v>399</v>
      </c>
      <c r="G10" s="24">
        <v>2106</v>
      </c>
      <c r="H10" s="16">
        <v>63</v>
      </c>
      <c r="I10" s="16">
        <v>3</v>
      </c>
      <c r="J10" s="24">
        <v>2011</v>
      </c>
      <c r="K10" s="16">
        <v>95.5</v>
      </c>
      <c r="L10" s="16">
        <v>32</v>
      </c>
      <c r="M10" s="16">
        <v>151.9</v>
      </c>
      <c r="N10" s="16">
        <v>236</v>
      </c>
      <c r="O10" s="16">
        <v>11.2</v>
      </c>
    </row>
    <row r="11" spans="1:17" x14ac:dyDescent="0.2">
      <c r="A11" t="s">
        <v>262</v>
      </c>
      <c r="E11" s="51"/>
      <c r="F11" t="s">
        <v>400</v>
      </c>
      <c r="G11" s="24">
        <v>4458</v>
      </c>
      <c r="H11" s="16">
        <v>282</v>
      </c>
      <c r="I11" s="16">
        <v>6.3</v>
      </c>
      <c r="J11" s="30">
        <v>4143</v>
      </c>
      <c r="K11" s="18">
        <v>92.9</v>
      </c>
      <c r="L11" s="18">
        <v>33</v>
      </c>
      <c r="M11" s="18">
        <v>74</v>
      </c>
      <c r="N11" s="18">
        <v>380</v>
      </c>
      <c r="O11" s="16">
        <v>8.5</v>
      </c>
    </row>
    <row r="12" spans="1:17" x14ac:dyDescent="0.2">
      <c r="A12" t="s">
        <v>263</v>
      </c>
      <c r="E12" s="51"/>
      <c r="F12" s="22" t="s">
        <v>401</v>
      </c>
      <c r="G12" s="30">
        <v>1560</v>
      </c>
      <c r="H12" s="18">
        <v>77</v>
      </c>
      <c r="I12" s="16">
        <v>4.9000000000000004</v>
      </c>
      <c r="J12" s="24">
        <v>1483</v>
      </c>
      <c r="K12" s="16">
        <v>95.1</v>
      </c>
      <c r="L12" s="16">
        <v>0</v>
      </c>
      <c r="M12" s="16">
        <v>0</v>
      </c>
      <c r="N12" s="16">
        <v>213</v>
      </c>
      <c r="O12" s="16">
        <v>13.7</v>
      </c>
    </row>
    <row r="13" spans="1:17" x14ac:dyDescent="0.2">
      <c r="A13" t="s">
        <v>264</v>
      </c>
      <c r="E13" s="51"/>
      <c r="F13" t="s">
        <v>404</v>
      </c>
      <c r="G13" s="24">
        <v>5023</v>
      </c>
      <c r="H13" s="16">
        <v>276</v>
      </c>
      <c r="I13" s="16">
        <v>5.5</v>
      </c>
      <c r="J13" s="24">
        <v>4713</v>
      </c>
      <c r="K13" s="16">
        <v>93.8</v>
      </c>
      <c r="L13" s="16">
        <v>34</v>
      </c>
      <c r="M13" s="16">
        <v>67.7</v>
      </c>
      <c r="N13" s="16">
        <v>546</v>
      </c>
      <c r="O13" s="16">
        <v>10.9</v>
      </c>
    </row>
    <row r="14" spans="1:17" x14ac:dyDescent="0.2">
      <c r="A14" t="s">
        <v>265</v>
      </c>
      <c r="E14" s="51"/>
      <c r="F14" t="s">
        <v>407</v>
      </c>
      <c r="G14" s="24">
        <v>1230</v>
      </c>
      <c r="H14" s="16">
        <v>56</v>
      </c>
      <c r="I14" s="16">
        <v>4.5999999999999996</v>
      </c>
      <c r="J14" s="24">
        <v>1170</v>
      </c>
      <c r="K14" s="16">
        <v>95.1</v>
      </c>
      <c r="L14" s="16">
        <v>4</v>
      </c>
      <c r="M14" s="16">
        <v>32.5</v>
      </c>
      <c r="N14" s="16">
        <v>211</v>
      </c>
      <c r="O14" s="16">
        <v>17.2</v>
      </c>
    </row>
    <row r="15" spans="1:17" x14ac:dyDescent="0.2">
      <c r="A15" t="s">
        <v>267</v>
      </c>
      <c r="E15" s="51"/>
      <c r="F15" t="s">
        <v>408</v>
      </c>
      <c r="G15" s="24">
        <v>3001</v>
      </c>
      <c r="H15" s="16">
        <v>273</v>
      </c>
      <c r="I15" s="16">
        <v>9.1</v>
      </c>
      <c r="J15" s="24">
        <v>2692</v>
      </c>
      <c r="K15" s="16">
        <v>89.7</v>
      </c>
      <c r="L15" s="16">
        <v>36</v>
      </c>
      <c r="M15" s="16">
        <v>120</v>
      </c>
      <c r="N15" s="16">
        <v>261</v>
      </c>
      <c r="O15" s="16">
        <v>8.6999999999999993</v>
      </c>
    </row>
    <row r="16" spans="1:17" x14ac:dyDescent="0.2">
      <c r="A16" t="s">
        <v>274</v>
      </c>
      <c r="E16" s="51"/>
      <c r="F16" t="s">
        <v>409</v>
      </c>
      <c r="G16" s="24">
        <v>2993</v>
      </c>
      <c r="H16" s="16">
        <v>207</v>
      </c>
      <c r="I16" s="16">
        <v>6.9</v>
      </c>
      <c r="J16" s="24">
        <v>2774</v>
      </c>
      <c r="K16" s="16">
        <v>92.7</v>
      </c>
      <c r="L16" s="16">
        <v>12</v>
      </c>
      <c r="M16" s="16">
        <v>40.1</v>
      </c>
      <c r="N16" s="16">
        <v>338</v>
      </c>
      <c r="O16" s="16">
        <v>11.3</v>
      </c>
    </row>
    <row r="17" spans="1:15" x14ac:dyDescent="0.2">
      <c r="E17" s="51"/>
      <c r="F17" t="s">
        <v>410</v>
      </c>
      <c r="G17" s="24">
        <v>4861</v>
      </c>
      <c r="H17" s="16">
        <v>232</v>
      </c>
      <c r="I17" s="16">
        <v>4.8</v>
      </c>
      <c r="J17" s="24">
        <v>4623</v>
      </c>
      <c r="K17" s="16">
        <v>95.1</v>
      </c>
      <c r="L17" s="16">
        <v>6</v>
      </c>
      <c r="M17" s="16">
        <v>12.3</v>
      </c>
      <c r="N17" s="16">
        <v>449</v>
      </c>
      <c r="O17" s="16">
        <v>9.1999999999999993</v>
      </c>
    </row>
    <row r="18" spans="1:15" x14ac:dyDescent="0.2">
      <c r="A18" s="50" t="s">
        <v>268</v>
      </c>
      <c r="B18" s="51"/>
      <c r="E18" s="51"/>
      <c r="F18" t="s">
        <v>411</v>
      </c>
      <c r="G18" s="24">
        <v>2350</v>
      </c>
      <c r="H18" s="16">
        <v>208</v>
      </c>
      <c r="I18" s="16">
        <v>8.9</v>
      </c>
      <c r="J18" s="24">
        <v>2142</v>
      </c>
      <c r="K18" s="16">
        <v>91.1</v>
      </c>
      <c r="L18" s="16">
        <v>0</v>
      </c>
      <c r="M18" s="16">
        <v>0</v>
      </c>
      <c r="N18" s="16">
        <v>228</v>
      </c>
      <c r="O18" s="16">
        <v>9.6999999999999993</v>
      </c>
    </row>
    <row r="19" spans="1:15" x14ac:dyDescent="0.2">
      <c r="A19" t="s">
        <v>1250</v>
      </c>
      <c r="B19" t="s">
        <v>1708</v>
      </c>
      <c r="E19" s="51"/>
      <c r="F19" t="s">
        <v>412</v>
      </c>
      <c r="G19" s="24">
        <v>1645</v>
      </c>
      <c r="H19" s="16">
        <v>52</v>
      </c>
      <c r="I19" s="16">
        <v>3.2</v>
      </c>
      <c r="J19" s="24">
        <v>1580</v>
      </c>
      <c r="K19" s="16">
        <v>96</v>
      </c>
      <c r="L19" s="16">
        <v>13</v>
      </c>
      <c r="M19" s="16">
        <v>79</v>
      </c>
      <c r="N19" s="16">
        <v>163</v>
      </c>
      <c r="O19" s="16">
        <v>9.9</v>
      </c>
    </row>
    <row r="20" spans="1:15" x14ac:dyDescent="0.2">
      <c r="E20" s="51"/>
      <c r="F20" s="16" t="s">
        <v>413</v>
      </c>
      <c r="G20" s="24">
        <v>1745</v>
      </c>
      <c r="H20" s="16">
        <v>15</v>
      </c>
      <c r="I20" s="16">
        <v>0.9</v>
      </c>
      <c r="J20" s="24">
        <v>1723</v>
      </c>
      <c r="K20" s="16">
        <v>98.7</v>
      </c>
      <c r="L20" s="16">
        <v>7</v>
      </c>
      <c r="M20" s="16">
        <v>40.1</v>
      </c>
      <c r="N20" s="16">
        <v>105</v>
      </c>
      <c r="O20" s="16">
        <v>6</v>
      </c>
    </row>
    <row r="21" spans="1:15" x14ac:dyDescent="0.2">
      <c r="A21" s="53" t="s">
        <v>269</v>
      </c>
      <c r="B21" s="51"/>
      <c r="E21" s="51"/>
      <c r="F21" s="16" t="s">
        <v>414</v>
      </c>
      <c r="G21" s="24">
        <v>3938</v>
      </c>
      <c r="H21" s="16">
        <v>163</v>
      </c>
      <c r="I21" s="16">
        <v>4.0999999999999996</v>
      </c>
      <c r="J21" s="24">
        <v>3738</v>
      </c>
      <c r="K21" s="16">
        <v>94.9</v>
      </c>
      <c r="L21" s="16">
        <v>37</v>
      </c>
      <c r="M21" s="16">
        <v>94</v>
      </c>
      <c r="N21" s="16">
        <v>186</v>
      </c>
      <c r="O21" s="16">
        <v>4.7</v>
      </c>
    </row>
    <row r="22" spans="1:15" x14ac:dyDescent="0.2">
      <c r="A22" t="s">
        <v>1249</v>
      </c>
      <c r="B22" t="s">
        <v>1271</v>
      </c>
      <c r="E22" s="51"/>
      <c r="F22" s="16" t="s">
        <v>423</v>
      </c>
      <c r="G22" s="24">
        <v>1648</v>
      </c>
      <c r="H22" s="16">
        <v>46</v>
      </c>
      <c r="I22" s="16">
        <v>2.8</v>
      </c>
      <c r="J22" s="24">
        <v>1587</v>
      </c>
      <c r="K22" s="16">
        <v>96.3</v>
      </c>
      <c r="L22" s="16">
        <v>15</v>
      </c>
      <c r="M22" s="16">
        <v>91</v>
      </c>
      <c r="N22" s="16">
        <v>71</v>
      </c>
      <c r="O22" s="16">
        <v>4.3</v>
      </c>
    </row>
    <row r="23" spans="1:15" x14ac:dyDescent="0.2">
      <c r="E23" s="51"/>
      <c r="F23" s="16" t="s">
        <v>432</v>
      </c>
      <c r="G23" s="24">
        <v>10182</v>
      </c>
      <c r="H23" s="16">
        <v>921</v>
      </c>
      <c r="I23" s="16">
        <v>9</v>
      </c>
      <c r="J23" s="24">
        <v>9113</v>
      </c>
      <c r="K23" s="16">
        <v>89.5</v>
      </c>
      <c r="L23" s="16">
        <v>148</v>
      </c>
      <c r="M23" s="16">
        <v>145.4</v>
      </c>
      <c r="N23" s="24">
        <v>1071</v>
      </c>
      <c r="O23" s="16">
        <v>10.5</v>
      </c>
    </row>
    <row r="24" spans="1:15" x14ac:dyDescent="0.2">
      <c r="E24" s="51"/>
      <c r="F24" t="s">
        <v>436</v>
      </c>
      <c r="G24" s="24">
        <v>1526</v>
      </c>
      <c r="H24" s="16">
        <v>24</v>
      </c>
      <c r="I24" s="16">
        <v>1.6</v>
      </c>
      <c r="J24" s="24">
        <v>1483</v>
      </c>
      <c r="K24" s="16">
        <v>97.2</v>
      </c>
      <c r="L24" s="16">
        <v>19</v>
      </c>
      <c r="M24" s="16">
        <v>124.5</v>
      </c>
      <c r="N24" s="16">
        <v>126</v>
      </c>
      <c r="O24" s="16">
        <v>8.3000000000000007</v>
      </c>
    </row>
    <row r="25" spans="1:15" x14ac:dyDescent="0.2">
      <c r="E25" s="51"/>
      <c r="F25" s="16" t="s">
        <v>440</v>
      </c>
      <c r="G25" s="16">
        <v>222</v>
      </c>
      <c r="H25" s="16">
        <v>15</v>
      </c>
      <c r="I25" s="16">
        <v>6.8</v>
      </c>
      <c r="J25" s="16">
        <v>201</v>
      </c>
      <c r="K25" s="16">
        <v>90.5</v>
      </c>
      <c r="L25" s="16">
        <v>6</v>
      </c>
      <c r="M25" s="16">
        <v>270.3</v>
      </c>
      <c r="N25" s="16">
        <v>16</v>
      </c>
      <c r="O25" s="16">
        <v>7.2</v>
      </c>
    </row>
    <row r="26" spans="1:15" x14ac:dyDescent="0.2">
      <c r="E26" s="51"/>
      <c r="F26" s="16" t="s">
        <v>443</v>
      </c>
      <c r="G26" s="24">
        <v>6855</v>
      </c>
      <c r="H26" s="16">
        <v>320</v>
      </c>
      <c r="I26" s="16">
        <v>4.7</v>
      </c>
      <c r="J26" s="24">
        <v>6444</v>
      </c>
      <c r="K26" s="16">
        <v>94</v>
      </c>
      <c r="L26" s="16">
        <v>91</v>
      </c>
      <c r="M26" s="16">
        <v>132.69999999999999</v>
      </c>
      <c r="N26" s="16">
        <v>359</v>
      </c>
      <c r="O26" s="16">
        <v>5.2</v>
      </c>
    </row>
    <row r="27" spans="1:15" x14ac:dyDescent="0.2">
      <c r="A27" s="53"/>
      <c r="B27" s="53"/>
      <c r="E27" s="51"/>
      <c r="F27" s="16" t="s">
        <v>1644</v>
      </c>
      <c r="G27" s="16">
        <v>792</v>
      </c>
      <c r="H27" s="16">
        <v>45</v>
      </c>
      <c r="I27" s="16">
        <v>5.7</v>
      </c>
      <c r="J27" s="16">
        <v>731</v>
      </c>
      <c r="K27" s="16">
        <v>92.3</v>
      </c>
      <c r="L27" s="16">
        <v>16</v>
      </c>
      <c r="M27" s="16">
        <v>202</v>
      </c>
      <c r="N27" s="16">
        <v>76</v>
      </c>
      <c r="O27" s="16">
        <v>9.6</v>
      </c>
    </row>
    <row r="28" spans="1:15" x14ac:dyDescent="0.2">
      <c r="E28" s="51"/>
      <c r="F28" s="16" t="s">
        <v>449</v>
      </c>
      <c r="G28" s="24">
        <v>2886</v>
      </c>
      <c r="H28" s="16">
        <v>134</v>
      </c>
      <c r="I28" s="16">
        <v>4.5999999999999996</v>
      </c>
      <c r="J28" s="24">
        <v>2711</v>
      </c>
      <c r="K28" s="16">
        <v>93.9</v>
      </c>
      <c r="L28" s="16">
        <v>41</v>
      </c>
      <c r="M28" s="16">
        <v>142.1</v>
      </c>
      <c r="N28" s="16">
        <v>185</v>
      </c>
      <c r="O28" s="16">
        <v>6.4</v>
      </c>
    </row>
    <row r="29" spans="1:15" x14ac:dyDescent="0.2">
      <c r="E29" s="51"/>
      <c r="F29" s="16" t="s">
        <v>451</v>
      </c>
      <c r="G29" s="24">
        <v>8306</v>
      </c>
      <c r="H29" s="16">
        <v>476</v>
      </c>
      <c r="I29" s="16">
        <v>5.7</v>
      </c>
      <c r="J29" s="24">
        <v>7753</v>
      </c>
      <c r="K29" s="16">
        <v>93.3</v>
      </c>
      <c r="L29" s="16">
        <v>77</v>
      </c>
      <c r="M29" s="16">
        <v>92.7</v>
      </c>
      <c r="N29" s="16">
        <v>652</v>
      </c>
      <c r="O29" s="16">
        <v>7.8</v>
      </c>
    </row>
    <row r="30" spans="1:15" x14ac:dyDescent="0.2">
      <c r="E30" s="51"/>
      <c r="F30" s="16" t="s">
        <v>453</v>
      </c>
      <c r="G30" s="24">
        <v>1401</v>
      </c>
      <c r="H30" s="16">
        <v>58</v>
      </c>
      <c r="I30" s="16">
        <v>4.0999999999999996</v>
      </c>
      <c r="J30" s="24">
        <v>1290</v>
      </c>
      <c r="K30" s="16">
        <v>92.1</v>
      </c>
      <c r="L30" s="16">
        <v>53</v>
      </c>
      <c r="M30" s="16">
        <v>378.3</v>
      </c>
      <c r="N30" s="16">
        <v>91</v>
      </c>
      <c r="O30" s="16">
        <v>6.5</v>
      </c>
    </row>
    <row r="31" spans="1:15" x14ac:dyDescent="0.2">
      <c r="E31" s="51"/>
      <c r="F31" s="16" t="s">
        <v>455</v>
      </c>
      <c r="G31" s="24">
        <v>1535</v>
      </c>
      <c r="H31" s="16">
        <v>43</v>
      </c>
      <c r="I31" s="16">
        <v>2.8</v>
      </c>
      <c r="J31" s="24">
        <v>1492</v>
      </c>
      <c r="K31" s="16">
        <v>97.2</v>
      </c>
      <c r="L31" s="16">
        <v>0</v>
      </c>
      <c r="M31" s="16">
        <v>0</v>
      </c>
      <c r="N31" s="16">
        <v>44</v>
      </c>
      <c r="O31" s="16">
        <v>2.9</v>
      </c>
    </row>
    <row r="32" spans="1:15" x14ac:dyDescent="0.2">
      <c r="E32" s="51"/>
      <c r="F32" t="s">
        <v>457</v>
      </c>
      <c r="G32" s="24">
        <v>2621</v>
      </c>
      <c r="H32" s="16">
        <v>320</v>
      </c>
      <c r="I32" s="16">
        <v>12.2</v>
      </c>
      <c r="J32" s="24">
        <v>2291</v>
      </c>
      <c r="K32" s="16">
        <v>87.4</v>
      </c>
      <c r="L32" s="16">
        <v>10</v>
      </c>
      <c r="M32" s="16">
        <v>38.200000000000003</v>
      </c>
      <c r="N32" s="16">
        <v>351</v>
      </c>
      <c r="O32" s="16">
        <v>13.4</v>
      </c>
    </row>
    <row r="33" spans="5:15" x14ac:dyDescent="0.2">
      <c r="E33" s="51"/>
      <c r="F33" s="16" t="s">
        <v>459</v>
      </c>
      <c r="G33" s="24">
        <v>2094</v>
      </c>
      <c r="H33" s="16">
        <v>170</v>
      </c>
      <c r="I33" s="16">
        <v>8.1</v>
      </c>
      <c r="J33" s="24">
        <v>1910</v>
      </c>
      <c r="K33" s="16">
        <v>91.2</v>
      </c>
      <c r="L33" s="16">
        <v>14</v>
      </c>
      <c r="M33" s="16">
        <v>66.900000000000006</v>
      </c>
      <c r="N33" s="16">
        <v>218</v>
      </c>
      <c r="O33" s="16">
        <v>10.4</v>
      </c>
    </row>
    <row r="34" spans="5:15" x14ac:dyDescent="0.2">
      <c r="E34" s="51"/>
      <c r="F34" s="16" t="s">
        <v>463</v>
      </c>
      <c r="G34" s="16">
        <v>439</v>
      </c>
      <c r="H34" s="16">
        <v>10</v>
      </c>
      <c r="I34" s="18">
        <v>2.2999999999999998</v>
      </c>
      <c r="J34" s="16">
        <v>426</v>
      </c>
      <c r="K34" s="16">
        <v>97</v>
      </c>
      <c r="L34" s="16">
        <v>3</v>
      </c>
      <c r="M34" s="16">
        <v>68.3</v>
      </c>
      <c r="N34" s="16">
        <v>18</v>
      </c>
      <c r="O34" s="16">
        <v>4.0999999999999996</v>
      </c>
    </row>
    <row r="35" spans="5:15" x14ac:dyDescent="0.2">
      <c r="E35" s="51"/>
      <c r="F35" s="16" t="s">
        <v>465</v>
      </c>
      <c r="G35" s="24">
        <v>10335</v>
      </c>
      <c r="H35" s="24">
        <v>1296</v>
      </c>
      <c r="I35" s="18">
        <v>12.5</v>
      </c>
      <c r="J35" s="24">
        <v>8880</v>
      </c>
      <c r="K35" s="16">
        <v>85.9</v>
      </c>
      <c r="L35" s="16">
        <v>159</v>
      </c>
      <c r="M35" s="16">
        <v>153.80000000000001</v>
      </c>
      <c r="N35" s="24">
        <v>1322</v>
      </c>
      <c r="O35" s="16">
        <v>12.8</v>
      </c>
    </row>
    <row r="36" spans="5:15" x14ac:dyDescent="0.2">
      <c r="E36" s="51"/>
      <c r="F36" s="16" t="s">
        <v>467</v>
      </c>
      <c r="G36" s="24">
        <v>11553</v>
      </c>
      <c r="H36" s="16">
        <v>481</v>
      </c>
      <c r="I36" s="18">
        <v>4.2</v>
      </c>
      <c r="J36" s="24">
        <v>10881</v>
      </c>
      <c r="K36" s="16">
        <v>94.2</v>
      </c>
      <c r="L36" s="16">
        <v>191</v>
      </c>
      <c r="M36" s="16">
        <v>165.3</v>
      </c>
      <c r="N36" s="16">
        <v>965</v>
      </c>
      <c r="O36" s="16">
        <v>8.4</v>
      </c>
    </row>
    <row r="37" spans="5:15" x14ac:dyDescent="0.2">
      <c r="E37" s="51"/>
      <c r="F37" s="16" t="s">
        <v>469</v>
      </c>
      <c r="G37" s="24">
        <v>10763</v>
      </c>
      <c r="H37" s="16">
        <v>657</v>
      </c>
      <c r="I37" s="18">
        <v>6.1</v>
      </c>
      <c r="J37" s="24">
        <v>9963</v>
      </c>
      <c r="K37" s="16">
        <v>92.6</v>
      </c>
      <c r="L37" s="16">
        <v>143</v>
      </c>
      <c r="M37" s="16">
        <v>132.9</v>
      </c>
      <c r="N37" s="24">
        <v>1070</v>
      </c>
      <c r="O37" s="16">
        <v>9.9</v>
      </c>
    </row>
    <row r="38" spans="5:15" x14ac:dyDescent="0.2">
      <c r="E38" s="51"/>
      <c r="F38" t="s">
        <v>471</v>
      </c>
      <c r="G38" s="24">
        <v>6869</v>
      </c>
      <c r="H38" s="24">
        <v>5130</v>
      </c>
      <c r="I38" s="16">
        <v>74.7</v>
      </c>
      <c r="J38" s="24">
        <v>1646</v>
      </c>
      <c r="K38" s="16">
        <v>24</v>
      </c>
      <c r="L38" s="16">
        <v>93</v>
      </c>
      <c r="M38" s="16">
        <v>135.4</v>
      </c>
      <c r="N38" s="16">
        <v>818</v>
      </c>
      <c r="O38" s="16">
        <v>11.9</v>
      </c>
    </row>
    <row r="39" spans="5:15" x14ac:dyDescent="0.2">
      <c r="E39" s="51"/>
      <c r="F39" t="s">
        <v>473</v>
      </c>
      <c r="G39" s="24">
        <v>6869</v>
      </c>
      <c r="H39" s="24">
        <v>5130</v>
      </c>
      <c r="I39" s="16">
        <v>74.7</v>
      </c>
      <c r="J39" s="24">
        <v>1646</v>
      </c>
      <c r="K39" s="16">
        <v>24</v>
      </c>
      <c r="L39" s="16">
        <v>93</v>
      </c>
      <c r="M39" s="16">
        <v>135.4</v>
      </c>
      <c r="N39" s="16">
        <v>818</v>
      </c>
      <c r="O39" s="16">
        <v>11.9</v>
      </c>
    </row>
    <row r="40" spans="5:15" x14ac:dyDescent="0.2">
      <c r="E40" s="51"/>
      <c r="F40" t="s">
        <v>476</v>
      </c>
      <c r="G40" s="24">
        <v>3533</v>
      </c>
      <c r="H40" s="16">
        <v>480</v>
      </c>
      <c r="I40" s="16">
        <v>13.6</v>
      </c>
      <c r="J40" s="24">
        <v>2912</v>
      </c>
      <c r="K40" s="16">
        <v>82.4</v>
      </c>
      <c r="L40" s="16">
        <v>141</v>
      </c>
      <c r="M40" s="16">
        <v>399.1</v>
      </c>
      <c r="N40" s="16">
        <v>454</v>
      </c>
      <c r="O40" s="16">
        <v>12.9</v>
      </c>
    </row>
    <row r="41" spans="5:15" x14ac:dyDescent="0.2">
      <c r="E41" s="51"/>
      <c r="F41" t="s">
        <v>497</v>
      </c>
      <c r="G41" s="24">
        <v>1539</v>
      </c>
      <c r="H41" s="16">
        <v>50</v>
      </c>
      <c r="I41" s="16">
        <v>3.2</v>
      </c>
      <c r="J41" s="24">
        <v>1458</v>
      </c>
      <c r="K41" s="16">
        <v>94.7</v>
      </c>
      <c r="L41" s="16">
        <v>31</v>
      </c>
      <c r="M41" s="16">
        <v>201.4</v>
      </c>
      <c r="N41" s="16">
        <v>122</v>
      </c>
      <c r="O41" s="16">
        <v>7.9</v>
      </c>
    </row>
    <row r="42" spans="5:15" x14ac:dyDescent="0.2">
      <c r="E42" s="51"/>
      <c r="F42" t="s">
        <v>501</v>
      </c>
      <c r="G42" s="24">
        <v>1151</v>
      </c>
      <c r="H42" s="16">
        <v>46</v>
      </c>
      <c r="I42" s="16">
        <v>4</v>
      </c>
      <c r="J42" s="24">
        <v>1074</v>
      </c>
      <c r="K42" s="16">
        <v>93.3</v>
      </c>
      <c r="L42" s="16">
        <v>31</v>
      </c>
      <c r="M42" s="16">
        <v>269.3</v>
      </c>
      <c r="N42" s="16">
        <v>102</v>
      </c>
      <c r="O42" s="16">
        <v>8.9</v>
      </c>
    </row>
    <row r="43" spans="5:15" x14ac:dyDescent="0.2">
      <c r="E43" s="51"/>
      <c r="F43" t="s">
        <v>502</v>
      </c>
      <c r="G43" s="16">
        <v>388</v>
      </c>
      <c r="H43" s="16">
        <v>4</v>
      </c>
      <c r="I43" s="16">
        <v>1</v>
      </c>
      <c r="J43" s="16">
        <v>384</v>
      </c>
      <c r="K43" s="16">
        <v>99</v>
      </c>
      <c r="L43" s="16">
        <v>0</v>
      </c>
      <c r="M43" s="16">
        <v>0</v>
      </c>
      <c r="N43" s="16">
        <v>20</v>
      </c>
      <c r="O43" s="16">
        <v>5.2</v>
      </c>
    </row>
    <row r="44" spans="5:15" x14ac:dyDescent="0.2">
      <c r="E44" s="51"/>
      <c r="F44" t="s">
        <v>503</v>
      </c>
      <c r="G44" s="24">
        <v>11910</v>
      </c>
      <c r="H44" s="16">
        <v>882</v>
      </c>
      <c r="I44" s="16">
        <v>7.4</v>
      </c>
      <c r="J44" s="24">
        <v>10642</v>
      </c>
      <c r="K44" s="16">
        <v>89.4</v>
      </c>
      <c r="L44" s="16">
        <v>386</v>
      </c>
      <c r="M44" s="16">
        <v>324.10000000000002</v>
      </c>
      <c r="N44" s="24">
        <v>1086</v>
      </c>
      <c r="O44" s="16">
        <v>9.1</v>
      </c>
    </row>
    <row r="45" spans="5:15" x14ac:dyDescent="0.2">
      <c r="E45" s="51"/>
      <c r="F45" t="s">
        <v>504</v>
      </c>
      <c r="G45" s="24">
        <v>11743</v>
      </c>
      <c r="H45" s="16">
        <v>446</v>
      </c>
      <c r="I45" s="16">
        <v>3.8</v>
      </c>
      <c r="J45" s="24">
        <v>11132</v>
      </c>
      <c r="K45" s="16">
        <v>94.8</v>
      </c>
      <c r="L45" s="16">
        <v>165</v>
      </c>
      <c r="M45" s="16">
        <v>140.5</v>
      </c>
      <c r="N45" s="16">
        <v>974</v>
      </c>
      <c r="O45" s="16">
        <v>8.3000000000000007</v>
      </c>
    </row>
    <row r="46" spans="5:15" x14ac:dyDescent="0.2">
      <c r="E46" s="51"/>
      <c r="F46" t="s">
        <v>505</v>
      </c>
      <c r="G46" s="16">
        <v>936</v>
      </c>
      <c r="H46" s="16">
        <v>21</v>
      </c>
      <c r="I46" s="16">
        <v>2.2000000000000002</v>
      </c>
      <c r="J46" s="16">
        <v>910</v>
      </c>
      <c r="K46" s="16">
        <v>97.2</v>
      </c>
      <c r="L46" s="16">
        <v>5</v>
      </c>
      <c r="M46" s="16">
        <v>53.4</v>
      </c>
      <c r="N46" s="16">
        <v>107</v>
      </c>
      <c r="O46" s="16">
        <v>11.4</v>
      </c>
    </row>
    <row r="47" spans="5:15" x14ac:dyDescent="0.2">
      <c r="E47" s="51"/>
      <c r="F47" t="s">
        <v>506</v>
      </c>
      <c r="G47" s="24">
        <v>1181</v>
      </c>
      <c r="H47" s="16">
        <v>123</v>
      </c>
      <c r="I47" s="16">
        <v>10.4</v>
      </c>
      <c r="J47" s="24">
        <v>1007</v>
      </c>
      <c r="K47" s="16">
        <v>85.3</v>
      </c>
      <c r="L47" s="16">
        <v>51</v>
      </c>
      <c r="M47" s="16">
        <v>431.8</v>
      </c>
      <c r="N47" s="16">
        <v>186</v>
      </c>
      <c r="O47" s="16">
        <v>15.7</v>
      </c>
    </row>
    <row r="48" spans="5:15" x14ac:dyDescent="0.2">
      <c r="E48" s="51"/>
      <c r="F48" t="s">
        <v>507</v>
      </c>
      <c r="G48" s="24">
        <v>2998</v>
      </c>
      <c r="H48" s="16">
        <v>175</v>
      </c>
      <c r="I48" s="16">
        <v>5.8</v>
      </c>
      <c r="J48" s="24">
        <v>2763</v>
      </c>
      <c r="K48" s="16">
        <v>92.2</v>
      </c>
      <c r="L48" s="16">
        <v>60</v>
      </c>
      <c r="M48" s="16">
        <v>200.1</v>
      </c>
      <c r="N48" s="16">
        <v>277</v>
      </c>
      <c r="O48" s="16">
        <v>9.1999999999999993</v>
      </c>
    </row>
    <row r="49" spans="5:15" x14ac:dyDescent="0.2">
      <c r="E49" s="51"/>
      <c r="F49" t="s">
        <v>508</v>
      </c>
      <c r="G49" s="24">
        <v>2468</v>
      </c>
      <c r="H49" s="16">
        <v>114</v>
      </c>
      <c r="I49" s="16">
        <v>4.5999999999999996</v>
      </c>
      <c r="J49" s="24">
        <v>2308</v>
      </c>
      <c r="K49" s="16">
        <v>93.5</v>
      </c>
      <c r="L49" s="16">
        <v>46</v>
      </c>
      <c r="M49" s="16">
        <v>186.4</v>
      </c>
      <c r="N49" s="16">
        <v>128</v>
      </c>
      <c r="O49" s="16">
        <v>5.2</v>
      </c>
    </row>
    <row r="50" spans="5:15" x14ac:dyDescent="0.2">
      <c r="E50" s="51"/>
      <c r="F50" t="s">
        <v>509</v>
      </c>
      <c r="G50" s="24">
        <v>3822</v>
      </c>
      <c r="H50" s="16">
        <v>127</v>
      </c>
      <c r="I50" s="16">
        <v>3.3</v>
      </c>
      <c r="J50" s="24">
        <v>3684</v>
      </c>
      <c r="K50" s="16">
        <v>96.4</v>
      </c>
      <c r="L50" s="16">
        <v>11</v>
      </c>
      <c r="M50" s="16">
        <v>28.8</v>
      </c>
      <c r="N50" s="16">
        <v>372</v>
      </c>
      <c r="O50" s="16">
        <v>9.6999999999999993</v>
      </c>
    </row>
    <row r="51" spans="5:15" x14ac:dyDescent="0.2">
      <c r="E51" s="51"/>
      <c r="F51" t="s">
        <v>1644</v>
      </c>
      <c r="G51" s="16">
        <v>259</v>
      </c>
      <c r="H51" s="16">
        <v>5</v>
      </c>
      <c r="I51" s="16">
        <v>1.9</v>
      </c>
      <c r="J51" s="16">
        <v>254</v>
      </c>
      <c r="K51" s="16">
        <v>98.1</v>
      </c>
      <c r="L51" s="16">
        <v>0</v>
      </c>
      <c r="M51" s="16">
        <v>0</v>
      </c>
      <c r="N51" s="16">
        <v>16</v>
      </c>
      <c r="O51" s="16">
        <v>6.2</v>
      </c>
    </row>
    <row r="52" spans="5:15" x14ac:dyDescent="0.2">
      <c r="E52" s="51"/>
      <c r="F52" t="s">
        <v>510</v>
      </c>
      <c r="G52" s="24">
        <v>3563</v>
      </c>
      <c r="H52" s="16">
        <v>122</v>
      </c>
      <c r="I52" s="16">
        <v>3.4</v>
      </c>
      <c r="J52" s="24">
        <v>3430</v>
      </c>
      <c r="K52" s="16">
        <v>96.3</v>
      </c>
      <c r="L52" s="16">
        <v>11</v>
      </c>
      <c r="M52" s="16">
        <v>30.9</v>
      </c>
      <c r="N52" s="16">
        <v>356</v>
      </c>
      <c r="O52" s="16">
        <v>10</v>
      </c>
    </row>
    <row r="53" spans="5:15" x14ac:dyDescent="0.2">
      <c r="E53" s="51"/>
    </row>
    <row r="54" spans="5:15" x14ac:dyDescent="0.2">
      <c r="E54" s="51"/>
    </row>
    <row r="55" spans="5:15" x14ac:dyDescent="0.2">
      <c r="E55" s="51"/>
    </row>
    <row r="56" spans="5:15" x14ac:dyDescent="0.2">
      <c r="E56" s="51"/>
    </row>
    <row r="57" spans="5:15" x14ac:dyDescent="0.2">
      <c r="E57" s="51"/>
    </row>
  </sheetData>
  <mergeCells count="13">
    <mergeCell ref="J5:K5"/>
    <mergeCell ref="L5:M5"/>
    <mergeCell ref="N5:O5"/>
    <mergeCell ref="B1:O1"/>
    <mergeCell ref="A5:B5"/>
    <mergeCell ref="E5:E57"/>
    <mergeCell ref="A9:B9"/>
    <mergeCell ref="A18:B18"/>
    <mergeCell ref="A21:B21"/>
    <mergeCell ref="A27:B27"/>
    <mergeCell ref="F5:F6"/>
    <mergeCell ref="G5:G6"/>
    <mergeCell ref="H5:I5"/>
  </mergeCells>
  <dataValidations count="4">
    <dataValidation type="list" allowBlank="1" showInputMessage="1" showErrorMessage="1" sqref="P4:Q4" xr:uid="{9420B36F-189D-469E-859C-363B50613738}">
      <formula1>"integer, number, percent1"</formula1>
    </dataValidation>
    <dataValidation type="list" allowBlank="1" showInputMessage="1" showErrorMessage="1" sqref="B10" xr:uid="{B2C65569-955F-4B9E-BC15-2A6B5EFFE8C9}">
      <formula1>"Line,Clustered Bar,Stacked Bar,Bar,Horizontal Stacked Bar"</formula1>
    </dataValidation>
    <dataValidation type="list" allowBlank="1" showInputMessage="1" showErrorMessage="1" sqref="B2" xr:uid="{8095BC49-4945-4C9A-9E6B-69E648B68824}">
      <formula1>"Table,Figure,Both"</formula1>
    </dataValidation>
    <dataValidation type="list" allowBlank="1" showInputMessage="1" showErrorMessage="1" sqref="B6 B15:B16" xr:uid="{F5D783A4-8AA4-4BBE-B054-421F09E976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A479604-142B-41B9-852C-B2BB276F6FBC}">
          <x14:formula1>
            <xm:f>Dropdowns!$B$2:$B$9</xm:f>
          </x14:formula1>
          <xm:sqref>B14</xm:sqref>
        </x14:dataValidation>
        <x14:dataValidation type="list" allowBlank="1" showInputMessage="1" showErrorMessage="1" xr:uid="{D6689D10-3199-4867-8FCA-4CA73B6B2B31}">
          <x14:formula1>
            <xm:f>Dropdowns!$A$1:$A$8</xm:f>
          </x14:formula1>
          <xm:sqref>F4:O4</xm:sqref>
        </x14:dataValidation>
        <x14:dataValidation type="list" allowBlank="1" showInputMessage="1" showErrorMessage="1" xr:uid="{8F1CE3C1-B13B-41E7-B93A-A70F42C7B539}">
          <x14:formula1>
            <xm:f>Master!$F$2:$F$401</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3F813-5F52-402F-AC64-1D5118ABF96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339</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tbl-pop-served-ocdss</v>
      </c>
    </row>
    <row r="4" spans="1:17" x14ac:dyDescent="0.2">
      <c r="A4" s="17" t="s">
        <v>5</v>
      </c>
      <c r="B4" t="str">
        <f>IF($B$1="","",_xlfn.XLOOKUP($B$1,Master!$E$2:$E$320,Master!$G$2:$G$320,""))</f>
        <v>fig-pop-served-ocdss</v>
      </c>
      <c r="E4" s="8"/>
      <c r="F4" s="10" t="s">
        <v>144</v>
      </c>
      <c r="G4" s="10" t="s">
        <v>149</v>
      </c>
      <c r="H4" s="10" t="s">
        <v>149</v>
      </c>
      <c r="I4" s="10" t="s">
        <v>149</v>
      </c>
      <c r="J4" s="10"/>
      <c r="K4" s="10"/>
      <c r="L4" s="10"/>
      <c r="M4" s="10"/>
      <c r="N4" s="10"/>
      <c r="O4" s="10"/>
      <c r="P4" s="10"/>
      <c r="Q4" s="10"/>
    </row>
    <row r="5" spans="1:17" x14ac:dyDescent="0.2">
      <c r="A5" s="50" t="s">
        <v>255</v>
      </c>
      <c r="B5" s="51"/>
      <c r="E5" s="52" t="s">
        <v>256</v>
      </c>
      <c r="F5" t="s">
        <v>1711</v>
      </c>
      <c r="G5">
        <v>2022</v>
      </c>
      <c r="H5">
        <v>2023</v>
      </c>
      <c r="I5">
        <v>2024</v>
      </c>
    </row>
    <row r="6" spans="1:17" ht="15" customHeight="1" x14ac:dyDescent="0.2">
      <c r="A6" t="s">
        <v>259</v>
      </c>
      <c r="B6" t="b">
        <v>1</v>
      </c>
      <c r="E6" s="51"/>
      <c r="F6" s="39" t="s">
        <v>1712</v>
      </c>
      <c r="G6" s="24">
        <v>3611</v>
      </c>
      <c r="H6" s="24">
        <v>3831</v>
      </c>
      <c r="I6" s="24">
        <v>3620</v>
      </c>
      <c r="J6" s="16"/>
      <c r="K6" s="16"/>
      <c r="L6" s="16"/>
      <c r="M6" s="16"/>
      <c r="N6" s="16"/>
      <c r="O6" s="16"/>
    </row>
    <row r="7" spans="1:17" ht="15.75" customHeight="1" x14ac:dyDescent="0.2">
      <c r="E7" s="51"/>
      <c r="F7" s="39" t="s">
        <v>1713</v>
      </c>
      <c r="G7" s="16">
        <v>248</v>
      </c>
      <c r="H7" s="16">
        <v>220</v>
      </c>
      <c r="I7" s="16">
        <v>201</v>
      </c>
      <c r="J7" s="16"/>
      <c r="K7" s="16"/>
      <c r="L7" s="16"/>
      <c r="M7" s="16"/>
      <c r="N7" s="16"/>
      <c r="O7" s="16"/>
    </row>
    <row r="8" spans="1:17" x14ac:dyDescent="0.2">
      <c r="E8" s="51"/>
      <c r="F8" s="39" t="s">
        <v>1714</v>
      </c>
      <c r="G8" s="16">
        <v>120</v>
      </c>
      <c r="H8" s="16">
        <v>127</v>
      </c>
      <c r="I8" s="16">
        <v>116</v>
      </c>
      <c r="J8" s="16"/>
      <c r="K8" s="16"/>
      <c r="L8" s="16"/>
      <c r="M8" s="16"/>
      <c r="N8" s="16"/>
      <c r="O8" s="16"/>
    </row>
    <row r="9" spans="1:17" x14ac:dyDescent="0.2">
      <c r="A9" s="50" t="s">
        <v>260</v>
      </c>
      <c r="B9" s="51"/>
      <c r="E9" s="51"/>
      <c r="F9" s="39" t="s">
        <v>1715</v>
      </c>
      <c r="G9" s="16">
        <v>28</v>
      </c>
      <c r="H9">
        <v>23</v>
      </c>
      <c r="I9">
        <v>25</v>
      </c>
      <c r="J9" s="16"/>
      <c r="K9" s="16"/>
      <c r="L9" s="16"/>
      <c r="M9" s="16"/>
      <c r="N9" s="16"/>
      <c r="O9" s="16"/>
    </row>
    <row r="10" spans="1:17" x14ac:dyDescent="0.2">
      <c r="A10" t="s">
        <v>261</v>
      </c>
      <c r="E10" s="51"/>
      <c r="F10" s="39" t="s">
        <v>1716</v>
      </c>
      <c r="G10" s="16">
        <v>179</v>
      </c>
      <c r="H10" s="16">
        <v>188</v>
      </c>
      <c r="I10" s="16">
        <v>184</v>
      </c>
    </row>
    <row r="11" spans="1:17" x14ac:dyDescent="0.2">
      <c r="A11" t="s">
        <v>262</v>
      </c>
      <c r="E11" s="51"/>
      <c r="F11" s="54" t="s">
        <v>1717</v>
      </c>
      <c r="G11" s="54"/>
      <c r="H11" s="54"/>
      <c r="I11" s="54"/>
      <c r="J11" s="18"/>
      <c r="K11" s="18"/>
      <c r="L11" s="18"/>
      <c r="M11" s="18"/>
      <c r="N11" s="18"/>
    </row>
    <row r="12" spans="1:17" x14ac:dyDescent="0.2">
      <c r="A12" t="s">
        <v>263</v>
      </c>
      <c r="E12" s="51"/>
      <c r="F12" s="39" t="s">
        <v>1718</v>
      </c>
      <c r="G12" s="15">
        <v>3434</v>
      </c>
      <c r="H12" s="15">
        <v>3855</v>
      </c>
      <c r="I12" s="15">
        <v>4181</v>
      </c>
      <c r="J12" s="16"/>
      <c r="K12" s="16"/>
      <c r="L12" s="16"/>
    </row>
    <row r="13" spans="1:17" x14ac:dyDescent="0.2">
      <c r="A13" t="s">
        <v>264</v>
      </c>
      <c r="E13" s="51"/>
      <c r="F13" s="39" t="s">
        <v>1719</v>
      </c>
      <c r="G13" s="15">
        <v>1336</v>
      </c>
      <c r="H13" s="15">
        <v>1471</v>
      </c>
      <c r="I13" s="15">
        <v>1605</v>
      </c>
    </row>
    <row r="14" spans="1:17" x14ac:dyDescent="0.2">
      <c r="A14" t="s">
        <v>265</v>
      </c>
      <c r="E14" s="51"/>
      <c r="F14" s="39" t="s">
        <v>1720</v>
      </c>
      <c r="G14" s="15">
        <v>2327</v>
      </c>
      <c r="H14" s="15">
        <v>2624</v>
      </c>
      <c r="I14" s="15">
        <v>2873</v>
      </c>
    </row>
    <row r="15" spans="1:17" x14ac:dyDescent="0.2">
      <c r="A15" t="s">
        <v>267</v>
      </c>
      <c r="E15" s="51"/>
      <c r="F15" s="39" t="s">
        <v>1721</v>
      </c>
      <c r="G15">
        <v>504</v>
      </c>
      <c r="H15">
        <v>527</v>
      </c>
      <c r="I15">
        <v>565</v>
      </c>
    </row>
    <row r="16" spans="1:17" x14ac:dyDescent="0.2">
      <c r="A16" t="s">
        <v>274</v>
      </c>
      <c r="E16" s="51"/>
      <c r="F16" s="39" t="s">
        <v>1722</v>
      </c>
      <c r="G16">
        <v>832</v>
      </c>
      <c r="H16">
        <v>944</v>
      </c>
      <c r="I16" s="15">
        <v>1040</v>
      </c>
    </row>
    <row r="17" spans="1:11" x14ac:dyDescent="0.2">
      <c r="E17" s="51"/>
      <c r="F17" s="39" t="s">
        <v>1723</v>
      </c>
      <c r="G17" s="15">
        <v>23796</v>
      </c>
      <c r="H17" s="15">
        <v>28602</v>
      </c>
      <c r="I17" s="15">
        <v>20929</v>
      </c>
    </row>
    <row r="18" spans="1:11" x14ac:dyDescent="0.2">
      <c r="A18" s="50" t="s">
        <v>268</v>
      </c>
      <c r="B18" s="51"/>
      <c r="E18" s="51"/>
      <c r="F18" s="39" t="s">
        <v>1724</v>
      </c>
      <c r="G18" s="15">
        <v>1728</v>
      </c>
      <c r="H18" s="15">
        <v>2572</v>
      </c>
      <c r="I18" s="15">
        <v>3042</v>
      </c>
    </row>
    <row r="19" spans="1:11" x14ac:dyDescent="0.2">
      <c r="A19" t="s">
        <v>1250</v>
      </c>
      <c r="B19" t="s">
        <v>1710</v>
      </c>
      <c r="E19" s="51"/>
      <c r="F19" s="39" t="s">
        <v>1725</v>
      </c>
      <c r="G19" s="24">
        <v>20975</v>
      </c>
      <c r="H19" s="24">
        <v>20739</v>
      </c>
      <c r="I19" s="15">
        <v>19266</v>
      </c>
    </row>
    <row r="20" spans="1:11" x14ac:dyDescent="0.2">
      <c r="E20" s="51"/>
      <c r="F20" s="39" t="s">
        <v>1726</v>
      </c>
      <c r="G20" s="16">
        <v>0</v>
      </c>
      <c r="H20" s="16">
        <v>0</v>
      </c>
      <c r="I20">
        <v>0</v>
      </c>
    </row>
    <row r="21" spans="1:11" x14ac:dyDescent="0.2">
      <c r="A21" s="53" t="s">
        <v>269</v>
      </c>
      <c r="B21" s="51"/>
      <c r="E21" s="51"/>
      <c r="F21" s="39" t="s">
        <v>1727</v>
      </c>
      <c r="G21" s="24">
        <v>12584</v>
      </c>
      <c r="H21" s="24">
        <v>14560</v>
      </c>
      <c r="I21" s="15">
        <v>12792</v>
      </c>
    </row>
    <row r="22" spans="1:11" x14ac:dyDescent="0.2">
      <c r="A22" t="s">
        <v>1249</v>
      </c>
      <c r="B22" t="s">
        <v>1709</v>
      </c>
      <c r="E22" s="51"/>
      <c r="F22" s="39" t="s">
        <v>1728</v>
      </c>
      <c r="G22" s="24">
        <v>17002</v>
      </c>
      <c r="H22" s="24">
        <v>17784</v>
      </c>
      <c r="I22" s="15">
        <v>18923</v>
      </c>
    </row>
    <row r="23" spans="1:11" x14ac:dyDescent="0.2">
      <c r="E23" s="51"/>
      <c r="F23" s="39" t="s">
        <v>1729</v>
      </c>
      <c r="G23" s="42">
        <v>20823245</v>
      </c>
      <c r="H23" s="42">
        <v>98665429</v>
      </c>
      <c r="I23" s="42">
        <v>119488674</v>
      </c>
    </row>
    <row r="24" spans="1:11" x14ac:dyDescent="0.2">
      <c r="E24" s="51"/>
      <c r="F24" s="39" t="s">
        <v>1730</v>
      </c>
      <c r="G24" s="16">
        <v>254</v>
      </c>
      <c r="H24" s="16">
        <v>302</v>
      </c>
      <c r="I24">
        <v>314</v>
      </c>
    </row>
    <row r="25" spans="1:11" x14ac:dyDescent="0.2">
      <c r="E25" s="51"/>
      <c r="F25" s="39" t="s">
        <v>1731</v>
      </c>
      <c r="G25" s="16" t="s">
        <v>1732</v>
      </c>
      <c r="H25" s="16" t="s">
        <v>1733</v>
      </c>
      <c r="I25" t="s">
        <v>1734</v>
      </c>
      <c r="K25" t="s">
        <v>28</v>
      </c>
    </row>
    <row r="26" spans="1:11" x14ac:dyDescent="0.2">
      <c r="E26" s="51"/>
      <c r="F26" s="39" t="s">
        <v>1735</v>
      </c>
      <c r="G26" s="24">
        <v>1733</v>
      </c>
      <c r="H26" s="24">
        <v>2161</v>
      </c>
      <c r="I26" s="15">
        <v>2668</v>
      </c>
    </row>
    <row r="27" spans="1:11" x14ac:dyDescent="0.2">
      <c r="A27" s="53"/>
      <c r="B27" s="53"/>
      <c r="E27" s="51"/>
      <c r="F27" s="39" t="s">
        <v>1736</v>
      </c>
      <c r="G27" s="16">
        <v>265</v>
      </c>
      <c r="H27" s="16">
        <v>487</v>
      </c>
      <c r="I27">
        <v>737</v>
      </c>
    </row>
    <row r="28" spans="1:11" x14ac:dyDescent="0.2">
      <c r="E28" s="51"/>
      <c r="F28" s="39" t="s">
        <v>1737</v>
      </c>
      <c r="G28" s="16" t="s">
        <v>1738</v>
      </c>
      <c r="H28" s="16" t="s">
        <v>1739</v>
      </c>
      <c r="I28" t="s">
        <v>1740</v>
      </c>
    </row>
    <row r="29" spans="1:11" x14ac:dyDescent="0.2">
      <c r="E29" s="51"/>
      <c r="F29" s="39" t="s">
        <v>1741</v>
      </c>
      <c r="G29" s="16">
        <v>19</v>
      </c>
      <c r="H29" s="16">
        <v>90</v>
      </c>
      <c r="I29">
        <v>230</v>
      </c>
    </row>
    <row r="30" spans="1:11" x14ac:dyDescent="0.2">
      <c r="E30" s="51"/>
      <c r="F30" s="39" t="s">
        <v>1742</v>
      </c>
      <c r="G30" s="16">
        <v>12</v>
      </c>
      <c r="H30" s="16">
        <v>14</v>
      </c>
      <c r="I30">
        <v>12</v>
      </c>
    </row>
    <row r="31" spans="1:11" x14ac:dyDescent="0.2">
      <c r="E31" s="51"/>
      <c r="F31" s="39" t="s">
        <v>1743</v>
      </c>
      <c r="K31" t="s">
        <v>280</v>
      </c>
    </row>
    <row r="32" spans="1:11" x14ac:dyDescent="0.2">
      <c r="E32" s="51"/>
      <c r="F32" s="39" t="s">
        <v>1744</v>
      </c>
      <c r="G32" s="24">
        <v>10260</v>
      </c>
      <c r="H32" s="24">
        <v>9930</v>
      </c>
      <c r="I32" s="15">
        <v>9724</v>
      </c>
    </row>
    <row r="33" spans="5:9" x14ac:dyDescent="0.2">
      <c r="E33" s="51"/>
      <c r="F33" s="39" t="s">
        <v>1745</v>
      </c>
      <c r="G33" s="41">
        <v>38251624</v>
      </c>
      <c r="H33" s="41">
        <v>39675001</v>
      </c>
      <c r="I33" s="43">
        <v>41707553</v>
      </c>
    </row>
    <row r="34" spans="5:9" x14ac:dyDescent="0.2">
      <c r="E34" s="51"/>
      <c r="F34" s="39" t="s">
        <v>1746</v>
      </c>
      <c r="G34" s="16">
        <v>407</v>
      </c>
      <c r="H34" s="16">
        <v>709</v>
      </c>
      <c r="I34" s="18">
        <v>559</v>
      </c>
    </row>
    <row r="35" spans="5:9" x14ac:dyDescent="0.2">
      <c r="E35" s="51"/>
      <c r="F35" s="39" t="s">
        <v>1747</v>
      </c>
      <c r="G35" s="41">
        <v>637829</v>
      </c>
      <c r="H35" s="41">
        <v>1254285</v>
      </c>
      <c r="I35" s="43">
        <v>371227</v>
      </c>
    </row>
    <row r="36" spans="5:9" x14ac:dyDescent="0.2">
      <c r="E36" s="51"/>
      <c r="F36" s="39" t="s">
        <v>1748</v>
      </c>
      <c r="G36" s="16" t="s">
        <v>1749</v>
      </c>
      <c r="H36" s="16" t="s">
        <v>1750</v>
      </c>
      <c r="I36" s="18" t="s">
        <v>1751</v>
      </c>
    </row>
    <row r="37" spans="5:9" x14ac:dyDescent="0.2">
      <c r="E37" s="51"/>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8">
    <mergeCell ref="B1:O1"/>
    <mergeCell ref="A5:B5"/>
    <mergeCell ref="E5:E57"/>
    <mergeCell ref="A9:B9"/>
    <mergeCell ref="A18:B18"/>
    <mergeCell ref="A21:B21"/>
    <mergeCell ref="A27:B27"/>
    <mergeCell ref="F11:I11"/>
  </mergeCells>
  <dataValidations count="4">
    <dataValidation type="list" allowBlank="1" showInputMessage="1" showErrorMessage="1" sqref="P4:Q4" xr:uid="{73D6A49C-907C-4E69-8413-33950A5FF677}">
      <formula1>"integer, number, percent1"</formula1>
    </dataValidation>
    <dataValidation type="list" allowBlank="1" showInputMessage="1" showErrorMessage="1" sqref="B10" xr:uid="{87CD9F1D-4FD0-4BEA-A010-D33DB08AE6F2}">
      <formula1>"Line,Clustered Bar,Stacked Bar,Bar,Horizontal Stacked Bar"</formula1>
    </dataValidation>
    <dataValidation type="list" allowBlank="1" showInputMessage="1" showErrorMessage="1" sqref="B2" xr:uid="{AC3BD8C0-7365-4BC5-BF12-1CC08BD8BFE0}">
      <formula1>"Table,Figure,Both"</formula1>
    </dataValidation>
    <dataValidation type="list" allowBlank="1" showInputMessage="1" showErrorMessage="1" sqref="B6 B15:B16" xr:uid="{1310A7ED-1FED-47AF-B19E-4189795CF4C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7CDEE0B-36B6-4488-A3D4-8350D1E75ACF}">
          <x14:formula1>
            <xm:f>Dropdowns!$B$2:$B$9</xm:f>
          </x14:formula1>
          <xm:sqref>B14</xm:sqref>
        </x14:dataValidation>
        <x14:dataValidation type="list" allowBlank="1" showInputMessage="1" showErrorMessage="1" xr:uid="{2F78479A-7298-46E3-AF32-8F60E5A6BAB2}">
          <x14:formula1>
            <xm:f>Dropdowns!$A$1:$A$8</xm:f>
          </x14:formula1>
          <xm:sqref>F4:O4</xm:sqref>
        </x14:dataValidation>
        <x14:dataValidation type="list" allowBlank="1" showInputMessage="1" showErrorMessage="1" xr:uid="{E500F71C-F3C5-4751-9CA7-A61CD05ED537}">
          <x14:formula1>
            <xm:f>Master!$F$2:$F$401</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FBCD7-1A71-4C75-B5D7-453FF53863F8}">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341</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tbl-dzcircsystem-count-rate-age-rande-zip</v>
      </c>
    </row>
    <row r="4" spans="1:17" x14ac:dyDescent="0.2">
      <c r="A4" s="17" t="s">
        <v>5</v>
      </c>
      <c r="B4" t="str">
        <f>IF($B$1="","",_xlfn.XLOOKUP($B$1,Master!$E$2:$E$320,Master!$G$2:$G$320,""))</f>
        <v>fig-dzcircsystem-count-rate-age-rande-zip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0" t="s">
        <v>255</v>
      </c>
      <c r="B5" s="51"/>
      <c r="E5" s="52" t="s">
        <v>256</v>
      </c>
      <c r="G5" s="53">
        <v>2020</v>
      </c>
      <c r="H5" s="53"/>
      <c r="I5" s="53">
        <v>2021</v>
      </c>
      <c r="J5" s="53"/>
      <c r="K5" s="53">
        <v>2022</v>
      </c>
      <c r="L5" s="53"/>
      <c r="M5" s="53">
        <v>2023</v>
      </c>
      <c r="N5" s="53"/>
      <c r="O5" s="53" t="s">
        <v>1756</v>
      </c>
      <c r="P5" s="53"/>
    </row>
    <row r="6" spans="1:17" ht="15" customHeight="1" x14ac:dyDescent="0.2">
      <c r="A6" t="s">
        <v>259</v>
      </c>
      <c r="B6" t="b">
        <v>1</v>
      </c>
      <c r="E6" s="51"/>
      <c r="F6" t="s">
        <v>1755</v>
      </c>
      <c r="G6" s="16" t="s">
        <v>1273</v>
      </c>
      <c r="H6" s="16" t="s">
        <v>1274</v>
      </c>
      <c r="I6" s="16" t="s">
        <v>1273</v>
      </c>
      <c r="J6" s="16" t="s">
        <v>1274</v>
      </c>
      <c r="K6" s="16" t="s">
        <v>1273</v>
      </c>
      <c r="L6" s="16" t="s">
        <v>1274</v>
      </c>
      <c r="M6" s="16" t="s">
        <v>1273</v>
      </c>
      <c r="N6" s="16" t="s">
        <v>1274</v>
      </c>
      <c r="O6" s="16" t="s">
        <v>1273</v>
      </c>
      <c r="P6" s="16" t="s">
        <v>1276</v>
      </c>
    </row>
    <row r="7" spans="1:17" ht="15.75" customHeight="1" x14ac:dyDescent="0.2">
      <c r="E7" s="51"/>
      <c r="F7" t="s">
        <v>1752</v>
      </c>
      <c r="G7" s="16">
        <v>68</v>
      </c>
      <c r="H7" s="16">
        <v>17.8</v>
      </c>
      <c r="I7" s="16">
        <v>39</v>
      </c>
      <c r="J7" s="16">
        <v>9.8000000000000007</v>
      </c>
      <c r="K7" s="16">
        <v>65</v>
      </c>
      <c r="L7" s="16">
        <v>16.2</v>
      </c>
      <c r="M7" s="16">
        <v>73</v>
      </c>
      <c r="N7" s="16">
        <v>18.100000000000001</v>
      </c>
      <c r="O7" s="16">
        <v>245</v>
      </c>
      <c r="P7" s="16">
        <v>15.5</v>
      </c>
    </row>
    <row r="8" spans="1:17" x14ac:dyDescent="0.2">
      <c r="E8" s="51"/>
      <c r="F8" t="s">
        <v>1277</v>
      </c>
      <c r="G8" s="16"/>
      <c r="H8" s="16"/>
      <c r="I8" s="16"/>
      <c r="J8" s="16"/>
      <c r="K8" s="16"/>
      <c r="L8" s="16"/>
      <c r="M8" s="16"/>
      <c r="N8" s="16"/>
      <c r="O8" s="16"/>
      <c r="P8" s="16"/>
    </row>
    <row r="9" spans="1:17" x14ac:dyDescent="0.2">
      <c r="A9" s="50" t="s">
        <v>260</v>
      </c>
      <c r="B9" s="51"/>
      <c r="E9" s="51"/>
      <c r="F9" t="s">
        <v>1278</v>
      </c>
      <c r="G9" s="16">
        <v>0</v>
      </c>
      <c r="H9" s="16">
        <v>0</v>
      </c>
      <c r="I9" s="16" t="s">
        <v>206</v>
      </c>
      <c r="J9" s="16" t="s">
        <v>206</v>
      </c>
      <c r="K9" s="16">
        <v>0</v>
      </c>
      <c r="L9" s="16">
        <v>0</v>
      </c>
      <c r="M9" s="16" t="s">
        <v>206</v>
      </c>
      <c r="N9" s="16" t="s">
        <v>206</v>
      </c>
      <c r="O9" s="16" t="s">
        <v>206</v>
      </c>
      <c r="P9" s="16" t="s">
        <v>206</v>
      </c>
    </row>
    <row r="10" spans="1:17" x14ac:dyDescent="0.2">
      <c r="A10" t="s">
        <v>261</v>
      </c>
      <c r="E10" s="51"/>
      <c r="F10" s="13" t="s">
        <v>1292</v>
      </c>
      <c r="G10" s="16" t="s">
        <v>206</v>
      </c>
      <c r="H10" s="16" t="s">
        <v>206</v>
      </c>
      <c r="I10" s="16">
        <v>0</v>
      </c>
      <c r="J10" s="16">
        <v>0</v>
      </c>
      <c r="K10" s="16">
        <v>0</v>
      </c>
      <c r="L10" s="16">
        <v>0</v>
      </c>
      <c r="M10" s="16">
        <v>0</v>
      </c>
      <c r="N10" s="16">
        <v>0</v>
      </c>
      <c r="O10" s="16" t="s">
        <v>206</v>
      </c>
      <c r="P10" s="16" t="s">
        <v>206</v>
      </c>
    </row>
    <row r="11" spans="1:17" x14ac:dyDescent="0.2">
      <c r="A11" t="s">
        <v>262</v>
      </c>
      <c r="E11" s="51"/>
      <c r="F11" s="13" t="s">
        <v>1293</v>
      </c>
      <c r="G11" s="16">
        <v>0</v>
      </c>
      <c r="H11" s="16">
        <v>0</v>
      </c>
      <c r="I11" s="16">
        <v>0</v>
      </c>
      <c r="J11" s="16">
        <v>0</v>
      </c>
      <c r="K11" s="16">
        <v>0</v>
      </c>
      <c r="L11" s="16">
        <v>0</v>
      </c>
      <c r="M11" s="16">
        <v>0</v>
      </c>
      <c r="N11" s="16">
        <v>0</v>
      </c>
      <c r="O11" s="16">
        <v>0</v>
      </c>
      <c r="P11" s="16">
        <v>0</v>
      </c>
    </row>
    <row r="12" spans="1:17" x14ac:dyDescent="0.2">
      <c r="A12" t="s">
        <v>263</v>
      </c>
      <c r="E12" s="51"/>
      <c r="F12" t="s">
        <v>1279</v>
      </c>
      <c r="G12" s="16" t="s">
        <v>206</v>
      </c>
      <c r="H12" s="16" t="s">
        <v>206</v>
      </c>
      <c r="I12" s="16" t="s">
        <v>206</v>
      </c>
      <c r="J12" s="18" t="s">
        <v>206</v>
      </c>
      <c r="K12" s="18" t="s">
        <v>206</v>
      </c>
      <c r="L12" s="18" t="s">
        <v>206</v>
      </c>
      <c r="M12" s="18" t="s">
        <v>206</v>
      </c>
      <c r="N12" s="18" t="s">
        <v>206</v>
      </c>
      <c r="O12" s="16" t="s">
        <v>206</v>
      </c>
      <c r="P12" s="16" t="s">
        <v>206</v>
      </c>
    </row>
    <row r="13" spans="1:17" x14ac:dyDescent="0.2">
      <c r="A13" t="s">
        <v>264</v>
      </c>
      <c r="E13" s="51"/>
      <c r="F13" s="22" t="s">
        <v>1280</v>
      </c>
      <c r="G13" s="18" t="s">
        <v>206</v>
      </c>
      <c r="H13" s="18" t="s">
        <v>206</v>
      </c>
      <c r="I13" s="16" t="s">
        <v>206</v>
      </c>
      <c r="J13" s="16" t="s">
        <v>206</v>
      </c>
      <c r="K13" s="16" t="s">
        <v>206</v>
      </c>
      <c r="L13" s="16" t="s">
        <v>206</v>
      </c>
      <c r="M13" s="16" t="s">
        <v>206</v>
      </c>
      <c r="N13" s="16" t="s">
        <v>206</v>
      </c>
      <c r="O13" s="16">
        <v>14</v>
      </c>
      <c r="P13" s="16">
        <v>7.5</v>
      </c>
    </row>
    <row r="14" spans="1:17" x14ac:dyDescent="0.2">
      <c r="A14" t="s">
        <v>265</v>
      </c>
      <c r="E14" s="51"/>
      <c r="F14" t="s">
        <v>1281</v>
      </c>
      <c r="G14" s="16" t="s">
        <v>206</v>
      </c>
      <c r="H14" s="16" t="s">
        <v>206</v>
      </c>
      <c r="I14" s="16" t="s">
        <v>206</v>
      </c>
      <c r="J14" s="16" t="s">
        <v>206</v>
      </c>
      <c r="K14" s="16" t="s">
        <v>206</v>
      </c>
      <c r="L14" s="16" t="s">
        <v>206</v>
      </c>
      <c r="M14" s="16" t="s">
        <v>206</v>
      </c>
      <c r="N14" s="16" t="s">
        <v>206</v>
      </c>
      <c r="O14" s="16">
        <v>30</v>
      </c>
      <c r="P14" s="16">
        <v>15.7</v>
      </c>
    </row>
    <row r="15" spans="1:17" x14ac:dyDescent="0.2">
      <c r="A15" t="s">
        <v>267</v>
      </c>
      <c r="E15" s="51"/>
      <c r="F15" t="s">
        <v>1282</v>
      </c>
      <c r="G15" s="16">
        <v>28</v>
      </c>
      <c r="H15" s="16">
        <v>53.5</v>
      </c>
      <c r="I15" s="16">
        <v>34</v>
      </c>
      <c r="J15" s="16">
        <v>63.7</v>
      </c>
      <c r="K15" s="16">
        <v>21</v>
      </c>
      <c r="L15" s="16">
        <v>40.1</v>
      </c>
      <c r="M15" s="16">
        <v>32</v>
      </c>
      <c r="N15" s="16">
        <v>62.1</v>
      </c>
      <c r="O15" s="16">
        <v>115</v>
      </c>
      <c r="P15" s="16">
        <v>54.9</v>
      </c>
    </row>
    <row r="16" spans="1:17" x14ac:dyDescent="0.2">
      <c r="A16" t="s">
        <v>274</v>
      </c>
      <c r="E16" s="51"/>
      <c r="F16" t="s">
        <v>1283</v>
      </c>
      <c r="G16" s="16">
        <v>84</v>
      </c>
      <c r="H16" s="16">
        <v>172.5</v>
      </c>
      <c r="I16" s="16">
        <v>91</v>
      </c>
      <c r="J16" s="16">
        <v>177.1</v>
      </c>
      <c r="K16" s="16">
        <v>99</v>
      </c>
      <c r="L16" s="16">
        <v>193.4</v>
      </c>
      <c r="M16" s="16">
        <v>98</v>
      </c>
      <c r="N16" s="16">
        <v>190.3</v>
      </c>
      <c r="O16" s="16">
        <v>372</v>
      </c>
      <c r="P16" s="16">
        <v>183.3</v>
      </c>
    </row>
    <row r="17" spans="1:16" x14ac:dyDescent="0.2">
      <c r="E17" s="51"/>
      <c r="F17" t="s">
        <v>1284</v>
      </c>
      <c r="G17" s="16">
        <v>154</v>
      </c>
      <c r="H17" s="16">
        <v>488.4</v>
      </c>
      <c r="I17" s="16">
        <v>147</v>
      </c>
      <c r="J17" s="16">
        <v>439.2</v>
      </c>
      <c r="K17" s="16">
        <v>159</v>
      </c>
      <c r="L17" s="16">
        <v>469.7</v>
      </c>
      <c r="M17" s="16">
        <v>147</v>
      </c>
      <c r="N17" s="16">
        <v>421.9</v>
      </c>
      <c r="O17" s="16">
        <v>607</v>
      </c>
      <c r="P17" s="16">
        <v>454.8</v>
      </c>
    </row>
    <row r="18" spans="1:16" x14ac:dyDescent="0.2">
      <c r="A18" s="50" t="s">
        <v>268</v>
      </c>
      <c r="B18" s="51"/>
      <c r="E18" s="51"/>
      <c r="F18" t="s">
        <v>1285</v>
      </c>
      <c r="G18" s="16">
        <v>196</v>
      </c>
      <c r="H18" s="16">
        <v>1329.3</v>
      </c>
      <c r="I18" s="16">
        <v>209</v>
      </c>
      <c r="J18" s="16">
        <v>1369.6</v>
      </c>
      <c r="K18" s="16">
        <v>230</v>
      </c>
      <c r="L18" s="16">
        <v>1451.7</v>
      </c>
      <c r="M18" s="16">
        <v>236</v>
      </c>
      <c r="N18" s="16">
        <v>1439.3</v>
      </c>
      <c r="O18" s="16">
        <v>871</v>
      </c>
      <c r="P18" s="16">
        <v>1397.4</v>
      </c>
    </row>
    <row r="19" spans="1:16" x14ac:dyDescent="0.2">
      <c r="A19" t="s">
        <v>1250</v>
      </c>
      <c r="B19" t="s">
        <v>1295</v>
      </c>
      <c r="E19" s="51"/>
      <c r="F19" t="s">
        <v>1286</v>
      </c>
      <c r="G19" s="16">
        <v>365</v>
      </c>
      <c r="H19" s="16">
        <v>5105.6000000000004</v>
      </c>
      <c r="I19" s="16">
        <v>297</v>
      </c>
      <c r="J19" s="16">
        <v>4359.3</v>
      </c>
      <c r="K19" s="16">
        <v>295</v>
      </c>
      <c r="L19" s="16">
        <v>4202.3</v>
      </c>
      <c r="M19" s="16">
        <v>313</v>
      </c>
      <c r="N19" s="16">
        <v>4665.3999999999996</v>
      </c>
      <c r="O19" s="16">
        <v>1270</v>
      </c>
      <c r="P19" s="16">
        <v>4583.1000000000004</v>
      </c>
    </row>
    <row r="20" spans="1:16" x14ac:dyDescent="0.2">
      <c r="E20" s="51"/>
      <c r="F20" t="s">
        <v>1753</v>
      </c>
      <c r="G20" s="16"/>
      <c r="H20" s="16"/>
      <c r="I20" s="16"/>
      <c r="J20" s="16"/>
      <c r="K20" s="16"/>
      <c r="L20" s="16"/>
      <c r="M20" s="16"/>
      <c r="N20" s="16"/>
      <c r="O20" s="16"/>
      <c r="P20" s="16"/>
    </row>
    <row r="21" spans="1:16" x14ac:dyDescent="0.2">
      <c r="A21" s="53" t="s">
        <v>269</v>
      </c>
      <c r="B21" s="51"/>
      <c r="E21" s="51"/>
      <c r="F21" s="16" t="s">
        <v>1288</v>
      </c>
      <c r="G21" s="16">
        <v>686</v>
      </c>
      <c r="H21" s="16">
        <v>284.39999999999998</v>
      </c>
      <c r="I21" s="16">
        <v>635</v>
      </c>
      <c r="J21" s="16">
        <v>256.2</v>
      </c>
      <c r="K21" s="16">
        <v>656</v>
      </c>
      <c r="L21" s="16">
        <v>270.39999999999998</v>
      </c>
      <c r="M21" s="16">
        <v>660</v>
      </c>
      <c r="N21" s="16">
        <v>275.89999999999998</v>
      </c>
      <c r="O21" s="16">
        <v>2637</v>
      </c>
      <c r="P21" s="16">
        <v>271.7</v>
      </c>
    </row>
    <row r="22" spans="1:16" x14ac:dyDescent="0.2">
      <c r="A22" t="s">
        <v>1249</v>
      </c>
      <c r="B22" t="s">
        <v>1757</v>
      </c>
      <c r="E22" s="51"/>
      <c r="F22" s="16" t="s">
        <v>1289</v>
      </c>
      <c r="G22" s="16">
        <v>66</v>
      </c>
      <c r="H22" s="16">
        <v>171.6</v>
      </c>
      <c r="I22" s="16">
        <v>72</v>
      </c>
      <c r="J22" s="16">
        <v>181.2</v>
      </c>
      <c r="K22" s="16">
        <v>74</v>
      </c>
      <c r="L22" s="16">
        <v>176.4</v>
      </c>
      <c r="M22" s="16">
        <v>85</v>
      </c>
      <c r="N22" s="16">
        <v>200.1</v>
      </c>
      <c r="O22" s="16">
        <v>297</v>
      </c>
      <c r="P22" s="16">
        <v>182.3</v>
      </c>
    </row>
    <row r="23" spans="1:16" x14ac:dyDescent="0.2">
      <c r="E23" s="51"/>
      <c r="F23" s="16" t="s">
        <v>1290</v>
      </c>
      <c r="G23" s="16">
        <v>63</v>
      </c>
      <c r="H23" s="16">
        <v>78.5</v>
      </c>
      <c r="I23" s="16">
        <v>70</v>
      </c>
      <c r="J23" s="16">
        <v>82</v>
      </c>
      <c r="K23" s="16">
        <v>61</v>
      </c>
      <c r="L23" s="16">
        <v>68.2</v>
      </c>
      <c r="M23" s="16">
        <v>74</v>
      </c>
      <c r="N23" s="16">
        <v>79.099999999999994</v>
      </c>
      <c r="O23" s="16">
        <v>268</v>
      </c>
      <c r="P23" s="16">
        <v>76.900000000000006</v>
      </c>
    </row>
    <row r="24" spans="1:16" x14ac:dyDescent="0.2">
      <c r="E24" s="51"/>
      <c r="F24" s="16" t="s">
        <v>190</v>
      </c>
      <c r="G24" s="16">
        <v>28</v>
      </c>
      <c r="H24" s="16">
        <v>126.2</v>
      </c>
      <c r="I24" s="16">
        <v>16</v>
      </c>
      <c r="J24" s="16">
        <v>63.2</v>
      </c>
      <c r="K24" s="16">
        <v>24</v>
      </c>
      <c r="L24" s="16">
        <v>88.4</v>
      </c>
      <c r="M24" s="16">
        <v>20</v>
      </c>
      <c r="N24" s="16">
        <v>70</v>
      </c>
      <c r="O24" s="16">
        <v>88</v>
      </c>
      <c r="P24" s="16">
        <v>87</v>
      </c>
    </row>
    <row r="25" spans="1:16" x14ac:dyDescent="0.2">
      <c r="E25" s="51"/>
      <c r="F25" t="s">
        <v>1754</v>
      </c>
      <c r="G25" s="16"/>
      <c r="H25" s="16"/>
      <c r="I25" s="16"/>
      <c r="J25" s="16"/>
      <c r="K25" s="16"/>
      <c r="L25" s="16"/>
      <c r="M25" s="16"/>
      <c r="N25" s="16"/>
      <c r="O25" s="16"/>
      <c r="P25" s="16"/>
    </row>
    <row r="26" spans="1:16" x14ac:dyDescent="0.2">
      <c r="E26" s="51"/>
      <c r="F26" s="16">
        <v>10940</v>
      </c>
      <c r="G26" s="16">
        <v>111</v>
      </c>
      <c r="H26" s="16">
        <v>224.6</v>
      </c>
      <c r="I26" s="16">
        <v>138</v>
      </c>
      <c r="J26" s="16">
        <v>270.89999999999998</v>
      </c>
      <c r="K26" s="16">
        <v>127</v>
      </c>
      <c r="L26" s="16">
        <v>244.9</v>
      </c>
      <c r="M26" s="16">
        <v>125</v>
      </c>
      <c r="N26" s="16">
        <v>235.4</v>
      </c>
      <c r="O26" s="16">
        <v>501</v>
      </c>
      <c r="P26" s="16">
        <v>244</v>
      </c>
    </row>
    <row r="27" spans="1:16" x14ac:dyDescent="0.2">
      <c r="A27" s="53"/>
      <c r="B27" s="53"/>
      <c r="E27" s="51"/>
      <c r="F27" s="16">
        <v>10950</v>
      </c>
      <c r="G27" s="16">
        <v>58</v>
      </c>
      <c r="H27" s="16">
        <v>433.4</v>
      </c>
      <c r="I27" s="16">
        <v>48</v>
      </c>
      <c r="J27" s="16">
        <v>333</v>
      </c>
      <c r="K27" s="16">
        <v>46</v>
      </c>
      <c r="L27" s="16">
        <v>317.2</v>
      </c>
      <c r="M27" s="16">
        <v>43</v>
      </c>
      <c r="N27" s="16">
        <v>291.3</v>
      </c>
      <c r="O27" s="16">
        <v>195</v>
      </c>
      <c r="P27" s="16">
        <v>343.7</v>
      </c>
    </row>
    <row r="28" spans="1:16" x14ac:dyDescent="0.2">
      <c r="E28" s="51"/>
      <c r="F28" s="16">
        <v>12550</v>
      </c>
      <c r="G28" s="16">
        <v>153</v>
      </c>
      <c r="H28" s="16">
        <v>573.79999999999995</v>
      </c>
      <c r="I28" s="16">
        <v>115</v>
      </c>
      <c r="J28" s="16">
        <v>429</v>
      </c>
      <c r="K28" s="16">
        <v>127</v>
      </c>
      <c r="L28" s="16">
        <v>463.4</v>
      </c>
      <c r="M28" s="16">
        <v>113</v>
      </c>
      <c r="N28" s="16">
        <v>413.9</v>
      </c>
      <c r="O28" s="16">
        <v>508</v>
      </c>
      <c r="P28" s="16">
        <v>470</v>
      </c>
    </row>
    <row r="29" spans="1:16" x14ac:dyDescent="0.2">
      <c r="E29" s="51"/>
      <c r="F29" s="16">
        <v>12771</v>
      </c>
      <c r="G29" s="16">
        <v>33</v>
      </c>
      <c r="H29" s="16">
        <v>229</v>
      </c>
      <c r="I29" s="16">
        <v>55</v>
      </c>
      <c r="J29" s="16">
        <v>370.6</v>
      </c>
      <c r="K29" s="16">
        <v>46</v>
      </c>
      <c r="L29" s="16">
        <v>318.3</v>
      </c>
      <c r="M29" s="16">
        <v>52</v>
      </c>
      <c r="N29" s="16">
        <v>362.5</v>
      </c>
      <c r="O29" s="16">
        <v>186</v>
      </c>
      <c r="P29" s="16">
        <v>320.10000000000002</v>
      </c>
    </row>
    <row r="30" spans="1:16" x14ac:dyDescent="0.2">
      <c r="E30" s="51"/>
      <c r="F30" s="16"/>
      <c r="G30" s="16"/>
      <c r="H30" s="16"/>
    </row>
    <row r="31" spans="1:16" x14ac:dyDescent="0.2">
      <c r="E31" s="51"/>
      <c r="F31" s="16"/>
      <c r="G31" s="16"/>
      <c r="H31" s="16"/>
      <c r="K31" t="s">
        <v>280</v>
      </c>
    </row>
    <row r="32" spans="1:16"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2">
    <mergeCell ref="M5:N5"/>
    <mergeCell ref="O5:P5"/>
    <mergeCell ref="B1:O1"/>
    <mergeCell ref="A5:B5"/>
    <mergeCell ref="E5:E57"/>
    <mergeCell ref="A9:B9"/>
    <mergeCell ref="A18:B18"/>
    <mergeCell ref="A21:B21"/>
    <mergeCell ref="A27:B27"/>
    <mergeCell ref="G5:H5"/>
    <mergeCell ref="I5:J5"/>
    <mergeCell ref="K5:L5"/>
  </mergeCells>
  <dataValidations count="4">
    <dataValidation type="list" allowBlank="1" showInputMessage="1" showErrorMessage="1" sqref="P4:Q4" xr:uid="{BA2973B1-15C8-4FC3-ACF0-BC22338E2320}">
      <formula1>"integer, number, percent1"</formula1>
    </dataValidation>
    <dataValidation type="list" allowBlank="1" showInputMessage="1" showErrorMessage="1" sqref="B10" xr:uid="{17742D29-0E30-4AC1-B588-9BD2BC5BF795}">
      <formula1>"Line,Clustered Bar,Stacked Bar,Bar,Horizontal Stacked Bar"</formula1>
    </dataValidation>
    <dataValidation type="list" allowBlank="1" showInputMessage="1" showErrorMessage="1" sqref="B2" xr:uid="{9CCADF27-93EB-4B51-972D-3953FEA86652}">
      <formula1>"Table,Figure,Both"</formula1>
    </dataValidation>
    <dataValidation type="list" allowBlank="1" showInputMessage="1" showErrorMessage="1" sqref="B6 B15:B16" xr:uid="{CD9BB0F0-47DF-423B-BE96-4005A6AF98B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B388451-DD11-4B32-B332-A2259073A8BC}">
          <x14:formula1>
            <xm:f>Dropdowns!$B$2:$B$9</xm:f>
          </x14:formula1>
          <xm:sqref>B14</xm:sqref>
        </x14:dataValidation>
        <x14:dataValidation type="list" allowBlank="1" showInputMessage="1" showErrorMessage="1" xr:uid="{80CE6204-F6BC-4BB7-BD3F-A1E7CECD9289}">
          <x14:formula1>
            <xm:f>Dropdowns!$A$1:$A$8</xm:f>
          </x14:formula1>
          <xm:sqref>F4:O4</xm:sqref>
        </x14:dataValidation>
        <x14:dataValidation type="list" allowBlank="1" showInputMessage="1" showErrorMessage="1" xr:uid="{A89F665C-5EEF-4C1B-B8B8-99C6A6EE5801}">
          <x14:formula1>
            <xm:f>Master!$F$2:$F$401</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4739C-FB92-44BD-90D0-238DDE2E9A95}">
  <dimension ref="A1:Q57"/>
  <sheetViews>
    <sheetView workbookViewId="0">
      <selection activeCell="J11" sqref="J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343</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tbl-dzcircsystem-mortal-aar</v>
      </c>
    </row>
    <row r="4" spans="1:17" x14ac:dyDescent="0.2">
      <c r="A4" s="17" t="s">
        <v>5</v>
      </c>
      <c r="B4" t="str">
        <f>IF($B$1="","",_xlfn.XLOOKUP($B$1,Master!$E$2:$E$320,Master!$G$2:$G$320,""))</f>
        <v>fig-dzcircsystem-mortal-aar</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G5">
        <v>2020</v>
      </c>
      <c r="H5">
        <v>2021</v>
      </c>
      <c r="I5">
        <v>2022</v>
      </c>
      <c r="J5">
        <v>2023</v>
      </c>
    </row>
    <row r="6" spans="1:17" ht="15" customHeight="1" x14ac:dyDescent="0.2">
      <c r="A6" t="s">
        <v>259</v>
      </c>
      <c r="B6" t="b">
        <v>0</v>
      </c>
      <c r="E6" s="51"/>
      <c r="F6" t="s">
        <v>1298</v>
      </c>
      <c r="G6" s="16">
        <v>198.4</v>
      </c>
      <c r="H6" s="16">
        <v>186.4</v>
      </c>
      <c r="I6" s="16">
        <v>187.1</v>
      </c>
      <c r="J6" s="16">
        <v>193.6</v>
      </c>
      <c r="K6" s="16"/>
      <c r="L6" s="16"/>
      <c r="M6" s="16"/>
      <c r="N6" s="16"/>
      <c r="O6" s="16"/>
    </row>
    <row r="7" spans="1:17" ht="15.75" customHeight="1" x14ac:dyDescent="0.2">
      <c r="E7" s="51"/>
      <c r="G7" s="16"/>
      <c r="H7" s="16"/>
      <c r="I7" s="16"/>
      <c r="J7" s="16"/>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257</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1758</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E9AAED5-B666-48B8-8F24-217D4D8A16AE}">
      <formula1>"integer, number, percent1"</formula1>
    </dataValidation>
    <dataValidation type="list" allowBlank="1" showInputMessage="1" showErrorMessage="1" sqref="B10" xr:uid="{13573B2C-67C1-4872-B332-0251C9741451}">
      <formula1>"Line,Clustered Bar,Stacked Bar,Bar,Horizontal Stacked Bar"</formula1>
    </dataValidation>
    <dataValidation type="list" allowBlank="1" showInputMessage="1" showErrorMessage="1" sqref="B2" xr:uid="{8CE5F3AD-024B-4E39-9FFA-785B9D56FE70}">
      <formula1>"Table,Figure,Both"</formula1>
    </dataValidation>
    <dataValidation type="list" allowBlank="1" showInputMessage="1" showErrorMessage="1" sqref="B6 B15:B16" xr:uid="{37BEE12D-342C-4D0B-9D56-F268495DA9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CD740D4-E283-466A-BA2C-F25E2E14C4E7}">
          <x14:formula1>
            <xm:f>Dropdowns!$B$2:$B$9</xm:f>
          </x14:formula1>
          <xm:sqref>B14</xm:sqref>
        </x14:dataValidation>
        <x14:dataValidation type="list" allowBlank="1" showInputMessage="1" showErrorMessage="1" xr:uid="{8397F732-CDA4-4F24-A1EB-1B3C5AD187C2}">
          <x14:formula1>
            <xm:f>Dropdowns!$A$1:$A$8</xm:f>
          </x14:formula1>
          <xm:sqref>F4:O4</xm:sqref>
        </x14:dataValidation>
        <x14:dataValidation type="list" allowBlank="1" showInputMessage="1" showErrorMessage="1" xr:uid="{AAD88C5E-6C5E-47FB-AE4E-DC2D0A73E089}">
          <x14:formula1>
            <xm:f>Master!$F$2:$F$401</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469DB-9BF8-407C-BF31-EAC6E507B3FF}">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344</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tbl-dzcircsystem--mortal-rande</v>
      </c>
    </row>
    <row r="4" spans="1:17" x14ac:dyDescent="0.2">
      <c r="A4" s="17" t="s">
        <v>5</v>
      </c>
      <c r="B4" t="str">
        <f>IF($B$1="","",_xlfn.XLOOKUP($B$1,Master!$E$2:$E$320,Master!$G$2:$G$320,""))</f>
        <v>fig-dzcircsystem--mortal-rande</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1753</v>
      </c>
      <c r="G5">
        <v>2020</v>
      </c>
      <c r="H5">
        <v>2021</v>
      </c>
      <c r="I5">
        <v>2022</v>
      </c>
      <c r="J5">
        <v>2023</v>
      </c>
    </row>
    <row r="6" spans="1:17" ht="15" customHeight="1" x14ac:dyDescent="0.2">
      <c r="A6" t="s">
        <v>259</v>
      </c>
      <c r="B6" t="b">
        <v>0</v>
      </c>
      <c r="E6" s="51"/>
      <c r="F6" t="s">
        <v>1288</v>
      </c>
      <c r="G6" s="16">
        <v>284.39999999999998</v>
      </c>
      <c r="H6" s="16">
        <v>256.2</v>
      </c>
      <c r="I6" s="16">
        <v>169.2</v>
      </c>
      <c r="J6" s="16">
        <v>275.89999999999998</v>
      </c>
      <c r="K6" s="16"/>
      <c r="L6" s="16"/>
      <c r="M6" s="16"/>
      <c r="N6" s="16"/>
      <c r="O6" s="16"/>
    </row>
    <row r="7" spans="1:17" ht="15.75" customHeight="1" x14ac:dyDescent="0.2">
      <c r="E7" s="51"/>
      <c r="F7" t="s">
        <v>1289</v>
      </c>
      <c r="G7" s="16">
        <v>171.6</v>
      </c>
      <c r="H7" s="16">
        <v>181.2</v>
      </c>
      <c r="I7" s="16">
        <v>217.1</v>
      </c>
      <c r="J7" s="16">
        <v>200.1</v>
      </c>
      <c r="K7" s="16"/>
      <c r="L7" s="16"/>
      <c r="M7" s="16"/>
      <c r="N7" s="16"/>
      <c r="O7" s="16"/>
    </row>
    <row r="8" spans="1:17" x14ac:dyDescent="0.2">
      <c r="E8" s="51"/>
      <c r="F8" t="s">
        <v>1297</v>
      </c>
      <c r="G8" s="16">
        <v>78.5</v>
      </c>
      <c r="H8" s="16">
        <v>82</v>
      </c>
      <c r="I8" s="16">
        <v>103.3</v>
      </c>
      <c r="J8" s="16">
        <v>79.099999999999994</v>
      </c>
      <c r="K8" s="16"/>
      <c r="L8" s="16"/>
      <c r="M8" s="16"/>
      <c r="N8" s="16"/>
      <c r="O8" s="16"/>
    </row>
    <row r="9" spans="1:17" x14ac:dyDescent="0.2">
      <c r="A9" s="50" t="s">
        <v>260</v>
      </c>
      <c r="B9" s="51"/>
      <c r="E9" s="51"/>
      <c r="F9" t="s">
        <v>1290</v>
      </c>
      <c r="G9" s="16">
        <v>126.2</v>
      </c>
      <c r="H9" s="16">
        <v>63.2</v>
      </c>
      <c r="I9" s="16">
        <v>135.9</v>
      </c>
      <c r="J9" s="16">
        <v>70</v>
      </c>
      <c r="K9" s="16"/>
      <c r="L9" s="16"/>
      <c r="M9" s="16"/>
      <c r="N9" s="16"/>
      <c r="O9" s="16"/>
    </row>
    <row r="10" spans="1:17" x14ac:dyDescent="0.2">
      <c r="A10" t="s">
        <v>261</v>
      </c>
      <c r="B10" t="s">
        <v>1296</v>
      </c>
      <c r="E10" s="51"/>
      <c r="G10" s="16"/>
    </row>
    <row r="11" spans="1:17" x14ac:dyDescent="0.2">
      <c r="A11" t="s">
        <v>262</v>
      </c>
      <c r="B11" t="s">
        <v>1753</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1304</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1758</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1DC9FB79-51FE-4559-B422-EE59EF210C95}">
      <formula1>"integer, number, percent1"</formula1>
    </dataValidation>
    <dataValidation type="list" allowBlank="1" showInputMessage="1" showErrorMessage="1" sqref="B10" xr:uid="{1D10E0A8-D2D4-4CC4-829E-F4A7984B9CBF}">
      <formula1>"Line,Clustered Bar,Stacked Bar,Bar,Horizontal Stacked Bar"</formula1>
    </dataValidation>
    <dataValidation type="list" allowBlank="1" showInputMessage="1" showErrorMessage="1" sqref="B2" xr:uid="{A34B281A-8553-4935-B99D-11BD8BA1B4FB}">
      <formula1>"Table,Figure,Both"</formula1>
    </dataValidation>
    <dataValidation type="list" allowBlank="1" showInputMessage="1" showErrorMessage="1" sqref="B6 B15:B16" xr:uid="{8E85E153-646B-49A3-A2F7-59DE2385ECF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1EE05CF-D1B5-44F3-9F31-F847E9B46630}">
          <x14:formula1>
            <xm:f>Dropdowns!$B$2:$B$9</xm:f>
          </x14:formula1>
          <xm:sqref>B14</xm:sqref>
        </x14:dataValidation>
        <x14:dataValidation type="list" allowBlank="1" showInputMessage="1" showErrorMessage="1" xr:uid="{B277AF09-CFE0-483F-9213-AA7EECD95DAF}">
          <x14:formula1>
            <xm:f>Dropdowns!$A$1:$A$8</xm:f>
          </x14:formula1>
          <xm:sqref>F4:O4</xm:sqref>
        </x14:dataValidation>
        <x14:dataValidation type="list" allowBlank="1" showInputMessage="1" showErrorMessage="1" xr:uid="{C4C3D62A-4314-440E-9D12-4904925E3486}">
          <x14:formula1>
            <xm:f>Master!$F$2:$F$401</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525C3-8F8B-4CBD-AE3C-680C02DDE10D}">
  <dimension ref="A1:Q57"/>
  <sheetViews>
    <sheetView workbookViewId="0">
      <selection activeCell="O18" sqref="O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345</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tbl-dzcircsystem--mortal-zip</v>
      </c>
    </row>
    <row r="4" spans="1:17" x14ac:dyDescent="0.2">
      <c r="A4" s="17" t="s">
        <v>5</v>
      </c>
      <c r="B4" t="str">
        <f>IF($B$1="","",_xlfn.XLOOKUP($B$1,Master!$E$2:$E$320,Master!$G$2:$G$320,""))</f>
        <v>fig-dzcircsystem--mortal-zip</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1754</v>
      </c>
      <c r="G5">
        <v>2020</v>
      </c>
      <c r="H5">
        <v>2021</v>
      </c>
      <c r="I5">
        <v>2022</v>
      </c>
      <c r="J5">
        <v>2023</v>
      </c>
    </row>
    <row r="6" spans="1:17" ht="15" customHeight="1" x14ac:dyDescent="0.2">
      <c r="A6" t="s">
        <v>259</v>
      </c>
      <c r="B6" t="b">
        <v>0</v>
      </c>
      <c r="E6" s="51"/>
      <c r="F6">
        <v>10940</v>
      </c>
      <c r="G6" s="16">
        <v>224.6</v>
      </c>
      <c r="H6" s="16">
        <v>270.89999999999998</v>
      </c>
      <c r="I6" s="16">
        <v>244.9</v>
      </c>
      <c r="J6" s="16">
        <v>235.4</v>
      </c>
      <c r="K6" s="16"/>
      <c r="L6" s="16"/>
      <c r="M6" s="16"/>
      <c r="N6" s="16"/>
      <c r="O6" s="16"/>
    </row>
    <row r="7" spans="1:17" ht="15.75" customHeight="1" x14ac:dyDescent="0.2">
      <c r="E7" s="51"/>
      <c r="F7">
        <v>10950</v>
      </c>
      <c r="G7" s="16">
        <v>433.4</v>
      </c>
      <c r="H7" s="16">
        <v>333</v>
      </c>
      <c r="I7" s="16">
        <v>317.2</v>
      </c>
      <c r="J7" s="16">
        <v>291.3</v>
      </c>
      <c r="K7" s="16"/>
      <c r="L7" s="16"/>
      <c r="M7" s="16"/>
      <c r="N7" s="16"/>
      <c r="O7" s="16"/>
    </row>
    <row r="8" spans="1:17" x14ac:dyDescent="0.2">
      <c r="E8" s="51"/>
      <c r="F8">
        <v>12550</v>
      </c>
      <c r="G8" s="16">
        <v>573.79999999999995</v>
      </c>
      <c r="H8" s="16">
        <v>429</v>
      </c>
      <c r="I8" s="16">
        <v>463.4</v>
      </c>
      <c r="J8" s="16">
        <v>413.9</v>
      </c>
      <c r="K8" s="16"/>
      <c r="L8" s="16"/>
      <c r="M8" s="16"/>
      <c r="N8" s="16"/>
      <c r="O8" s="16"/>
    </row>
    <row r="9" spans="1:17" x14ac:dyDescent="0.2">
      <c r="A9" s="50" t="s">
        <v>260</v>
      </c>
      <c r="B9" s="51"/>
      <c r="E9" s="51"/>
      <c r="F9">
        <v>12771</v>
      </c>
      <c r="G9" s="16">
        <v>229</v>
      </c>
      <c r="H9" s="16">
        <v>370.6</v>
      </c>
      <c r="I9" s="16">
        <v>318.3</v>
      </c>
      <c r="J9" s="16">
        <v>362.5</v>
      </c>
      <c r="K9" s="16"/>
      <c r="L9" s="16"/>
      <c r="M9" s="16"/>
      <c r="N9" s="16"/>
      <c r="O9" s="16"/>
    </row>
    <row r="10" spans="1:17" x14ac:dyDescent="0.2">
      <c r="A10" t="s">
        <v>261</v>
      </c>
      <c r="B10" t="s">
        <v>1296</v>
      </c>
      <c r="E10" s="51"/>
      <c r="G10" s="16"/>
    </row>
    <row r="11" spans="1:17" x14ac:dyDescent="0.2">
      <c r="A11" t="s">
        <v>262</v>
      </c>
      <c r="B11" t="s">
        <v>1291</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1304</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1758</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395815C0-534F-4CF4-9F81-EC3A80F55BE2}">
      <formula1>"integer, number, percent1"</formula1>
    </dataValidation>
    <dataValidation type="list" allowBlank="1" showInputMessage="1" showErrorMessage="1" sqref="B10" xr:uid="{5835EB16-C7BD-4D5B-A2C4-FF9AF7E0F83D}">
      <formula1>"Line,Clustered Bar,Stacked Bar,Bar,Horizontal Stacked Bar"</formula1>
    </dataValidation>
    <dataValidation type="list" allowBlank="1" showInputMessage="1" showErrorMessage="1" sqref="B2" xr:uid="{B944DF17-85C2-4494-9CC1-66A58B6845B5}">
      <formula1>"Table,Figure,Both"</formula1>
    </dataValidation>
    <dataValidation type="list" allowBlank="1" showInputMessage="1" showErrorMessage="1" sqref="B6 B15:B16" xr:uid="{5B005309-FC64-4891-8CED-9FD8ABC20D7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1CDFFE6-1F5A-428E-A51C-6BDE442AA7A1}">
          <x14:formula1>
            <xm:f>Dropdowns!$B$2:$B$9</xm:f>
          </x14:formula1>
          <xm:sqref>B14</xm:sqref>
        </x14:dataValidation>
        <x14:dataValidation type="list" allowBlank="1" showInputMessage="1" showErrorMessage="1" xr:uid="{9D818FED-BD80-4110-BBAE-B1AF3862BC71}">
          <x14:formula1>
            <xm:f>Dropdowns!$A$1:$A$8</xm:f>
          </x14:formula1>
          <xm:sqref>F4:O4</xm:sqref>
        </x14:dataValidation>
        <x14:dataValidation type="list" allowBlank="1" showInputMessage="1" showErrorMessage="1" xr:uid="{4A199623-B41C-494C-9594-BA6F9D950412}">
          <x14:formula1>
            <xm:f>Master!$F$2:$F$401</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FFA6C-9BDA-47B5-B973-6A6E4A205444}">
  <dimension ref="A1:Q57"/>
  <sheetViews>
    <sheetView workbookViewId="0">
      <selection activeCell="L37" sqref="L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346</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tbl-dzcircsystem-mortal-sex-aar</v>
      </c>
    </row>
    <row r="4" spans="1:17" x14ac:dyDescent="0.2">
      <c r="A4" s="17" t="s">
        <v>5</v>
      </c>
      <c r="B4" t="str">
        <f>IF($B$1="","",_xlfn.XLOOKUP($B$1,Master!$E$2:$E$320,Master!$G$2:$G$320,""))</f>
        <v>fig-dzcircsystem-mortal-sex-aar</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276</v>
      </c>
      <c r="G5">
        <v>2020</v>
      </c>
      <c r="H5">
        <v>2021</v>
      </c>
      <c r="I5">
        <v>2022</v>
      </c>
      <c r="J5">
        <v>2023</v>
      </c>
    </row>
    <row r="6" spans="1:17" ht="15" customHeight="1" x14ac:dyDescent="0.2">
      <c r="A6" t="s">
        <v>259</v>
      </c>
      <c r="B6" t="b">
        <v>0</v>
      </c>
      <c r="E6" s="51"/>
      <c r="F6" t="s">
        <v>1305</v>
      </c>
      <c r="G6" s="16">
        <v>264.8</v>
      </c>
      <c r="H6" s="16">
        <v>220.2</v>
      </c>
      <c r="I6" s="16">
        <v>219.7</v>
      </c>
      <c r="J6" s="16">
        <v>238.7</v>
      </c>
      <c r="K6" s="16"/>
      <c r="L6" s="16"/>
      <c r="M6" s="16"/>
      <c r="N6" s="16"/>
      <c r="O6" s="16"/>
    </row>
    <row r="7" spans="1:17" ht="15.75" customHeight="1" x14ac:dyDescent="0.2">
      <c r="E7" s="51"/>
      <c r="F7" t="s">
        <v>1306</v>
      </c>
      <c r="G7" s="16">
        <v>149.1</v>
      </c>
      <c r="H7" s="16">
        <v>159.19999999999999</v>
      </c>
      <c r="I7" s="16">
        <v>158.6</v>
      </c>
      <c r="J7" s="16">
        <v>157.69999999999999</v>
      </c>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276</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276</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1307</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1758</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7C0975-77F3-432F-AE5D-5196052E6741}">
      <formula1>"integer, number, percent1"</formula1>
    </dataValidation>
    <dataValidation type="list" allowBlank="1" showInputMessage="1" showErrorMessage="1" sqref="B10" xr:uid="{AE59001B-D8A8-4F72-8D45-3FC90D9BB325}">
      <formula1>"Line,Clustered Bar,Stacked Bar,Bar,Horizontal Stacked Bar"</formula1>
    </dataValidation>
    <dataValidation type="list" allowBlank="1" showInputMessage="1" showErrorMessage="1" sqref="B2" xr:uid="{36379355-1D93-41A4-9DA8-0F75379DB06F}">
      <formula1>"Table,Figure,Both"</formula1>
    </dataValidation>
    <dataValidation type="list" allowBlank="1" showInputMessage="1" showErrorMessage="1" sqref="B6 B15:B16" xr:uid="{ACCF4DD6-F7F5-43F4-9244-DE06B00757E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584F578-D954-4B2E-BE56-7E0FE0726E78}">
          <x14:formula1>
            <xm:f>Dropdowns!$B$2:$B$9</xm:f>
          </x14:formula1>
          <xm:sqref>B14</xm:sqref>
        </x14:dataValidation>
        <x14:dataValidation type="list" allowBlank="1" showInputMessage="1" showErrorMessage="1" xr:uid="{55B0D453-8D7C-42CA-89C4-A53D8379DE97}">
          <x14:formula1>
            <xm:f>Dropdowns!$A$1:$A$8</xm:f>
          </x14:formula1>
          <xm:sqref>F4:O4</xm:sqref>
        </x14:dataValidation>
        <x14:dataValidation type="list" allowBlank="1" showInputMessage="1" showErrorMessage="1" xr:uid="{A24AE5FB-03A8-4D9A-845D-C93B92A7EDF4}">
          <x14:formula1>
            <xm:f>Master!$F$2:$F$401</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F94-22E2-4328-BD23-67FEBD6DCF96}">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347</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tbl-heartdz-count-rate-age-rande-zip</v>
      </c>
    </row>
    <row r="4" spans="1:17" x14ac:dyDescent="0.2">
      <c r="A4" s="17" t="s">
        <v>5</v>
      </c>
      <c r="B4" t="str">
        <f>IF($B$1="","",_xlfn.XLOOKUP($B$1,Master!$E$2:$E$320,Master!$G$2:$G$320,""))</f>
        <v>fig-heartdz-count-rate-age-rande-zip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0" t="s">
        <v>255</v>
      </c>
      <c r="B5" s="51"/>
      <c r="E5" s="52" t="s">
        <v>256</v>
      </c>
      <c r="G5" s="53">
        <v>2020</v>
      </c>
      <c r="H5" s="53"/>
      <c r="I5" s="53">
        <v>2021</v>
      </c>
      <c r="J5" s="53"/>
      <c r="K5" s="53">
        <v>2022</v>
      </c>
      <c r="L5" s="53"/>
      <c r="M5" s="53">
        <v>2023</v>
      </c>
      <c r="N5" s="53"/>
      <c r="O5" s="53" t="s">
        <v>1756</v>
      </c>
      <c r="P5" s="53"/>
    </row>
    <row r="6" spans="1:17" ht="15" customHeight="1" x14ac:dyDescent="0.2">
      <c r="A6" t="s">
        <v>259</v>
      </c>
      <c r="B6" t="b">
        <v>1</v>
      </c>
      <c r="E6" s="51"/>
      <c r="F6" t="s">
        <v>1755</v>
      </c>
      <c r="G6" s="16" t="s">
        <v>1273</v>
      </c>
      <c r="H6" s="16" t="s">
        <v>1274</v>
      </c>
      <c r="I6" s="16" t="s">
        <v>1273</v>
      </c>
      <c r="J6" s="16" t="s">
        <v>1274</v>
      </c>
      <c r="K6" s="16" t="s">
        <v>1273</v>
      </c>
      <c r="L6" s="16" t="s">
        <v>1274</v>
      </c>
      <c r="M6" s="16" t="s">
        <v>1273</v>
      </c>
      <c r="N6" s="16" t="s">
        <v>1274</v>
      </c>
      <c r="O6" s="16" t="s">
        <v>1273</v>
      </c>
      <c r="P6" s="16" t="s">
        <v>1276</v>
      </c>
    </row>
    <row r="7" spans="1:17" ht="15.75" customHeight="1" x14ac:dyDescent="0.2">
      <c r="E7" s="51"/>
      <c r="F7" t="s">
        <v>1752</v>
      </c>
      <c r="G7" s="16">
        <v>687</v>
      </c>
      <c r="H7" s="16">
        <v>179.8</v>
      </c>
      <c r="I7" s="16">
        <v>628</v>
      </c>
      <c r="J7" s="16">
        <v>157.69999999999999</v>
      </c>
      <c r="K7" s="16">
        <v>632</v>
      </c>
      <c r="L7" s="16">
        <v>157.5</v>
      </c>
      <c r="M7" s="16">
        <v>676</v>
      </c>
      <c r="N7" s="16">
        <v>167.4</v>
      </c>
      <c r="O7" s="16">
        <v>2623</v>
      </c>
      <c r="P7">
        <v>165.6</v>
      </c>
    </row>
    <row r="8" spans="1:17" x14ac:dyDescent="0.2">
      <c r="E8" s="51"/>
      <c r="F8" s="60" t="s">
        <v>1277</v>
      </c>
      <c r="G8" s="60"/>
      <c r="H8" s="60"/>
      <c r="I8" s="60"/>
      <c r="J8" s="60"/>
      <c r="K8" s="60"/>
      <c r="L8" s="60"/>
      <c r="M8" s="60"/>
      <c r="N8" s="60"/>
      <c r="O8" s="60"/>
      <c r="P8" s="60"/>
    </row>
    <row r="9" spans="1:17" x14ac:dyDescent="0.2">
      <c r="A9" s="50" t="s">
        <v>260</v>
      </c>
      <c r="B9" s="51"/>
      <c r="E9" s="51"/>
      <c r="F9" t="s">
        <v>1278</v>
      </c>
      <c r="G9" s="16">
        <v>0</v>
      </c>
      <c r="H9" s="16">
        <v>0</v>
      </c>
      <c r="I9" s="16" t="s">
        <v>206</v>
      </c>
      <c r="J9" s="16" t="s">
        <v>206</v>
      </c>
      <c r="K9" s="16">
        <v>0</v>
      </c>
      <c r="L9" s="16">
        <v>0</v>
      </c>
      <c r="M9" s="16" t="s">
        <v>206</v>
      </c>
      <c r="N9" s="16" t="s">
        <v>206</v>
      </c>
      <c r="O9" s="16" t="s">
        <v>206</v>
      </c>
      <c r="P9" t="s">
        <v>206</v>
      </c>
    </row>
    <row r="10" spans="1:17" x14ac:dyDescent="0.2">
      <c r="A10" t="s">
        <v>261</v>
      </c>
      <c r="E10" s="51"/>
      <c r="F10" s="47">
        <v>46031</v>
      </c>
      <c r="G10" s="16" t="s">
        <v>206</v>
      </c>
      <c r="H10" s="16" t="s">
        <v>206</v>
      </c>
      <c r="I10" s="16">
        <v>0</v>
      </c>
      <c r="J10" s="16">
        <v>0</v>
      </c>
      <c r="K10" s="16">
        <v>0</v>
      </c>
      <c r="L10" s="16">
        <v>0</v>
      </c>
      <c r="M10" s="16">
        <v>0</v>
      </c>
      <c r="N10" s="16">
        <v>0</v>
      </c>
      <c r="O10" s="16" t="s">
        <v>206</v>
      </c>
      <c r="P10" t="s">
        <v>206</v>
      </c>
    </row>
    <row r="11" spans="1:17" x14ac:dyDescent="0.2">
      <c r="A11" t="s">
        <v>262</v>
      </c>
      <c r="E11" s="51"/>
      <c r="F11" s="47">
        <v>46314</v>
      </c>
      <c r="G11" s="16">
        <v>0</v>
      </c>
      <c r="H11">
        <v>0</v>
      </c>
      <c r="I11">
        <v>0</v>
      </c>
      <c r="J11">
        <v>0</v>
      </c>
      <c r="K11">
        <v>0</v>
      </c>
      <c r="L11">
        <v>0</v>
      </c>
      <c r="M11">
        <v>0</v>
      </c>
      <c r="N11">
        <v>0</v>
      </c>
      <c r="O11">
        <v>0</v>
      </c>
      <c r="P11">
        <v>0</v>
      </c>
    </row>
    <row r="12" spans="1:17" x14ac:dyDescent="0.2">
      <c r="A12" t="s">
        <v>263</v>
      </c>
      <c r="E12" s="51"/>
      <c r="F12" t="s">
        <v>1279</v>
      </c>
      <c r="G12" s="16" t="s">
        <v>206</v>
      </c>
      <c r="H12" s="16" t="s">
        <v>206</v>
      </c>
      <c r="I12" s="16" t="s">
        <v>206</v>
      </c>
      <c r="J12" s="18" t="s">
        <v>206</v>
      </c>
      <c r="K12" s="18">
        <v>0</v>
      </c>
      <c r="L12" s="18">
        <v>0</v>
      </c>
      <c r="M12" s="18" t="s">
        <v>206</v>
      </c>
      <c r="N12" s="18" t="s">
        <v>206</v>
      </c>
      <c r="O12" t="s">
        <v>206</v>
      </c>
      <c r="P12" t="s">
        <v>206</v>
      </c>
    </row>
    <row r="13" spans="1:17" x14ac:dyDescent="0.2">
      <c r="A13" t="s">
        <v>264</v>
      </c>
      <c r="E13" s="51"/>
      <c r="F13" s="22" t="s">
        <v>1280</v>
      </c>
      <c r="G13" s="18" t="s">
        <v>206</v>
      </c>
      <c r="H13" s="18" t="s">
        <v>206</v>
      </c>
      <c r="I13" s="16" t="s">
        <v>206</v>
      </c>
      <c r="J13" s="16" t="s">
        <v>206</v>
      </c>
      <c r="K13" s="16" t="s">
        <v>206</v>
      </c>
      <c r="L13" s="16" t="s">
        <v>206</v>
      </c>
      <c r="M13" t="s">
        <v>206</v>
      </c>
      <c r="N13" t="s">
        <v>206</v>
      </c>
      <c r="O13" t="s">
        <v>206</v>
      </c>
      <c r="P13" t="s">
        <v>206</v>
      </c>
    </row>
    <row r="14" spans="1:17" x14ac:dyDescent="0.2">
      <c r="A14" t="s">
        <v>265</v>
      </c>
      <c r="E14" s="51"/>
      <c r="F14" t="s">
        <v>1281</v>
      </c>
      <c r="G14" t="s">
        <v>206</v>
      </c>
      <c r="H14" t="s">
        <v>206</v>
      </c>
      <c r="I14" t="s">
        <v>206</v>
      </c>
      <c r="J14" t="s">
        <v>206</v>
      </c>
      <c r="K14" t="s">
        <v>206</v>
      </c>
      <c r="L14" t="s">
        <v>206</v>
      </c>
      <c r="M14" t="s">
        <v>206</v>
      </c>
      <c r="N14" t="s">
        <v>206</v>
      </c>
      <c r="O14">
        <v>20</v>
      </c>
      <c r="P14">
        <v>10.5</v>
      </c>
    </row>
    <row r="15" spans="1:17" x14ac:dyDescent="0.2">
      <c r="A15" t="s">
        <v>267</v>
      </c>
      <c r="E15" s="51"/>
      <c r="F15" t="s">
        <v>1282</v>
      </c>
      <c r="G15">
        <v>24</v>
      </c>
      <c r="H15">
        <v>45.8</v>
      </c>
      <c r="I15">
        <v>27</v>
      </c>
      <c r="J15">
        <v>50.6</v>
      </c>
      <c r="K15">
        <v>14</v>
      </c>
      <c r="L15">
        <v>26.7</v>
      </c>
      <c r="M15">
        <v>30</v>
      </c>
      <c r="N15">
        <v>58.2</v>
      </c>
      <c r="O15">
        <v>95</v>
      </c>
      <c r="P15">
        <v>45.4</v>
      </c>
    </row>
    <row r="16" spans="1:17" x14ac:dyDescent="0.2">
      <c r="A16" t="s">
        <v>274</v>
      </c>
      <c r="E16" s="51"/>
      <c r="F16" t="s">
        <v>1283</v>
      </c>
      <c r="G16">
        <v>66</v>
      </c>
      <c r="H16">
        <v>135.5</v>
      </c>
      <c r="I16">
        <v>69</v>
      </c>
      <c r="J16">
        <v>134.30000000000001</v>
      </c>
      <c r="K16">
        <v>71</v>
      </c>
      <c r="L16">
        <v>138.69999999999999</v>
      </c>
      <c r="M16">
        <v>81</v>
      </c>
      <c r="N16">
        <v>157.30000000000001</v>
      </c>
      <c r="O16">
        <v>287</v>
      </c>
      <c r="P16">
        <v>141.4</v>
      </c>
    </row>
    <row r="17" spans="1:16" x14ac:dyDescent="0.2">
      <c r="E17" s="51"/>
      <c r="F17" t="s">
        <v>1284</v>
      </c>
      <c r="G17">
        <v>130</v>
      </c>
      <c r="H17">
        <v>412.3</v>
      </c>
      <c r="I17">
        <v>122</v>
      </c>
      <c r="J17">
        <v>364.5</v>
      </c>
      <c r="K17">
        <v>131</v>
      </c>
      <c r="L17">
        <v>387</v>
      </c>
      <c r="M17">
        <v>120</v>
      </c>
      <c r="N17">
        <v>344.4</v>
      </c>
      <c r="O17">
        <v>503</v>
      </c>
      <c r="P17">
        <v>377.1</v>
      </c>
    </row>
    <row r="18" spans="1:16" x14ac:dyDescent="0.2">
      <c r="A18" s="50" t="s">
        <v>268</v>
      </c>
      <c r="B18" s="51"/>
      <c r="E18" s="51"/>
      <c r="F18" t="s">
        <v>1285</v>
      </c>
      <c r="G18">
        <v>155</v>
      </c>
      <c r="H18">
        <v>1051.2</v>
      </c>
      <c r="I18">
        <v>167</v>
      </c>
      <c r="J18">
        <v>1094.4000000000001</v>
      </c>
      <c r="K18">
        <v>174</v>
      </c>
      <c r="L18">
        <v>1098.2</v>
      </c>
      <c r="M18">
        <v>195</v>
      </c>
      <c r="N18">
        <v>1189.2</v>
      </c>
      <c r="O18">
        <v>691</v>
      </c>
      <c r="P18">
        <v>1108.3</v>
      </c>
    </row>
    <row r="19" spans="1:16" x14ac:dyDescent="0.2">
      <c r="A19" t="s">
        <v>1250</v>
      </c>
      <c r="B19" t="s">
        <v>1295</v>
      </c>
      <c r="E19" s="51"/>
      <c r="F19" t="s">
        <v>1286</v>
      </c>
      <c r="G19">
        <v>300</v>
      </c>
      <c r="H19">
        <v>4196.3999999999996</v>
      </c>
      <c r="I19">
        <v>234</v>
      </c>
      <c r="J19">
        <v>3434.6</v>
      </c>
      <c r="K19">
        <v>234</v>
      </c>
      <c r="L19">
        <v>3333.3</v>
      </c>
      <c r="M19">
        <v>245</v>
      </c>
      <c r="N19">
        <v>3651.8</v>
      </c>
      <c r="O19">
        <v>1013</v>
      </c>
      <c r="P19">
        <v>3654</v>
      </c>
    </row>
    <row r="20" spans="1:16" x14ac:dyDescent="0.2">
      <c r="E20" s="51"/>
      <c r="F20" s="60" t="s">
        <v>1753</v>
      </c>
      <c r="G20" s="60"/>
      <c r="H20" s="60"/>
      <c r="I20" s="60"/>
      <c r="J20" s="60"/>
      <c r="K20" s="60"/>
      <c r="L20" s="60"/>
      <c r="M20" s="60"/>
      <c r="N20" s="60"/>
      <c r="O20" s="60"/>
      <c r="P20" s="60"/>
    </row>
    <row r="21" spans="1:16" x14ac:dyDescent="0.2">
      <c r="A21" s="53" t="s">
        <v>269</v>
      </c>
      <c r="B21" s="51"/>
      <c r="E21" s="51"/>
      <c r="F21" s="16" t="s">
        <v>1288</v>
      </c>
      <c r="G21" s="16">
        <v>565</v>
      </c>
      <c r="H21" s="16">
        <v>234.3</v>
      </c>
      <c r="I21">
        <v>507</v>
      </c>
      <c r="J21">
        <v>204.5</v>
      </c>
      <c r="K21">
        <v>518</v>
      </c>
      <c r="L21">
        <v>213.5</v>
      </c>
      <c r="M21">
        <v>532</v>
      </c>
      <c r="N21">
        <v>222.4</v>
      </c>
      <c r="O21">
        <v>2122</v>
      </c>
      <c r="P21">
        <v>218.7</v>
      </c>
    </row>
    <row r="22" spans="1:16" x14ac:dyDescent="0.2">
      <c r="A22" t="s">
        <v>1249</v>
      </c>
      <c r="B22" t="s">
        <v>1759</v>
      </c>
      <c r="E22" s="51"/>
      <c r="F22" s="16" t="s">
        <v>1289</v>
      </c>
      <c r="G22" s="16">
        <v>46</v>
      </c>
      <c r="H22" s="16">
        <v>119.6</v>
      </c>
      <c r="I22">
        <v>58</v>
      </c>
      <c r="J22">
        <v>146</v>
      </c>
      <c r="K22">
        <v>49</v>
      </c>
      <c r="L22">
        <v>116.8</v>
      </c>
      <c r="M22">
        <v>65</v>
      </c>
      <c r="N22">
        <v>153</v>
      </c>
      <c r="O22">
        <v>218</v>
      </c>
      <c r="P22">
        <v>133.9</v>
      </c>
    </row>
    <row r="23" spans="1:16" x14ac:dyDescent="0.2">
      <c r="E23" s="51"/>
      <c r="F23" s="16" t="s">
        <v>1290</v>
      </c>
      <c r="G23" s="16">
        <v>51</v>
      </c>
      <c r="H23" s="16">
        <v>63.5</v>
      </c>
      <c r="I23">
        <v>50</v>
      </c>
      <c r="J23">
        <v>58.6</v>
      </c>
      <c r="K23">
        <v>46</v>
      </c>
      <c r="L23">
        <v>51.4</v>
      </c>
      <c r="M23">
        <v>61</v>
      </c>
      <c r="N23">
        <v>65.2</v>
      </c>
      <c r="O23">
        <v>208</v>
      </c>
      <c r="P23">
        <v>59.7</v>
      </c>
    </row>
    <row r="24" spans="1:16" x14ac:dyDescent="0.2">
      <c r="E24" s="51"/>
      <c r="F24" s="16" t="s">
        <v>190</v>
      </c>
      <c r="G24" s="16">
        <v>25</v>
      </c>
      <c r="H24" s="16">
        <v>112.7</v>
      </c>
      <c r="I24">
        <v>13</v>
      </c>
      <c r="J24">
        <v>51.4</v>
      </c>
      <c r="K24">
        <v>19</v>
      </c>
      <c r="L24">
        <v>70</v>
      </c>
      <c r="M24">
        <v>18</v>
      </c>
      <c r="N24">
        <v>63</v>
      </c>
      <c r="O24">
        <v>75</v>
      </c>
      <c r="P24">
        <v>74.3</v>
      </c>
    </row>
    <row r="25" spans="1:16" x14ac:dyDescent="0.2">
      <c r="E25" s="51"/>
      <c r="F25" s="60" t="s">
        <v>1754</v>
      </c>
      <c r="G25" s="60"/>
      <c r="H25" s="60"/>
      <c r="I25" s="60"/>
      <c r="J25" s="60"/>
      <c r="K25" s="60"/>
      <c r="L25" s="60"/>
      <c r="M25" s="60"/>
      <c r="N25" s="60"/>
      <c r="O25" s="60"/>
      <c r="P25" s="60"/>
    </row>
    <row r="26" spans="1:16" x14ac:dyDescent="0.2">
      <c r="E26" s="51"/>
      <c r="F26" s="16">
        <v>10940</v>
      </c>
      <c r="G26" s="16">
        <v>88</v>
      </c>
      <c r="H26" s="16">
        <v>178</v>
      </c>
      <c r="I26">
        <v>113</v>
      </c>
      <c r="J26">
        <v>221.9</v>
      </c>
      <c r="K26">
        <v>95</v>
      </c>
      <c r="L26">
        <v>183.2</v>
      </c>
      <c r="M26">
        <v>106</v>
      </c>
      <c r="N26">
        <v>199.6</v>
      </c>
      <c r="O26">
        <v>402</v>
      </c>
      <c r="P26">
        <v>195.7</v>
      </c>
    </row>
    <row r="27" spans="1:16" x14ac:dyDescent="0.2">
      <c r="A27" s="53"/>
      <c r="B27" s="53"/>
      <c r="E27" s="51"/>
      <c r="F27" s="16">
        <v>10950</v>
      </c>
      <c r="G27" s="16">
        <v>43</v>
      </c>
      <c r="H27" s="16">
        <v>321.3</v>
      </c>
      <c r="I27">
        <v>30</v>
      </c>
      <c r="J27">
        <v>208.1</v>
      </c>
      <c r="K27">
        <v>34</v>
      </c>
      <c r="L27">
        <v>234.5</v>
      </c>
      <c r="M27">
        <v>36</v>
      </c>
      <c r="N27">
        <v>243.9</v>
      </c>
      <c r="O27">
        <v>143</v>
      </c>
      <c r="P27">
        <v>251.9</v>
      </c>
    </row>
    <row r="28" spans="1:16" x14ac:dyDescent="0.2">
      <c r="E28" s="51"/>
      <c r="F28" s="16">
        <v>12550</v>
      </c>
      <c r="G28" s="16">
        <v>125</v>
      </c>
      <c r="H28" s="16">
        <v>468.8</v>
      </c>
      <c r="I28">
        <v>94</v>
      </c>
      <c r="J28">
        <v>350.7</v>
      </c>
      <c r="K28">
        <v>102</v>
      </c>
      <c r="L28">
        <v>372.1</v>
      </c>
      <c r="M28">
        <v>86</v>
      </c>
      <c r="N28">
        <v>315</v>
      </c>
      <c r="O28">
        <v>407</v>
      </c>
      <c r="P28">
        <v>376.7</v>
      </c>
    </row>
    <row r="29" spans="1:16" x14ac:dyDescent="0.2">
      <c r="E29" s="51"/>
      <c r="F29" s="16">
        <v>12771</v>
      </c>
      <c r="G29" s="16">
        <v>29</v>
      </c>
      <c r="H29" s="16">
        <v>201.3</v>
      </c>
      <c r="I29">
        <v>46</v>
      </c>
      <c r="J29">
        <v>310</v>
      </c>
      <c r="K29">
        <v>33</v>
      </c>
      <c r="L29">
        <v>228.3</v>
      </c>
      <c r="M29">
        <v>40</v>
      </c>
      <c r="N29">
        <v>278.8</v>
      </c>
      <c r="O29">
        <v>148</v>
      </c>
      <c r="P29">
        <v>254.6</v>
      </c>
    </row>
    <row r="30" spans="1:16" x14ac:dyDescent="0.2">
      <c r="E30" s="51"/>
      <c r="F30" s="16"/>
      <c r="G30" s="16"/>
      <c r="H30" s="16"/>
    </row>
    <row r="31" spans="1:16" x14ac:dyDescent="0.2">
      <c r="E31" s="51"/>
      <c r="F31" s="16"/>
      <c r="G31" s="16"/>
      <c r="H31" s="16"/>
    </row>
    <row r="32" spans="1:16" x14ac:dyDescent="0.2">
      <c r="E32" s="51"/>
      <c r="F32" s="16"/>
      <c r="G32" s="16"/>
      <c r="H32" s="16"/>
      <c r="K32" t="s">
        <v>280</v>
      </c>
    </row>
    <row r="33" spans="5:9" x14ac:dyDescent="0.2">
      <c r="E33" s="51"/>
    </row>
    <row r="34" spans="5:9" x14ac:dyDescent="0.2">
      <c r="E34" s="51"/>
      <c r="F34" s="16"/>
      <c r="G34" s="16"/>
      <c r="H34" s="16"/>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c r="F38" s="16"/>
      <c r="G38" s="16"/>
      <c r="H38" s="16"/>
      <c r="I38" s="18"/>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5">
    <mergeCell ref="B1:O1"/>
    <mergeCell ref="A5:B5"/>
    <mergeCell ref="E5:E57"/>
    <mergeCell ref="A9:B9"/>
    <mergeCell ref="A18:B18"/>
    <mergeCell ref="A21:B21"/>
    <mergeCell ref="A27:B27"/>
    <mergeCell ref="F8:P8"/>
    <mergeCell ref="F20:P20"/>
    <mergeCell ref="F25:P25"/>
    <mergeCell ref="G5:H5"/>
    <mergeCell ref="I5:J5"/>
    <mergeCell ref="K5:L5"/>
    <mergeCell ref="M5:N5"/>
    <mergeCell ref="O5:P5"/>
  </mergeCells>
  <dataValidations count="4">
    <dataValidation type="list" allowBlank="1" showInputMessage="1" showErrorMessage="1" sqref="P4:Q4" xr:uid="{20AD6DEC-57AA-4A71-A618-82B5B526D354}">
      <formula1>"integer, number, percent1"</formula1>
    </dataValidation>
    <dataValidation type="list" allowBlank="1" showInputMessage="1" showErrorMessage="1" sqref="B10" xr:uid="{7B5FC48A-15F7-4153-A04B-28CD24742B92}">
      <formula1>"Line,Clustered Bar,Stacked Bar,Bar,Horizontal Stacked Bar"</formula1>
    </dataValidation>
    <dataValidation type="list" allowBlank="1" showInputMessage="1" showErrorMessage="1" sqref="B2" xr:uid="{7D26E03D-06B1-4744-B391-CAD7F619289B}">
      <formula1>"Table,Figure,Both"</formula1>
    </dataValidation>
    <dataValidation type="list" allowBlank="1" showInputMessage="1" showErrorMessage="1" sqref="B6 B15:B16" xr:uid="{C61D3840-32AD-43C7-87EC-CA5C44F57D9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FE26D75-65F2-405C-ACD0-D48A470292E0}">
          <x14:formula1>
            <xm:f>Dropdowns!$B$2:$B$9</xm:f>
          </x14:formula1>
          <xm:sqref>B14</xm:sqref>
        </x14:dataValidation>
        <x14:dataValidation type="list" allowBlank="1" showInputMessage="1" showErrorMessage="1" xr:uid="{812FBD62-DA2F-461B-9E87-4C5FA036E725}">
          <x14:formula1>
            <xm:f>Dropdowns!$A$1:$A$8</xm:f>
          </x14:formula1>
          <xm:sqref>F4:O4</xm:sqref>
        </x14:dataValidation>
        <x14:dataValidation type="list" allowBlank="1" showInputMessage="1" showErrorMessage="1" xr:uid="{C2226DBF-72A4-48FF-8F9B-10CEF2531A27}">
          <x14:formula1>
            <xm:f>Master!$F$2:$F$401</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2D2B1-886E-4613-A6D0-27D90E2BCB74}">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349</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tbl-heartdz-mortal-aar</v>
      </c>
    </row>
    <row r="4" spans="1:17" x14ac:dyDescent="0.2">
      <c r="A4" s="17" t="s">
        <v>5</v>
      </c>
      <c r="B4" t="str">
        <f>IF($B$1="","",_xlfn.XLOOKUP($B$1,Master!$E$2:$E$320,Master!$G$2:$G$320,""))</f>
        <v>fig-heartdz-mortal-aar</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G5">
        <v>2020</v>
      </c>
      <c r="H5">
        <v>2021</v>
      </c>
      <c r="I5">
        <v>2022</v>
      </c>
      <c r="J5">
        <v>2023</v>
      </c>
    </row>
    <row r="6" spans="1:17" ht="15" customHeight="1" x14ac:dyDescent="0.2">
      <c r="A6" t="s">
        <v>259</v>
      </c>
      <c r="B6" t="b">
        <v>0</v>
      </c>
      <c r="E6" s="51"/>
      <c r="F6" t="s">
        <v>1298</v>
      </c>
      <c r="G6" s="16">
        <v>161.19999999999999</v>
      </c>
      <c r="H6" s="16">
        <v>147.6</v>
      </c>
      <c r="I6" s="16">
        <v>144.80000000000001</v>
      </c>
      <c r="J6" s="16">
        <v>155.80000000000001</v>
      </c>
      <c r="K6" s="16"/>
      <c r="L6" s="16"/>
      <c r="M6" s="16"/>
      <c r="N6" s="16"/>
      <c r="O6" s="16"/>
    </row>
    <row r="7" spans="1:17" ht="15.75" customHeight="1" x14ac:dyDescent="0.2">
      <c r="E7" s="51"/>
      <c r="G7" s="16"/>
      <c r="H7" s="16"/>
      <c r="I7" s="16"/>
      <c r="J7" s="16"/>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257</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1760</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068DD6FA-8957-470F-A70D-D4588C1E5C89}">
      <formula1>"integer, number, percent1"</formula1>
    </dataValidation>
    <dataValidation type="list" allowBlank="1" showInputMessage="1" showErrorMessage="1" sqref="B10" xr:uid="{4784AE32-E669-474A-99EB-09473A6D58EA}">
      <formula1>"Line,Clustered Bar,Stacked Bar,Bar,Horizontal Stacked Bar"</formula1>
    </dataValidation>
    <dataValidation type="list" allowBlank="1" showInputMessage="1" showErrorMessage="1" sqref="B2" xr:uid="{DA9E562A-78E9-49E5-BE9A-9C29F28598AD}">
      <formula1>"Table,Figure,Both"</formula1>
    </dataValidation>
    <dataValidation type="list" allowBlank="1" showInputMessage="1" showErrorMessage="1" sqref="B6 B15:B16" xr:uid="{FEB936C1-DA12-4C3A-A2F4-F1764C994B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464595-FBC9-40B5-B9FC-0D7373625242}">
          <x14:formula1>
            <xm:f>Dropdowns!$B$2:$B$9</xm:f>
          </x14:formula1>
          <xm:sqref>B14</xm:sqref>
        </x14:dataValidation>
        <x14:dataValidation type="list" allowBlank="1" showInputMessage="1" showErrorMessage="1" xr:uid="{E26D77C4-6AD7-4AFA-811F-1A528B17BCA5}">
          <x14:formula1>
            <xm:f>Dropdowns!$A$1:$A$8</xm:f>
          </x14:formula1>
          <xm:sqref>F4:O4</xm:sqref>
        </x14:dataValidation>
        <x14:dataValidation type="list" allowBlank="1" showInputMessage="1" showErrorMessage="1" xr:uid="{19270BB0-CECE-4DBD-93D6-678B4398C0DD}">
          <x14:formula1>
            <xm:f>Master!$F$2:$F$401</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1EB40-C23A-4A28-9E31-FCE4DAAA8BC2}">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350</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tbl-heartdz-mortal-rande</v>
      </c>
    </row>
    <row r="4" spans="1:17" x14ac:dyDescent="0.2">
      <c r="A4" s="17" t="s">
        <v>5</v>
      </c>
      <c r="B4" t="str">
        <f>IF($B$1="","",_xlfn.XLOOKUP($B$1,Master!$E$2:$E$320,Master!$G$2:$G$320,""))</f>
        <v>fig-heartdz-mortal-rande</v>
      </c>
      <c r="E4" s="8"/>
      <c r="F4" s="10" t="s">
        <v>144</v>
      </c>
      <c r="G4" s="10" t="s">
        <v>155</v>
      </c>
      <c r="H4" s="10" t="s">
        <v>155</v>
      </c>
      <c r="I4" s="10" t="s">
        <v>155</v>
      </c>
      <c r="J4" s="10"/>
      <c r="K4" s="10"/>
      <c r="L4" s="10"/>
      <c r="M4" s="10"/>
      <c r="N4" s="10"/>
      <c r="O4" s="10"/>
      <c r="P4" s="10"/>
      <c r="Q4" s="10"/>
    </row>
    <row r="5" spans="1:17" x14ac:dyDescent="0.2">
      <c r="A5" s="50" t="s">
        <v>255</v>
      </c>
      <c r="B5" s="51"/>
      <c r="E5" s="52" t="s">
        <v>256</v>
      </c>
      <c r="F5" t="s">
        <v>1753</v>
      </c>
      <c r="G5" t="s">
        <v>1298</v>
      </c>
      <c r="H5" t="s">
        <v>1299</v>
      </c>
      <c r="I5" t="s">
        <v>1300</v>
      </c>
    </row>
    <row r="6" spans="1:17" ht="15" customHeight="1" x14ac:dyDescent="0.2">
      <c r="A6" t="s">
        <v>259</v>
      </c>
      <c r="B6" t="b">
        <v>0</v>
      </c>
      <c r="E6" s="51"/>
      <c r="F6" t="s">
        <v>275</v>
      </c>
      <c r="G6" s="16">
        <v>157.6</v>
      </c>
      <c r="H6" s="16">
        <v>166.8</v>
      </c>
      <c r="I6" s="16">
        <v>170.6</v>
      </c>
      <c r="J6" s="16"/>
      <c r="K6" s="16"/>
      <c r="L6" s="16"/>
      <c r="M6" s="16"/>
      <c r="N6" s="16"/>
      <c r="O6" s="16"/>
    </row>
    <row r="7" spans="1:17" ht="15.75" customHeight="1" x14ac:dyDescent="0.2">
      <c r="E7" s="51"/>
      <c r="F7" t="s">
        <v>1288</v>
      </c>
      <c r="G7" s="16">
        <v>163.4</v>
      </c>
      <c r="H7" s="16">
        <v>168.5</v>
      </c>
      <c r="I7" s="16">
        <v>169.2</v>
      </c>
      <c r="J7" s="16"/>
      <c r="K7" s="16"/>
      <c r="L7" s="16"/>
      <c r="M7" s="16"/>
      <c r="N7" s="16"/>
      <c r="O7" s="16"/>
    </row>
    <row r="8" spans="1:17" x14ac:dyDescent="0.2">
      <c r="E8" s="51"/>
      <c r="F8" t="s">
        <v>1289</v>
      </c>
      <c r="G8" s="16">
        <v>156.6</v>
      </c>
      <c r="H8" s="16">
        <v>200.2</v>
      </c>
      <c r="I8" s="16">
        <v>217.1</v>
      </c>
      <c r="J8" s="16"/>
      <c r="K8" s="16"/>
      <c r="L8" s="16"/>
      <c r="M8" s="16"/>
      <c r="N8" s="16"/>
      <c r="O8" s="16"/>
    </row>
    <row r="9" spans="1:17" x14ac:dyDescent="0.2">
      <c r="A9" s="50" t="s">
        <v>260</v>
      </c>
      <c r="B9" s="51"/>
      <c r="E9" s="51"/>
      <c r="F9" t="s">
        <v>1297</v>
      </c>
      <c r="G9" s="16">
        <v>97.7</v>
      </c>
      <c r="H9" s="16">
        <v>88</v>
      </c>
      <c r="I9" s="16">
        <v>103.3</v>
      </c>
      <c r="J9" s="16"/>
      <c r="K9" s="16"/>
      <c r="L9" s="16"/>
      <c r="M9" s="16"/>
      <c r="N9" s="16"/>
      <c r="O9" s="16"/>
    </row>
    <row r="10" spans="1:17" x14ac:dyDescent="0.2">
      <c r="A10" t="s">
        <v>261</v>
      </c>
      <c r="B10" t="s">
        <v>1296</v>
      </c>
      <c r="E10" s="51"/>
      <c r="F10" t="s">
        <v>1290</v>
      </c>
      <c r="G10" s="16">
        <v>112.1</v>
      </c>
      <c r="H10">
        <v>109.6</v>
      </c>
      <c r="I10">
        <v>135.9</v>
      </c>
    </row>
    <row r="11" spans="1:17" x14ac:dyDescent="0.2">
      <c r="A11" t="s">
        <v>262</v>
      </c>
      <c r="B11" t="s">
        <v>1753</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1762</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1761</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2A26AEF-8BCB-43DE-8A14-54F1F3E66F32}">
      <formula1>"integer, number, percent1"</formula1>
    </dataValidation>
    <dataValidation type="list" allowBlank="1" showInputMessage="1" showErrorMessage="1" sqref="B10" xr:uid="{97FD65E9-EF54-4584-9099-42E18F6D41AA}">
      <formula1>"Line,Clustered Bar,Stacked Bar,Bar,Horizontal Stacked Bar"</formula1>
    </dataValidation>
    <dataValidation type="list" allowBlank="1" showInputMessage="1" showErrorMessage="1" sqref="B2" xr:uid="{5BD5BDCE-4715-44C5-B885-666E506FDEDD}">
      <formula1>"Table,Figure,Both"</formula1>
    </dataValidation>
    <dataValidation type="list" allowBlank="1" showInputMessage="1" showErrorMessage="1" sqref="B6 B15:B16" xr:uid="{582D5C13-CA16-41BE-96C8-774DE4BB26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E4FE4AD-A48F-4B24-A167-5E60BFD7D757}">
          <x14:formula1>
            <xm:f>Dropdowns!$B$2:$B$9</xm:f>
          </x14:formula1>
          <xm:sqref>B14</xm:sqref>
        </x14:dataValidation>
        <x14:dataValidation type="list" allowBlank="1" showInputMessage="1" showErrorMessage="1" xr:uid="{97BDF176-4320-4617-9F21-F0A5B8BC546A}">
          <x14:formula1>
            <xm:f>Dropdowns!$A$1:$A$8</xm:f>
          </x14:formula1>
          <xm:sqref>F4:O4</xm:sqref>
        </x14:dataValidation>
        <x14:dataValidation type="list" allowBlank="1" showInputMessage="1" showErrorMessage="1" xr:uid="{F6632060-A673-4852-964E-77E50EED4A46}">
          <x14:formula1>
            <xm:f>Master!$F$2:$F$401</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E34E-17E1-47C1-8D06-2AEEB3735120}">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351</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tbl-heartdz-mortal-zip</v>
      </c>
    </row>
    <row r="4" spans="1:17" x14ac:dyDescent="0.2">
      <c r="A4" s="17" t="s">
        <v>5</v>
      </c>
      <c r="B4" t="str">
        <f>IF($B$1="","",_xlfn.XLOOKUP($B$1,Master!$E$2:$E$320,Master!$G$2:$G$320,""))</f>
        <v>fig-heartdz-mortal-zip</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1754</v>
      </c>
      <c r="G5">
        <v>2020</v>
      </c>
      <c r="H5">
        <v>2021</v>
      </c>
      <c r="I5">
        <v>2022</v>
      </c>
      <c r="J5">
        <v>2023</v>
      </c>
    </row>
    <row r="6" spans="1:17" ht="15" customHeight="1" x14ac:dyDescent="0.2">
      <c r="A6" t="s">
        <v>259</v>
      </c>
      <c r="B6" t="b">
        <v>0</v>
      </c>
      <c r="E6" s="51"/>
      <c r="F6">
        <v>10940</v>
      </c>
      <c r="G6" s="16">
        <v>178</v>
      </c>
      <c r="H6" s="16">
        <v>221.9</v>
      </c>
      <c r="I6" s="16">
        <v>183.2</v>
      </c>
      <c r="J6" s="16">
        <v>199.6</v>
      </c>
      <c r="K6" s="16"/>
      <c r="L6" s="16"/>
      <c r="M6" s="16"/>
      <c r="N6" s="16"/>
      <c r="O6" s="16"/>
    </row>
    <row r="7" spans="1:17" ht="15.75" customHeight="1" x14ac:dyDescent="0.2">
      <c r="E7" s="51"/>
      <c r="F7">
        <v>10950</v>
      </c>
      <c r="G7" s="16">
        <v>321.3</v>
      </c>
      <c r="H7" s="16">
        <v>208.1</v>
      </c>
      <c r="I7" s="16">
        <v>234.5</v>
      </c>
      <c r="J7" s="16">
        <v>243.9</v>
      </c>
      <c r="K7" s="16"/>
      <c r="L7" s="16"/>
      <c r="M7" s="16"/>
      <c r="N7" s="16"/>
      <c r="O7" s="16"/>
    </row>
    <row r="8" spans="1:17" x14ac:dyDescent="0.2">
      <c r="E8" s="51"/>
      <c r="F8">
        <v>12550</v>
      </c>
      <c r="G8" s="16">
        <v>468.8</v>
      </c>
      <c r="H8" s="16">
        <v>350.7</v>
      </c>
      <c r="I8" s="16">
        <v>372.1</v>
      </c>
      <c r="J8" s="16">
        <v>315</v>
      </c>
      <c r="K8" s="16"/>
      <c r="L8" s="16"/>
      <c r="M8" s="16"/>
      <c r="N8" s="16"/>
      <c r="O8" s="16"/>
    </row>
    <row r="9" spans="1:17" x14ac:dyDescent="0.2">
      <c r="A9" s="50" t="s">
        <v>260</v>
      </c>
      <c r="B9" s="51"/>
      <c r="E9" s="51"/>
      <c r="F9">
        <v>12771</v>
      </c>
      <c r="G9" s="16">
        <v>201.3</v>
      </c>
      <c r="H9" s="16">
        <v>310</v>
      </c>
      <c r="I9" s="16">
        <v>228.3</v>
      </c>
      <c r="J9" s="16">
        <v>278.8</v>
      </c>
      <c r="K9" s="16"/>
      <c r="L9" s="16"/>
      <c r="M9" s="16"/>
      <c r="N9" s="16"/>
      <c r="O9" s="16"/>
    </row>
    <row r="10" spans="1:17" x14ac:dyDescent="0.2">
      <c r="A10" t="s">
        <v>261</v>
      </c>
      <c r="B10" t="s">
        <v>272</v>
      </c>
      <c r="E10" s="51"/>
      <c r="G10" s="16"/>
    </row>
    <row r="11" spans="1:17" x14ac:dyDescent="0.2">
      <c r="A11" t="s">
        <v>262</v>
      </c>
      <c r="B11" t="s">
        <v>1291</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1304</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1760</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2982235C-5375-425A-B443-450B585ABF9A}">
      <formula1>"integer, number, percent1"</formula1>
    </dataValidation>
    <dataValidation type="list" allowBlank="1" showInputMessage="1" showErrorMessage="1" sqref="B10" xr:uid="{7AC33624-3D5D-4BB1-8790-04E1F0691CB3}">
      <formula1>"Line,Clustered Bar,Stacked Bar,Bar,Horizontal Stacked Bar"</formula1>
    </dataValidation>
    <dataValidation type="list" allowBlank="1" showInputMessage="1" showErrorMessage="1" sqref="B2" xr:uid="{692A389A-D282-4D80-A855-DE6DA3BC3DD8}">
      <formula1>"Table,Figure,Both"</formula1>
    </dataValidation>
    <dataValidation type="list" allowBlank="1" showInputMessage="1" showErrorMessage="1" sqref="B6 B15:B16" xr:uid="{32E1B601-45E1-46E7-B09E-B6D6A5C8210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EF0E753-7697-448D-88F8-3A28D5CA600E}">
          <x14:formula1>
            <xm:f>Dropdowns!$B$2:$B$9</xm:f>
          </x14:formula1>
          <xm:sqref>B14</xm:sqref>
        </x14:dataValidation>
        <x14:dataValidation type="list" allowBlank="1" showInputMessage="1" showErrorMessage="1" xr:uid="{449D82E9-D174-4799-8963-B0693A516934}">
          <x14:formula1>
            <xm:f>Dropdowns!$A$1:$A$8</xm:f>
          </x14:formula1>
          <xm:sqref>F4:O4</xm:sqref>
        </x14:dataValidation>
        <x14:dataValidation type="list" allowBlank="1" showInputMessage="1" showErrorMessage="1" xr:uid="{6FA52678-5E16-4BEE-91B2-FA6CC55B447D}">
          <x14:formula1>
            <xm:f>Master!$F$2:$F$401</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85F3A-D1E5-4083-9932-062D3C636E96}">
  <dimension ref="A1:Q57"/>
  <sheetViews>
    <sheetView workbookViewId="0">
      <selection activeCell="C29" sqref="C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352</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tbl-heartdz-mortal-sex-aar</v>
      </c>
    </row>
    <row r="4" spans="1:17" x14ac:dyDescent="0.2">
      <c r="A4" s="17" t="s">
        <v>5</v>
      </c>
      <c r="B4" t="str">
        <f>IF($B$1="","",_xlfn.XLOOKUP($B$1,Master!$E$2:$E$320,Master!$G$2:$G$320,""))</f>
        <v>fig-heartdz-mortal-sex-aar</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276</v>
      </c>
      <c r="G5">
        <v>2020</v>
      </c>
      <c r="H5">
        <v>2021</v>
      </c>
      <c r="I5">
        <v>2022</v>
      </c>
      <c r="J5">
        <v>2023</v>
      </c>
    </row>
    <row r="6" spans="1:17" ht="15" customHeight="1" x14ac:dyDescent="0.2">
      <c r="A6" t="s">
        <v>259</v>
      </c>
      <c r="B6" t="b">
        <v>0</v>
      </c>
      <c r="E6" s="51"/>
      <c r="F6" t="s">
        <v>1305</v>
      </c>
      <c r="G6" s="16">
        <v>222.8</v>
      </c>
      <c r="H6" s="16">
        <v>178.9</v>
      </c>
      <c r="I6" s="16">
        <v>178.9</v>
      </c>
      <c r="J6" s="16">
        <v>202.9</v>
      </c>
      <c r="K6" s="16"/>
      <c r="L6" s="16"/>
      <c r="M6" s="16"/>
      <c r="N6" s="16"/>
      <c r="O6" s="16"/>
    </row>
    <row r="7" spans="1:17" ht="15.75" customHeight="1" x14ac:dyDescent="0.2">
      <c r="E7" s="51"/>
      <c r="F7" t="s">
        <v>1306</v>
      </c>
      <c r="G7" s="16">
        <v>116.4</v>
      </c>
      <c r="H7" s="16">
        <v>122.5</v>
      </c>
      <c r="I7" s="16">
        <v>116.5</v>
      </c>
      <c r="J7" s="16">
        <v>119.2</v>
      </c>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1304</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276</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1760</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4F8D31A6-C543-4292-8C09-E95A73E25F5D}">
      <formula1>"integer, number, percent1"</formula1>
    </dataValidation>
    <dataValidation type="list" allowBlank="1" showInputMessage="1" showErrorMessage="1" sqref="B10" xr:uid="{A89729BD-770D-4720-B213-80C4C16D2C57}">
      <formula1>"Line,Clustered Bar,Stacked Bar,Bar,Horizontal Stacked Bar"</formula1>
    </dataValidation>
    <dataValidation type="list" allowBlank="1" showInputMessage="1" showErrorMessage="1" sqref="B2" xr:uid="{60FFB45F-D8B1-4241-BE67-DEA074FF63A8}">
      <formula1>"Table,Figure,Both"</formula1>
    </dataValidation>
    <dataValidation type="list" allowBlank="1" showInputMessage="1" showErrorMessage="1" sqref="B6 B15:B16" xr:uid="{D7FD4694-68F7-44F4-8251-CE90EBA4A02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AC49A8F-D02E-45EC-839F-15EA16044890}">
          <x14:formula1>
            <xm:f>Dropdowns!$B$2:$B$9</xm:f>
          </x14:formula1>
          <xm:sqref>B14</xm:sqref>
        </x14:dataValidation>
        <x14:dataValidation type="list" allowBlank="1" showInputMessage="1" showErrorMessage="1" xr:uid="{A599C9D6-BFDE-47E3-A0AA-DCFB234B3938}">
          <x14:formula1>
            <xm:f>Dropdowns!$A$1:$A$8</xm:f>
          </x14:formula1>
          <xm:sqref>F4:O4</xm:sqref>
        </x14:dataValidation>
        <x14:dataValidation type="list" allowBlank="1" showInputMessage="1" showErrorMessage="1" xr:uid="{8F44033D-1679-4515-9E74-FABEA9D72D9F}">
          <x14:formula1>
            <xm:f>Master!$F$2:$F$401</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1EF7D-48B5-4053-B9B4-5760B1958690}">
  <dimension ref="A1:Q57"/>
  <sheetViews>
    <sheetView workbookViewId="0">
      <selection activeCell="I31" sqref="I30:I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353</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tbl-cerebrovascdz-hosp-rande-aar</v>
      </c>
    </row>
    <row r="4" spans="1:17" x14ac:dyDescent="0.2">
      <c r="A4" s="17" t="s">
        <v>5</v>
      </c>
      <c r="B4" t="str">
        <f>IF($B$1="","",_xlfn.XLOOKUP($B$1,Master!$E$2:$E$320,Master!$G$2:$G$320,""))</f>
        <v>fig-cerebrovascdz-hosp-rande-aar</v>
      </c>
      <c r="E4" s="8"/>
      <c r="F4" s="10" t="s">
        <v>144</v>
      </c>
      <c r="G4" s="10" t="s">
        <v>155</v>
      </c>
      <c r="H4" s="10" t="s">
        <v>155</v>
      </c>
      <c r="I4" s="10" t="s">
        <v>155</v>
      </c>
      <c r="J4" s="10"/>
      <c r="K4" s="10"/>
      <c r="L4" s="10"/>
      <c r="M4" s="10"/>
      <c r="N4" s="10"/>
      <c r="O4" s="10"/>
      <c r="P4" s="10"/>
      <c r="Q4" s="10"/>
    </row>
    <row r="5" spans="1:17" x14ac:dyDescent="0.2">
      <c r="A5" s="50" t="s">
        <v>255</v>
      </c>
      <c r="B5" s="51"/>
      <c r="E5" s="52" t="s">
        <v>256</v>
      </c>
      <c r="F5" t="s">
        <v>1753</v>
      </c>
      <c r="G5" t="s">
        <v>1298</v>
      </c>
      <c r="H5" t="s">
        <v>1299</v>
      </c>
      <c r="I5" t="s">
        <v>1300</v>
      </c>
    </row>
    <row r="6" spans="1:17" ht="15" customHeight="1" x14ac:dyDescent="0.2">
      <c r="A6" t="s">
        <v>259</v>
      </c>
      <c r="B6" t="b">
        <v>0</v>
      </c>
      <c r="E6" s="51"/>
      <c r="F6" t="s">
        <v>275</v>
      </c>
      <c r="G6" s="16">
        <v>21.9</v>
      </c>
      <c r="H6" s="16">
        <v>19.600000000000001</v>
      </c>
      <c r="I6" s="16">
        <v>19.8</v>
      </c>
      <c r="J6" s="16"/>
      <c r="K6" s="16"/>
      <c r="L6" s="16"/>
      <c r="M6" s="16"/>
      <c r="N6" s="16"/>
      <c r="O6" s="16"/>
    </row>
    <row r="7" spans="1:17" ht="15.75" customHeight="1" x14ac:dyDescent="0.2">
      <c r="E7" s="51"/>
      <c r="F7" t="s">
        <v>1288</v>
      </c>
      <c r="G7" s="16">
        <v>17.600000000000001</v>
      </c>
      <c r="H7" s="16">
        <v>16.7</v>
      </c>
      <c r="I7" s="16">
        <v>15.4</v>
      </c>
      <c r="J7" s="16"/>
      <c r="K7" s="16"/>
      <c r="L7" s="16"/>
      <c r="M7" s="16"/>
      <c r="N7" s="16"/>
      <c r="O7" s="16"/>
    </row>
    <row r="8" spans="1:17" x14ac:dyDescent="0.2">
      <c r="E8" s="51"/>
      <c r="F8" t="s">
        <v>1289</v>
      </c>
      <c r="G8" s="16">
        <v>29.4</v>
      </c>
      <c r="H8" s="16">
        <v>33.1</v>
      </c>
      <c r="I8" s="16">
        <v>27</v>
      </c>
      <c r="J8" s="16"/>
      <c r="K8" s="16"/>
      <c r="L8" s="16"/>
      <c r="M8" s="16"/>
      <c r="N8" s="16"/>
      <c r="O8" s="16"/>
    </row>
    <row r="9" spans="1:17" x14ac:dyDescent="0.2">
      <c r="A9" s="50" t="s">
        <v>260</v>
      </c>
      <c r="B9" s="51"/>
      <c r="E9" s="51"/>
      <c r="F9" t="s">
        <v>1297</v>
      </c>
      <c r="G9" s="16">
        <v>16</v>
      </c>
      <c r="H9" s="16">
        <v>11.2</v>
      </c>
      <c r="I9" s="16">
        <v>11.2</v>
      </c>
      <c r="J9" s="16"/>
      <c r="K9" s="16"/>
      <c r="L9" s="16"/>
      <c r="M9" s="16"/>
      <c r="N9" s="16"/>
      <c r="O9" s="16"/>
    </row>
    <row r="10" spans="1:17" x14ac:dyDescent="0.2">
      <c r="A10" t="s">
        <v>261</v>
      </c>
      <c r="B10" t="s">
        <v>1296</v>
      </c>
      <c r="E10" s="51"/>
      <c r="F10" t="s">
        <v>1290</v>
      </c>
      <c r="G10" s="16">
        <v>15.4</v>
      </c>
      <c r="H10">
        <v>15.4</v>
      </c>
      <c r="I10">
        <v>16.399999999999999</v>
      </c>
    </row>
    <row r="11" spans="1:17" x14ac:dyDescent="0.2">
      <c r="A11" t="s">
        <v>262</v>
      </c>
      <c r="B11" t="s">
        <v>1753</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1301</v>
      </c>
      <c r="E13" s="51"/>
    </row>
    <row r="14" spans="1:17" x14ac:dyDescent="0.2">
      <c r="A14" t="s">
        <v>265</v>
      </c>
      <c r="B14" t="s">
        <v>176</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1764</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1763</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1BE55EFE-5B7B-4198-96A8-F01DFA55823E}">
      <formula1>"integer, number, percent1"</formula1>
    </dataValidation>
    <dataValidation type="list" allowBlank="1" showInputMessage="1" showErrorMessage="1" sqref="B10" xr:uid="{44E8269D-6D52-4043-9253-9ACD5BB8A6DF}">
      <formula1>"Line,Clustered Bar,Stacked Bar,Bar,Horizontal Stacked Bar"</formula1>
    </dataValidation>
    <dataValidation type="list" allowBlank="1" showInputMessage="1" showErrorMessage="1" sqref="B2" xr:uid="{E624B6ED-22CD-4887-8D30-E3F8673B9BCC}">
      <formula1>"Table,Figure,Both"</formula1>
    </dataValidation>
    <dataValidation type="list" allowBlank="1" showInputMessage="1" showErrorMessage="1" sqref="B6 B15:B16" xr:uid="{6FF44268-C6E7-4DAD-B779-BC31C05D44A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4A9E1AD-A37B-46D6-9B6C-61F356EC2F1A}">
          <x14:formula1>
            <xm:f>Dropdowns!$B$2:$B$9</xm:f>
          </x14:formula1>
          <xm:sqref>B14</xm:sqref>
        </x14:dataValidation>
        <x14:dataValidation type="list" allowBlank="1" showInputMessage="1" showErrorMessage="1" xr:uid="{75069674-3B3C-47A1-B12E-C15DA8EF7BFD}">
          <x14:formula1>
            <xm:f>Dropdowns!$A$1:$A$8</xm:f>
          </x14:formula1>
          <xm:sqref>F4:O4</xm:sqref>
        </x14:dataValidation>
        <x14:dataValidation type="list" allowBlank="1" showInputMessage="1" showErrorMessage="1" xr:uid="{C7A0AD2F-D453-4897-B17E-3BD4D99314D4}">
          <x14:formula1>
            <xm:f>Master!$F$2:$F$401</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09A2E-C2EF-4A5D-A224-157E1989CEE6}">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354</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tbl-cerebrovascdz-count-rate-age-rande-zip</v>
      </c>
    </row>
    <row r="4" spans="1:17" x14ac:dyDescent="0.2">
      <c r="A4" s="17" t="s">
        <v>5</v>
      </c>
      <c r="B4" t="str">
        <f>IF($B$1="","",_xlfn.XLOOKUP($B$1,Master!$E$2:$E$320,Master!$G$2:$G$320,""))</f>
        <v>fig-cerebrovascdz-count-rate-age-rande-zip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0" t="s">
        <v>255</v>
      </c>
      <c r="B5" s="51"/>
      <c r="E5" s="52" t="s">
        <v>256</v>
      </c>
      <c r="G5" s="53">
        <v>2020</v>
      </c>
      <c r="H5" s="53"/>
      <c r="I5" s="53">
        <v>2021</v>
      </c>
      <c r="J5" s="53"/>
      <c r="K5" s="53">
        <v>2022</v>
      </c>
      <c r="L5" s="53"/>
      <c r="M5" s="53">
        <v>2023</v>
      </c>
      <c r="N5" s="53"/>
      <c r="O5" s="53" t="s">
        <v>1756</v>
      </c>
      <c r="P5" s="53"/>
    </row>
    <row r="6" spans="1:17" ht="15" customHeight="1" x14ac:dyDescent="0.2">
      <c r="A6" t="s">
        <v>259</v>
      </c>
      <c r="B6" t="b">
        <v>0</v>
      </c>
      <c r="E6" s="51"/>
      <c r="F6" t="s">
        <v>1755</v>
      </c>
      <c r="G6" s="16" t="s">
        <v>1273</v>
      </c>
      <c r="H6" s="16" t="s">
        <v>1274</v>
      </c>
      <c r="I6" s="16" t="s">
        <v>1273</v>
      </c>
      <c r="J6" s="16" t="s">
        <v>1274</v>
      </c>
      <c r="K6" s="16" t="s">
        <v>1273</v>
      </c>
      <c r="L6" s="16" t="s">
        <v>1274</v>
      </c>
      <c r="M6" s="16" t="s">
        <v>1273</v>
      </c>
      <c r="N6" s="16" t="s">
        <v>1274</v>
      </c>
      <c r="O6" s="16" t="s">
        <v>1273</v>
      </c>
      <c r="P6" s="16" t="s">
        <v>1276</v>
      </c>
    </row>
    <row r="7" spans="1:17" ht="15.75" customHeight="1" x14ac:dyDescent="0.2">
      <c r="E7" s="51"/>
      <c r="F7" t="s">
        <v>1752</v>
      </c>
      <c r="G7" s="16">
        <v>102</v>
      </c>
      <c r="H7" s="16">
        <v>26.7</v>
      </c>
      <c r="I7" s="16">
        <v>96</v>
      </c>
      <c r="J7" s="16">
        <v>24.1</v>
      </c>
      <c r="K7" s="16">
        <v>122</v>
      </c>
      <c r="L7" s="16">
        <v>30.4</v>
      </c>
      <c r="M7" s="16">
        <v>92</v>
      </c>
      <c r="N7" s="16">
        <v>22.8</v>
      </c>
      <c r="O7" s="16">
        <v>412</v>
      </c>
      <c r="P7">
        <v>26</v>
      </c>
    </row>
    <row r="8" spans="1:17" x14ac:dyDescent="0.2">
      <c r="E8" s="51"/>
      <c r="F8" s="60" t="s">
        <v>1277</v>
      </c>
      <c r="G8" s="60"/>
      <c r="H8" s="60"/>
      <c r="I8" s="60"/>
      <c r="J8" s="60"/>
      <c r="K8" s="60"/>
      <c r="L8" s="60"/>
      <c r="M8" s="60"/>
      <c r="N8" s="60"/>
      <c r="O8" s="60"/>
      <c r="P8" s="60"/>
    </row>
    <row r="9" spans="1:17" x14ac:dyDescent="0.2">
      <c r="A9" s="50" t="s">
        <v>260</v>
      </c>
      <c r="B9" s="51"/>
      <c r="E9" s="51"/>
      <c r="F9" t="s">
        <v>1278</v>
      </c>
      <c r="G9" s="16">
        <v>0</v>
      </c>
      <c r="H9" s="16">
        <v>0</v>
      </c>
      <c r="I9" s="16">
        <v>0</v>
      </c>
      <c r="J9" s="16">
        <v>0</v>
      </c>
      <c r="K9" s="16">
        <v>0</v>
      </c>
      <c r="L9" s="16">
        <v>0</v>
      </c>
      <c r="M9" s="16">
        <v>0</v>
      </c>
      <c r="N9" s="16">
        <v>0</v>
      </c>
      <c r="O9" s="16">
        <v>0</v>
      </c>
      <c r="P9">
        <v>0</v>
      </c>
    </row>
    <row r="10" spans="1:17" x14ac:dyDescent="0.2">
      <c r="A10" t="s">
        <v>261</v>
      </c>
      <c r="B10" t="s">
        <v>272</v>
      </c>
      <c r="E10" s="51"/>
      <c r="F10" s="13" t="s">
        <v>1292</v>
      </c>
      <c r="G10" s="16" t="s">
        <v>206</v>
      </c>
      <c r="H10" s="16" t="s">
        <v>206</v>
      </c>
      <c r="I10" s="16">
        <v>0</v>
      </c>
      <c r="J10" s="16">
        <v>0</v>
      </c>
      <c r="K10" s="16">
        <v>0</v>
      </c>
      <c r="L10" s="16">
        <v>0</v>
      </c>
      <c r="M10" s="16">
        <v>0</v>
      </c>
      <c r="N10" s="16">
        <v>0</v>
      </c>
      <c r="O10" s="16" t="s">
        <v>206</v>
      </c>
      <c r="P10" t="s">
        <v>206</v>
      </c>
    </row>
    <row r="11" spans="1:17" x14ac:dyDescent="0.2">
      <c r="A11" t="s">
        <v>262</v>
      </c>
      <c r="B11" t="s">
        <v>257</v>
      </c>
      <c r="E11" s="51"/>
      <c r="F11" s="13" t="s">
        <v>1293</v>
      </c>
      <c r="G11" s="16">
        <v>0</v>
      </c>
      <c r="H11">
        <v>0</v>
      </c>
      <c r="I11">
        <v>0</v>
      </c>
      <c r="J11">
        <v>0</v>
      </c>
      <c r="K11">
        <v>0</v>
      </c>
      <c r="L11">
        <v>0</v>
      </c>
      <c r="M11">
        <v>0</v>
      </c>
      <c r="N11">
        <v>0</v>
      </c>
      <c r="O11">
        <v>0</v>
      </c>
      <c r="P11">
        <v>0</v>
      </c>
    </row>
    <row r="12" spans="1:17" x14ac:dyDescent="0.2">
      <c r="A12" t="s">
        <v>263</v>
      </c>
      <c r="E12" s="51"/>
      <c r="F12" t="s">
        <v>1279</v>
      </c>
      <c r="G12" s="16" t="s">
        <v>206</v>
      </c>
      <c r="H12" s="16" t="s">
        <v>206</v>
      </c>
      <c r="I12" s="16" t="s">
        <v>206</v>
      </c>
      <c r="J12" s="18" t="s">
        <v>206</v>
      </c>
      <c r="K12" s="18">
        <v>0</v>
      </c>
      <c r="L12" s="18">
        <v>0</v>
      </c>
      <c r="M12" s="18" t="s">
        <v>206</v>
      </c>
      <c r="N12" s="18" t="s">
        <v>206</v>
      </c>
      <c r="O12" t="s">
        <v>206</v>
      </c>
      <c r="P12" t="s">
        <v>206</v>
      </c>
    </row>
    <row r="13" spans="1:17" x14ac:dyDescent="0.2">
      <c r="A13" t="s">
        <v>264</v>
      </c>
      <c r="E13" s="51"/>
      <c r="F13" s="22" t="s">
        <v>1280</v>
      </c>
      <c r="G13" s="18" t="s">
        <v>206</v>
      </c>
      <c r="H13" s="18" t="s">
        <v>206</v>
      </c>
      <c r="I13" s="16" t="s">
        <v>206</v>
      </c>
      <c r="J13" s="16" t="s">
        <v>206</v>
      </c>
      <c r="K13" s="16" t="s">
        <v>206</v>
      </c>
      <c r="L13" s="16" t="s">
        <v>206</v>
      </c>
      <c r="M13">
        <v>0</v>
      </c>
      <c r="N13">
        <v>0</v>
      </c>
      <c r="O13" t="s">
        <v>206</v>
      </c>
      <c r="P13" t="s">
        <v>206</v>
      </c>
    </row>
    <row r="14" spans="1:17" x14ac:dyDescent="0.2">
      <c r="A14" t="s">
        <v>265</v>
      </c>
      <c r="E14" s="51"/>
      <c r="F14" t="s">
        <v>1281</v>
      </c>
      <c r="G14" t="s">
        <v>206</v>
      </c>
      <c r="H14" t="s">
        <v>206</v>
      </c>
      <c r="I14" t="s">
        <v>206</v>
      </c>
      <c r="J14" t="s">
        <v>206</v>
      </c>
      <c r="K14" t="s">
        <v>206</v>
      </c>
      <c r="L14" t="s">
        <v>206</v>
      </c>
      <c r="M14" t="s">
        <v>206</v>
      </c>
      <c r="N14" t="s">
        <v>206</v>
      </c>
      <c r="O14">
        <v>20</v>
      </c>
      <c r="P14">
        <v>10.5</v>
      </c>
    </row>
    <row r="15" spans="1:17" x14ac:dyDescent="0.2">
      <c r="A15" t="s">
        <v>267</v>
      </c>
      <c r="B15" t="b">
        <v>1</v>
      </c>
      <c r="E15" s="51"/>
      <c r="F15" t="s">
        <v>1282</v>
      </c>
      <c r="G15">
        <v>24</v>
      </c>
      <c r="H15">
        <v>45.8</v>
      </c>
      <c r="I15">
        <v>27</v>
      </c>
      <c r="J15">
        <v>50.6</v>
      </c>
      <c r="K15">
        <v>14</v>
      </c>
      <c r="L15">
        <v>26.7</v>
      </c>
      <c r="M15">
        <v>30</v>
      </c>
      <c r="N15">
        <v>58.2</v>
      </c>
      <c r="O15">
        <v>95</v>
      </c>
      <c r="P15">
        <v>45.4</v>
      </c>
    </row>
    <row r="16" spans="1:17" x14ac:dyDescent="0.2">
      <c r="A16" t="s">
        <v>274</v>
      </c>
      <c r="B16" t="b">
        <v>1</v>
      </c>
      <c r="E16" s="51"/>
      <c r="F16" t="s">
        <v>1283</v>
      </c>
      <c r="G16">
        <v>66</v>
      </c>
      <c r="H16">
        <v>135.5</v>
      </c>
      <c r="I16">
        <v>69</v>
      </c>
      <c r="J16">
        <v>134.30000000000001</v>
      </c>
      <c r="K16">
        <v>71</v>
      </c>
      <c r="L16">
        <v>138.69999999999999</v>
      </c>
      <c r="M16">
        <v>81</v>
      </c>
      <c r="N16">
        <v>157.30000000000001</v>
      </c>
      <c r="O16">
        <v>287</v>
      </c>
      <c r="P16">
        <v>141.4</v>
      </c>
    </row>
    <row r="17" spans="1:16" x14ac:dyDescent="0.2">
      <c r="E17" s="51"/>
      <c r="F17" t="s">
        <v>1284</v>
      </c>
      <c r="G17">
        <v>130</v>
      </c>
      <c r="H17">
        <v>412.3</v>
      </c>
      <c r="I17">
        <v>122</v>
      </c>
      <c r="J17">
        <v>364.5</v>
      </c>
      <c r="K17">
        <v>131</v>
      </c>
      <c r="L17">
        <v>387</v>
      </c>
      <c r="M17">
        <v>120</v>
      </c>
      <c r="N17">
        <v>344.4</v>
      </c>
      <c r="O17">
        <v>503</v>
      </c>
      <c r="P17">
        <v>377.1</v>
      </c>
    </row>
    <row r="18" spans="1:16" x14ac:dyDescent="0.2">
      <c r="A18" s="50" t="s">
        <v>268</v>
      </c>
      <c r="B18" s="51"/>
      <c r="E18" s="51"/>
      <c r="F18" t="s">
        <v>1285</v>
      </c>
      <c r="G18">
        <v>155</v>
      </c>
      <c r="H18">
        <v>1051.2</v>
      </c>
      <c r="I18">
        <v>167</v>
      </c>
      <c r="J18">
        <v>1094.4000000000001</v>
      </c>
      <c r="K18">
        <v>174</v>
      </c>
      <c r="L18">
        <v>1098.2</v>
      </c>
      <c r="M18">
        <v>195</v>
      </c>
      <c r="N18">
        <v>1189.2</v>
      </c>
      <c r="O18">
        <v>691</v>
      </c>
      <c r="P18">
        <v>1108.3</v>
      </c>
    </row>
    <row r="19" spans="1:16" x14ac:dyDescent="0.2">
      <c r="A19" t="s">
        <v>1250</v>
      </c>
      <c r="B19" t="s">
        <v>1295</v>
      </c>
      <c r="E19" s="51"/>
      <c r="F19" t="s">
        <v>1286</v>
      </c>
      <c r="G19">
        <v>300</v>
      </c>
      <c r="H19">
        <v>4196.3999999999996</v>
      </c>
      <c r="I19">
        <v>234</v>
      </c>
      <c r="J19">
        <v>3434.6</v>
      </c>
      <c r="K19">
        <v>234</v>
      </c>
      <c r="L19">
        <v>3333.3</v>
      </c>
      <c r="M19">
        <v>245</v>
      </c>
      <c r="N19">
        <v>3651.8</v>
      </c>
      <c r="O19">
        <v>1013</v>
      </c>
      <c r="P19">
        <v>3654</v>
      </c>
    </row>
    <row r="20" spans="1:16" x14ac:dyDescent="0.2">
      <c r="E20" s="51"/>
      <c r="F20" s="60" t="s">
        <v>1753</v>
      </c>
      <c r="G20" s="60"/>
      <c r="H20" s="60"/>
      <c r="I20" s="60"/>
      <c r="J20" s="60"/>
      <c r="K20" s="60"/>
      <c r="L20" s="60"/>
      <c r="M20" s="60"/>
      <c r="N20" s="60"/>
      <c r="O20" s="60"/>
      <c r="P20" s="60"/>
    </row>
    <row r="21" spans="1:16" x14ac:dyDescent="0.2">
      <c r="A21" s="53" t="s">
        <v>269</v>
      </c>
      <c r="B21" s="51"/>
      <c r="E21" s="51"/>
      <c r="F21" s="16" t="s">
        <v>1288</v>
      </c>
      <c r="G21" s="16">
        <v>82</v>
      </c>
      <c r="H21" s="16">
        <v>34</v>
      </c>
      <c r="I21">
        <v>73</v>
      </c>
      <c r="J21">
        <v>29.4</v>
      </c>
      <c r="K21">
        <v>89</v>
      </c>
      <c r="L21">
        <v>36.700000000000003</v>
      </c>
      <c r="M21">
        <v>74</v>
      </c>
      <c r="N21">
        <v>30.9</v>
      </c>
      <c r="O21">
        <v>318</v>
      </c>
      <c r="P21">
        <v>32.799999999999997</v>
      </c>
    </row>
    <row r="22" spans="1:16" x14ac:dyDescent="0.2">
      <c r="A22" t="s">
        <v>1249</v>
      </c>
      <c r="B22" t="s">
        <v>1765</v>
      </c>
      <c r="E22" s="51"/>
      <c r="F22" s="16" t="s">
        <v>1289</v>
      </c>
      <c r="G22" s="16" t="s">
        <v>206</v>
      </c>
      <c r="H22" s="16" t="s">
        <v>206</v>
      </c>
      <c r="I22" t="s">
        <v>206</v>
      </c>
      <c r="J22" t="s">
        <v>206</v>
      </c>
      <c r="K22">
        <v>19</v>
      </c>
      <c r="L22">
        <v>45.3</v>
      </c>
      <c r="M22" t="s">
        <v>206</v>
      </c>
      <c r="N22" t="s">
        <v>206</v>
      </c>
      <c r="O22">
        <v>46</v>
      </c>
      <c r="P22">
        <v>28.1</v>
      </c>
    </row>
    <row r="23" spans="1:16" x14ac:dyDescent="0.2">
      <c r="E23" s="51"/>
      <c r="F23" s="16" t="s">
        <v>1290</v>
      </c>
      <c r="G23" s="16" t="s">
        <v>206</v>
      </c>
      <c r="H23" s="16" t="s">
        <v>206</v>
      </c>
      <c r="I23">
        <v>12</v>
      </c>
      <c r="J23">
        <v>14.1</v>
      </c>
      <c r="K23" t="s">
        <v>206</v>
      </c>
      <c r="L23" t="s">
        <v>206</v>
      </c>
      <c r="M23" t="s">
        <v>206</v>
      </c>
      <c r="N23" t="s">
        <v>206</v>
      </c>
      <c r="O23">
        <v>36</v>
      </c>
      <c r="P23">
        <v>10.4</v>
      </c>
    </row>
    <row r="24" spans="1:16" x14ac:dyDescent="0.2">
      <c r="E24" s="51"/>
      <c r="F24" s="16" t="s">
        <v>190</v>
      </c>
      <c r="G24" s="16" t="s">
        <v>206</v>
      </c>
      <c r="H24" s="16" t="s">
        <v>206</v>
      </c>
      <c r="I24" t="s">
        <v>206</v>
      </c>
      <c r="J24" t="s">
        <v>206</v>
      </c>
      <c r="K24" t="s">
        <v>206</v>
      </c>
      <c r="L24" t="s">
        <v>206</v>
      </c>
      <c r="M24" t="s">
        <v>206</v>
      </c>
      <c r="N24" t="s">
        <v>206</v>
      </c>
      <c r="O24">
        <v>12</v>
      </c>
      <c r="P24">
        <v>11.7</v>
      </c>
    </row>
    <row r="25" spans="1:16" x14ac:dyDescent="0.2">
      <c r="E25" s="51"/>
      <c r="F25" s="60" t="s">
        <v>1754</v>
      </c>
      <c r="G25" s="60"/>
      <c r="H25" s="60"/>
      <c r="I25" s="60"/>
      <c r="J25" s="60"/>
      <c r="K25" s="60"/>
      <c r="L25" s="60"/>
      <c r="M25" s="60"/>
      <c r="N25" s="60"/>
      <c r="O25" s="60"/>
      <c r="P25" s="60"/>
    </row>
    <row r="26" spans="1:16" x14ac:dyDescent="0.2">
      <c r="E26" s="51"/>
      <c r="F26" s="16">
        <v>10940</v>
      </c>
      <c r="G26" s="16">
        <v>13</v>
      </c>
      <c r="H26" s="16">
        <v>26.3</v>
      </c>
      <c r="I26">
        <v>16</v>
      </c>
      <c r="J26">
        <v>31.4</v>
      </c>
      <c r="K26">
        <v>18</v>
      </c>
      <c r="L26">
        <v>34.700000000000003</v>
      </c>
      <c r="M26">
        <v>11</v>
      </c>
      <c r="N26">
        <v>20.7</v>
      </c>
      <c r="O26">
        <v>58</v>
      </c>
      <c r="P26">
        <v>28.3</v>
      </c>
    </row>
    <row r="27" spans="1:16" x14ac:dyDescent="0.2">
      <c r="A27" s="53"/>
      <c r="B27" s="53"/>
      <c r="E27" s="51"/>
      <c r="F27" s="16">
        <v>10950</v>
      </c>
      <c r="G27" s="16">
        <v>11</v>
      </c>
      <c r="H27" s="16">
        <v>82.2</v>
      </c>
      <c r="I27">
        <v>10</v>
      </c>
      <c r="J27">
        <v>69.400000000000006</v>
      </c>
      <c r="K27" t="s">
        <v>206</v>
      </c>
      <c r="L27" t="s">
        <v>206</v>
      </c>
      <c r="M27" t="s">
        <v>206</v>
      </c>
      <c r="N27" t="s">
        <v>206</v>
      </c>
      <c r="O27">
        <v>33</v>
      </c>
      <c r="P27">
        <v>58.5</v>
      </c>
    </row>
    <row r="28" spans="1:16" x14ac:dyDescent="0.2">
      <c r="E28" s="51"/>
      <c r="F28" s="16">
        <v>12550</v>
      </c>
      <c r="G28" s="16">
        <v>17</v>
      </c>
      <c r="H28" s="16">
        <v>63.8</v>
      </c>
      <c r="I28">
        <v>12</v>
      </c>
      <c r="J28">
        <v>44.8</v>
      </c>
      <c r="K28">
        <v>18</v>
      </c>
      <c r="L28">
        <v>65.7</v>
      </c>
      <c r="M28">
        <v>13</v>
      </c>
      <c r="N28">
        <v>47.6</v>
      </c>
      <c r="O28">
        <v>60</v>
      </c>
      <c r="P28">
        <v>55.5</v>
      </c>
    </row>
    <row r="29" spans="1:16" x14ac:dyDescent="0.2">
      <c r="E29" s="51"/>
      <c r="F29" s="16">
        <v>12771</v>
      </c>
      <c r="G29" s="16" t="s">
        <v>206</v>
      </c>
      <c r="H29" s="16" t="s">
        <v>206</v>
      </c>
      <c r="I29" t="s">
        <v>206</v>
      </c>
      <c r="J29" t="s">
        <v>206</v>
      </c>
      <c r="K29" t="s">
        <v>206</v>
      </c>
      <c r="L29" t="s">
        <v>206</v>
      </c>
      <c r="M29">
        <v>10</v>
      </c>
      <c r="N29">
        <v>69.7</v>
      </c>
      <c r="O29">
        <v>28</v>
      </c>
      <c r="P29">
        <v>48.3</v>
      </c>
    </row>
    <row r="30" spans="1:16" x14ac:dyDescent="0.2">
      <c r="E30" s="51"/>
      <c r="F30" s="16"/>
      <c r="G30" s="16"/>
      <c r="H30" s="16"/>
    </row>
    <row r="31" spans="1:16" x14ac:dyDescent="0.2">
      <c r="E31" s="51"/>
      <c r="F31" s="16"/>
      <c r="G31" s="16"/>
      <c r="H31" s="16"/>
    </row>
    <row r="32" spans="1:16" x14ac:dyDescent="0.2">
      <c r="E32" s="51"/>
      <c r="F32" s="16"/>
      <c r="G32" s="16"/>
      <c r="H32" s="16"/>
      <c r="K32" t="s">
        <v>280</v>
      </c>
    </row>
    <row r="33" spans="5:9" x14ac:dyDescent="0.2">
      <c r="E33" s="51"/>
    </row>
    <row r="34" spans="5:9" x14ac:dyDescent="0.2">
      <c r="E34" s="51"/>
      <c r="F34" s="16"/>
      <c r="G34" s="16"/>
      <c r="H34" s="16"/>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c r="F38" s="16"/>
      <c r="G38" s="16"/>
      <c r="H38" s="16"/>
      <c r="I38" s="18"/>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5">
    <mergeCell ref="B1:O1"/>
    <mergeCell ref="A5:B5"/>
    <mergeCell ref="E5:E57"/>
    <mergeCell ref="A9:B9"/>
    <mergeCell ref="A18:B18"/>
    <mergeCell ref="A21:B21"/>
    <mergeCell ref="A27:B27"/>
    <mergeCell ref="G5:H5"/>
    <mergeCell ref="I5:J5"/>
    <mergeCell ref="K5:L5"/>
    <mergeCell ref="M5:N5"/>
    <mergeCell ref="O5:P5"/>
    <mergeCell ref="F8:P8"/>
    <mergeCell ref="F20:P20"/>
    <mergeCell ref="F25:P25"/>
  </mergeCells>
  <dataValidations count="4">
    <dataValidation type="list" allowBlank="1" showInputMessage="1" showErrorMessage="1" sqref="P4:Q4" xr:uid="{AA408BCF-3A20-4E37-A52E-00ACF669316D}">
      <formula1>"integer, number, percent1"</formula1>
    </dataValidation>
    <dataValidation type="list" allowBlank="1" showInputMessage="1" showErrorMessage="1" sqref="B10" xr:uid="{7D86182F-F440-4080-A721-76199AA6F1A9}">
      <formula1>"Line,Clustered Bar,Stacked Bar,Bar,Horizontal Stacked Bar"</formula1>
    </dataValidation>
    <dataValidation type="list" allowBlank="1" showInputMessage="1" showErrorMessage="1" sqref="B2" xr:uid="{5D6084BC-CCA7-42CE-9C46-61A06A9BE18F}">
      <formula1>"Table,Figure,Both"</formula1>
    </dataValidation>
    <dataValidation type="list" allowBlank="1" showInputMessage="1" showErrorMessage="1" sqref="B6 B15:B16" xr:uid="{92C7AC12-257A-4A26-A264-AA4ACD803EA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ECAFC05-18F6-4FA4-9A81-40833EE14BCC}">
          <x14:formula1>
            <xm:f>Dropdowns!$B$2:$B$9</xm:f>
          </x14:formula1>
          <xm:sqref>B14</xm:sqref>
        </x14:dataValidation>
        <x14:dataValidation type="list" allowBlank="1" showInputMessage="1" showErrorMessage="1" xr:uid="{BFBAEDFD-47F8-473C-93D1-8FC49CA30435}">
          <x14:formula1>
            <xm:f>Dropdowns!$A$1:$A$8</xm:f>
          </x14:formula1>
          <xm:sqref>F4:O4</xm:sqref>
        </x14:dataValidation>
        <x14:dataValidation type="list" allowBlank="1" showInputMessage="1" showErrorMessage="1" xr:uid="{D6E31BA4-182F-405D-8721-ACFAE40C59AA}">
          <x14:formula1>
            <xm:f>Master!$F$2:$F$401</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F4734-4EAD-4E83-A346-15CE285A95FE}">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356</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tbl-cerebrovascdz-mortal-aar</v>
      </c>
    </row>
    <row r="4" spans="1:17" x14ac:dyDescent="0.2">
      <c r="A4" s="17" t="s">
        <v>5</v>
      </c>
      <c r="B4" t="str">
        <f>IF($B$1="","",_xlfn.XLOOKUP($B$1,Master!$E$2:$E$320,Master!$G$2:$G$320,""))</f>
        <v>fig-cerebrovascdz-mortal-aar</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G5">
        <v>2020</v>
      </c>
      <c r="H5">
        <v>2021</v>
      </c>
      <c r="I5">
        <v>2022</v>
      </c>
      <c r="J5">
        <v>2023</v>
      </c>
    </row>
    <row r="6" spans="1:17" ht="15" customHeight="1" x14ac:dyDescent="0.2">
      <c r="A6" t="s">
        <v>259</v>
      </c>
      <c r="B6" t="b">
        <v>0</v>
      </c>
      <c r="E6" s="51"/>
      <c r="F6" t="s">
        <v>1298</v>
      </c>
      <c r="G6" s="16">
        <v>24.3</v>
      </c>
      <c r="H6" s="16">
        <v>22.9</v>
      </c>
      <c r="I6" s="16">
        <v>28.3</v>
      </c>
      <c r="J6" s="16">
        <v>21.4</v>
      </c>
      <c r="K6" s="16"/>
      <c r="L6" s="16"/>
      <c r="M6" s="16"/>
      <c r="N6" s="16"/>
      <c r="O6" s="16"/>
    </row>
    <row r="7" spans="1:17" ht="15.75" customHeight="1" x14ac:dyDescent="0.2">
      <c r="E7" s="51"/>
      <c r="G7" s="16"/>
      <c r="H7" s="16"/>
      <c r="I7" s="16"/>
      <c r="J7" s="16"/>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257</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1766</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B9C4BFF-78B7-476A-93C2-E8DA7522498D}">
      <formula1>"integer, number, percent1"</formula1>
    </dataValidation>
    <dataValidation type="list" allowBlank="1" showInputMessage="1" showErrorMessage="1" sqref="B10" xr:uid="{24FDB874-33A7-4746-A326-6A2EED0E29C8}">
      <formula1>"Line,Clustered Bar,Stacked Bar,Bar,Horizontal Stacked Bar"</formula1>
    </dataValidation>
    <dataValidation type="list" allowBlank="1" showInputMessage="1" showErrorMessage="1" sqref="B2" xr:uid="{64C9BFD1-AFA2-454B-8407-EFFF04EEA6CF}">
      <formula1>"Table,Figure,Both"</formula1>
    </dataValidation>
    <dataValidation type="list" allowBlank="1" showInputMessage="1" showErrorMessage="1" sqref="B6 B15:B16" xr:uid="{FF9BE45F-E347-419F-9EED-88C57C31D1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79F41CC-A869-4FBE-99B0-64D182E37B41}">
          <x14:formula1>
            <xm:f>Dropdowns!$B$2:$B$9</xm:f>
          </x14:formula1>
          <xm:sqref>B14</xm:sqref>
        </x14:dataValidation>
        <x14:dataValidation type="list" allowBlank="1" showInputMessage="1" showErrorMessage="1" xr:uid="{D2CA1203-DDE4-455B-AB9F-E291C56B544F}">
          <x14:formula1>
            <xm:f>Dropdowns!$A$1:$A$8</xm:f>
          </x14:formula1>
          <xm:sqref>F4:O4</xm:sqref>
        </x14:dataValidation>
        <x14:dataValidation type="list" allowBlank="1" showInputMessage="1" showErrorMessage="1" xr:uid="{0E2ACC05-D669-4672-9727-9751FE2F18AF}">
          <x14:formula1>
            <xm:f>Master!$F$2:$F$401</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76544-5399-4B57-B19C-E5133DBC84ED}">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357</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tbl-cerebrovascdz-mortal-sex-aar</v>
      </c>
    </row>
    <row r="4" spans="1:17" x14ac:dyDescent="0.2">
      <c r="A4" s="17" t="s">
        <v>5</v>
      </c>
      <c r="B4" t="str">
        <f>IF($B$1="","",_xlfn.XLOOKUP($B$1,Master!$E$2:$E$320,Master!$G$2:$G$320,""))</f>
        <v>fig-cerebrovascdz-mortal-sex-aar</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276</v>
      </c>
      <c r="G5">
        <v>2020</v>
      </c>
      <c r="H5">
        <v>2021</v>
      </c>
      <c r="I5">
        <v>2022</v>
      </c>
      <c r="J5">
        <v>2023</v>
      </c>
    </row>
    <row r="6" spans="1:17" ht="15" customHeight="1" x14ac:dyDescent="0.2">
      <c r="A6" t="s">
        <v>259</v>
      </c>
      <c r="B6" t="b">
        <v>0</v>
      </c>
      <c r="E6" s="51"/>
      <c r="F6" t="s">
        <v>1305</v>
      </c>
      <c r="G6" s="16">
        <v>24.7</v>
      </c>
      <c r="H6" s="16">
        <v>24.3</v>
      </c>
      <c r="I6" s="16">
        <v>29.3</v>
      </c>
      <c r="J6" s="16">
        <v>19.3</v>
      </c>
      <c r="K6" s="16"/>
      <c r="L6" s="16"/>
      <c r="M6" s="16"/>
      <c r="N6" s="16"/>
      <c r="O6" s="16"/>
    </row>
    <row r="7" spans="1:17" ht="15.75" customHeight="1" x14ac:dyDescent="0.2">
      <c r="E7" s="51"/>
      <c r="F7" t="s">
        <v>1306</v>
      </c>
      <c r="G7" s="16">
        <v>23.5</v>
      </c>
      <c r="H7" s="16">
        <v>22</v>
      </c>
      <c r="I7" s="16">
        <v>26.8</v>
      </c>
      <c r="J7" s="16">
        <v>22.6</v>
      </c>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1304</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276</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1766</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2D3503B8-7EFD-4F3D-ABCD-AF857FB04D8F}">
      <formula1>"integer, number, percent1"</formula1>
    </dataValidation>
    <dataValidation type="list" allowBlank="1" showInputMessage="1" showErrorMessage="1" sqref="B10" xr:uid="{07918BA5-6277-4ACB-A6AA-8AA951B78226}">
      <formula1>"Line,Clustered Bar,Stacked Bar,Bar,Horizontal Stacked Bar"</formula1>
    </dataValidation>
    <dataValidation type="list" allowBlank="1" showInputMessage="1" showErrorMessage="1" sqref="B2" xr:uid="{9A5C16BD-FF8F-4D77-9808-860BE52EDA05}">
      <formula1>"Table,Figure,Both"</formula1>
    </dataValidation>
    <dataValidation type="list" allowBlank="1" showInputMessage="1" showErrorMessage="1" sqref="B6 B15:B16" xr:uid="{80175125-B4DA-4BCB-BBF1-6AA57B0CCE3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9F73808-7B7F-42BF-9943-DE6177E3467C}">
          <x14:formula1>
            <xm:f>Dropdowns!$B$2:$B$9</xm:f>
          </x14:formula1>
          <xm:sqref>B14</xm:sqref>
        </x14:dataValidation>
        <x14:dataValidation type="list" allowBlank="1" showInputMessage="1" showErrorMessage="1" xr:uid="{501A3AF0-D866-4431-A446-E5CCA211ECDD}">
          <x14:formula1>
            <xm:f>Dropdowns!$A$1:$A$8</xm:f>
          </x14:formula1>
          <xm:sqref>F4:O4</xm:sqref>
        </x14:dataValidation>
        <x14:dataValidation type="list" allowBlank="1" showInputMessage="1" showErrorMessage="1" xr:uid="{DA6006B3-7B19-4D6C-A9F7-D3FFF554498D}">
          <x14:formula1>
            <xm:f>Master!$F$2:$F$401</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4261F-0841-4260-9FD9-72E7DA8B0194}">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358</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tbl-other-dzcircsystem-count-rate-age-rande-zip</v>
      </c>
    </row>
    <row r="4" spans="1:17" x14ac:dyDescent="0.2">
      <c r="A4" s="17" t="s">
        <v>5</v>
      </c>
      <c r="B4" t="str">
        <f>IF($B$1="","",_xlfn.XLOOKUP($B$1,Master!$E$2:$E$320,Master!$G$2:$G$320,""))</f>
        <v>fig-other-dzcircsystem-count-rate-age-rande-zip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0" t="s">
        <v>255</v>
      </c>
      <c r="B5" s="51"/>
      <c r="E5" s="52" t="s">
        <v>256</v>
      </c>
      <c r="G5" s="53">
        <v>2020</v>
      </c>
      <c r="H5" s="53"/>
      <c r="I5" s="53">
        <v>2021</v>
      </c>
      <c r="J5" s="53"/>
      <c r="K5" s="53">
        <v>2022</v>
      </c>
      <c r="L5" s="53"/>
      <c r="M5" s="53">
        <v>2023</v>
      </c>
      <c r="N5" s="53"/>
      <c r="O5" s="53" t="s">
        <v>1756</v>
      </c>
      <c r="P5" s="53"/>
    </row>
    <row r="6" spans="1:17" ht="15" customHeight="1" x14ac:dyDescent="0.2">
      <c r="A6" t="s">
        <v>259</v>
      </c>
      <c r="B6" t="b">
        <v>1</v>
      </c>
      <c r="E6" s="51"/>
      <c r="F6" t="s">
        <v>1755</v>
      </c>
      <c r="G6" s="16" t="s">
        <v>1273</v>
      </c>
      <c r="H6" s="16" t="s">
        <v>1274</v>
      </c>
      <c r="I6" s="16" t="s">
        <v>1273</v>
      </c>
      <c r="J6" s="16" t="s">
        <v>1274</v>
      </c>
      <c r="K6" s="16" t="s">
        <v>1273</v>
      </c>
      <c r="L6" s="16" t="s">
        <v>1274</v>
      </c>
      <c r="M6" s="16" t="s">
        <v>1273</v>
      </c>
      <c r="N6" s="16" t="s">
        <v>1274</v>
      </c>
      <c r="O6" s="16" t="s">
        <v>1273</v>
      </c>
      <c r="P6" s="16" t="s">
        <v>1276</v>
      </c>
    </row>
    <row r="7" spans="1:17" ht="15.75" customHeight="1" x14ac:dyDescent="0.2">
      <c r="E7" s="51"/>
      <c r="F7" t="s">
        <v>1752</v>
      </c>
      <c r="G7" s="16">
        <v>68</v>
      </c>
      <c r="H7" s="16">
        <v>17.8</v>
      </c>
      <c r="I7" s="16">
        <v>39</v>
      </c>
      <c r="J7" s="16">
        <v>9.8000000000000007</v>
      </c>
      <c r="K7" s="16">
        <v>65</v>
      </c>
      <c r="L7" s="16">
        <v>16.2</v>
      </c>
      <c r="M7" s="16">
        <v>73</v>
      </c>
      <c r="N7" s="16">
        <v>18.100000000000001</v>
      </c>
      <c r="O7" s="16">
        <v>245</v>
      </c>
      <c r="P7">
        <v>15.5</v>
      </c>
    </row>
    <row r="8" spans="1:17" x14ac:dyDescent="0.2">
      <c r="E8" s="51"/>
      <c r="F8" s="53" t="s">
        <v>1277</v>
      </c>
      <c r="G8" s="53"/>
      <c r="H8" s="53"/>
      <c r="I8" s="53"/>
      <c r="J8" s="53"/>
      <c r="K8" s="53"/>
      <c r="L8" s="53"/>
      <c r="M8" s="53"/>
      <c r="N8" s="53"/>
      <c r="O8" s="53"/>
      <c r="P8" s="53"/>
    </row>
    <row r="9" spans="1:17" x14ac:dyDescent="0.2">
      <c r="A9" s="50" t="s">
        <v>260</v>
      </c>
      <c r="B9" s="51"/>
      <c r="E9" s="51"/>
      <c r="F9" t="s">
        <v>1278</v>
      </c>
      <c r="G9" s="16">
        <v>0</v>
      </c>
      <c r="H9" s="16">
        <v>0</v>
      </c>
      <c r="I9" s="16" t="s">
        <v>206</v>
      </c>
      <c r="J9" s="16" t="s">
        <v>206</v>
      </c>
      <c r="K9" s="16">
        <v>0</v>
      </c>
      <c r="L9" s="16">
        <v>0</v>
      </c>
      <c r="M9" s="16" t="s">
        <v>206</v>
      </c>
      <c r="N9" s="16" t="s">
        <v>206</v>
      </c>
      <c r="O9" s="16" t="s">
        <v>206</v>
      </c>
      <c r="P9" t="s">
        <v>206</v>
      </c>
    </row>
    <row r="10" spans="1:17" x14ac:dyDescent="0.2">
      <c r="A10" t="s">
        <v>261</v>
      </c>
      <c r="E10" s="51"/>
      <c r="F10" s="13" t="s">
        <v>1292</v>
      </c>
      <c r="G10" s="16" t="s">
        <v>206</v>
      </c>
      <c r="H10" s="16" t="s">
        <v>206</v>
      </c>
      <c r="I10" s="16">
        <v>0</v>
      </c>
      <c r="J10" s="16">
        <v>0</v>
      </c>
      <c r="K10" s="16">
        <v>0</v>
      </c>
      <c r="L10" s="16">
        <v>0</v>
      </c>
      <c r="M10" s="16">
        <v>0</v>
      </c>
      <c r="N10" s="16">
        <v>0</v>
      </c>
      <c r="O10" s="16" t="s">
        <v>206</v>
      </c>
      <c r="P10" t="s">
        <v>206</v>
      </c>
    </row>
    <row r="11" spans="1:17" x14ac:dyDescent="0.2">
      <c r="A11" t="s">
        <v>262</v>
      </c>
      <c r="E11" s="51"/>
      <c r="F11" s="13" t="s">
        <v>1293</v>
      </c>
      <c r="G11" s="16">
        <v>0</v>
      </c>
      <c r="H11">
        <v>0</v>
      </c>
      <c r="I11">
        <v>0</v>
      </c>
      <c r="J11">
        <v>0</v>
      </c>
      <c r="K11">
        <v>0</v>
      </c>
      <c r="L11">
        <v>0</v>
      </c>
      <c r="M11">
        <v>0</v>
      </c>
      <c r="N11">
        <v>0</v>
      </c>
      <c r="O11">
        <v>0</v>
      </c>
      <c r="P11">
        <v>0</v>
      </c>
    </row>
    <row r="12" spans="1:17" x14ac:dyDescent="0.2">
      <c r="A12" t="s">
        <v>263</v>
      </c>
      <c r="E12" s="51"/>
      <c r="F12" t="s">
        <v>1279</v>
      </c>
      <c r="G12" s="16" t="s">
        <v>206</v>
      </c>
      <c r="H12" s="16" t="s">
        <v>206</v>
      </c>
      <c r="I12" s="16" t="s">
        <v>206</v>
      </c>
      <c r="J12" s="18" t="s">
        <v>206</v>
      </c>
      <c r="K12" s="18" t="s">
        <v>206</v>
      </c>
      <c r="L12" s="18" t="s">
        <v>206</v>
      </c>
      <c r="M12" s="18" t="s">
        <v>206</v>
      </c>
      <c r="N12" s="18" t="s">
        <v>206</v>
      </c>
      <c r="O12" t="s">
        <v>206</v>
      </c>
      <c r="P12" t="s">
        <v>206</v>
      </c>
    </row>
    <row r="13" spans="1:17" x14ac:dyDescent="0.2">
      <c r="A13" t="s">
        <v>264</v>
      </c>
      <c r="E13" s="51"/>
      <c r="F13" s="22" t="s">
        <v>1280</v>
      </c>
      <c r="G13" s="18" t="s">
        <v>206</v>
      </c>
      <c r="H13" s="18" t="s">
        <v>206</v>
      </c>
      <c r="I13" s="16" t="s">
        <v>206</v>
      </c>
      <c r="J13" s="16" t="s">
        <v>206</v>
      </c>
      <c r="K13" s="16" t="s">
        <v>206</v>
      </c>
      <c r="L13" s="16" t="s">
        <v>206</v>
      </c>
      <c r="M13" t="s">
        <v>206</v>
      </c>
      <c r="N13" t="s">
        <v>206</v>
      </c>
      <c r="O13">
        <v>14</v>
      </c>
      <c r="P13">
        <v>7.5</v>
      </c>
    </row>
    <row r="14" spans="1:17" x14ac:dyDescent="0.2">
      <c r="A14" t="s">
        <v>265</v>
      </c>
      <c r="E14" s="51"/>
      <c r="F14" t="s">
        <v>1281</v>
      </c>
      <c r="G14" t="s">
        <v>206</v>
      </c>
      <c r="H14" t="s">
        <v>206</v>
      </c>
      <c r="I14" t="s">
        <v>206</v>
      </c>
      <c r="J14" t="s">
        <v>206</v>
      </c>
      <c r="K14" t="s">
        <v>206</v>
      </c>
      <c r="L14" t="s">
        <v>206</v>
      </c>
      <c r="M14" t="s">
        <v>206</v>
      </c>
      <c r="N14" t="s">
        <v>206</v>
      </c>
      <c r="O14">
        <v>30</v>
      </c>
      <c r="P14">
        <v>15.7</v>
      </c>
    </row>
    <row r="15" spans="1:17" x14ac:dyDescent="0.2">
      <c r="A15" t="s">
        <v>267</v>
      </c>
      <c r="E15" s="51"/>
      <c r="F15" t="s">
        <v>1282</v>
      </c>
      <c r="G15">
        <v>28</v>
      </c>
      <c r="H15">
        <v>53.5</v>
      </c>
      <c r="I15">
        <v>34</v>
      </c>
      <c r="J15">
        <v>63.7</v>
      </c>
      <c r="K15">
        <v>21</v>
      </c>
      <c r="L15">
        <v>40.1</v>
      </c>
      <c r="M15">
        <v>32</v>
      </c>
      <c r="N15">
        <v>62.1</v>
      </c>
      <c r="O15">
        <v>115</v>
      </c>
      <c r="P15">
        <v>54.9</v>
      </c>
    </row>
    <row r="16" spans="1:17" x14ac:dyDescent="0.2">
      <c r="A16" t="s">
        <v>274</v>
      </c>
      <c r="E16" s="51"/>
      <c r="F16" t="s">
        <v>1283</v>
      </c>
      <c r="G16">
        <v>84</v>
      </c>
      <c r="H16">
        <v>172.5</v>
      </c>
      <c r="I16">
        <v>91</v>
      </c>
      <c r="J16">
        <v>177.1</v>
      </c>
      <c r="K16">
        <v>99</v>
      </c>
      <c r="L16">
        <v>193.4</v>
      </c>
      <c r="M16">
        <v>98</v>
      </c>
      <c r="N16">
        <v>190.3</v>
      </c>
      <c r="O16">
        <v>372</v>
      </c>
      <c r="P16">
        <v>183.3</v>
      </c>
    </row>
    <row r="17" spans="1:16" x14ac:dyDescent="0.2">
      <c r="E17" s="51"/>
      <c r="F17" t="s">
        <v>1284</v>
      </c>
      <c r="G17">
        <v>154</v>
      </c>
      <c r="H17">
        <v>488.4</v>
      </c>
      <c r="I17">
        <v>147</v>
      </c>
      <c r="J17">
        <v>439.2</v>
      </c>
      <c r="K17">
        <v>159</v>
      </c>
      <c r="L17">
        <v>469.7</v>
      </c>
      <c r="M17">
        <v>147</v>
      </c>
      <c r="N17">
        <v>421.9</v>
      </c>
      <c r="O17">
        <v>607</v>
      </c>
      <c r="P17">
        <v>454.8</v>
      </c>
    </row>
    <row r="18" spans="1:16" x14ac:dyDescent="0.2">
      <c r="A18" s="50" t="s">
        <v>268</v>
      </c>
      <c r="B18" s="51"/>
      <c r="E18" s="51"/>
      <c r="F18" t="s">
        <v>1285</v>
      </c>
      <c r="G18">
        <v>196</v>
      </c>
      <c r="H18">
        <v>1329.3</v>
      </c>
      <c r="I18">
        <v>209</v>
      </c>
      <c r="J18">
        <v>1369.6</v>
      </c>
      <c r="K18">
        <v>230</v>
      </c>
      <c r="L18">
        <v>1451.7</v>
      </c>
      <c r="M18">
        <v>236</v>
      </c>
      <c r="N18">
        <v>1439.3</v>
      </c>
      <c r="O18">
        <v>871</v>
      </c>
      <c r="P18">
        <v>1397.4</v>
      </c>
    </row>
    <row r="19" spans="1:16" x14ac:dyDescent="0.2">
      <c r="A19" t="s">
        <v>1250</v>
      </c>
      <c r="B19" t="s">
        <v>1295</v>
      </c>
      <c r="E19" s="51"/>
      <c r="F19" t="s">
        <v>1286</v>
      </c>
      <c r="G19">
        <v>365</v>
      </c>
      <c r="H19">
        <v>5105.6000000000004</v>
      </c>
      <c r="I19">
        <v>297</v>
      </c>
      <c r="J19">
        <v>4359.3</v>
      </c>
      <c r="K19">
        <v>295</v>
      </c>
      <c r="L19">
        <v>4202.3</v>
      </c>
      <c r="M19">
        <v>313</v>
      </c>
      <c r="N19">
        <v>4665.3999999999996</v>
      </c>
      <c r="O19">
        <v>1270</v>
      </c>
      <c r="P19">
        <v>4583.1000000000004</v>
      </c>
    </row>
    <row r="20" spans="1:16" x14ac:dyDescent="0.2">
      <c r="E20" s="51"/>
      <c r="F20" s="53" t="s">
        <v>1753</v>
      </c>
      <c r="G20" s="53"/>
      <c r="H20" s="53"/>
      <c r="I20" s="53"/>
      <c r="J20" s="53"/>
      <c r="K20" s="53"/>
      <c r="L20" s="53"/>
      <c r="M20" s="53"/>
      <c r="N20" s="53"/>
      <c r="O20" s="53"/>
      <c r="P20" s="53"/>
    </row>
    <row r="21" spans="1:16" x14ac:dyDescent="0.2">
      <c r="A21" s="53" t="s">
        <v>269</v>
      </c>
      <c r="B21" s="51"/>
      <c r="E21" s="51"/>
      <c r="F21" s="16" t="s">
        <v>1288</v>
      </c>
      <c r="G21" s="16">
        <v>686</v>
      </c>
      <c r="H21" s="16">
        <v>284.39999999999998</v>
      </c>
      <c r="I21">
        <v>635</v>
      </c>
      <c r="J21">
        <v>256.2</v>
      </c>
      <c r="K21">
        <v>656</v>
      </c>
      <c r="L21">
        <v>270.39999999999998</v>
      </c>
      <c r="M21">
        <v>660</v>
      </c>
      <c r="N21">
        <v>275.89999999999998</v>
      </c>
      <c r="O21">
        <v>2637</v>
      </c>
      <c r="P21">
        <v>271.7</v>
      </c>
    </row>
    <row r="22" spans="1:16" x14ac:dyDescent="0.2">
      <c r="A22" t="s">
        <v>1249</v>
      </c>
      <c r="B22" t="s">
        <v>1767</v>
      </c>
      <c r="E22" s="51"/>
      <c r="F22" s="16" t="s">
        <v>1289</v>
      </c>
      <c r="G22" s="16">
        <v>66</v>
      </c>
      <c r="H22" s="16">
        <v>171.6</v>
      </c>
      <c r="I22">
        <v>72</v>
      </c>
      <c r="J22">
        <v>181.2</v>
      </c>
      <c r="K22">
        <v>74</v>
      </c>
      <c r="L22">
        <v>176.4</v>
      </c>
      <c r="M22">
        <v>85</v>
      </c>
      <c r="N22">
        <v>200.1</v>
      </c>
      <c r="O22">
        <v>297</v>
      </c>
      <c r="P22">
        <v>182.3</v>
      </c>
    </row>
    <row r="23" spans="1:16" x14ac:dyDescent="0.2">
      <c r="E23" s="51"/>
      <c r="F23" s="16" t="s">
        <v>1290</v>
      </c>
      <c r="G23" s="16">
        <v>63</v>
      </c>
      <c r="H23" s="16">
        <v>78.5</v>
      </c>
      <c r="I23">
        <v>70</v>
      </c>
      <c r="J23">
        <v>82</v>
      </c>
      <c r="K23">
        <v>61</v>
      </c>
      <c r="L23">
        <v>68.2</v>
      </c>
      <c r="M23">
        <v>74</v>
      </c>
      <c r="N23">
        <v>79.099999999999994</v>
      </c>
      <c r="O23">
        <v>268</v>
      </c>
      <c r="P23">
        <v>76.900000000000006</v>
      </c>
    </row>
    <row r="24" spans="1:16" x14ac:dyDescent="0.2">
      <c r="E24" s="51"/>
      <c r="F24" s="16" t="s">
        <v>190</v>
      </c>
      <c r="G24" s="16">
        <v>28</v>
      </c>
      <c r="H24" s="16">
        <v>126.2</v>
      </c>
      <c r="I24">
        <v>16</v>
      </c>
      <c r="J24">
        <v>63.2</v>
      </c>
      <c r="K24">
        <v>24</v>
      </c>
      <c r="L24">
        <v>88.4</v>
      </c>
      <c r="M24">
        <v>20</v>
      </c>
      <c r="N24">
        <v>70</v>
      </c>
      <c r="O24">
        <v>88</v>
      </c>
      <c r="P24">
        <v>87</v>
      </c>
    </row>
    <row r="25" spans="1:16" x14ac:dyDescent="0.2">
      <c r="E25" s="51"/>
      <c r="F25" s="53" t="s">
        <v>1754</v>
      </c>
      <c r="G25" s="53"/>
      <c r="H25" s="53"/>
      <c r="I25" s="53"/>
      <c r="J25" s="53"/>
      <c r="K25" s="53"/>
      <c r="L25" s="53"/>
      <c r="M25" s="53"/>
      <c r="N25" s="53"/>
      <c r="O25" s="53"/>
      <c r="P25" s="53"/>
    </row>
    <row r="26" spans="1:16" x14ac:dyDescent="0.2">
      <c r="E26" s="51"/>
      <c r="F26" s="16">
        <v>10940</v>
      </c>
      <c r="G26" s="16">
        <v>111</v>
      </c>
      <c r="H26" s="16">
        <v>224.6</v>
      </c>
      <c r="I26">
        <v>138</v>
      </c>
      <c r="J26">
        <v>270.89999999999998</v>
      </c>
      <c r="K26">
        <v>127</v>
      </c>
      <c r="L26">
        <v>244.9</v>
      </c>
      <c r="M26">
        <v>125</v>
      </c>
      <c r="N26">
        <v>235.4</v>
      </c>
      <c r="O26">
        <v>501</v>
      </c>
      <c r="P26">
        <v>244</v>
      </c>
    </row>
    <row r="27" spans="1:16" x14ac:dyDescent="0.2">
      <c r="A27" s="53"/>
      <c r="B27" s="53"/>
      <c r="E27" s="51"/>
      <c r="F27" s="16">
        <v>10950</v>
      </c>
      <c r="G27" s="16">
        <v>58</v>
      </c>
      <c r="H27" s="16">
        <v>433.4</v>
      </c>
      <c r="I27">
        <v>48</v>
      </c>
      <c r="J27">
        <v>333</v>
      </c>
      <c r="K27">
        <v>46</v>
      </c>
      <c r="L27">
        <v>317.2</v>
      </c>
      <c r="M27">
        <v>43</v>
      </c>
      <c r="N27">
        <v>291.3</v>
      </c>
      <c r="O27">
        <v>195</v>
      </c>
      <c r="P27">
        <v>343.7</v>
      </c>
    </row>
    <row r="28" spans="1:16" x14ac:dyDescent="0.2">
      <c r="E28" s="51"/>
      <c r="F28" s="16">
        <v>12550</v>
      </c>
      <c r="G28" s="16">
        <v>153</v>
      </c>
      <c r="H28" s="16">
        <v>573.79999999999995</v>
      </c>
      <c r="I28">
        <v>115</v>
      </c>
      <c r="J28">
        <v>429</v>
      </c>
      <c r="K28">
        <v>127</v>
      </c>
      <c r="L28">
        <v>463.4</v>
      </c>
      <c r="M28">
        <v>113</v>
      </c>
      <c r="N28">
        <v>413.9</v>
      </c>
      <c r="O28">
        <v>508</v>
      </c>
      <c r="P28">
        <v>470</v>
      </c>
    </row>
    <row r="29" spans="1:16" x14ac:dyDescent="0.2">
      <c r="E29" s="51"/>
      <c r="F29" s="16">
        <v>12771</v>
      </c>
      <c r="G29" s="16">
        <v>33</v>
      </c>
      <c r="H29" s="16">
        <v>229</v>
      </c>
      <c r="I29">
        <v>55</v>
      </c>
      <c r="J29">
        <v>370.6</v>
      </c>
      <c r="K29">
        <v>46</v>
      </c>
      <c r="L29">
        <v>318.3</v>
      </c>
      <c r="M29">
        <v>52</v>
      </c>
      <c r="N29">
        <v>362.5</v>
      </c>
      <c r="O29">
        <v>186</v>
      </c>
      <c r="P29">
        <v>320.10000000000002</v>
      </c>
    </row>
    <row r="30" spans="1:16" x14ac:dyDescent="0.2">
      <c r="E30" s="51"/>
      <c r="F30" s="16"/>
      <c r="G30" s="16"/>
      <c r="H30" s="16"/>
    </row>
    <row r="31" spans="1:16" x14ac:dyDescent="0.2">
      <c r="E31" s="51"/>
      <c r="F31" s="16"/>
      <c r="G31" s="16"/>
      <c r="H31" s="16"/>
    </row>
    <row r="32" spans="1:16" x14ac:dyDescent="0.2">
      <c r="E32" s="51"/>
      <c r="F32" s="16"/>
      <c r="G32" s="16"/>
      <c r="H32" s="16"/>
      <c r="K32" t="s">
        <v>280</v>
      </c>
    </row>
    <row r="33" spans="5:9" x14ac:dyDescent="0.2">
      <c r="E33" s="51"/>
    </row>
    <row r="34" spans="5:9" x14ac:dyDescent="0.2">
      <c r="E34" s="51"/>
      <c r="F34" s="16"/>
      <c r="G34" s="16"/>
      <c r="H34" s="16"/>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c r="F38" s="16"/>
      <c r="G38" s="16"/>
      <c r="H38" s="16"/>
      <c r="I38" s="18"/>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5">
    <mergeCell ref="B1:O1"/>
    <mergeCell ref="A5:B5"/>
    <mergeCell ref="E5:E57"/>
    <mergeCell ref="A9:B9"/>
    <mergeCell ref="A18:B18"/>
    <mergeCell ref="A21:B21"/>
    <mergeCell ref="A27:B27"/>
    <mergeCell ref="G5:H5"/>
    <mergeCell ref="I5:J5"/>
    <mergeCell ref="K5:L5"/>
    <mergeCell ref="M5:N5"/>
    <mergeCell ref="O5:P5"/>
    <mergeCell ref="F8:P8"/>
    <mergeCell ref="F20:P20"/>
    <mergeCell ref="F25:P25"/>
  </mergeCells>
  <dataValidations count="4">
    <dataValidation type="list" allowBlank="1" showInputMessage="1" showErrorMessage="1" sqref="P4:Q4" xr:uid="{72A377C5-EFE1-464F-BB2B-0E9BAEDB5596}">
      <formula1>"integer, number, percent1"</formula1>
    </dataValidation>
    <dataValidation type="list" allowBlank="1" showInputMessage="1" showErrorMessage="1" sqref="B10" xr:uid="{D6B4E03A-3CD8-48B5-A57C-FF2064247456}">
      <formula1>"Line,Clustered Bar,Stacked Bar,Bar,Horizontal Stacked Bar"</formula1>
    </dataValidation>
    <dataValidation type="list" allowBlank="1" showInputMessage="1" showErrorMessage="1" sqref="B2" xr:uid="{4C1BCD90-EAF0-46C2-A4C3-783A93096628}">
      <formula1>"Table,Figure,Both"</formula1>
    </dataValidation>
    <dataValidation type="list" allowBlank="1" showInputMessage="1" showErrorMessage="1" sqref="B6 B15:B16" xr:uid="{F0182803-0352-4A76-8A40-B2BB3048F04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B03699F-B28C-4515-9FC8-276323F92CF8}">
          <x14:formula1>
            <xm:f>Dropdowns!$B$2:$B$9</xm:f>
          </x14:formula1>
          <xm:sqref>B14</xm:sqref>
        </x14:dataValidation>
        <x14:dataValidation type="list" allowBlank="1" showInputMessage="1" showErrorMessage="1" xr:uid="{F4150CDF-D47D-4FB5-B491-9F2F621F980D}">
          <x14:formula1>
            <xm:f>Dropdowns!$A$1:$A$8</xm:f>
          </x14:formula1>
          <xm:sqref>F4:O4</xm:sqref>
        </x14:dataValidation>
        <x14:dataValidation type="list" allowBlank="1" showInputMessage="1" showErrorMessage="1" xr:uid="{F1C2D2BE-E912-47F0-A121-6EC74BD673E3}">
          <x14:formula1>
            <xm:f>Master!$F$2:$F$401</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57087-A7B6-41C6-B424-3A1C25A39C76}">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360</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tbl-other-dzcircsystem-mortal-aar</v>
      </c>
    </row>
    <row r="4" spans="1:17" x14ac:dyDescent="0.2">
      <c r="A4" s="17" t="s">
        <v>5</v>
      </c>
      <c r="B4" t="str">
        <f>IF($B$1="","",_xlfn.XLOOKUP($B$1,Master!$E$2:$E$320,Master!$G$2:$G$320,""))</f>
        <v>fig-other-dzcircsystem-mortal-aar</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G5">
        <v>2020</v>
      </c>
      <c r="H5">
        <v>2021</v>
      </c>
      <c r="I5">
        <v>2022</v>
      </c>
      <c r="J5">
        <v>2023</v>
      </c>
    </row>
    <row r="6" spans="1:17" ht="15" customHeight="1" x14ac:dyDescent="0.2">
      <c r="A6" t="s">
        <v>259</v>
      </c>
      <c r="B6" t="b">
        <v>0</v>
      </c>
      <c r="E6" s="51"/>
      <c r="F6" t="s">
        <v>1298</v>
      </c>
      <c r="G6" s="16">
        <v>198.4</v>
      </c>
      <c r="H6" s="16">
        <v>186.4</v>
      </c>
      <c r="I6" s="16">
        <v>187.1</v>
      </c>
      <c r="J6" s="16">
        <v>193.6</v>
      </c>
      <c r="K6" s="16"/>
      <c r="L6" s="16"/>
      <c r="M6" s="16"/>
      <c r="N6" s="16"/>
      <c r="O6" s="16"/>
    </row>
    <row r="7" spans="1:17" ht="15.75" customHeight="1" x14ac:dyDescent="0.2">
      <c r="E7" s="51"/>
      <c r="G7" s="16"/>
      <c r="H7" s="16"/>
      <c r="I7" s="16"/>
      <c r="J7" s="16"/>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257</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257</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1768</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ED27F9-D903-4B69-831E-927E2AA71CA0}">
      <formula1>"integer, number, percent1"</formula1>
    </dataValidation>
    <dataValidation type="list" allowBlank="1" showInputMessage="1" showErrorMessage="1" sqref="B10" xr:uid="{04815E2D-0CF4-4FFB-BAA2-5F65F3CF23D2}">
      <formula1>"Line,Clustered Bar,Stacked Bar,Bar,Horizontal Stacked Bar"</formula1>
    </dataValidation>
    <dataValidation type="list" allowBlank="1" showInputMessage="1" showErrorMessage="1" sqref="B2" xr:uid="{C38E5541-976E-40AF-892B-BA43AD8B1D00}">
      <formula1>"Table,Figure,Both"</formula1>
    </dataValidation>
    <dataValidation type="list" allowBlank="1" showInputMessage="1" showErrorMessage="1" sqref="B6 B15:B16" xr:uid="{0A471FF2-DEDC-4E28-AC56-7F78F4C74E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B5F32B1-585C-43F8-B6FC-E5A7B3B3330A}">
          <x14:formula1>
            <xm:f>Dropdowns!$B$2:$B$9</xm:f>
          </x14:formula1>
          <xm:sqref>B14</xm:sqref>
        </x14:dataValidation>
        <x14:dataValidation type="list" allowBlank="1" showInputMessage="1" showErrorMessage="1" xr:uid="{1C7643F6-96BB-4A16-9D90-6FBF0E072028}">
          <x14:formula1>
            <xm:f>Dropdowns!$A$1:$A$8</xm:f>
          </x14:formula1>
          <xm:sqref>F4:O4</xm:sqref>
        </x14:dataValidation>
        <x14:dataValidation type="list" allowBlank="1" showInputMessage="1" showErrorMessage="1" xr:uid="{652194DB-216E-40FE-A06B-9E836E69E845}">
          <x14:formula1>
            <xm:f>Master!$F$2:$F$401</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01256-1AF7-4C9C-8237-8B45FE1E124D}">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361</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tbl-other-dzcircsystem-mortal-rande</v>
      </c>
    </row>
    <row r="4" spans="1:17" x14ac:dyDescent="0.2">
      <c r="A4" s="17" t="s">
        <v>5</v>
      </c>
      <c r="B4" t="str">
        <f>IF($B$1="","",_xlfn.XLOOKUP($B$1,Master!$E$2:$E$320,Master!$G$2:$G$320,""))</f>
        <v>fig-other-dzcircsystem-mortal-rande</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1753</v>
      </c>
      <c r="G5">
        <v>2020</v>
      </c>
      <c r="H5">
        <v>2021</v>
      </c>
      <c r="I5">
        <v>2022</v>
      </c>
      <c r="J5">
        <v>2023</v>
      </c>
    </row>
    <row r="6" spans="1:17" ht="15" customHeight="1" x14ac:dyDescent="0.2">
      <c r="A6" t="s">
        <v>259</v>
      </c>
      <c r="B6" t="b">
        <v>0</v>
      </c>
      <c r="E6" s="51"/>
      <c r="F6" t="s">
        <v>1288</v>
      </c>
      <c r="G6" s="16">
        <v>284.39999999999998</v>
      </c>
      <c r="H6" s="16">
        <v>256.2</v>
      </c>
      <c r="I6" s="16">
        <v>270.39999999999998</v>
      </c>
      <c r="J6" s="16">
        <v>275.89999999999998</v>
      </c>
      <c r="K6" s="16"/>
      <c r="L6" s="16"/>
      <c r="M6" s="16"/>
      <c r="N6" s="16"/>
      <c r="O6" s="16"/>
    </row>
    <row r="7" spans="1:17" ht="15.75" customHeight="1" x14ac:dyDescent="0.2">
      <c r="E7" s="51"/>
      <c r="F7" t="s">
        <v>1289</v>
      </c>
      <c r="G7" s="16">
        <v>171.6</v>
      </c>
      <c r="H7" s="16">
        <v>181.2</v>
      </c>
      <c r="I7" s="16">
        <v>176.4</v>
      </c>
      <c r="J7" s="16">
        <v>200.1</v>
      </c>
      <c r="K7" s="16"/>
      <c r="L7" s="16"/>
      <c r="M7" s="16"/>
      <c r="N7" s="16"/>
      <c r="O7" s="16"/>
    </row>
    <row r="8" spans="1:17" x14ac:dyDescent="0.2">
      <c r="E8" s="51"/>
      <c r="F8" t="s">
        <v>1290</v>
      </c>
      <c r="G8" s="16">
        <v>78.5</v>
      </c>
      <c r="H8" s="16">
        <v>82</v>
      </c>
      <c r="I8" s="16">
        <v>68.2</v>
      </c>
      <c r="J8" s="16">
        <v>79.099999999999994</v>
      </c>
      <c r="K8" s="16"/>
      <c r="L8" s="16"/>
      <c r="M8" s="16"/>
      <c r="N8" s="16"/>
      <c r="O8" s="16"/>
    </row>
    <row r="9" spans="1:17" x14ac:dyDescent="0.2">
      <c r="A9" s="50" t="s">
        <v>260</v>
      </c>
      <c r="B9" s="51"/>
      <c r="E9" s="51"/>
      <c r="F9" t="s">
        <v>190</v>
      </c>
      <c r="G9" s="16">
        <v>126.2</v>
      </c>
      <c r="H9" s="16">
        <v>63.2</v>
      </c>
      <c r="I9" s="16">
        <v>88.4</v>
      </c>
      <c r="J9" s="16">
        <v>70</v>
      </c>
      <c r="K9" s="16"/>
      <c r="L9" s="16"/>
      <c r="M9" s="16"/>
      <c r="N9" s="16"/>
      <c r="O9" s="16"/>
    </row>
    <row r="10" spans="1:17" x14ac:dyDescent="0.2">
      <c r="A10" t="s">
        <v>261</v>
      </c>
      <c r="B10" t="s">
        <v>272</v>
      </c>
      <c r="E10" s="51"/>
      <c r="G10" s="16"/>
    </row>
    <row r="11" spans="1:17" x14ac:dyDescent="0.2">
      <c r="A11" t="s">
        <v>262</v>
      </c>
      <c r="B11" t="s">
        <v>1304</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1753</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1768</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07366F5-9267-4DC1-BBE4-80EEA3583C25}">
      <formula1>"integer, number, percent1"</formula1>
    </dataValidation>
    <dataValidation type="list" allowBlank="1" showInputMessage="1" showErrorMessage="1" sqref="B10" xr:uid="{0BF40164-146E-42B4-B123-41D10473A214}">
      <formula1>"Line,Clustered Bar,Stacked Bar,Bar,Horizontal Stacked Bar"</formula1>
    </dataValidation>
    <dataValidation type="list" allowBlank="1" showInputMessage="1" showErrorMessage="1" sqref="B2" xr:uid="{E24340E4-173C-418E-A734-10F544E8E41D}">
      <formula1>"Table,Figure,Both"</formula1>
    </dataValidation>
    <dataValidation type="list" allowBlank="1" showInputMessage="1" showErrorMessage="1" sqref="B6 B15:B16" xr:uid="{D9EF79E2-DB72-461A-BB6E-98AFEEC9D3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4E0C81C-A8DA-468D-AA0C-6B92CA8ACD71}">
          <x14:formula1>
            <xm:f>Dropdowns!$B$2:$B$9</xm:f>
          </x14:formula1>
          <xm:sqref>B14</xm:sqref>
        </x14:dataValidation>
        <x14:dataValidation type="list" allowBlank="1" showInputMessage="1" showErrorMessage="1" xr:uid="{3A496EC1-EC9C-4659-8F2D-2B3A48AE3F8B}">
          <x14:formula1>
            <xm:f>Dropdowns!$A$1:$A$8</xm:f>
          </x14:formula1>
          <xm:sqref>F4:O4</xm:sqref>
        </x14:dataValidation>
        <x14:dataValidation type="list" allowBlank="1" showInputMessage="1" showErrorMessage="1" xr:uid="{F5126134-A31B-4F17-AD66-6080E6B1D90A}">
          <x14:formula1>
            <xm:f>Master!$F$2:$F$401</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0AAEE-C54D-4FA6-808F-120FB6F99861}">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362</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tbl-circsystemdz-mortal-zip</v>
      </c>
    </row>
    <row r="4" spans="1:17" x14ac:dyDescent="0.2">
      <c r="A4" s="17" t="s">
        <v>5</v>
      </c>
      <c r="B4" t="str">
        <f>IF($B$1="","",_xlfn.XLOOKUP($B$1,Master!$E$2:$E$320,Master!$G$2:$G$320,""))</f>
        <v>fig-circsystemdz-mortal-zip</v>
      </c>
      <c r="E4" s="8"/>
      <c r="F4" s="10" t="s">
        <v>144</v>
      </c>
      <c r="G4" s="10" t="s">
        <v>155</v>
      </c>
      <c r="H4" s="10" t="s">
        <v>155</v>
      </c>
      <c r="I4" s="10" t="s">
        <v>155</v>
      </c>
      <c r="J4" s="10" t="s">
        <v>155</v>
      </c>
      <c r="K4" s="10"/>
      <c r="L4" s="10"/>
      <c r="M4" s="10"/>
      <c r="N4" s="10"/>
      <c r="O4" s="10"/>
      <c r="P4" s="10"/>
      <c r="Q4" s="10"/>
    </row>
    <row r="5" spans="1:17" x14ac:dyDescent="0.2">
      <c r="A5" s="50" t="s">
        <v>255</v>
      </c>
      <c r="B5" s="51"/>
      <c r="E5" s="52" t="s">
        <v>256</v>
      </c>
      <c r="F5" t="s">
        <v>1754</v>
      </c>
      <c r="G5">
        <v>2020</v>
      </c>
      <c r="H5">
        <v>2021</v>
      </c>
      <c r="I5">
        <v>2022</v>
      </c>
      <c r="J5">
        <v>2023</v>
      </c>
    </row>
    <row r="6" spans="1:17" ht="15" customHeight="1" x14ac:dyDescent="0.2">
      <c r="A6" t="s">
        <v>259</v>
      </c>
      <c r="B6" t="b">
        <v>0</v>
      </c>
      <c r="E6" s="51"/>
      <c r="F6">
        <v>10940</v>
      </c>
      <c r="G6" s="16">
        <v>224.6</v>
      </c>
      <c r="H6" s="16">
        <v>270.89999999999998</v>
      </c>
      <c r="I6" s="16">
        <v>244.9</v>
      </c>
      <c r="J6" s="16">
        <v>235.4</v>
      </c>
      <c r="K6" s="16"/>
      <c r="L6" s="16"/>
      <c r="M6" s="16"/>
      <c r="N6" s="16"/>
      <c r="O6" s="16"/>
    </row>
    <row r="7" spans="1:17" ht="15.75" customHeight="1" x14ac:dyDescent="0.2">
      <c r="E7" s="51"/>
      <c r="F7">
        <v>10950</v>
      </c>
      <c r="G7" s="16">
        <v>433.4</v>
      </c>
      <c r="H7" s="16">
        <v>333</v>
      </c>
      <c r="I7" s="16">
        <v>317.2</v>
      </c>
      <c r="J7" s="16">
        <v>291.3</v>
      </c>
      <c r="K7" s="16"/>
      <c r="L7" s="16"/>
      <c r="M7" s="16"/>
      <c r="N7" s="16"/>
      <c r="O7" s="16"/>
    </row>
    <row r="8" spans="1:17" x14ac:dyDescent="0.2">
      <c r="E8" s="51"/>
      <c r="F8">
        <v>12550</v>
      </c>
      <c r="G8" s="16">
        <v>573.79999999999995</v>
      </c>
      <c r="H8" s="16">
        <v>429</v>
      </c>
      <c r="I8" s="16">
        <v>463.4</v>
      </c>
      <c r="J8" s="16">
        <v>413.9</v>
      </c>
      <c r="K8" s="16"/>
      <c r="L8" s="16"/>
      <c r="M8" s="16"/>
      <c r="N8" s="16"/>
      <c r="O8" s="16"/>
    </row>
    <row r="9" spans="1:17" x14ac:dyDescent="0.2">
      <c r="A9" s="50" t="s">
        <v>260</v>
      </c>
      <c r="B9" s="51"/>
      <c r="E9" s="51"/>
      <c r="F9">
        <v>12771</v>
      </c>
      <c r="G9" s="16">
        <v>229</v>
      </c>
      <c r="H9" s="16">
        <v>370.6</v>
      </c>
      <c r="I9" s="16">
        <v>318.3</v>
      </c>
      <c r="J9" s="16">
        <v>362.5</v>
      </c>
      <c r="K9" s="16"/>
      <c r="L9" s="16"/>
      <c r="M9" s="16"/>
      <c r="N9" s="16"/>
      <c r="O9" s="16"/>
    </row>
    <row r="10" spans="1:17" x14ac:dyDescent="0.2">
      <c r="A10" t="s">
        <v>261</v>
      </c>
      <c r="B10" t="s">
        <v>272</v>
      </c>
      <c r="E10" s="51"/>
      <c r="G10" s="16"/>
    </row>
    <row r="11" spans="1:17" x14ac:dyDescent="0.2">
      <c r="A11" t="s">
        <v>262</v>
      </c>
      <c r="B11" t="s">
        <v>1304</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B13" t="s">
        <v>1291</v>
      </c>
      <c r="E13" s="51"/>
    </row>
    <row r="14" spans="1:17" x14ac:dyDescent="0.2">
      <c r="A14" t="s">
        <v>265</v>
      </c>
      <c r="B14" t="s">
        <v>181</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B19" t="s">
        <v>1295</v>
      </c>
      <c r="E19" s="51"/>
    </row>
    <row r="20" spans="1:11" x14ac:dyDescent="0.2">
      <c r="E20" s="51"/>
      <c r="F20" s="16"/>
      <c r="G20" s="16"/>
      <c r="H20" s="16"/>
    </row>
    <row r="21" spans="1:11" x14ac:dyDescent="0.2">
      <c r="A21" s="53" t="s">
        <v>269</v>
      </c>
      <c r="B21" s="51"/>
      <c r="E21" s="51"/>
      <c r="F21" s="16"/>
      <c r="G21" s="16"/>
      <c r="H21" s="16"/>
    </row>
    <row r="22" spans="1:11" x14ac:dyDescent="0.2">
      <c r="A22" t="s">
        <v>1249</v>
      </c>
      <c r="B22" t="s">
        <v>1768</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51690FEF-4E46-4861-826E-E668C8E93442}">
      <formula1>"integer, number, percent1"</formula1>
    </dataValidation>
    <dataValidation type="list" allowBlank="1" showInputMessage="1" showErrorMessage="1" sqref="B10" xr:uid="{A43440EE-CD34-463C-84F7-C716E4C73F4C}">
      <formula1>"Line,Clustered Bar,Stacked Bar,Bar,Horizontal Stacked Bar"</formula1>
    </dataValidation>
    <dataValidation type="list" allowBlank="1" showInputMessage="1" showErrorMessage="1" sqref="B2" xr:uid="{EDB6E845-6D48-4B87-BA25-BB8965B6F419}">
      <formula1>"Table,Figure,Both"</formula1>
    </dataValidation>
    <dataValidation type="list" allowBlank="1" showInputMessage="1" showErrorMessage="1" sqref="B6 B15:B16" xr:uid="{430F3F87-DB58-4F65-ACE3-3599B4AC6F1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F72A4B2-62AF-4F27-AD21-88A669A740EF}">
          <x14:formula1>
            <xm:f>Dropdowns!$B$2:$B$9</xm:f>
          </x14:formula1>
          <xm:sqref>B14</xm:sqref>
        </x14:dataValidation>
        <x14:dataValidation type="list" allowBlank="1" showInputMessage="1" showErrorMessage="1" xr:uid="{B4BD707D-7954-480A-B9AC-E70ACBF43F10}">
          <x14:formula1>
            <xm:f>Dropdowns!$A$1:$A$8</xm:f>
          </x14:formula1>
          <xm:sqref>F4:O4</xm:sqref>
        </x14:dataValidation>
        <x14:dataValidation type="list" allowBlank="1" showInputMessage="1" showErrorMessage="1" xr:uid="{D8D1D539-E585-4675-9EFB-12FFF200C119}">
          <x14:formula1>
            <xm:f>Master!$F$2:$F$401</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46BE6-E487-4857-91B3-A69F19F27A8D}">
  <dimension ref="A1"/>
  <sheetViews>
    <sheetView workbookViewId="0">
      <selection activeCell="B1" sqref="B1:O1"/>
    </sheetView>
  </sheetViews>
  <sheetFormatPr baseColWidth="10" defaultColWidth="8.83203125" defaultRowHeight="15" x14ac:dyDescent="0.2"/>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8" t="s">
        <v>288</v>
      </c>
      <c r="C1" s="49"/>
      <c r="D1" s="49"/>
      <c r="E1" s="49"/>
      <c r="F1" s="49"/>
      <c r="G1" s="49"/>
      <c r="H1" s="49"/>
      <c r="I1" s="49"/>
      <c r="J1" s="49"/>
      <c r="K1" s="49"/>
      <c r="L1" s="49"/>
      <c r="M1" s="49"/>
      <c r="N1" s="49"/>
      <c r="O1" s="49"/>
    </row>
    <row r="2" spans="1:17" x14ac:dyDescent="0.2">
      <c r="A2" s="17" t="s">
        <v>253</v>
      </c>
      <c r="B2" t="s">
        <v>273</v>
      </c>
    </row>
    <row r="3" spans="1:17" x14ac:dyDescent="0.2">
      <c r="A3" s="17" t="s">
        <v>254</v>
      </c>
      <c r="B3" t="str">
        <f>IF($B$1="","",_xlfn.XLOOKUP($B$1,Master!$E$2:$E$320,Master!$F$2:$F$320,""))</f>
        <v>tbl-median-age</v>
      </c>
    </row>
    <row r="4" spans="1:17" x14ac:dyDescent="0.2">
      <c r="A4" s="17" t="s">
        <v>5</v>
      </c>
      <c r="B4" t="str">
        <f>IF($B$1="","",_xlfn.XLOOKUP($B$1,Master!$E$2:$E$320,Master!$G$2:$G$320,""))</f>
        <v>fig-median-age</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50" t="s">
        <v>255</v>
      </c>
      <c r="B5" s="51"/>
      <c r="E5" s="52" t="s">
        <v>256</v>
      </c>
    </row>
    <row r="6" spans="1:17" ht="15" customHeight="1" x14ac:dyDescent="0.2">
      <c r="A6" t="s">
        <v>259</v>
      </c>
      <c r="B6" t="b">
        <v>0</v>
      </c>
      <c r="E6" s="51"/>
      <c r="G6" s="16"/>
      <c r="H6" s="16"/>
      <c r="I6" s="16"/>
      <c r="J6" s="16"/>
      <c r="K6" s="16"/>
      <c r="L6" s="16"/>
      <c r="M6" s="16"/>
      <c r="N6" s="16"/>
      <c r="O6" s="16"/>
    </row>
    <row r="7" spans="1:17" ht="15.75" customHeight="1" x14ac:dyDescent="0.2">
      <c r="E7" s="51"/>
      <c r="G7" s="16"/>
      <c r="H7" s="16"/>
      <c r="I7" s="16"/>
      <c r="J7" s="16"/>
      <c r="K7" s="16"/>
      <c r="L7" s="16"/>
      <c r="M7" s="16"/>
      <c r="N7" s="16"/>
      <c r="O7" s="16"/>
    </row>
    <row r="8" spans="1:17" x14ac:dyDescent="0.2">
      <c r="E8" s="51"/>
      <c r="G8" s="16"/>
      <c r="H8" s="16"/>
      <c r="I8" s="16"/>
      <c r="J8" s="16"/>
      <c r="K8" s="16"/>
      <c r="L8" s="16"/>
      <c r="M8" s="16"/>
      <c r="N8" s="16"/>
      <c r="O8" s="16"/>
    </row>
    <row r="9" spans="1:17" x14ac:dyDescent="0.2">
      <c r="A9" s="50" t="s">
        <v>260</v>
      </c>
      <c r="B9" s="51"/>
      <c r="E9" s="51"/>
      <c r="G9" s="16"/>
      <c r="H9" s="16"/>
      <c r="I9" s="16"/>
      <c r="J9" s="16"/>
      <c r="K9" s="16"/>
      <c r="L9" s="16"/>
      <c r="M9" s="16"/>
      <c r="N9" s="16"/>
      <c r="O9" s="16"/>
    </row>
    <row r="10" spans="1:17" x14ac:dyDescent="0.2">
      <c r="A10" t="s">
        <v>261</v>
      </c>
      <c r="B10" t="s">
        <v>272</v>
      </c>
      <c r="E10" s="51"/>
      <c r="G10" s="16"/>
    </row>
    <row r="11" spans="1:17" x14ac:dyDescent="0.2">
      <c r="A11" t="s">
        <v>262</v>
      </c>
      <c r="B11" t="s">
        <v>257</v>
      </c>
      <c r="E11" s="51"/>
      <c r="G11" s="16"/>
      <c r="H11" s="16"/>
      <c r="I11" s="16"/>
      <c r="J11" s="18"/>
      <c r="K11" s="18"/>
      <c r="L11" s="18"/>
      <c r="M11" s="18"/>
      <c r="N11" s="18"/>
    </row>
    <row r="12" spans="1:17" x14ac:dyDescent="0.2">
      <c r="A12" t="s">
        <v>263</v>
      </c>
      <c r="E12" s="51"/>
      <c r="F12" s="22"/>
      <c r="G12" s="18"/>
      <c r="H12" s="18"/>
      <c r="I12" s="16"/>
      <c r="J12" s="16"/>
      <c r="K12" s="16"/>
      <c r="L12" s="16"/>
    </row>
    <row r="13" spans="1:17" x14ac:dyDescent="0.2">
      <c r="A13" t="s">
        <v>264</v>
      </c>
      <c r="E13" s="51"/>
    </row>
    <row r="14" spans="1:17" x14ac:dyDescent="0.2">
      <c r="A14" t="s">
        <v>265</v>
      </c>
      <c r="E14" s="51"/>
    </row>
    <row r="15" spans="1:17" x14ac:dyDescent="0.2">
      <c r="A15" t="s">
        <v>267</v>
      </c>
      <c r="B15" t="b">
        <v>1</v>
      </c>
      <c r="E15" s="51"/>
    </row>
    <row r="16" spans="1:17" x14ac:dyDescent="0.2">
      <c r="A16" t="s">
        <v>274</v>
      </c>
      <c r="B16" t="b">
        <v>1</v>
      </c>
      <c r="E16" s="51"/>
    </row>
    <row r="17" spans="1:11" x14ac:dyDescent="0.2">
      <c r="E17" s="51"/>
    </row>
    <row r="18" spans="1:11" x14ac:dyDescent="0.2">
      <c r="A18" s="50" t="s">
        <v>268</v>
      </c>
      <c r="B18" s="51"/>
      <c r="E18" s="51"/>
    </row>
    <row r="19" spans="1:11" x14ac:dyDescent="0.2">
      <c r="A19" t="s">
        <v>1250</v>
      </c>
      <c r="E19" s="51"/>
    </row>
    <row r="20" spans="1:11" x14ac:dyDescent="0.2">
      <c r="E20" s="51"/>
      <c r="F20" s="16"/>
      <c r="G20" s="16"/>
      <c r="H20" s="16"/>
    </row>
    <row r="21" spans="1:11" x14ac:dyDescent="0.2">
      <c r="A21" s="53" t="s">
        <v>269</v>
      </c>
      <c r="B21" s="51"/>
      <c r="E21" s="51"/>
      <c r="F21" s="16"/>
      <c r="G21" s="16"/>
      <c r="H21" s="16"/>
    </row>
    <row r="22" spans="1:11" x14ac:dyDescent="0.2">
      <c r="A22" t="s">
        <v>1249</v>
      </c>
      <c r="E22" s="51"/>
      <c r="F22" s="16"/>
      <c r="G22" s="16"/>
      <c r="H22" s="16"/>
    </row>
    <row r="23" spans="1:11" x14ac:dyDescent="0.2">
      <c r="E23" s="51"/>
      <c r="F23" s="16"/>
      <c r="G23" s="16"/>
      <c r="H23" s="16"/>
    </row>
    <row r="24" spans="1:11" x14ac:dyDescent="0.2">
      <c r="E24" s="51"/>
    </row>
    <row r="25" spans="1:11" x14ac:dyDescent="0.2">
      <c r="E25" s="51"/>
      <c r="F25" s="16"/>
      <c r="G25" s="16"/>
      <c r="H25" s="16"/>
      <c r="K25" t="s">
        <v>28</v>
      </c>
    </row>
    <row r="26" spans="1:11" x14ac:dyDescent="0.2">
      <c r="E26" s="51"/>
      <c r="F26" s="16"/>
      <c r="G26" s="16"/>
      <c r="H26" s="16"/>
    </row>
    <row r="27" spans="1:11" x14ac:dyDescent="0.2">
      <c r="A27" s="53"/>
      <c r="B27" s="53"/>
      <c r="E27" s="51"/>
      <c r="F27" s="16"/>
      <c r="G27" s="16"/>
      <c r="H27" s="16"/>
    </row>
    <row r="28" spans="1:11" x14ac:dyDescent="0.2">
      <c r="E28" s="51"/>
      <c r="F28" s="16"/>
      <c r="G28" s="16"/>
      <c r="H28" s="16"/>
    </row>
    <row r="29" spans="1:11" x14ac:dyDescent="0.2">
      <c r="E29" s="51"/>
      <c r="F29" s="16"/>
      <c r="G29" s="16"/>
      <c r="H29" s="16"/>
    </row>
    <row r="30" spans="1:11" x14ac:dyDescent="0.2">
      <c r="E30" s="51"/>
      <c r="F30" s="16"/>
      <c r="G30" s="16"/>
      <c r="H30" s="16"/>
    </row>
    <row r="31" spans="1:11" x14ac:dyDescent="0.2">
      <c r="E31" s="51"/>
      <c r="F31" s="16"/>
      <c r="G31" s="16"/>
      <c r="H31" s="16"/>
      <c r="K31" t="s">
        <v>280</v>
      </c>
    </row>
    <row r="32" spans="1:11" x14ac:dyDescent="0.2">
      <c r="E32" s="51"/>
    </row>
    <row r="33" spans="5:9" x14ac:dyDescent="0.2">
      <c r="E33" s="51"/>
      <c r="F33" s="16"/>
      <c r="G33" s="16"/>
      <c r="H33" s="16"/>
    </row>
    <row r="34" spans="5:9" x14ac:dyDescent="0.2">
      <c r="E34" s="51"/>
      <c r="F34" s="16"/>
      <c r="G34" s="16"/>
      <c r="H34" s="16"/>
      <c r="I34" s="18"/>
    </row>
    <row r="35" spans="5:9" x14ac:dyDescent="0.2">
      <c r="E35" s="51"/>
      <c r="F35" s="16"/>
      <c r="G35" s="16"/>
      <c r="H35" s="16"/>
      <c r="I35" s="18"/>
    </row>
    <row r="36" spans="5:9" x14ac:dyDescent="0.2">
      <c r="E36" s="51"/>
      <c r="F36" s="16"/>
      <c r="G36" s="16"/>
      <c r="H36" s="16"/>
      <c r="I36" s="18"/>
    </row>
    <row r="37" spans="5:9" x14ac:dyDescent="0.2">
      <c r="E37" s="51"/>
      <c r="F37" s="16"/>
      <c r="G37" s="16"/>
      <c r="H37" s="16"/>
      <c r="I37" s="18"/>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5:B5"/>
    <mergeCell ref="E5:E57"/>
    <mergeCell ref="A9:B9"/>
    <mergeCell ref="A18:B18"/>
    <mergeCell ref="A27:B27"/>
    <mergeCell ref="A21:B21"/>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8F41D15-8C61-544E-8137-B07A95F20D75}">
          <x14:formula1>
            <xm:f>Dropdowns!$A$1:$A$8</xm:f>
          </x14:formula1>
          <xm:sqref>F4:O4</xm:sqref>
        </x14:dataValidation>
        <x14:dataValidation type="list" allowBlank="1" showInputMessage="1" showErrorMessage="1" xr:uid="{F829BE8C-E452-4DE4-A6E5-16CCA5F79E15}">
          <x14:formula1>
            <xm:f>Dropdowns!$B$2:$B$9</xm:f>
          </x14:formula1>
          <xm:sqref>B14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5179601-D499-4F72-B04B-030712A0A5FF}">
  <ds:schemaRefs>
    <ds:schemaRef ds:uri="be71ce3a-ef61-410b-aae3-59cf01e8169d"/>
    <ds:schemaRef ds:uri="http://purl.org/dc/terms/"/>
    <ds:schemaRef ds:uri="http://purl.org/dc/dcmitype/"/>
    <ds:schemaRef ds:uri="http://purl.org/dc/elements/1.1/"/>
    <ds:schemaRef ds:uri="http://schemas.microsoft.com/office/2006/documentManagement/types"/>
    <ds:schemaRef ds:uri="http://schemas.microsoft.com/office/2006/metadata/properties"/>
    <ds:schemaRef ds:uri="http://schemas.microsoft.com/office/infopath/2007/PartnerControls"/>
    <ds:schemaRef ds:uri="http://schemas.openxmlformats.org/package/2006/metadata/core-properties"/>
    <ds:schemaRef ds:uri="70db5d92-cf7a-41c9-a808-9efa4eb812f2"/>
    <ds:schemaRef ds:uri="http://www.w3.org/XML/1998/namespace"/>
  </ds:schemaRefs>
</ds:datastoreItem>
</file>

<file path=customXml/itemProps2.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2976BB-D998-4BA5-BBBA-603A232D7A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62</vt:i4>
      </vt:variant>
    </vt:vector>
  </HeadingPairs>
  <TitlesOfParts>
    <vt:vector size="6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Sheet6</vt:lpstr>
      <vt:lpstr>Template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2026-06-10T17:36:40Z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